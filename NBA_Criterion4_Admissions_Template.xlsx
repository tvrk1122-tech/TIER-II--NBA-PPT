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BA_Table" sheetId="1" r:id="rId1"/>
    <sheet name="Checks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<sst xmlns="http://schemas.openxmlformats.org/spreadsheetml/2006/main" count="77" uniqueCount="50">
  <si>
    <t>Year Label</t>
  </si>
  <si>
    <t>Academic Year (e.g., 2024-25)</t>
  </si>
  <si>
    <t>N (Sanctioned Intake)</t>
  </si>
  <si>
    <t>N1 (1st Year, adj. migration)</t>
  </si>
  <si>
    <t>N2 (Lateral Entry, 2nd Year)</t>
  </si>
  <si>
    <t>N3 (Separate Division, if any)</t>
  </si>
  <si>
    <t>N4 (Supernumerary: TFWS/EWS/PMSSS)</t>
  </si>
  <si>
    <t>Total Admissions (Auto)</t>
  </si>
  <si>
    <t>Utilisation % (Auto)</t>
  </si>
  <si>
    <t>Notes (MEES/ABC excluded)</t>
  </si>
  <si>
    <t>CAY</t>
  </si>
  <si>
    <t>CAYm1</t>
  </si>
  <si>
    <t>CAYm2</t>
  </si>
  <si>
    <t>CAYm3</t>
  </si>
  <si>
    <t>CAYm4 (LYG)</t>
  </si>
  <si>
    <t>CAYm5 (LYGm1)</t>
  </si>
  <si>
    <t>CAYm6 (LYGm2)</t>
  </si>
  <si>
    <t>Metric</t>
  </si>
  <si>
    <t>Value (Auto)</t>
  </si>
  <si>
    <t>Seat Utilisation % (CAY)</t>
  </si>
  <si>
    <t>Seat Utilisation % (CAYm1)</t>
  </si>
  <si>
    <t>Seat Utilisation % (CAYm2)</t>
  </si>
  <si>
    <t>Seat Utilisation % (CAYm3)</t>
  </si>
  <si>
    <t>Seat Utilisation % (CAYm4/LYG)</t>
  </si>
  <si>
    <t>Seat Utilisation % (CAYm5/LYGm1)</t>
  </si>
  <si>
    <t>Seat Utilisation % (CAYm6/LYGm2)</t>
  </si>
  <si>
    <t>3-year Enrolment Ratio (uses N1 for CAY..CAYm2)</t>
  </si>
  <si>
    <t>Document Type (AICTE Approval / Admission List / Migration In / Migration Out / Lateral Entry / Supernumerary Approval / MEES Exclusion Note)</t>
  </si>
  <si>
    <t>File Path or Link</t>
  </si>
  <si>
    <t>Verified By</t>
  </si>
  <si>
    <t>Verification Date (YYYY-MM-DD)</t>
  </si>
  <si>
    <t>Remarks</t>
  </si>
  <si>
    <t>Instructions</t>
  </si>
  <si>
    <t>NBA Criterion 4 – Admissions Template (Ready-to-Use)</t>
  </si>
  <si>
    <t>How to use:</t>
  </si>
  <si>
    <t>1) On the 'NBA_Table' sheet, fill columns: Academic Year, N, N1, N2, N3 (if any), N4.</t>
  </si>
  <si>
    <t xml:space="preserve">   - Exclude all Multiple Entry–Exit System (MEES/ABC) students from N1–N4.</t>
  </si>
  <si>
    <t>2) 'Total Admissions' and 'Utilisation %' are auto-calculated.</t>
  </si>
  <si>
    <t>3) On the 'Checks' sheet, the 3-year Enrolment Ratio (CAY..CAYm2) is auto-calculated from N1 and N.</t>
  </si>
  <si>
    <t>4) Use 'Docs_Log' to track evidence (AICTE approvals, admission lists, lateral entry rosters, supernumerary approvals, MEES exclusion note).</t>
  </si>
  <si>
    <t>Column notes (NBA_Table):</t>
  </si>
  <si>
    <t>- N: Sanctioned intake approved by AICTE/competent authority for that year.</t>
  </si>
  <si>
    <t>- N1: 1st-year admissions adjusted for migration (admitted − migrated out + migrated in).</t>
  </si>
  <si>
    <t>- N2: Lateral entry admitted directly into 2nd year (incl. allowed leftover fills).</t>
  </si>
  <si>
    <t>- N3: Separate division admissions (only if AICTE-approved parallel division exists).</t>
  </si>
  <si>
    <t>- N4: Supernumerary quotas (TFWS/EWS/PMSSS/Foreign, etc.).</t>
  </si>
  <si>
    <t>- Total Admissions = N1 + N2 + N3 + N4 (auto).</t>
  </si>
  <si>
    <t>- Utilisation % = Total / N (auto).</t>
  </si>
  <si>
    <t>Tip: If sanctioned intake (N) changes year-wise, enter the exact AICTE-approved N for each row.</t>
  </si>
  <si>
    <t>Enter N, N1–N4. MEES/ABC excluded.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</si>
</sst>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7" width="22.7109375" customWidth="1"/>
    <col min="8" max="8" width="20.7109375" customWidth="1"/>
    <col min="9" max="9" width="18.7109375" customWidth="1"/>
    <col min="10" max="10" width="2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</row>
    <row r="2" spans="1:10">
      <c r="A2" t="s">
        <v>10</v>
      </c>
      <c r="B2" s="2"/>
      <c r="C2" s="3"/>
      <c r="D2" s="3"/>
      <c r="E2" s="3"/>
      <c r="F2" s="3"/>
      <c r="G2" s="3"/>
      <c r="H2" s="3">
        <f>SUM(D2:G2)</f>
        <v>0</v>
      </c>
      <c r="I2" s="4">
        <f>IFERROR(H2/C2,"")</f>
        <v>0</v>
      </c>
      <c r="J2" s="5"/>
    </row>
    <row r="3" spans="1:10">
      <c r="A3" t="s">
        <v>11</v>
      </c>
      <c r="B3" s="2"/>
      <c r="C3" s="3"/>
      <c r="D3" s="3"/>
      <c r="E3" s="3"/>
      <c r="F3" s="3"/>
      <c r="G3" s="3"/>
      <c r="H3" s="3">
        <f>SUM(D3:G3)</f>
        <v>0</v>
      </c>
      <c r="I3" s="4">
        <f>IFERROR(H3/C3,"")</f>
        <v>0</v>
      </c>
      <c r="J3" s="5"/>
    </row>
    <row r="4" spans="1:10">
      <c r="A4" t="s">
        <v>12</v>
      </c>
      <c r="B4" s="2"/>
      <c r="C4" s="3"/>
      <c r="D4" s="3"/>
      <c r="E4" s="3"/>
      <c r="F4" s="3"/>
      <c r="G4" s="3"/>
      <c r="H4" s="3">
        <f>SUM(D4:G4)</f>
        <v>0</v>
      </c>
      <c r="I4" s="4">
        <f>IFERROR(H4/C4,"")</f>
        <v>0</v>
      </c>
      <c r="J4" s="5"/>
    </row>
    <row r="5" spans="1:10">
      <c r="A5" t="s">
        <v>13</v>
      </c>
      <c r="B5" s="2"/>
      <c r="C5" s="3"/>
      <c r="D5" s="3"/>
      <c r="E5" s="3"/>
      <c r="F5" s="3"/>
      <c r="G5" s="3"/>
      <c r="H5" s="3">
        <f>SUM(D5:G5)</f>
        <v>0</v>
      </c>
      <c r="I5" s="4">
        <f>IFERROR(H5/C5,"")</f>
        <v>0</v>
      </c>
      <c r="J5" s="5"/>
    </row>
    <row r="6" spans="1:10">
      <c r="A6" t="s">
        <v>14</v>
      </c>
      <c r="B6" s="2"/>
      <c r="C6" s="3"/>
      <c r="D6" s="3"/>
      <c r="E6" s="3"/>
      <c r="F6" s="3"/>
      <c r="G6" s="3"/>
      <c r="H6" s="3">
        <f>SUM(D6:G6)</f>
        <v>0</v>
      </c>
      <c r="I6" s="4">
        <f>IFERROR(H6/C6,"")</f>
        <v>0</v>
      </c>
      <c r="J6" s="5"/>
    </row>
    <row r="7" spans="1:10">
      <c r="A7" t="s">
        <v>15</v>
      </c>
      <c r="B7" s="2"/>
      <c r="C7" s="3"/>
      <c r="D7" s="3"/>
      <c r="E7" s="3"/>
      <c r="F7" s="3"/>
      <c r="G7" s="3"/>
      <c r="H7" s="3">
        <f>SUM(D7:G7)</f>
        <v>0</v>
      </c>
      <c r="I7" s="4">
        <f>IFERROR(H7/C7,"")</f>
        <v>0</v>
      </c>
      <c r="J7" s="5"/>
    </row>
    <row r="8" spans="1:10">
      <c r="A8" t="s">
        <v>16</v>
      </c>
      <c r="B8" s="2"/>
      <c r="C8" s="3"/>
      <c r="D8" s="3"/>
      <c r="E8" s="3"/>
      <c r="F8" s="3"/>
      <c r="G8" s="3"/>
      <c r="H8" s="3">
        <f>SUM(D8:G8)</f>
        <v>0</v>
      </c>
      <c r="I8" s="4">
        <f>IFERROR(H8/C8,"")</f>
        <v>0</v>
      </c>
      <c r="J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8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s="4">
        <f>NBA_Table!I2</f>
        <v>0</v>
      </c>
    </row>
    <row r="3" spans="1:2">
      <c r="A3" t="s">
        <v>20</v>
      </c>
      <c r="B3" s="4">
        <f>NBA_Table!I3</f>
        <v>0</v>
      </c>
    </row>
    <row r="4" spans="1:2">
      <c r="A4" t="s">
        <v>21</v>
      </c>
      <c r="B4" s="4">
        <f>NBA_Table!I4</f>
        <v>0</v>
      </c>
    </row>
    <row r="5" spans="1:2">
      <c r="A5" t="s">
        <v>22</v>
      </c>
      <c r="B5" s="4">
        <f>NBA_Table!I5</f>
        <v>0</v>
      </c>
    </row>
    <row r="6" spans="1:2">
      <c r="A6" t="s">
        <v>23</v>
      </c>
      <c r="B6" s="4">
        <f>NBA_Table!I6</f>
        <v>0</v>
      </c>
    </row>
    <row r="7" spans="1:2">
      <c r="A7" t="s">
        <v>24</v>
      </c>
      <c r="B7" s="4">
        <f>NBA_Table!I7</f>
        <v>0</v>
      </c>
    </row>
    <row r="8" spans="1:2">
      <c r="A8" t="s">
        <v>25</v>
      </c>
      <c r="B8" s="4">
        <f>IFERROR(SUM(NBA_Table!D2:D4)/SUM(NBA_Table!C2:C4),0)</f>
        <v>0</v>
      </c>
    </row>
    <row r="9" spans="1:2">
      <c r="A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5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t="s">
        <v>10</v>
      </c>
    </row>
    <row r="3" spans="1:6">
      <c r="A3" t="s">
        <v>11</v>
      </c>
    </row>
    <row r="4" spans="1:6">
      <c r="A4" t="s">
        <v>12</v>
      </c>
    </row>
    <row r="5" spans="1:6">
      <c r="A5" t="s">
        <v>13</v>
      </c>
    </row>
    <row r="6" spans="1:6">
      <c r="A6" t="s">
        <v>14</v>
      </c>
    </row>
    <row r="7" spans="1:6">
      <c r="A7" t="s">
        <v>15</v>
      </c>
    </row>
    <row r="8" spans="1:6">
      <c r="A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32</v>
      </c>
    </row>
    <row r="2" spans="1:1">
      <c r="A2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  <row r="9" spans="1:1">
      <c r="A9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20" spans="1:1">
      <c r="A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NBA_Table</vt:lpstr>
      <vt:lpstr>Checks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2025-08-26T03:33:20Z</dcterms:created>
  <dcterms:modified xsi:type="dcterms:W3CDTF">2025-08-26T03:33:20Z</dcterms:modified>
</cp:coreProperties>
</file>