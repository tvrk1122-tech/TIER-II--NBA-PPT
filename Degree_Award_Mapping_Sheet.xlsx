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gree_Awards" sheetId="1" r:id="rId1"/>
    <sheet name="Yearly_Summary" sheetId="2" r:id="rId2"/>
    <sheet name="Docs_Log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<sst xmlns="http://schemas.openxmlformats.org/spreadsheetml/2006/main" count="85" uniqueCount="48">
  <si>
    <t>Year of Entry (Label: CAY/CAYm1/.../CAYm6)</t>
  </si>
  <si>
    <t>Academic Year of Entry (e.g., 2020-21)</t>
  </si>
  <si>
    <t>Roll No</t>
  </si>
  <si>
    <t>Student Name</t>
  </si>
  <si>
    <t>Program/Branch</t>
  </si>
  <si>
    <t>Class Awarded (Distinction/First/Second/Pass)</t>
  </si>
  <si>
    <t>Graduated Status (On-time/Delayed)</t>
  </si>
  <si>
    <t>Backlog History (Yes/No)</t>
  </si>
  <si>
    <t>Convocation/Session (e.g., Oct-2024)</t>
  </si>
  <si>
    <t>Degree Award List Ref/Order No</t>
  </si>
  <si>
    <t>Remarks</t>
  </si>
  <si>
    <t>Year of Entry (Label)</t>
  </si>
  <si>
    <t>Academic Year (e.g., 2020-21)</t>
  </si>
  <si>
    <t>Total Degrees Awarded</t>
  </si>
  <si>
    <t>On-time Graduates (Auto)</t>
  </si>
  <si>
    <t>Delayed Graduates (Auto)</t>
  </si>
  <si>
    <t>Without Backlogs (Auto)</t>
  </si>
  <si>
    <t>With Backlogs (Auto)</t>
  </si>
  <si>
    <t>Distinction (Auto)</t>
  </si>
  <si>
    <t>First Class (Auto)</t>
  </si>
  <si>
    <t>Second/Pass (Auto)</t>
  </si>
  <si>
    <t>CAY</t>
  </si>
  <si>
    <t>CAYm1</t>
  </si>
  <si>
    <t>CAYm2</t>
  </si>
  <si>
    <t>CAYm3</t>
  </si>
  <si>
    <t>CAYm4 (LYG)</t>
  </si>
  <si>
    <t>CAYm5 (LYGm1)</t>
  </si>
  <si>
    <t>CAYm6 (LYGm2)</t>
  </si>
  <si>
    <t>Document Type (Degree Award List / Convocation Minutes)</t>
  </si>
  <si>
    <t>File Path or Link</t>
  </si>
  <si>
    <t>Verified By</t>
  </si>
  <si>
    <t>Verification Date (YYYY-MM-DD)</t>
  </si>
  <si>
    <t>Instructions</t>
  </si>
  <si>
    <t>Degree Award Mapping Sheet – NBA Criterion 4 (Graduation)</t>
  </si>
  <si>
    <t>Purpose: Map University/Autonomous 'Degree Award Lists' into year-wise totals aligned with Graduation Tracker.</t>
  </si>
  <si>
    <t>How to use:</t>
  </si>
  <si>
    <t>1) Paste the student-wise degree award list into 'Degree_Awards'.</t>
  </si>
  <si>
    <t xml:space="preserve">   - Use labels CAY..CAYm6 in 'Year of Entry'.</t>
  </si>
  <si>
    <t xml:space="preserve">   - Set 'Graduated Status' = On-time or Delayed.</t>
  </si>
  <si>
    <t xml:space="preserve">   - Set 'Backlog History' = Yes (with backlog) / No (without backlog).</t>
  </si>
  <si>
    <t xml:space="preserve">   - Optionally classify 'Class Awarded'.</t>
  </si>
  <si>
    <t>2) 'Yearly_Summary' auto-computes totals per year of entry:</t>
  </si>
  <si>
    <t xml:space="preserve">   - Total Degrees Awarded</t>
  </si>
  <si>
    <t xml:space="preserve">   - On-time vs Delayed graduates</t>
  </si>
  <si>
    <t xml:space="preserve">   - With vs Without backlogs</t>
  </si>
  <si>
    <t xml:space="preserve">   - Class Award distribution (Distinction/First/Second+Pass)</t>
  </si>
  <si>
    <t>3) Attach the Degree Award List PDF in 'Docs_Log'.</t>
  </si>
  <si>
    <t>Notes: Keep naming consistent with your Graduation Tracker and Gazette Mapping Sheet.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</si>
</sst>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4" width="24.7109375" customWidth="1"/>
    <col min="5" max="5" width="28.7109375" customWidth="1"/>
    <col min="6" max="8" width="32.7109375" customWidth="1"/>
    <col min="9" max="10" width="28.7109375" customWidth="1"/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6.7109375" customWidth="1"/>
  </cols>
  <sheetData>
    <row r="1" spans="1:1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t="s">
        <v>21</v>
      </c>
      <c r="C2" s="2">
        <f>COUNTIF(Degree_Awards!$A$2:$A$401,"CAY")</f>
        <v>0</v>
      </c>
      <c r="D2" s="2">
        <f>COUNTIFS(Degree_Awards!$A$2:$A$401,"CAY",Degree_Awards!$G$2:$G$401,"On-time")</f>
        <v>0</v>
      </c>
      <c r="E2" s="2">
        <f>COUNTIFS(Degree_Awards!$A$2:$A$401,"CAY",Degree_Awards!$G$2:$G$401,"Delayed")</f>
        <v>0</v>
      </c>
      <c r="F2" s="2">
        <f>COUNTIFS(Degree_Awards!$A$2:$A$401,"CAY",Degree_Awards!$H$2:$H$401,"No")</f>
        <v>0</v>
      </c>
      <c r="G2" s="2">
        <f>COUNTIFS(Degree_Awards!$A$2:$A$401,"CAY",Degree_Awards!$H$2:$H$401,"Yes")</f>
        <v>0</v>
      </c>
      <c r="H2" s="2">
        <f>COUNTIFS(Degree_Awards!$A$2:$A$401,"CAY",Degree_Awards!$F$2:$F$401,"*Distinction*")</f>
        <v>0</v>
      </c>
      <c r="I2" s="2">
        <f>COUNTIFS(Degree_Awards!$A$2:$A$401,"CAY",Degree_Awards!$F$2:$F$401,"*First*")</f>
        <v>0</v>
      </c>
      <c r="J2" s="2">
        <f>COUNTIFS(Degree_Awards!$A$2:$A$401,"CAY",Degree_Awards!$F$2:$F$401,"*Second*")+COUNTIFS(Degree_Awards!$A$2:$A$401,"CAY",Degree_Awards!$F$2:$F$401,"*Pass*")</f>
        <v>0</v>
      </c>
    </row>
    <row r="3" spans="1:10">
      <c r="A3" t="s">
        <v>22</v>
      </c>
      <c r="C3" s="2">
        <f>COUNTIF(Degree_Awards!$A$2:$A$401,"CAYm1")</f>
        <v>0</v>
      </c>
      <c r="D3" s="2">
        <f>COUNTIFS(Degree_Awards!$A$2:$A$401,"CAYm1",Degree_Awards!$G$2:$G$401,"On-time")</f>
        <v>0</v>
      </c>
      <c r="E3" s="2">
        <f>COUNTIFS(Degree_Awards!$A$2:$A$401,"CAYm1",Degree_Awards!$G$2:$G$401,"Delayed")</f>
        <v>0</v>
      </c>
      <c r="F3" s="2">
        <f>COUNTIFS(Degree_Awards!$A$2:$A$401,"CAYm1",Degree_Awards!$H$2:$H$401,"No")</f>
        <v>0</v>
      </c>
      <c r="G3" s="2">
        <f>COUNTIFS(Degree_Awards!$A$2:$A$401,"CAYm1",Degree_Awards!$H$2:$H$401,"Yes")</f>
        <v>0</v>
      </c>
      <c r="H3" s="2">
        <f>COUNTIFS(Degree_Awards!$A$2:$A$401,"CAYm1",Degree_Awards!$F$2:$F$401,"*Distinction*")</f>
        <v>0</v>
      </c>
      <c r="I3" s="2">
        <f>COUNTIFS(Degree_Awards!$A$2:$A$401,"CAYm1",Degree_Awards!$F$2:$F$401,"*First*")</f>
        <v>0</v>
      </c>
      <c r="J3" s="2">
        <f>COUNTIFS(Degree_Awards!$A$2:$A$401,"CAYm1",Degree_Awards!$F$2:$F$401,"*Second*")+COUNTIFS(Degree_Awards!$A$2:$A$401,"CAYm1",Degree_Awards!$F$2:$F$401,"*Pass*")</f>
        <v>0</v>
      </c>
    </row>
    <row r="4" spans="1:10">
      <c r="A4" t="s">
        <v>23</v>
      </c>
      <c r="C4" s="2">
        <f>COUNTIF(Degree_Awards!$A$2:$A$401,"CAYm2")</f>
        <v>0</v>
      </c>
      <c r="D4" s="2">
        <f>COUNTIFS(Degree_Awards!$A$2:$A$401,"CAYm2",Degree_Awards!$G$2:$G$401,"On-time")</f>
        <v>0</v>
      </c>
      <c r="E4" s="2">
        <f>COUNTIFS(Degree_Awards!$A$2:$A$401,"CAYm2",Degree_Awards!$G$2:$G$401,"Delayed")</f>
        <v>0</v>
      </c>
      <c r="F4" s="2">
        <f>COUNTIFS(Degree_Awards!$A$2:$A$401,"CAYm2",Degree_Awards!$H$2:$H$401,"No")</f>
        <v>0</v>
      </c>
      <c r="G4" s="2">
        <f>COUNTIFS(Degree_Awards!$A$2:$A$401,"CAYm2",Degree_Awards!$H$2:$H$401,"Yes")</f>
        <v>0</v>
      </c>
      <c r="H4" s="2">
        <f>COUNTIFS(Degree_Awards!$A$2:$A$401,"CAYm2",Degree_Awards!$F$2:$F$401,"*Distinction*")</f>
        <v>0</v>
      </c>
      <c r="I4" s="2">
        <f>COUNTIFS(Degree_Awards!$A$2:$A$401,"CAYm2",Degree_Awards!$F$2:$F$401,"*First*")</f>
        <v>0</v>
      </c>
      <c r="J4" s="2">
        <f>COUNTIFS(Degree_Awards!$A$2:$A$401,"CAYm2",Degree_Awards!$F$2:$F$401,"*Second*")+COUNTIFS(Degree_Awards!$A$2:$A$401,"CAYm2",Degree_Awards!$F$2:$F$401,"*Pass*")</f>
        <v>0</v>
      </c>
    </row>
    <row r="5" spans="1:10">
      <c r="A5" t="s">
        <v>24</v>
      </c>
      <c r="C5" s="2">
        <f>COUNTIF(Degree_Awards!$A$2:$A$401,"CAYm3")</f>
        <v>0</v>
      </c>
      <c r="D5" s="2">
        <f>COUNTIFS(Degree_Awards!$A$2:$A$401,"CAYm3",Degree_Awards!$G$2:$G$401,"On-time")</f>
        <v>0</v>
      </c>
      <c r="E5" s="2">
        <f>COUNTIFS(Degree_Awards!$A$2:$A$401,"CAYm3",Degree_Awards!$G$2:$G$401,"Delayed")</f>
        <v>0</v>
      </c>
      <c r="F5" s="2">
        <f>COUNTIFS(Degree_Awards!$A$2:$A$401,"CAYm3",Degree_Awards!$H$2:$H$401,"No")</f>
        <v>0</v>
      </c>
      <c r="G5" s="2">
        <f>COUNTIFS(Degree_Awards!$A$2:$A$401,"CAYm3",Degree_Awards!$H$2:$H$401,"Yes")</f>
        <v>0</v>
      </c>
      <c r="H5" s="2">
        <f>COUNTIFS(Degree_Awards!$A$2:$A$401,"CAYm3",Degree_Awards!$F$2:$F$401,"*Distinction*")</f>
        <v>0</v>
      </c>
      <c r="I5" s="2">
        <f>COUNTIFS(Degree_Awards!$A$2:$A$401,"CAYm3",Degree_Awards!$F$2:$F$401,"*First*")</f>
        <v>0</v>
      </c>
      <c r="J5" s="2">
        <f>COUNTIFS(Degree_Awards!$A$2:$A$401,"CAYm3",Degree_Awards!$F$2:$F$401,"*Second*")+COUNTIFS(Degree_Awards!$A$2:$A$401,"CAYm3",Degree_Awards!$F$2:$F$401,"*Pass*")</f>
        <v>0</v>
      </c>
    </row>
    <row r="6" spans="1:10">
      <c r="A6" t="s">
        <v>25</v>
      </c>
      <c r="C6" s="2">
        <f>COUNTIF(Degree_Awards!$A$2:$A$401,"CAYm4 (LYG)")</f>
        <v>0</v>
      </c>
      <c r="D6" s="2">
        <f>COUNTIFS(Degree_Awards!$A$2:$A$401,"CAYm4 (LYG)",Degree_Awards!$G$2:$G$401,"On-time")</f>
        <v>0</v>
      </c>
      <c r="E6" s="2">
        <f>COUNTIFS(Degree_Awards!$A$2:$A$401,"CAYm4 (LYG)",Degree_Awards!$G$2:$G$401,"Delayed")</f>
        <v>0</v>
      </c>
      <c r="F6" s="2">
        <f>COUNTIFS(Degree_Awards!$A$2:$A$401,"CAYm4 (LYG)",Degree_Awards!$H$2:$H$401,"No")</f>
        <v>0</v>
      </c>
      <c r="G6" s="2">
        <f>COUNTIFS(Degree_Awards!$A$2:$A$401,"CAYm4 (LYG)",Degree_Awards!$H$2:$H$401,"Yes")</f>
        <v>0</v>
      </c>
      <c r="H6" s="2">
        <f>COUNTIFS(Degree_Awards!$A$2:$A$401,"CAYm4 (LYG)",Degree_Awards!$F$2:$F$401,"*Distinction*")</f>
        <v>0</v>
      </c>
      <c r="I6" s="2">
        <f>COUNTIFS(Degree_Awards!$A$2:$A$401,"CAYm4 (LYG)",Degree_Awards!$F$2:$F$401,"*First*")</f>
        <v>0</v>
      </c>
      <c r="J6" s="2">
        <f>COUNTIFS(Degree_Awards!$A$2:$A$401,"CAYm4 (LYG)",Degree_Awards!$F$2:$F$401,"*Second*")+COUNTIFS(Degree_Awards!$A$2:$A$401,"CAYm4 (LYG)",Degree_Awards!$F$2:$F$401,"*Pass*")</f>
        <v>0</v>
      </c>
    </row>
    <row r="7" spans="1:10">
      <c r="A7" t="s">
        <v>26</v>
      </c>
      <c r="C7" s="2">
        <f>COUNTIF(Degree_Awards!$A$2:$A$401,"CAYm5 (LYGm1)")</f>
        <v>0</v>
      </c>
      <c r="D7" s="2">
        <f>COUNTIFS(Degree_Awards!$A$2:$A$401,"CAYm5 (LYGm1)",Degree_Awards!$G$2:$G$401,"On-time")</f>
        <v>0</v>
      </c>
      <c r="E7" s="2">
        <f>COUNTIFS(Degree_Awards!$A$2:$A$401,"CAYm5 (LYGm1)",Degree_Awards!$G$2:$G$401,"Delayed")</f>
        <v>0</v>
      </c>
      <c r="F7" s="2">
        <f>COUNTIFS(Degree_Awards!$A$2:$A$401,"CAYm5 (LYGm1)",Degree_Awards!$H$2:$H$401,"No")</f>
        <v>0</v>
      </c>
      <c r="G7" s="2">
        <f>COUNTIFS(Degree_Awards!$A$2:$A$401,"CAYm5 (LYGm1)",Degree_Awards!$H$2:$H$401,"Yes")</f>
        <v>0</v>
      </c>
      <c r="H7" s="2">
        <f>COUNTIFS(Degree_Awards!$A$2:$A$401,"CAYm5 (LYGm1)",Degree_Awards!$F$2:$F$401,"*Distinction*")</f>
        <v>0</v>
      </c>
      <c r="I7" s="2">
        <f>COUNTIFS(Degree_Awards!$A$2:$A$401,"CAYm5 (LYGm1)",Degree_Awards!$F$2:$F$401,"*First*")</f>
        <v>0</v>
      </c>
      <c r="J7" s="2">
        <f>COUNTIFS(Degree_Awards!$A$2:$A$401,"CAYm5 (LYGm1)",Degree_Awards!$F$2:$F$401,"*Second*")+COUNTIFS(Degree_Awards!$A$2:$A$401,"CAYm5 (LYGm1)",Degree_Awards!$F$2:$F$401,"*Pass*")</f>
        <v>0</v>
      </c>
    </row>
    <row r="8" spans="1:10">
      <c r="A8" t="s">
        <v>27</v>
      </c>
      <c r="C8" s="2">
        <f>COUNTIF(Degree_Awards!$A$2:$A$401,"CAYm6 (LYGm2)")</f>
        <v>0</v>
      </c>
      <c r="D8" s="2">
        <f>COUNTIFS(Degree_Awards!$A$2:$A$401,"CAYm6 (LYGm2)",Degree_Awards!$G$2:$G$401,"On-time")</f>
        <v>0</v>
      </c>
      <c r="E8" s="2">
        <f>COUNTIFS(Degree_Awards!$A$2:$A$401,"CAYm6 (LYGm2)",Degree_Awards!$G$2:$G$401,"Delayed")</f>
        <v>0</v>
      </c>
      <c r="F8" s="2">
        <f>COUNTIFS(Degree_Awards!$A$2:$A$401,"CAYm6 (LYGm2)",Degree_Awards!$H$2:$H$401,"No")</f>
        <v>0</v>
      </c>
      <c r="G8" s="2">
        <f>COUNTIFS(Degree_Awards!$A$2:$A$401,"CAYm6 (LYGm2)",Degree_Awards!$H$2:$H$401,"Yes")</f>
        <v>0</v>
      </c>
      <c r="H8" s="2">
        <f>COUNTIFS(Degree_Awards!$A$2:$A$401,"CAYm6 (LYGm2)",Degree_Awards!$F$2:$F$401,"*Distinction*")</f>
        <v>0</v>
      </c>
      <c r="I8" s="2">
        <f>COUNTIFS(Degree_Awards!$A$2:$A$401,"CAYm6 (LYGm2)",Degree_Awards!$F$2:$F$401,"*First*")</f>
        <v>0</v>
      </c>
      <c r="J8" s="2">
        <f>COUNTIFS(Degree_Awards!$A$2:$A$401,"CAYm6 (LYGm2)",Degree_Awards!$F$2:$F$401,"*Second*")+COUNTIFS(Degree_Awards!$A$2:$A$401,"CAYm6 (LYGm2)",Degree_Awards!$F$2:$F$401,"*Pass*")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50.7109375" customWidth="1"/>
    <col min="3" max="5" width="28.7109375" customWidth="1"/>
    <col min="6" max="6" width="40.7109375" customWidth="1"/>
  </cols>
  <sheetData>
    <row r="1" spans="1:6">
      <c r="A1" s="1" t="s">
        <v>11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10</v>
      </c>
    </row>
    <row r="2" spans="1:6">
      <c r="A2" t="s">
        <v>21</v>
      </c>
    </row>
    <row r="3" spans="1:6">
      <c r="A3" t="s">
        <v>22</v>
      </c>
    </row>
    <row r="4" spans="1:6">
      <c r="A4" t="s">
        <v>23</v>
      </c>
    </row>
    <row r="5" spans="1:6">
      <c r="A5" t="s">
        <v>24</v>
      </c>
    </row>
    <row r="6" spans="1:6">
      <c r="A6" t="s">
        <v>25</v>
      </c>
    </row>
    <row r="7" spans="1:6">
      <c r="A7" t="s">
        <v>26</v>
      </c>
    </row>
    <row r="8" spans="1:6">
      <c r="A8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32</v>
      </c>
    </row>
    <row r="2" spans="1:1">
      <c r="A2" t="s">
        <v>33</v>
      </c>
    </row>
    <row r="4" spans="1:1">
      <c r="A4" t="s">
        <v>34</v>
      </c>
    </row>
    <row r="6" spans="1:1">
      <c r="A6" t="s">
        <v>35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  <row r="10" spans="1:1">
      <c r="A10" t="s">
        <v>39</v>
      </c>
    </row>
    <row r="11" spans="1:1">
      <c r="A11" t="s">
        <v>40</v>
      </c>
    </row>
    <row r="12" spans="1:1">
      <c r="A12" t="s">
        <v>41</v>
      </c>
    </row>
    <row r="13" spans="1:1">
      <c r="A13" t="s">
        <v>42</v>
      </c>
    </row>
    <row r="14" spans="1:1">
      <c r="A14" t="s">
        <v>43</v>
      </c>
    </row>
    <row r="15" spans="1:1">
      <c r="A15" t="s">
        <v>44</v>
      </c>
    </row>
    <row r="16" spans="1:1">
      <c r="A16" t="s">
        <v>45</v>
      </c>
    </row>
    <row r="17" spans="1:1">
      <c r="A17" t="s">
        <v>46</v>
      </c>
    </row>
    <row r="19" spans="1:1">
      <c r="A1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Degree_Awards</vt:lpstr>
      <vt:lpstr>Yearly_Summary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2025-08-26T05:12:43Z</dcterms:created>
  <dcterms:modified xsi:type="dcterms:W3CDTF">2025-08-26T05:12:43Z</dcterms:modified>
</cp:coreProperties>
</file>