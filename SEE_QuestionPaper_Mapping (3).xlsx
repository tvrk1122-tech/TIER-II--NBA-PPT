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 Question Paper Mapping" sheetId="1" state="visible" r:id="rId1"/>
    <sheet xmlns:r="http://schemas.openxmlformats.org/officeDocument/2006/relationships" name="Question Paper Blueprint" sheetId="2" state="visible" r:id="rId2"/>
    <sheet xmlns:r="http://schemas.openxmlformats.org/officeDocument/2006/relationships" name="SEE CO Attainment" sheetId="3" state="visible" r:id="rId3"/>
    <sheet xmlns:r="http://schemas.openxmlformats.org/officeDocument/2006/relationships" name="SEE Mapping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6" customWidth="1" min="4" max="4"/>
    <col width="16" customWidth="1" min="5" max="5"/>
    <col width="16" customWidth="1" min="6" max="6"/>
    <col width="8" customWidth="1" min="7" max="7"/>
    <col width="28" customWidth="1" min="8" max="8"/>
  </cols>
  <sheetData>
    <row r="1">
      <c r="A1" s="1" t="inlineStr">
        <is>
          <t>Q. No</t>
        </is>
      </c>
      <c r="B1" s="1" t="inlineStr">
        <is>
          <t>Question Description</t>
        </is>
      </c>
      <c r="C1" s="1" t="inlineStr">
        <is>
          <t>CO Mapped</t>
        </is>
      </c>
      <c r="D1" s="1" t="inlineStr">
        <is>
          <t>PO(s) Mapped</t>
        </is>
      </c>
      <c r="E1" s="1" t="inlineStr">
        <is>
          <t>PSO(s) Mapped</t>
        </is>
      </c>
      <c r="F1" s="1" t="inlineStr">
        <is>
          <t>Bloom’s Level</t>
        </is>
      </c>
      <c r="G1" s="1" t="inlineStr">
        <is>
          <t>Marks</t>
        </is>
      </c>
      <c r="H1" s="1" t="inlineStr">
        <is>
          <t>Evidence (File/Link)</t>
        </is>
      </c>
    </row>
    <row r="2">
      <c r="A2" t="inlineStr">
        <is>
          <t>1(a)</t>
        </is>
      </c>
      <c r="B2" t="inlineStr">
        <is>
          <t>Define Data Mining concepts</t>
        </is>
      </c>
      <c r="C2" t="inlineStr">
        <is>
          <t>CO1</t>
        </is>
      </c>
      <c r="D2" t="inlineStr">
        <is>
          <t>PO1</t>
        </is>
      </c>
      <c r="E2" t="inlineStr">
        <is>
          <t>PSO1</t>
        </is>
      </c>
      <c r="F2" t="inlineStr">
        <is>
          <t>Remember</t>
        </is>
      </c>
      <c r="G2" t="n">
        <v>4</v>
      </c>
      <c r="H2" t="inlineStr">
        <is>
          <t>SEE_Q1a.pdf</t>
        </is>
      </c>
    </row>
    <row r="3">
      <c r="A3" t="inlineStr">
        <is>
          <t>1(b)</t>
        </is>
      </c>
      <c r="B3" t="inlineStr">
        <is>
          <t>Differentiate Classification vs Clustering</t>
        </is>
      </c>
      <c r="C3" t="inlineStr">
        <is>
          <t>CO2</t>
        </is>
      </c>
      <c r="D3" t="inlineStr">
        <is>
          <t>PO2, PO3</t>
        </is>
      </c>
      <c r="E3" t="inlineStr">
        <is>
          <t>PSO2</t>
        </is>
      </c>
      <c r="F3" t="inlineStr">
        <is>
          <t>Analyze</t>
        </is>
      </c>
      <c r="G3" t="n">
        <v>6</v>
      </c>
      <c r="H3" t="inlineStr">
        <is>
          <t>SEE_Q1b.pdf</t>
        </is>
      </c>
    </row>
    <row r="4">
      <c r="A4" t="inlineStr">
        <is>
          <t>2</t>
        </is>
      </c>
      <c r="B4" t="inlineStr">
        <is>
          <t>Apply Apriori algorithm on dataset</t>
        </is>
      </c>
      <c r="C4" t="inlineStr">
        <is>
          <t>CO3</t>
        </is>
      </c>
      <c r="D4" t="inlineStr">
        <is>
          <t>PO4</t>
        </is>
      </c>
      <c r="E4" t="inlineStr">
        <is>
          <t>PSO2</t>
        </is>
      </c>
      <c r="F4" t="inlineStr">
        <is>
          <t>Apply</t>
        </is>
      </c>
      <c r="G4" t="n">
        <v>10</v>
      </c>
      <c r="H4" t="inlineStr">
        <is>
          <t>SEE_Q2.pdf</t>
        </is>
      </c>
    </row>
    <row r="5">
      <c r="A5" t="inlineStr">
        <is>
          <t>3</t>
        </is>
      </c>
      <c r="B5" t="inlineStr">
        <is>
          <t>Design a neural network model for classification</t>
        </is>
      </c>
      <c r="C5" t="inlineStr">
        <is>
          <t>CO4</t>
        </is>
      </c>
      <c r="D5" t="inlineStr">
        <is>
          <t>PO5</t>
        </is>
      </c>
      <c r="E5" t="inlineStr">
        <is>
          <t>PSO3</t>
        </is>
      </c>
      <c r="F5" t="inlineStr">
        <is>
          <t>Create</t>
        </is>
      </c>
      <c r="G5" t="n">
        <v>15</v>
      </c>
      <c r="H5" t="inlineStr">
        <is>
          <t>SEE_Q3.pdf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6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3" t="inlineStr">
        <is>
          <t>SEE Question Paper Blueprint</t>
        </is>
      </c>
    </row>
    <row r="3">
      <c r="A3" s="4" t="inlineStr">
        <is>
          <t>Section A — Reference: Use the 'SEE Question Paper Mapping' sheet for per-question details (Q. No → CO → PO/PSO → Bloom → Marks → Evidence).</t>
        </is>
      </c>
    </row>
    <row r="6">
      <c r="A6" s="2" t="inlineStr">
        <is>
          <t>Section B — Bloom’s Level Distribution</t>
        </is>
      </c>
    </row>
    <row r="7">
      <c r="A7" s="1" t="inlineStr">
        <is>
          <t>Bloom’s Level</t>
        </is>
      </c>
      <c r="B7" s="1" t="inlineStr">
        <is>
          <t>No. of Questions</t>
        </is>
      </c>
      <c r="C7" s="1" t="inlineStr">
        <is>
          <t>Total Marks</t>
        </is>
      </c>
      <c r="D7" s="1" t="inlineStr">
        <is>
          <t>% Weightage</t>
        </is>
      </c>
      <c r="E7" s="1" t="inlineStr">
        <is>
          <t>NBA Expectation (Guide)</t>
        </is>
      </c>
      <c r="H7" s="2" t="inlineStr">
        <is>
          <t>Total SEE Marks</t>
        </is>
      </c>
    </row>
    <row r="8">
      <c r="A8" t="inlineStr">
        <is>
          <t>Remember</t>
        </is>
      </c>
      <c r="B8">
        <f>COUNTIF('SEE Question Paper Mapping'!F:F,"Remember")</f>
        <v/>
      </c>
      <c r="C8">
        <f>SUMIF('SEE Question Paper Mapping'!F:F,"Remember",'SEE Question Paper Mapping'!G:G)</f>
        <v/>
      </c>
      <c r="D8" s="5">
        <f>IF($H$8=0,"",C8/$H$8)</f>
        <v/>
      </c>
      <c r="E8" t="inlineStr">
        <is>
          <t>10–15%</t>
        </is>
      </c>
      <c r="H8">
        <f>SUM('SEE Question Paper Mapping'!G:G)</f>
        <v/>
      </c>
    </row>
    <row r="9">
      <c r="A9" t="inlineStr">
        <is>
          <t>Understand</t>
        </is>
      </c>
      <c r="B9">
        <f>COUNTIF('SEE Question Paper Mapping'!F:F,"Understand")</f>
        <v/>
      </c>
      <c r="C9">
        <f>SUMIF('SEE Question Paper Mapping'!F:F,"Understand",'SEE Question Paper Mapping'!G:G)</f>
        <v/>
      </c>
      <c r="D9" s="5">
        <f>IF($H$8=0,"",C9/$H$8)</f>
        <v/>
      </c>
      <c r="E9" t="inlineStr">
        <is>
          <t>15–20%</t>
        </is>
      </c>
    </row>
    <row r="10">
      <c r="A10" t="inlineStr">
        <is>
          <t>Apply</t>
        </is>
      </c>
      <c r="B10">
        <f>COUNTIF('SEE Question Paper Mapping'!F:F,"Apply")</f>
        <v/>
      </c>
      <c r="C10">
        <f>SUMIF('SEE Question Paper Mapping'!F:F,"Apply",'SEE Question Paper Mapping'!G:G)</f>
        <v/>
      </c>
      <c r="D10" s="5">
        <f>IF($H$8=0,"",C10/$H$8)</f>
        <v/>
      </c>
      <c r="E10" t="inlineStr">
        <is>
          <t>20–30%</t>
        </is>
      </c>
    </row>
    <row r="11">
      <c r="A11" t="inlineStr">
        <is>
          <t>Analyze</t>
        </is>
      </c>
      <c r="B11">
        <f>COUNTIF('SEE Question Paper Mapping'!F:F,"Analyze")</f>
        <v/>
      </c>
      <c r="C11">
        <f>SUMIF('SEE Question Paper Mapping'!F:F,"Analyze",'SEE Question Paper Mapping'!G:G)</f>
        <v/>
      </c>
      <c r="D11" s="5">
        <f>IF($H$8=0,"",C11/$H$8)</f>
        <v/>
      </c>
      <c r="E11" t="inlineStr">
        <is>
          <t>20–30%</t>
        </is>
      </c>
    </row>
    <row r="12">
      <c r="A12" t="inlineStr">
        <is>
          <t>Evaluate</t>
        </is>
      </c>
      <c r="B12">
        <f>COUNTIF('SEE Question Paper Mapping'!F:F,"Evaluate")</f>
        <v/>
      </c>
      <c r="C12">
        <f>SUMIF('SEE Question Paper Mapping'!F:F,"Evaluate",'SEE Question Paper Mapping'!G:G)</f>
        <v/>
      </c>
      <c r="D12" s="5">
        <f>IF($H$8=0,"",C12/$H$8)</f>
        <v/>
      </c>
      <c r="E12" t="inlineStr">
        <is>
          <t>10–20%</t>
        </is>
      </c>
    </row>
    <row r="13">
      <c r="A13" t="inlineStr">
        <is>
          <t>Create</t>
        </is>
      </c>
      <c r="B13">
        <f>COUNTIF('SEE Question Paper Mapping'!F:F,"Create")</f>
        <v/>
      </c>
      <c r="C13">
        <f>SUMIF('SEE Question Paper Mapping'!F:F,"Create",'SEE Question Paper Mapping'!G:G)</f>
        <v/>
      </c>
      <c r="D13" s="5">
        <f>IF($H$8=0,"",C13/$H$8)</f>
        <v/>
      </c>
      <c r="E13" t="inlineStr">
        <is>
          <t>10–15%</t>
        </is>
      </c>
    </row>
    <row r="17">
      <c r="A17" s="2" t="inlineStr">
        <is>
          <t>Section C — CO–PO/PSO Coverage Summary</t>
        </is>
      </c>
    </row>
    <row r="18">
      <c r="A18" s="1" t="inlineStr">
        <is>
          <t>CO</t>
        </is>
      </c>
      <c r="B18" s="1" t="inlineStr">
        <is>
          <t>PO(s) Addressed</t>
        </is>
      </c>
      <c r="C18" s="1" t="inlineStr">
        <is>
          <t>PSO(s) Addressed</t>
        </is>
      </c>
      <c r="D18" s="1" t="inlineStr">
        <is>
          <t>Questions Mapped</t>
        </is>
      </c>
      <c r="E18" s="1" t="inlineStr">
        <is>
          <t>Total Marks</t>
        </is>
      </c>
      <c r="F18" s="1" t="inlineStr">
        <is>
          <t>% Weightage</t>
        </is>
      </c>
    </row>
    <row r="19">
      <c r="A19" t="inlineStr">
        <is>
          <t>CO1</t>
        </is>
      </c>
      <c r="B19">
        <f>IFERROR(TEXTJOIN(", ",TRUE,UNIQUE(FILTER('SEE Question Paper Mapping'!D:D,'SEE Question Paper Mapping'!C:C=A19))),"")</f>
        <v/>
      </c>
      <c r="C19">
        <f>IFERROR(TEXTJOIN(", ",TRUE,UNIQUE(FILTER('SEE Question Paper Mapping'!E:E,'SEE Question Paper Mapping'!C:C=A19))),"")</f>
        <v/>
      </c>
      <c r="D19">
        <f>IFERROR(TEXTJOIN(", ",TRUE,FILTER('SEE Question Paper Mapping'!A:A,'SEE Question Paper Mapping'!C:C=A19)),"")</f>
        <v/>
      </c>
      <c r="E19">
        <f>IFERROR(SUMIF('SEE Question Paper Mapping'!C:C,A19,'SEE Question Paper Mapping'!G:G),"")</f>
        <v/>
      </c>
      <c r="F19" s="5">
        <f>IF($H$8=0,"",E19/$H$8)</f>
        <v/>
      </c>
    </row>
    <row r="20">
      <c r="A20" t="inlineStr">
        <is>
          <t>CO2</t>
        </is>
      </c>
      <c r="B20">
        <f>IFERROR(TEXTJOIN(", ",TRUE,UNIQUE(FILTER('SEE Question Paper Mapping'!D:D,'SEE Question Paper Mapping'!C:C=A20))),"")</f>
        <v/>
      </c>
      <c r="C20">
        <f>IFERROR(TEXTJOIN(", ",TRUE,UNIQUE(FILTER('SEE Question Paper Mapping'!E:E,'SEE Question Paper Mapping'!C:C=A20))),"")</f>
        <v/>
      </c>
      <c r="D20">
        <f>IFERROR(TEXTJOIN(", ",TRUE,FILTER('SEE Question Paper Mapping'!A:A,'SEE Question Paper Mapping'!C:C=A20)),"")</f>
        <v/>
      </c>
      <c r="E20">
        <f>IFERROR(SUMIF('SEE Question Paper Mapping'!C:C,A20,'SEE Question Paper Mapping'!G:G),"")</f>
        <v/>
      </c>
      <c r="F20" s="5">
        <f>IF($H$8=0,"",E20/$H$8)</f>
        <v/>
      </c>
    </row>
    <row r="21">
      <c r="A21" t="inlineStr">
        <is>
          <t>CO3</t>
        </is>
      </c>
      <c r="B21">
        <f>IFERROR(TEXTJOIN(", ",TRUE,UNIQUE(FILTER('SEE Question Paper Mapping'!D:D,'SEE Question Paper Mapping'!C:C=A21))),"")</f>
        <v/>
      </c>
      <c r="C21">
        <f>IFERROR(TEXTJOIN(", ",TRUE,UNIQUE(FILTER('SEE Question Paper Mapping'!E:E,'SEE Question Paper Mapping'!C:C=A21))),"")</f>
        <v/>
      </c>
      <c r="D21">
        <f>IFERROR(TEXTJOIN(", ",TRUE,FILTER('SEE Question Paper Mapping'!A:A,'SEE Question Paper Mapping'!C:C=A21)),"")</f>
        <v/>
      </c>
      <c r="E21">
        <f>IFERROR(SUMIF('SEE Question Paper Mapping'!C:C,A21,'SEE Question Paper Mapping'!G:G),"")</f>
        <v/>
      </c>
      <c r="F21" s="5">
        <f>IF($H$8=0,"",E21/$H$8)</f>
        <v/>
      </c>
    </row>
    <row r="22">
      <c r="A22" t="inlineStr">
        <is>
          <t>CO4</t>
        </is>
      </c>
      <c r="B22">
        <f>IFERROR(TEXTJOIN(", ",TRUE,UNIQUE(FILTER('SEE Question Paper Mapping'!D:D,'SEE Question Paper Mapping'!C:C=A22))),"")</f>
        <v/>
      </c>
      <c r="C22">
        <f>IFERROR(TEXTJOIN(", ",TRUE,UNIQUE(FILTER('SEE Question Paper Mapping'!E:E,'SEE Question Paper Mapping'!C:C=A22))),"")</f>
        <v/>
      </c>
      <c r="D22">
        <f>IFERROR(TEXTJOIN(", ",TRUE,FILTER('SEE Question Paper Mapping'!A:A,'SEE Question Paper Mapping'!C:C=A22)),"")</f>
        <v/>
      </c>
      <c r="E22">
        <f>IFERROR(SUMIF('SEE Question Paper Mapping'!C:C,A22,'SEE Question Paper Mapping'!G:G),"")</f>
        <v/>
      </c>
      <c r="F22" s="5">
        <f>IF($H$8=0,"",E22/$H$8)</f>
        <v/>
      </c>
    </row>
    <row r="23">
      <c r="A23" t="inlineStr">
        <is>
          <t>CO5</t>
        </is>
      </c>
      <c r="B23">
        <f>IFERROR(TEXTJOIN(", ",TRUE,UNIQUE(FILTER('SEE Question Paper Mapping'!D:D,'SEE Question Paper Mapping'!C:C=A23))),"")</f>
        <v/>
      </c>
      <c r="C23">
        <f>IFERROR(TEXTJOIN(", ",TRUE,UNIQUE(FILTER('SEE Question Paper Mapping'!E:E,'SEE Question Paper Mapping'!C:C=A23))),"")</f>
        <v/>
      </c>
      <c r="D23">
        <f>IFERROR(TEXTJOIN(", ",TRUE,FILTER('SEE Question Paper Mapping'!A:A,'SEE Question Paper Mapping'!C:C=A23)),"")</f>
        <v/>
      </c>
      <c r="E23">
        <f>IFERROR(SUMIF('SEE Question Paper Mapping'!C:C,A23,'SEE Question Paper Mapping'!G:G),"")</f>
        <v/>
      </c>
      <c r="F23" s="5">
        <f>IF($H$8=0,"",E23/$H$8)</f>
        <v/>
      </c>
    </row>
    <row r="24">
      <c r="A24" t="inlineStr">
        <is>
          <t>CO6</t>
        </is>
      </c>
      <c r="B24">
        <f>IFERROR(TEXTJOIN(", ",TRUE,UNIQUE(FILTER('SEE Question Paper Mapping'!D:D,'SEE Question Paper Mapping'!C:C=A24))),"")</f>
        <v/>
      </c>
      <c r="C24">
        <f>IFERROR(TEXTJOIN(", ",TRUE,UNIQUE(FILTER('SEE Question Paper Mapping'!E:E,'SEE Question Paper Mapping'!C:C=A24))),"")</f>
        <v/>
      </c>
      <c r="D24">
        <f>IFERROR(TEXTJOIN(", ",TRUE,FILTER('SEE Question Paper Mapping'!A:A,'SEE Question Paper Mapping'!C:C=A24)),"")</f>
        <v/>
      </c>
      <c r="E24">
        <f>IFERROR(SUMIF('SEE Question Paper Mapping'!C:C,A24,'SEE Question Paper Mapping'!G:G),"")</f>
        <v/>
      </c>
      <c r="F24" s="5">
        <f>IF($H$8=0,"",E24/$H$8)</f>
        <v/>
      </c>
    </row>
    <row r="25">
      <c r="A25" t="inlineStr">
        <is>
          <t>CO7</t>
        </is>
      </c>
      <c r="B25">
        <f>IFERROR(TEXTJOIN(", ",TRUE,UNIQUE(FILTER('SEE Question Paper Mapping'!D:D,'SEE Question Paper Mapping'!C:C=A25))),"")</f>
        <v/>
      </c>
      <c r="C25">
        <f>IFERROR(TEXTJOIN(", ",TRUE,UNIQUE(FILTER('SEE Question Paper Mapping'!E:E,'SEE Question Paper Mapping'!C:C=A25))),"")</f>
        <v/>
      </c>
      <c r="D25">
        <f>IFERROR(TEXTJOIN(", ",TRUE,FILTER('SEE Question Paper Mapping'!A:A,'SEE Question Paper Mapping'!C:C=A25)),"")</f>
        <v/>
      </c>
      <c r="E25">
        <f>IFERROR(SUMIF('SEE Question Paper Mapping'!C:C,A25,'SEE Question Paper Mapping'!G:G),"")</f>
        <v/>
      </c>
      <c r="F25" s="5">
        <f>IF($H$8=0,"",E25/$H$8)</f>
        <v/>
      </c>
    </row>
    <row r="26">
      <c r="A26" t="inlineStr">
        <is>
          <t>CO8</t>
        </is>
      </c>
      <c r="B26">
        <f>IFERROR(TEXTJOIN(", ",TRUE,UNIQUE(FILTER('SEE Question Paper Mapping'!D:D,'SEE Question Paper Mapping'!C:C=A26))),"")</f>
        <v/>
      </c>
      <c r="C26">
        <f>IFERROR(TEXTJOIN(", ",TRUE,UNIQUE(FILTER('SEE Question Paper Mapping'!E:E,'SEE Question Paper Mapping'!C:C=A26))),"")</f>
        <v/>
      </c>
      <c r="D26">
        <f>IFERROR(TEXTJOIN(", ",TRUE,FILTER('SEE Question Paper Mapping'!A:A,'SEE Question Paper Mapping'!C:C=A26)),"")</f>
        <v/>
      </c>
      <c r="E26">
        <f>IFERROR(SUMIF('SEE Question Paper Mapping'!C:C,A26,'SEE Question Paper Mapping'!G:G),"")</f>
        <v/>
      </c>
      <c r="F26" s="5">
        <f>IF($H$8=0,"",E26/$H$8)</f>
        <v/>
      </c>
    </row>
    <row r="27">
      <c r="A27" t="inlineStr">
        <is>
          <t>CO9</t>
        </is>
      </c>
      <c r="B27">
        <f>IFERROR(TEXTJOIN(", ",TRUE,UNIQUE(FILTER('SEE Question Paper Mapping'!D:D,'SEE Question Paper Mapping'!C:C=A27))),"")</f>
        <v/>
      </c>
      <c r="C27">
        <f>IFERROR(TEXTJOIN(", ",TRUE,UNIQUE(FILTER('SEE Question Paper Mapping'!E:E,'SEE Question Paper Mapping'!C:C=A27))),"")</f>
        <v/>
      </c>
      <c r="D27">
        <f>IFERROR(TEXTJOIN(", ",TRUE,FILTER('SEE Question Paper Mapping'!A:A,'SEE Question Paper Mapping'!C:C=A27)),"")</f>
        <v/>
      </c>
      <c r="E27">
        <f>IFERROR(SUMIF('SEE Question Paper Mapping'!C:C,A27,'SEE Question Paper Mapping'!G:G),"")</f>
        <v/>
      </c>
      <c r="F27" s="5">
        <f>IF($H$8=0,"",E27/$H$8)</f>
        <v/>
      </c>
    </row>
    <row r="28">
      <c r="A28" t="inlineStr">
        <is>
          <t>CO10</t>
        </is>
      </c>
      <c r="B28">
        <f>IFERROR(TEXTJOIN(", ",TRUE,UNIQUE(FILTER('SEE Question Paper Mapping'!D:D,'SEE Question Paper Mapping'!C:C=A28))),"")</f>
        <v/>
      </c>
      <c r="C28">
        <f>IFERROR(TEXTJOIN(", ",TRUE,UNIQUE(FILTER('SEE Question Paper Mapping'!E:E,'SEE Question Paper Mapping'!C:C=A28))),"")</f>
        <v/>
      </c>
      <c r="D28">
        <f>IFERROR(TEXTJOIN(", ",TRUE,FILTER('SEE Question Paper Mapping'!A:A,'SEE Question Paper Mapping'!C:C=A28)),"")</f>
        <v/>
      </c>
      <c r="E28">
        <f>IFERROR(SUMIF('SEE Question Paper Mapping'!C:C,A28,'SEE Question Paper Mapping'!G:G),"")</f>
        <v/>
      </c>
      <c r="F28" s="5">
        <f>IF($H$8=0,"",E28/$H$8)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24" customWidth="1" min="5" max="5"/>
  </cols>
  <sheetData>
    <row r="1">
      <c r="A1" s="6" t="inlineStr">
        <is>
          <t>SEE CO Attainment (Derived from SEE Question Paper Mapping + Question-wise Class Averages)</t>
        </is>
      </c>
    </row>
    <row r="3">
      <c r="A3" s="7" t="inlineStr">
        <is>
          <t>Section A — Question-wise Class Averages (enter Class Avg % as decimal, e.g., 0.72 = 72%)</t>
        </is>
      </c>
    </row>
    <row r="4">
      <c r="A4" s="1" t="inlineStr">
        <is>
          <t>Q. No</t>
        </is>
      </c>
      <c r="B4" s="1" t="inlineStr">
        <is>
          <t>CO Mapped</t>
        </is>
      </c>
      <c r="C4" s="1" t="inlineStr">
        <is>
          <t>Max Marks</t>
        </is>
      </c>
      <c r="D4" s="1" t="inlineStr">
        <is>
          <t>Class Avg % (Manual)</t>
        </is>
      </c>
      <c r="E4" s="1" t="inlineStr">
        <is>
          <t>Attainment Level (0–3 Auto)</t>
        </is>
      </c>
    </row>
    <row r="5">
      <c r="A5">
        <f>'SEE Question Paper Mapping'!A2</f>
        <v/>
      </c>
      <c r="B5">
        <f>'SEE Question Paper Mapping'!C2</f>
        <v/>
      </c>
      <c r="C5">
        <f>'SEE Question Paper Mapping'!G2</f>
        <v/>
      </c>
      <c r="D5" s="5" t="n"/>
      <c r="E5">
        <f>IF(D5="","",IF(D5&gt;=0.7,3,IF(D5&gt;=0.6,2,IF(D5&gt;=0.5,1,0))))</f>
        <v/>
      </c>
    </row>
    <row r="6">
      <c r="A6">
        <f>'SEE Question Paper Mapping'!A3</f>
        <v/>
      </c>
      <c r="B6">
        <f>'SEE Question Paper Mapping'!C3</f>
        <v/>
      </c>
      <c r="C6">
        <f>'SEE Question Paper Mapping'!G3</f>
        <v/>
      </c>
      <c r="D6" s="5" t="n"/>
      <c r="E6">
        <f>IF(D6="","",IF(D6&gt;=0.7,3,IF(D6&gt;=0.6,2,IF(D6&gt;=0.5,1,0))))</f>
        <v/>
      </c>
    </row>
    <row r="7">
      <c r="A7">
        <f>'SEE Question Paper Mapping'!A4</f>
        <v/>
      </c>
      <c r="B7">
        <f>'SEE Question Paper Mapping'!C4</f>
        <v/>
      </c>
      <c r="C7">
        <f>'SEE Question Paper Mapping'!G4</f>
        <v/>
      </c>
      <c r="D7" s="5" t="n"/>
      <c r="E7">
        <f>IF(D7="","",IF(D7&gt;=0.7,3,IF(D7&gt;=0.6,2,IF(D7&gt;=0.5,1,0))))</f>
        <v/>
      </c>
    </row>
    <row r="8">
      <c r="A8">
        <f>'SEE Question Paper Mapping'!A5</f>
        <v/>
      </c>
      <c r="B8">
        <f>'SEE Question Paper Mapping'!C5</f>
        <v/>
      </c>
      <c r="C8">
        <f>'SEE Question Paper Mapping'!G5</f>
        <v/>
      </c>
      <c r="D8" s="5" t="n"/>
      <c r="E8">
        <f>IF(D8="","",IF(D8&gt;=0.7,3,IF(D8&gt;=0.6,2,IF(D8&gt;=0.5,1,0))))</f>
        <v/>
      </c>
    </row>
    <row r="9">
      <c r="A9">
        <f>'SEE Question Paper Mapping'!A6</f>
        <v/>
      </c>
      <c r="B9">
        <f>'SEE Question Paper Mapping'!C6</f>
        <v/>
      </c>
      <c r="C9">
        <f>'SEE Question Paper Mapping'!G6</f>
        <v/>
      </c>
      <c r="D9" s="5" t="n"/>
      <c r="E9">
        <f>IF(D9="","",IF(D9&gt;=0.7,3,IF(D9&gt;=0.6,2,IF(D9&gt;=0.5,1,0))))</f>
        <v/>
      </c>
    </row>
    <row r="10">
      <c r="A10">
        <f>'SEE Question Paper Mapping'!A7</f>
        <v/>
      </c>
      <c r="B10">
        <f>'SEE Question Paper Mapping'!C7</f>
        <v/>
      </c>
      <c r="C10">
        <f>'SEE Question Paper Mapping'!G7</f>
        <v/>
      </c>
      <c r="D10" s="5" t="n"/>
      <c r="E10">
        <f>IF(D10="","",IF(D10&gt;=0.7,3,IF(D10&gt;=0.6,2,IF(D10&gt;=0.5,1,0))))</f>
        <v/>
      </c>
    </row>
    <row r="11">
      <c r="A11">
        <f>'SEE Question Paper Mapping'!A8</f>
        <v/>
      </c>
      <c r="B11">
        <f>'SEE Question Paper Mapping'!C8</f>
        <v/>
      </c>
      <c r="C11">
        <f>'SEE Question Paper Mapping'!G8</f>
        <v/>
      </c>
      <c r="D11" s="5" t="n"/>
      <c r="E11">
        <f>IF(D11="","",IF(D11&gt;=0.7,3,IF(D11&gt;=0.6,2,IF(D11&gt;=0.5,1,0))))</f>
        <v/>
      </c>
    </row>
    <row r="12">
      <c r="A12">
        <f>'SEE Question Paper Mapping'!A9</f>
        <v/>
      </c>
      <c r="B12">
        <f>'SEE Question Paper Mapping'!C9</f>
        <v/>
      </c>
      <c r="C12">
        <f>'SEE Question Paper Mapping'!G9</f>
        <v/>
      </c>
      <c r="D12" s="5" t="n"/>
      <c r="E12">
        <f>IF(D12="","",IF(D12&gt;=0.7,3,IF(D12&gt;=0.6,2,IF(D12&gt;=0.5,1,0))))</f>
        <v/>
      </c>
    </row>
    <row r="13">
      <c r="A13">
        <f>'SEE Question Paper Mapping'!A10</f>
        <v/>
      </c>
      <c r="B13">
        <f>'SEE Question Paper Mapping'!C10</f>
        <v/>
      </c>
      <c r="C13">
        <f>'SEE Question Paper Mapping'!G10</f>
        <v/>
      </c>
      <c r="D13" s="5" t="n"/>
      <c r="E13">
        <f>IF(D13="","",IF(D13&gt;=0.7,3,IF(D13&gt;=0.6,2,IF(D13&gt;=0.5,1,0))))</f>
        <v/>
      </c>
    </row>
    <row r="14">
      <c r="A14">
        <f>'SEE Question Paper Mapping'!A11</f>
        <v/>
      </c>
      <c r="B14">
        <f>'SEE Question Paper Mapping'!C11</f>
        <v/>
      </c>
      <c r="C14">
        <f>'SEE Question Paper Mapping'!G11</f>
        <v/>
      </c>
      <c r="D14" s="5" t="n"/>
      <c r="E14">
        <f>IF(D14="","",IF(D14&gt;=0.7,3,IF(D14&gt;=0.6,2,IF(D14&gt;=0.5,1,0))))</f>
        <v/>
      </c>
    </row>
    <row r="15">
      <c r="A15">
        <f>'SEE Question Paper Mapping'!A12</f>
        <v/>
      </c>
      <c r="B15">
        <f>'SEE Question Paper Mapping'!C12</f>
        <v/>
      </c>
      <c r="C15">
        <f>'SEE Question Paper Mapping'!G12</f>
        <v/>
      </c>
      <c r="D15" s="5" t="n"/>
      <c r="E15">
        <f>IF(D15="","",IF(D15&gt;=0.7,3,IF(D15&gt;=0.6,2,IF(D15&gt;=0.5,1,0))))</f>
        <v/>
      </c>
    </row>
    <row r="16">
      <c r="A16">
        <f>'SEE Question Paper Mapping'!A13</f>
        <v/>
      </c>
      <c r="B16">
        <f>'SEE Question Paper Mapping'!C13</f>
        <v/>
      </c>
      <c r="C16">
        <f>'SEE Question Paper Mapping'!G13</f>
        <v/>
      </c>
      <c r="D16" s="5" t="n"/>
      <c r="E16">
        <f>IF(D16="","",IF(D16&gt;=0.7,3,IF(D16&gt;=0.6,2,IF(D16&gt;=0.5,1,0))))</f>
        <v/>
      </c>
    </row>
    <row r="17">
      <c r="A17">
        <f>'SEE Question Paper Mapping'!A14</f>
        <v/>
      </c>
      <c r="B17">
        <f>'SEE Question Paper Mapping'!C14</f>
        <v/>
      </c>
      <c r="C17">
        <f>'SEE Question Paper Mapping'!G14</f>
        <v/>
      </c>
      <c r="D17" s="5" t="n"/>
      <c r="E17">
        <f>IF(D17="","",IF(D17&gt;=0.7,3,IF(D17&gt;=0.6,2,IF(D17&gt;=0.5,1,0))))</f>
        <v/>
      </c>
    </row>
    <row r="18">
      <c r="A18">
        <f>'SEE Question Paper Mapping'!A15</f>
        <v/>
      </c>
      <c r="B18">
        <f>'SEE Question Paper Mapping'!C15</f>
        <v/>
      </c>
      <c r="C18">
        <f>'SEE Question Paper Mapping'!G15</f>
        <v/>
      </c>
      <c r="D18" s="5" t="n"/>
      <c r="E18">
        <f>IF(D18="","",IF(D18&gt;=0.7,3,IF(D18&gt;=0.6,2,IF(D18&gt;=0.5,1,0))))</f>
        <v/>
      </c>
    </row>
    <row r="19">
      <c r="A19">
        <f>'SEE Question Paper Mapping'!A16</f>
        <v/>
      </c>
      <c r="B19">
        <f>'SEE Question Paper Mapping'!C16</f>
        <v/>
      </c>
      <c r="C19">
        <f>'SEE Question Paper Mapping'!G16</f>
        <v/>
      </c>
      <c r="D19" s="5" t="n"/>
      <c r="E19">
        <f>IF(D19="","",IF(D19&gt;=0.7,3,IF(D19&gt;=0.6,2,IF(D19&gt;=0.5,1,0))))</f>
        <v/>
      </c>
    </row>
    <row r="20">
      <c r="A20">
        <f>'SEE Question Paper Mapping'!A17</f>
        <v/>
      </c>
      <c r="B20">
        <f>'SEE Question Paper Mapping'!C17</f>
        <v/>
      </c>
      <c r="C20">
        <f>'SEE Question Paper Mapping'!G17</f>
        <v/>
      </c>
      <c r="D20" s="5" t="n"/>
      <c r="E20">
        <f>IF(D20="","",IF(D20&gt;=0.7,3,IF(D20&gt;=0.6,2,IF(D20&gt;=0.5,1,0))))</f>
        <v/>
      </c>
    </row>
    <row r="21">
      <c r="A21">
        <f>'SEE Question Paper Mapping'!A18</f>
        <v/>
      </c>
      <c r="B21">
        <f>'SEE Question Paper Mapping'!C18</f>
        <v/>
      </c>
      <c r="C21">
        <f>'SEE Question Paper Mapping'!G18</f>
        <v/>
      </c>
      <c r="D21" s="5" t="n"/>
      <c r="E21">
        <f>IF(D21="","",IF(D21&gt;=0.7,3,IF(D21&gt;=0.6,2,IF(D21&gt;=0.5,1,0))))</f>
        <v/>
      </c>
    </row>
    <row r="22">
      <c r="A22">
        <f>'SEE Question Paper Mapping'!A19</f>
        <v/>
      </c>
      <c r="B22">
        <f>'SEE Question Paper Mapping'!C19</f>
        <v/>
      </c>
      <c r="C22">
        <f>'SEE Question Paper Mapping'!G19</f>
        <v/>
      </c>
      <c r="D22" s="5" t="n"/>
      <c r="E22">
        <f>IF(D22="","",IF(D22&gt;=0.7,3,IF(D22&gt;=0.6,2,IF(D22&gt;=0.5,1,0))))</f>
        <v/>
      </c>
    </row>
    <row r="23">
      <c r="A23">
        <f>'SEE Question Paper Mapping'!A20</f>
        <v/>
      </c>
      <c r="B23">
        <f>'SEE Question Paper Mapping'!C20</f>
        <v/>
      </c>
      <c r="C23">
        <f>'SEE Question Paper Mapping'!G20</f>
        <v/>
      </c>
      <c r="D23" s="5" t="n"/>
      <c r="E23">
        <f>IF(D23="","",IF(D23&gt;=0.7,3,IF(D23&gt;=0.6,2,IF(D23&gt;=0.5,1,0))))</f>
        <v/>
      </c>
    </row>
    <row r="24">
      <c r="A24">
        <f>'SEE Question Paper Mapping'!A21</f>
        <v/>
      </c>
      <c r="B24">
        <f>'SEE Question Paper Mapping'!C21</f>
        <v/>
      </c>
      <c r="C24">
        <f>'SEE Question Paper Mapping'!G21</f>
        <v/>
      </c>
      <c r="D24" s="5" t="n"/>
      <c r="E24">
        <f>IF(D24="","",IF(D24&gt;=0.7,3,IF(D24&gt;=0.6,2,IF(D24&gt;=0.5,1,0))))</f>
        <v/>
      </c>
    </row>
    <row r="25">
      <c r="A25">
        <f>'SEE Question Paper Mapping'!A22</f>
        <v/>
      </c>
      <c r="B25">
        <f>'SEE Question Paper Mapping'!C22</f>
        <v/>
      </c>
      <c r="C25">
        <f>'SEE Question Paper Mapping'!G22</f>
        <v/>
      </c>
      <c r="D25" s="5" t="n"/>
      <c r="E25">
        <f>IF(D25="","",IF(D25&gt;=0.7,3,IF(D25&gt;=0.6,2,IF(D25&gt;=0.5,1,0))))</f>
        <v/>
      </c>
    </row>
    <row r="26">
      <c r="A26">
        <f>'SEE Question Paper Mapping'!A23</f>
        <v/>
      </c>
      <c r="B26">
        <f>'SEE Question Paper Mapping'!C23</f>
        <v/>
      </c>
      <c r="C26">
        <f>'SEE Question Paper Mapping'!G23</f>
        <v/>
      </c>
      <c r="D26" s="5" t="n"/>
      <c r="E26">
        <f>IF(D26="","",IF(D26&gt;=0.7,3,IF(D26&gt;=0.6,2,IF(D26&gt;=0.5,1,0))))</f>
        <v/>
      </c>
    </row>
    <row r="27">
      <c r="A27">
        <f>'SEE Question Paper Mapping'!A24</f>
        <v/>
      </c>
      <c r="B27">
        <f>'SEE Question Paper Mapping'!C24</f>
        <v/>
      </c>
      <c r="C27">
        <f>'SEE Question Paper Mapping'!G24</f>
        <v/>
      </c>
      <c r="D27" s="5" t="n"/>
      <c r="E27">
        <f>IF(D27="","",IF(D27&gt;=0.7,3,IF(D27&gt;=0.6,2,IF(D27&gt;=0.5,1,0))))</f>
        <v/>
      </c>
    </row>
    <row r="28">
      <c r="A28">
        <f>'SEE Question Paper Mapping'!A25</f>
        <v/>
      </c>
      <c r="B28">
        <f>'SEE Question Paper Mapping'!C25</f>
        <v/>
      </c>
      <c r="C28">
        <f>'SEE Question Paper Mapping'!G25</f>
        <v/>
      </c>
      <c r="D28" s="5" t="n"/>
      <c r="E28">
        <f>IF(D28="","",IF(D28&gt;=0.7,3,IF(D28&gt;=0.6,2,IF(D28&gt;=0.5,1,0))))</f>
        <v/>
      </c>
    </row>
    <row r="29">
      <c r="A29">
        <f>'SEE Question Paper Mapping'!A26</f>
        <v/>
      </c>
      <c r="B29">
        <f>'SEE Question Paper Mapping'!C26</f>
        <v/>
      </c>
      <c r="C29">
        <f>'SEE Question Paper Mapping'!G26</f>
        <v/>
      </c>
      <c r="D29" s="5" t="n"/>
      <c r="E29">
        <f>IF(D29="","",IF(D29&gt;=0.7,3,IF(D29&gt;=0.6,2,IF(D29&gt;=0.5,1,0))))</f>
        <v/>
      </c>
    </row>
    <row r="30">
      <c r="A30">
        <f>'SEE Question Paper Mapping'!A27</f>
        <v/>
      </c>
      <c r="B30">
        <f>'SEE Question Paper Mapping'!C27</f>
        <v/>
      </c>
      <c r="C30">
        <f>'SEE Question Paper Mapping'!G27</f>
        <v/>
      </c>
      <c r="D30" s="5" t="n"/>
      <c r="E30">
        <f>IF(D30="","",IF(D30&gt;=0.7,3,IF(D30&gt;=0.6,2,IF(D30&gt;=0.5,1,0))))</f>
        <v/>
      </c>
    </row>
    <row r="31">
      <c r="A31">
        <f>'SEE Question Paper Mapping'!A28</f>
        <v/>
      </c>
      <c r="B31">
        <f>'SEE Question Paper Mapping'!C28</f>
        <v/>
      </c>
      <c r="C31">
        <f>'SEE Question Paper Mapping'!G28</f>
        <v/>
      </c>
      <c r="D31" s="5" t="n"/>
      <c r="E31">
        <f>IF(D31="","",IF(D31&gt;=0.7,3,IF(D31&gt;=0.6,2,IF(D31&gt;=0.5,1,0))))</f>
        <v/>
      </c>
    </row>
    <row r="32">
      <c r="A32">
        <f>'SEE Question Paper Mapping'!A29</f>
        <v/>
      </c>
      <c r="B32">
        <f>'SEE Question Paper Mapping'!C29</f>
        <v/>
      </c>
      <c r="C32">
        <f>'SEE Question Paper Mapping'!G29</f>
        <v/>
      </c>
      <c r="D32" s="5" t="n"/>
      <c r="E32">
        <f>IF(D32="","",IF(D32&gt;=0.7,3,IF(D32&gt;=0.6,2,IF(D32&gt;=0.5,1,0))))</f>
        <v/>
      </c>
    </row>
    <row r="33">
      <c r="A33">
        <f>'SEE Question Paper Mapping'!A30</f>
        <v/>
      </c>
      <c r="B33">
        <f>'SEE Question Paper Mapping'!C30</f>
        <v/>
      </c>
      <c r="C33">
        <f>'SEE Question Paper Mapping'!G30</f>
        <v/>
      </c>
      <c r="D33" s="5" t="n"/>
      <c r="E33">
        <f>IF(D33="","",IF(D33&gt;=0.7,3,IF(D33&gt;=0.6,2,IF(D33&gt;=0.5,1,0))))</f>
        <v/>
      </c>
    </row>
    <row r="34">
      <c r="A34">
        <f>'SEE Question Paper Mapping'!A31</f>
        <v/>
      </c>
      <c r="B34">
        <f>'SEE Question Paper Mapping'!C31</f>
        <v/>
      </c>
      <c r="C34">
        <f>'SEE Question Paper Mapping'!G31</f>
        <v/>
      </c>
      <c r="D34" s="5" t="n"/>
      <c r="E34">
        <f>IF(D34="","",IF(D34&gt;=0.7,3,IF(D34&gt;=0.6,2,IF(D34&gt;=0.5,1,0))))</f>
        <v/>
      </c>
    </row>
    <row r="35">
      <c r="A35">
        <f>'SEE Question Paper Mapping'!A32</f>
        <v/>
      </c>
      <c r="B35">
        <f>'SEE Question Paper Mapping'!C32</f>
        <v/>
      </c>
      <c r="C35">
        <f>'SEE Question Paper Mapping'!G32</f>
        <v/>
      </c>
      <c r="D35" s="5" t="n"/>
      <c r="E35">
        <f>IF(D35="","",IF(D35&gt;=0.7,3,IF(D35&gt;=0.6,2,IF(D35&gt;=0.5,1,0))))</f>
        <v/>
      </c>
    </row>
    <row r="36">
      <c r="A36">
        <f>'SEE Question Paper Mapping'!A33</f>
        <v/>
      </c>
      <c r="B36">
        <f>'SEE Question Paper Mapping'!C33</f>
        <v/>
      </c>
      <c r="C36">
        <f>'SEE Question Paper Mapping'!G33</f>
        <v/>
      </c>
      <c r="D36" s="5" t="n"/>
      <c r="E36">
        <f>IF(D36="","",IF(D36&gt;=0.7,3,IF(D36&gt;=0.6,2,IF(D36&gt;=0.5,1,0))))</f>
        <v/>
      </c>
    </row>
    <row r="37">
      <c r="A37">
        <f>'SEE Question Paper Mapping'!A34</f>
        <v/>
      </c>
      <c r="B37">
        <f>'SEE Question Paper Mapping'!C34</f>
        <v/>
      </c>
      <c r="C37">
        <f>'SEE Question Paper Mapping'!G34</f>
        <v/>
      </c>
      <c r="D37" s="5" t="n"/>
      <c r="E37">
        <f>IF(D37="","",IF(D37&gt;=0.7,3,IF(D37&gt;=0.6,2,IF(D37&gt;=0.5,1,0))))</f>
        <v/>
      </c>
    </row>
    <row r="38">
      <c r="A38">
        <f>'SEE Question Paper Mapping'!A35</f>
        <v/>
      </c>
      <c r="B38">
        <f>'SEE Question Paper Mapping'!C35</f>
        <v/>
      </c>
      <c r="C38">
        <f>'SEE Question Paper Mapping'!G35</f>
        <v/>
      </c>
      <c r="D38" s="5" t="n"/>
      <c r="E38">
        <f>IF(D38="","",IF(D38&gt;=0.7,3,IF(D38&gt;=0.6,2,IF(D38&gt;=0.5,1,0))))</f>
        <v/>
      </c>
    </row>
    <row r="39">
      <c r="A39">
        <f>'SEE Question Paper Mapping'!A36</f>
        <v/>
      </c>
      <c r="B39">
        <f>'SEE Question Paper Mapping'!C36</f>
        <v/>
      </c>
      <c r="C39">
        <f>'SEE Question Paper Mapping'!G36</f>
        <v/>
      </c>
      <c r="D39" s="5" t="n"/>
      <c r="E39">
        <f>IF(D39="","",IF(D39&gt;=0.7,3,IF(D39&gt;=0.6,2,IF(D39&gt;=0.5,1,0))))</f>
        <v/>
      </c>
    </row>
    <row r="40">
      <c r="A40">
        <f>'SEE Question Paper Mapping'!A37</f>
        <v/>
      </c>
      <c r="B40">
        <f>'SEE Question Paper Mapping'!C37</f>
        <v/>
      </c>
      <c r="C40">
        <f>'SEE Question Paper Mapping'!G37</f>
        <v/>
      </c>
      <c r="D40" s="5" t="n"/>
      <c r="E40">
        <f>IF(D40="","",IF(D40&gt;=0.7,3,IF(D40&gt;=0.6,2,IF(D40&gt;=0.5,1,0))))</f>
        <v/>
      </c>
    </row>
    <row r="41">
      <c r="A41">
        <f>'SEE Question Paper Mapping'!A38</f>
        <v/>
      </c>
      <c r="B41">
        <f>'SEE Question Paper Mapping'!C38</f>
        <v/>
      </c>
      <c r="C41">
        <f>'SEE Question Paper Mapping'!G38</f>
        <v/>
      </c>
      <c r="D41" s="5" t="n"/>
      <c r="E41">
        <f>IF(D41="","",IF(D41&gt;=0.7,3,IF(D41&gt;=0.6,2,IF(D41&gt;=0.5,1,0))))</f>
        <v/>
      </c>
    </row>
    <row r="42">
      <c r="A42">
        <f>'SEE Question Paper Mapping'!A39</f>
        <v/>
      </c>
      <c r="B42">
        <f>'SEE Question Paper Mapping'!C39</f>
        <v/>
      </c>
      <c r="C42">
        <f>'SEE Question Paper Mapping'!G39</f>
        <v/>
      </c>
      <c r="D42" s="5" t="n"/>
      <c r="E42">
        <f>IF(D42="","",IF(D42&gt;=0.7,3,IF(D42&gt;=0.6,2,IF(D42&gt;=0.5,1,0))))</f>
        <v/>
      </c>
    </row>
    <row r="43">
      <c r="A43">
        <f>'SEE Question Paper Mapping'!A40</f>
        <v/>
      </c>
      <c r="B43">
        <f>'SEE Question Paper Mapping'!C40</f>
        <v/>
      </c>
      <c r="C43">
        <f>'SEE Question Paper Mapping'!G40</f>
        <v/>
      </c>
      <c r="D43" s="5" t="n"/>
      <c r="E43">
        <f>IF(D43="","",IF(D43&gt;=0.7,3,IF(D43&gt;=0.6,2,IF(D43&gt;=0.5,1,0))))</f>
        <v/>
      </c>
    </row>
    <row r="44">
      <c r="A44">
        <f>'SEE Question Paper Mapping'!A41</f>
        <v/>
      </c>
      <c r="B44">
        <f>'SEE Question Paper Mapping'!C41</f>
        <v/>
      </c>
      <c r="C44">
        <f>'SEE Question Paper Mapping'!G41</f>
        <v/>
      </c>
      <c r="D44" s="5" t="n"/>
      <c r="E44">
        <f>IF(D44="","",IF(D44&gt;=0.7,3,IF(D44&gt;=0.6,2,IF(D44&gt;=0.5,1,0))))</f>
        <v/>
      </c>
    </row>
    <row r="45">
      <c r="A45">
        <f>'SEE Question Paper Mapping'!A42</f>
        <v/>
      </c>
      <c r="B45">
        <f>'SEE Question Paper Mapping'!C42</f>
        <v/>
      </c>
      <c r="C45">
        <f>'SEE Question Paper Mapping'!G42</f>
        <v/>
      </c>
      <c r="D45" s="5" t="n"/>
      <c r="E45">
        <f>IF(D45="","",IF(D45&gt;=0.7,3,IF(D45&gt;=0.6,2,IF(D45&gt;=0.5,1,0))))</f>
        <v/>
      </c>
    </row>
    <row r="46">
      <c r="A46">
        <f>'SEE Question Paper Mapping'!A43</f>
        <v/>
      </c>
      <c r="B46">
        <f>'SEE Question Paper Mapping'!C43</f>
        <v/>
      </c>
      <c r="C46">
        <f>'SEE Question Paper Mapping'!G43</f>
        <v/>
      </c>
      <c r="D46" s="5" t="n"/>
      <c r="E46">
        <f>IF(D46="","",IF(D46&gt;=0.7,3,IF(D46&gt;=0.6,2,IF(D46&gt;=0.5,1,0))))</f>
        <v/>
      </c>
    </row>
    <row r="47">
      <c r="A47">
        <f>'SEE Question Paper Mapping'!A44</f>
        <v/>
      </c>
      <c r="B47">
        <f>'SEE Question Paper Mapping'!C44</f>
        <v/>
      </c>
      <c r="C47">
        <f>'SEE Question Paper Mapping'!G44</f>
        <v/>
      </c>
      <c r="D47" s="5" t="n"/>
      <c r="E47">
        <f>IF(D47="","",IF(D47&gt;=0.7,3,IF(D47&gt;=0.6,2,IF(D47&gt;=0.5,1,0))))</f>
        <v/>
      </c>
    </row>
    <row r="48">
      <c r="A48">
        <f>'SEE Question Paper Mapping'!A45</f>
        <v/>
      </c>
      <c r="B48">
        <f>'SEE Question Paper Mapping'!C45</f>
        <v/>
      </c>
      <c r="C48">
        <f>'SEE Question Paper Mapping'!G45</f>
        <v/>
      </c>
      <c r="D48" s="5" t="n"/>
      <c r="E48">
        <f>IF(D48="","",IF(D48&gt;=0.7,3,IF(D48&gt;=0.6,2,IF(D48&gt;=0.5,1,0))))</f>
        <v/>
      </c>
    </row>
    <row r="49">
      <c r="A49">
        <f>'SEE Question Paper Mapping'!A46</f>
        <v/>
      </c>
      <c r="B49">
        <f>'SEE Question Paper Mapping'!C46</f>
        <v/>
      </c>
      <c r="C49">
        <f>'SEE Question Paper Mapping'!G46</f>
        <v/>
      </c>
      <c r="D49" s="5" t="n"/>
      <c r="E49">
        <f>IF(D49="","",IF(D49&gt;=0.7,3,IF(D49&gt;=0.6,2,IF(D49&gt;=0.5,1,0))))</f>
        <v/>
      </c>
    </row>
    <row r="50">
      <c r="A50">
        <f>'SEE Question Paper Mapping'!A47</f>
        <v/>
      </c>
      <c r="B50">
        <f>'SEE Question Paper Mapping'!C47</f>
        <v/>
      </c>
      <c r="C50">
        <f>'SEE Question Paper Mapping'!G47</f>
        <v/>
      </c>
      <c r="D50" s="5" t="n"/>
      <c r="E50">
        <f>IF(D50="","",IF(D50&gt;=0.7,3,IF(D50&gt;=0.6,2,IF(D50&gt;=0.5,1,0))))</f>
        <v/>
      </c>
    </row>
    <row r="51">
      <c r="A51">
        <f>'SEE Question Paper Mapping'!A48</f>
        <v/>
      </c>
      <c r="B51">
        <f>'SEE Question Paper Mapping'!C48</f>
        <v/>
      </c>
      <c r="C51">
        <f>'SEE Question Paper Mapping'!G48</f>
        <v/>
      </c>
      <c r="D51" s="5" t="n"/>
      <c r="E51">
        <f>IF(D51="","",IF(D51&gt;=0.7,3,IF(D51&gt;=0.6,2,IF(D51&gt;=0.5,1,0))))</f>
        <v/>
      </c>
    </row>
    <row r="52">
      <c r="A52">
        <f>'SEE Question Paper Mapping'!A49</f>
        <v/>
      </c>
      <c r="B52">
        <f>'SEE Question Paper Mapping'!C49</f>
        <v/>
      </c>
      <c r="C52">
        <f>'SEE Question Paper Mapping'!G49</f>
        <v/>
      </c>
      <c r="D52" s="5" t="n"/>
      <c r="E52">
        <f>IF(D52="","",IF(D52&gt;=0.7,3,IF(D52&gt;=0.6,2,IF(D52&gt;=0.5,1,0))))</f>
        <v/>
      </c>
    </row>
    <row r="53">
      <c r="A53">
        <f>'SEE Question Paper Mapping'!A50</f>
        <v/>
      </c>
      <c r="B53">
        <f>'SEE Question Paper Mapping'!C50</f>
        <v/>
      </c>
      <c r="C53">
        <f>'SEE Question Paper Mapping'!G50</f>
        <v/>
      </c>
      <c r="D53" s="5" t="n"/>
      <c r="E53">
        <f>IF(D53="","",IF(D53&gt;=0.7,3,IF(D53&gt;=0.6,2,IF(D53&gt;=0.5,1,0))))</f>
        <v/>
      </c>
    </row>
    <row r="54">
      <c r="A54">
        <f>'SEE Question Paper Mapping'!A51</f>
        <v/>
      </c>
      <c r="B54">
        <f>'SEE Question Paper Mapping'!C51</f>
        <v/>
      </c>
      <c r="C54">
        <f>'SEE Question Paper Mapping'!G51</f>
        <v/>
      </c>
      <c r="D54" s="5" t="n"/>
      <c r="E54">
        <f>IF(D54="","",IF(D54&gt;=0.7,3,IF(D54&gt;=0.6,2,IF(D54&gt;=0.5,1,0))))</f>
        <v/>
      </c>
    </row>
    <row r="55">
      <c r="A55">
        <f>'SEE Question Paper Mapping'!A52</f>
        <v/>
      </c>
      <c r="B55">
        <f>'SEE Question Paper Mapping'!C52</f>
        <v/>
      </c>
      <c r="C55">
        <f>'SEE Question Paper Mapping'!G52</f>
        <v/>
      </c>
      <c r="D55" s="5" t="n"/>
      <c r="E55">
        <f>IF(D55="","",IF(D55&gt;=0.7,3,IF(D55&gt;=0.6,2,IF(D55&gt;=0.5,1,0))))</f>
        <v/>
      </c>
    </row>
    <row r="56">
      <c r="A56">
        <f>'SEE Question Paper Mapping'!A53</f>
        <v/>
      </c>
      <c r="B56">
        <f>'SEE Question Paper Mapping'!C53</f>
        <v/>
      </c>
      <c r="C56">
        <f>'SEE Question Paper Mapping'!G53</f>
        <v/>
      </c>
      <c r="D56" s="5" t="n"/>
      <c r="E56">
        <f>IF(D56="","",IF(D56&gt;=0.7,3,IF(D56&gt;=0.6,2,IF(D56&gt;=0.5,1,0))))</f>
        <v/>
      </c>
    </row>
    <row r="57">
      <c r="A57">
        <f>'SEE Question Paper Mapping'!A54</f>
        <v/>
      </c>
      <c r="B57">
        <f>'SEE Question Paper Mapping'!C54</f>
        <v/>
      </c>
      <c r="C57">
        <f>'SEE Question Paper Mapping'!G54</f>
        <v/>
      </c>
      <c r="D57" s="5" t="n"/>
      <c r="E57">
        <f>IF(D57="","",IF(D57&gt;=0.7,3,IF(D57&gt;=0.6,2,IF(D57&gt;=0.5,1,0))))</f>
        <v/>
      </c>
    </row>
    <row r="58">
      <c r="A58">
        <f>'SEE Question Paper Mapping'!A55</f>
        <v/>
      </c>
      <c r="B58">
        <f>'SEE Question Paper Mapping'!C55</f>
        <v/>
      </c>
      <c r="C58">
        <f>'SEE Question Paper Mapping'!G55</f>
        <v/>
      </c>
      <c r="D58" s="5" t="n"/>
      <c r="E58">
        <f>IF(D58="","",IF(D58&gt;=0.7,3,IF(D58&gt;=0.6,2,IF(D58&gt;=0.5,1,0))))</f>
        <v/>
      </c>
    </row>
    <row r="59">
      <c r="A59">
        <f>'SEE Question Paper Mapping'!A56</f>
        <v/>
      </c>
      <c r="B59">
        <f>'SEE Question Paper Mapping'!C56</f>
        <v/>
      </c>
      <c r="C59">
        <f>'SEE Question Paper Mapping'!G56</f>
        <v/>
      </c>
      <c r="D59" s="5" t="n"/>
      <c r="E59">
        <f>IF(D59="","",IF(D59&gt;=0.7,3,IF(D59&gt;=0.6,2,IF(D59&gt;=0.5,1,0))))</f>
        <v/>
      </c>
    </row>
    <row r="60">
      <c r="A60">
        <f>'SEE Question Paper Mapping'!A57</f>
        <v/>
      </c>
      <c r="B60">
        <f>'SEE Question Paper Mapping'!C57</f>
        <v/>
      </c>
      <c r="C60">
        <f>'SEE Question Paper Mapping'!G57</f>
        <v/>
      </c>
      <c r="D60" s="5" t="n"/>
      <c r="E60">
        <f>IF(D60="","",IF(D60&gt;=0.7,3,IF(D60&gt;=0.6,2,IF(D60&gt;=0.5,1,0))))</f>
        <v/>
      </c>
    </row>
    <row r="61">
      <c r="A61">
        <f>'SEE Question Paper Mapping'!A58</f>
        <v/>
      </c>
      <c r="B61">
        <f>'SEE Question Paper Mapping'!C58</f>
        <v/>
      </c>
      <c r="C61">
        <f>'SEE Question Paper Mapping'!G58</f>
        <v/>
      </c>
      <c r="D61" s="5" t="n"/>
      <c r="E61">
        <f>IF(D61="","",IF(D61&gt;=0.7,3,IF(D61&gt;=0.6,2,IF(D61&gt;=0.5,1,0))))</f>
        <v/>
      </c>
    </row>
    <row r="62">
      <c r="A62">
        <f>'SEE Question Paper Mapping'!A59</f>
        <v/>
      </c>
      <c r="B62">
        <f>'SEE Question Paper Mapping'!C59</f>
        <v/>
      </c>
      <c r="C62">
        <f>'SEE Question Paper Mapping'!G59</f>
        <v/>
      </c>
      <c r="D62" s="5" t="n"/>
      <c r="E62">
        <f>IF(D62="","",IF(D62&gt;=0.7,3,IF(D62&gt;=0.6,2,IF(D62&gt;=0.5,1,0))))</f>
        <v/>
      </c>
    </row>
    <row r="63">
      <c r="A63">
        <f>'SEE Question Paper Mapping'!A60</f>
        <v/>
      </c>
      <c r="B63">
        <f>'SEE Question Paper Mapping'!C60</f>
        <v/>
      </c>
      <c r="C63">
        <f>'SEE Question Paper Mapping'!G60</f>
        <v/>
      </c>
      <c r="D63" s="5" t="n"/>
      <c r="E63">
        <f>IF(D63="","",IF(D63&gt;=0.7,3,IF(D63&gt;=0.6,2,IF(D63&gt;=0.5,1,0))))</f>
        <v/>
      </c>
    </row>
    <row r="64">
      <c r="A64">
        <f>'SEE Question Paper Mapping'!A61</f>
        <v/>
      </c>
      <c r="B64">
        <f>'SEE Question Paper Mapping'!C61</f>
        <v/>
      </c>
      <c r="C64">
        <f>'SEE Question Paper Mapping'!G61</f>
        <v/>
      </c>
      <c r="D64" s="5" t="n"/>
      <c r="E64">
        <f>IF(D64="","",IF(D64&gt;=0.7,3,IF(D64&gt;=0.6,2,IF(D64&gt;=0.5,1,0))))</f>
        <v/>
      </c>
    </row>
    <row r="65">
      <c r="A65">
        <f>'SEE Question Paper Mapping'!A62</f>
        <v/>
      </c>
      <c r="B65">
        <f>'SEE Question Paper Mapping'!C62</f>
        <v/>
      </c>
      <c r="C65">
        <f>'SEE Question Paper Mapping'!G62</f>
        <v/>
      </c>
      <c r="D65" s="5" t="n"/>
      <c r="E65">
        <f>IF(D65="","",IF(D65&gt;=0.7,3,IF(D65&gt;=0.6,2,IF(D65&gt;=0.5,1,0))))</f>
        <v/>
      </c>
    </row>
    <row r="66">
      <c r="A66">
        <f>'SEE Question Paper Mapping'!A63</f>
        <v/>
      </c>
      <c r="B66">
        <f>'SEE Question Paper Mapping'!C63</f>
        <v/>
      </c>
      <c r="C66">
        <f>'SEE Question Paper Mapping'!G63</f>
        <v/>
      </c>
      <c r="D66" s="5" t="n"/>
      <c r="E66">
        <f>IF(D66="","",IF(D66&gt;=0.7,3,IF(D66&gt;=0.6,2,IF(D66&gt;=0.5,1,0))))</f>
        <v/>
      </c>
    </row>
    <row r="67">
      <c r="A67">
        <f>'SEE Question Paper Mapping'!A64</f>
        <v/>
      </c>
      <c r="B67">
        <f>'SEE Question Paper Mapping'!C64</f>
        <v/>
      </c>
      <c r="C67">
        <f>'SEE Question Paper Mapping'!G64</f>
        <v/>
      </c>
      <c r="D67" s="5" t="n"/>
      <c r="E67">
        <f>IF(D67="","",IF(D67&gt;=0.7,3,IF(D67&gt;=0.6,2,IF(D67&gt;=0.5,1,0))))</f>
        <v/>
      </c>
    </row>
    <row r="68">
      <c r="A68">
        <f>'SEE Question Paper Mapping'!A65</f>
        <v/>
      </c>
      <c r="B68">
        <f>'SEE Question Paper Mapping'!C65</f>
        <v/>
      </c>
      <c r="C68">
        <f>'SEE Question Paper Mapping'!G65</f>
        <v/>
      </c>
      <c r="D68" s="5" t="n"/>
      <c r="E68">
        <f>IF(D68="","",IF(D68&gt;=0.7,3,IF(D68&gt;=0.6,2,IF(D68&gt;=0.5,1,0))))</f>
        <v/>
      </c>
    </row>
    <row r="69">
      <c r="A69">
        <f>'SEE Question Paper Mapping'!A66</f>
        <v/>
      </c>
      <c r="B69">
        <f>'SEE Question Paper Mapping'!C66</f>
        <v/>
      </c>
      <c r="C69">
        <f>'SEE Question Paper Mapping'!G66</f>
        <v/>
      </c>
      <c r="D69" s="5" t="n"/>
      <c r="E69">
        <f>IF(D69="","",IF(D69&gt;=0.7,3,IF(D69&gt;=0.6,2,IF(D69&gt;=0.5,1,0))))</f>
        <v/>
      </c>
    </row>
    <row r="70">
      <c r="A70">
        <f>'SEE Question Paper Mapping'!A67</f>
        <v/>
      </c>
      <c r="B70">
        <f>'SEE Question Paper Mapping'!C67</f>
        <v/>
      </c>
      <c r="C70">
        <f>'SEE Question Paper Mapping'!G67</f>
        <v/>
      </c>
      <c r="D70" s="5" t="n"/>
      <c r="E70">
        <f>IF(D70="","",IF(D70&gt;=0.7,3,IF(D70&gt;=0.6,2,IF(D70&gt;=0.5,1,0))))</f>
        <v/>
      </c>
    </row>
    <row r="71">
      <c r="A71">
        <f>'SEE Question Paper Mapping'!A68</f>
        <v/>
      </c>
      <c r="B71">
        <f>'SEE Question Paper Mapping'!C68</f>
        <v/>
      </c>
      <c r="C71">
        <f>'SEE Question Paper Mapping'!G68</f>
        <v/>
      </c>
      <c r="D71" s="5" t="n"/>
      <c r="E71">
        <f>IF(D71="","",IF(D71&gt;=0.7,3,IF(D71&gt;=0.6,2,IF(D71&gt;=0.5,1,0))))</f>
        <v/>
      </c>
    </row>
    <row r="72">
      <c r="A72">
        <f>'SEE Question Paper Mapping'!A69</f>
        <v/>
      </c>
      <c r="B72">
        <f>'SEE Question Paper Mapping'!C69</f>
        <v/>
      </c>
      <c r="C72">
        <f>'SEE Question Paper Mapping'!G69</f>
        <v/>
      </c>
      <c r="D72" s="5" t="n"/>
      <c r="E72">
        <f>IF(D72="","",IF(D72&gt;=0.7,3,IF(D72&gt;=0.6,2,IF(D72&gt;=0.5,1,0))))</f>
        <v/>
      </c>
    </row>
    <row r="73">
      <c r="A73">
        <f>'SEE Question Paper Mapping'!A70</f>
        <v/>
      </c>
      <c r="B73">
        <f>'SEE Question Paper Mapping'!C70</f>
        <v/>
      </c>
      <c r="C73">
        <f>'SEE Question Paper Mapping'!G70</f>
        <v/>
      </c>
      <c r="D73" s="5" t="n"/>
      <c r="E73">
        <f>IF(D73="","",IF(D73&gt;=0.7,3,IF(D73&gt;=0.6,2,IF(D73&gt;=0.5,1,0))))</f>
        <v/>
      </c>
    </row>
    <row r="74">
      <c r="A74">
        <f>'SEE Question Paper Mapping'!A71</f>
        <v/>
      </c>
      <c r="B74">
        <f>'SEE Question Paper Mapping'!C71</f>
        <v/>
      </c>
      <c r="C74">
        <f>'SEE Question Paper Mapping'!G71</f>
        <v/>
      </c>
      <c r="D74" s="5" t="n"/>
      <c r="E74">
        <f>IF(D74="","",IF(D74&gt;=0.7,3,IF(D74&gt;=0.6,2,IF(D74&gt;=0.5,1,0))))</f>
        <v/>
      </c>
    </row>
    <row r="75">
      <c r="A75">
        <f>'SEE Question Paper Mapping'!A72</f>
        <v/>
      </c>
      <c r="B75">
        <f>'SEE Question Paper Mapping'!C72</f>
        <v/>
      </c>
      <c r="C75">
        <f>'SEE Question Paper Mapping'!G72</f>
        <v/>
      </c>
      <c r="D75" s="5" t="n"/>
      <c r="E75">
        <f>IF(D75="","",IF(D75&gt;=0.7,3,IF(D75&gt;=0.6,2,IF(D75&gt;=0.5,1,0))))</f>
        <v/>
      </c>
    </row>
    <row r="76">
      <c r="A76">
        <f>'SEE Question Paper Mapping'!A73</f>
        <v/>
      </c>
      <c r="B76">
        <f>'SEE Question Paper Mapping'!C73</f>
        <v/>
      </c>
      <c r="C76">
        <f>'SEE Question Paper Mapping'!G73</f>
        <v/>
      </c>
      <c r="D76" s="5" t="n"/>
      <c r="E76">
        <f>IF(D76="","",IF(D76&gt;=0.7,3,IF(D76&gt;=0.6,2,IF(D76&gt;=0.5,1,0))))</f>
        <v/>
      </c>
    </row>
    <row r="77">
      <c r="A77">
        <f>'SEE Question Paper Mapping'!A74</f>
        <v/>
      </c>
      <c r="B77">
        <f>'SEE Question Paper Mapping'!C74</f>
        <v/>
      </c>
      <c r="C77">
        <f>'SEE Question Paper Mapping'!G74</f>
        <v/>
      </c>
      <c r="D77" s="5" t="n"/>
      <c r="E77">
        <f>IF(D77="","",IF(D77&gt;=0.7,3,IF(D77&gt;=0.6,2,IF(D77&gt;=0.5,1,0))))</f>
        <v/>
      </c>
    </row>
    <row r="78">
      <c r="A78">
        <f>'SEE Question Paper Mapping'!A75</f>
        <v/>
      </c>
      <c r="B78">
        <f>'SEE Question Paper Mapping'!C75</f>
        <v/>
      </c>
      <c r="C78">
        <f>'SEE Question Paper Mapping'!G75</f>
        <v/>
      </c>
      <c r="D78" s="5" t="n"/>
      <c r="E78">
        <f>IF(D78="","",IF(D78&gt;=0.7,3,IF(D78&gt;=0.6,2,IF(D78&gt;=0.5,1,0))))</f>
        <v/>
      </c>
    </row>
    <row r="79">
      <c r="A79">
        <f>'SEE Question Paper Mapping'!A76</f>
        <v/>
      </c>
      <c r="B79">
        <f>'SEE Question Paper Mapping'!C76</f>
        <v/>
      </c>
      <c r="C79">
        <f>'SEE Question Paper Mapping'!G76</f>
        <v/>
      </c>
      <c r="D79" s="5" t="n"/>
      <c r="E79">
        <f>IF(D79="","",IF(D79&gt;=0.7,3,IF(D79&gt;=0.6,2,IF(D79&gt;=0.5,1,0))))</f>
        <v/>
      </c>
    </row>
    <row r="80">
      <c r="A80">
        <f>'SEE Question Paper Mapping'!A77</f>
        <v/>
      </c>
      <c r="B80">
        <f>'SEE Question Paper Mapping'!C77</f>
        <v/>
      </c>
      <c r="C80">
        <f>'SEE Question Paper Mapping'!G77</f>
        <v/>
      </c>
      <c r="D80" s="5" t="n"/>
      <c r="E80">
        <f>IF(D80="","",IF(D80&gt;=0.7,3,IF(D80&gt;=0.6,2,IF(D80&gt;=0.5,1,0))))</f>
        <v/>
      </c>
    </row>
    <row r="81">
      <c r="A81">
        <f>'SEE Question Paper Mapping'!A78</f>
        <v/>
      </c>
      <c r="B81">
        <f>'SEE Question Paper Mapping'!C78</f>
        <v/>
      </c>
      <c r="C81">
        <f>'SEE Question Paper Mapping'!G78</f>
        <v/>
      </c>
      <c r="D81" s="5" t="n"/>
      <c r="E81">
        <f>IF(D81="","",IF(D81&gt;=0.7,3,IF(D81&gt;=0.6,2,IF(D81&gt;=0.5,1,0))))</f>
        <v/>
      </c>
    </row>
    <row r="82">
      <c r="A82">
        <f>'SEE Question Paper Mapping'!A79</f>
        <v/>
      </c>
      <c r="B82">
        <f>'SEE Question Paper Mapping'!C79</f>
        <v/>
      </c>
      <c r="C82">
        <f>'SEE Question Paper Mapping'!G79</f>
        <v/>
      </c>
      <c r="D82" s="5" t="n"/>
      <c r="E82">
        <f>IF(D82="","",IF(D82&gt;=0.7,3,IF(D82&gt;=0.6,2,IF(D82&gt;=0.5,1,0))))</f>
        <v/>
      </c>
    </row>
    <row r="83">
      <c r="A83">
        <f>'SEE Question Paper Mapping'!A80</f>
        <v/>
      </c>
      <c r="B83">
        <f>'SEE Question Paper Mapping'!C80</f>
        <v/>
      </c>
      <c r="C83">
        <f>'SEE Question Paper Mapping'!G80</f>
        <v/>
      </c>
      <c r="D83" s="5" t="n"/>
      <c r="E83">
        <f>IF(D83="","",IF(D83&gt;=0.7,3,IF(D83&gt;=0.6,2,IF(D83&gt;=0.5,1,0))))</f>
        <v/>
      </c>
    </row>
    <row r="84">
      <c r="A84">
        <f>'SEE Question Paper Mapping'!A81</f>
        <v/>
      </c>
      <c r="B84">
        <f>'SEE Question Paper Mapping'!C81</f>
        <v/>
      </c>
      <c r="C84">
        <f>'SEE Question Paper Mapping'!G81</f>
        <v/>
      </c>
      <c r="D84" s="5" t="n"/>
      <c r="E84">
        <f>IF(D84="","",IF(D84&gt;=0.7,3,IF(D84&gt;=0.6,2,IF(D84&gt;=0.5,1,0))))</f>
        <v/>
      </c>
    </row>
    <row r="85">
      <c r="A85">
        <f>'SEE Question Paper Mapping'!A82</f>
        <v/>
      </c>
      <c r="B85">
        <f>'SEE Question Paper Mapping'!C82</f>
        <v/>
      </c>
      <c r="C85">
        <f>'SEE Question Paper Mapping'!G82</f>
        <v/>
      </c>
      <c r="D85" s="5" t="n"/>
      <c r="E85">
        <f>IF(D85="","",IF(D85&gt;=0.7,3,IF(D85&gt;=0.6,2,IF(D85&gt;=0.5,1,0))))</f>
        <v/>
      </c>
    </row>
    <row r="86">
      <c r="A86">
        <f>'SEE Question Paper Mapping'!A83</f>
        <v/>
      </c>
      <c r="B86">
        <f>'SEE Question Paper Mapping'!C83</f>
        <v/>
      </c>
      <c r="C86">
        <f>'SEE Question Paper Mapping'!G83</f>
        <v/>
      </c>
      <c r="D86" s="5" t="n"/>
      <c r="E86">
        <f>IF(D86="","",IF(D86&gt;=0.7,3,IF(D86&gt;=0.6,2,IF(D86&gt;=0.5,1,0))))</f>
        <v/>
      </c>
    </row>
    <row r="87">
      <c r="A87">
        <f>'SEE Question Paper Mapping'!A84</f>
        <v/>
      </c>
      <c r="B87">
        <f>'SEE Question Paper Mapping'!C84</f>
        <v/>
      </c>
      <c r="C87">
        <f>'SEE Question Paper Mapping'!G84</f>
        <v/>
      </c>
      <c r="D87" s="5" t="n"/>
      <c r="E87">
        <f>IF(D87="","",IF(D87&gt;=0.7,3,IF(D87&gt;=0.6,2,IF(D87&gt;=0.5,1,0))))</f>
        <v/>
      </c>
    </row>
    <row r="88">
      <c r="A88">
        <f>'SEE Question Paper Mapping'!A85</f>
        <v/>
      </c>
      <c r="B88">
        <f>'SEE Question Paper Mapping'!C85</f>
        <v/>
      </c>
      <c r="C88">
        <f>'SEE Question Paper Mapping'!G85</f>
        <v/>
      </c>
      <c r="D88" s="5" t="n"/>
      <c r="E88">
        <f>IF(D88="","",IF(D88&gt;=0.7,3,IF(D88&gt;=0.6,2,IF(D88&gt;=0.5,1,0))))</f>
        <v/>
      </c>
    </row>
    <row r="89">
      <c r="A89">
        <f>'SEE Question Paper Mapping'!A86</f>
        <v/>
      </c>
      <c r="B89">
        <f>'SEE Question Paper Mapping'!C86</f>
        <v/>
      </c>
      <c r="C89">
        <f>'SEE Question Paper Mapping'!G86</f>
        <v/>
      </c>
      <c r="D89" s="5" t="n"/>
      <c r="E89">
        <f>IF(D89="","",IF(D89&gt;=0.7,3,IF(D89&gt;=0.6,2,IF(D89&gt;=0.5,1,0))))</f>
        <v/>
      </c>
    </row>
    <row r="90">
      <c r="A90">
        <f>'SEE Question Paper Mapping'!A87</f>
        <v/>
      </c>
      <c r="B90">
        <f>'SEE Question Paper Mapping'!C87</f>
        <v/>
      </c>
      <c r="C90">
        <f>'SEE Question Paper Mapping'!G87</f>
        <v/>
      </c>
      <c r="D90" s="5" t="n"/>
      <c r="E90">
        <f>IF(D90="","",IF(D90&gt;=0.7,3,IF(D90&gt;=0.6,2,IF(D90&gt;=0.5,1,0))))</f>
        <v/>
      </c>
    </row>
    <row r="91">
      <c r="A91">
        <f>'SEE Question Paper Mapping'!A88</f>
        <v/>
      </c>
      <c r="B91">
        <f>'SEE Question Paper Mapping'!C88</f>
        <v/>
      </c>
      <c r="C91">
        <f>'SEE Question Paper Mapping'!G88</f>
        <v/>
      </c>
      <c r="D91" s="5" t="n"/>
      <c r="E91">
        <f>IF(D91="","",IF(D91&gt;=0.7,3,IF(D91&gt;=0.6,2,IF(D91&gt;=0.5,1,0))))</f>
        <v/>
      </c>
    </row>
    <row r="92">
      <c r="A92">
        <f>'SEE Question Paper Mapping'!A89</f>
        <v/>
      </c>
      <c r="B92">
        <f>'SEE Question Paper Mapping'!C89</f>
        <v/>
      </c>
      <c r="C92">
        <f>'SEE Question Paper Mapping'!G89</f>
        <v/>
      </c>
      <c r="D92" s="5" t="n"/>
      <c r="E92">
        <f>IF(D92="","",IF(D92&gt;=0.7,3,IF(D92&gt;=0.6,2,IF(D92&gt;=0.5,1,0))))</f>
        <v/>
      </c>
    </row>
    <row r="93">
      <c r="A93">
        <f>'SEE Question Paper Mapping'!A90</f>
        <v/>
      </c>
      <c r="B93">
        <f>'SEE Question Paper Mapping'!C90</f>
        <v/>
      </c>
      <c r="C93">
        <f>'SEE Question Paper Mapping'!G90</f>
        <v/>
      </c>
      <c r="D93" s="5" t="n"/>
      <c r="E93">
        <f>IF(D93="","",IF(D93&gt;=0.7,3,IF(D93&gt;=0.6,2,IF(D93&gt;=0.5,1,0))))</f>
        <v/>
      </c>
    </row>
    <row r="94">
      <c r="A94">
        <f>'SEE Question Paper Mapping'!A91</f>
        <v/>
      </c>
      <c r="B94">
        <f>'SEE Question Paper Mapping'!C91</f>
        <v/>
      </c>
      <c r="C94">
        <f>'SEE Question Paper Mapping'!G91</f>
        <v/>
      </c>
      <c r="D94" s="5" t="n"/>
      <c r="E94">
        <f>IF(D94="","",IF(D94&gt;=0.7,3,IF(D94&gt;=0.6,2,IF(D94&gt;=0.5,1,0))))</f>
        <v/>
      </c>
    </row>
    <row r="95">
      <c r="A95">
        <f>'SEE Question Paper Mapping'!A92</f>
        <v/>
      </c>
      <c r="B95">
        <f>'SEE Question Paper Mapping'!C92</f>
        <v/>
      </c>
      <c r="C95">
        <f>'SEE Question Paper Mapping'!G92</f>
        <v/>
      </c>
      <c r="D95" s="5" t="n"/>
      <c r="E95">
        <f>IF(D95="","",IF(D95&gt;=0.7,3,IF(D95&gt;=0.6,2,IF(D95&gt;=0.5,1,0))))</f>
        <v/>
      </c>
    </row>
    <row r="96">
      <c r="A96">
        <f>'SEE Question Paper Mapping'!A93</f>
        <v/>
      </c>
      <c r="B96">
        <f>'SEE Question Paper Mapping'!C93</f>
        <v/>
      </c>
      <c r="C96">
        <f>'SEE Question Paper Mapping'!G93</f>
        <v/>
      </c>
      <c r="D96" s="5" t="n"/>
      <c r="E96">
        <f>IF(D96="","",IF(D96&gt;=0.7,3,IF(D96&gt;=0.6,2,IF(D96&gt;=0.5,1,0))))</f>
        <v/>
      </c>
    </row>
    <row r="97">
      <c r="A97">
        <f>'SEE Question Paper Mapping'!A94</f>
        <v/>
      </c>
      <c r="B97">
        <f>'SEE Question Paper Mapping'!C94</f>
        <v/>
      </c>
      <c r="C97">
        <f>'SEE Question Paper Mapping'!G94</f>
        <v/>
      </c>
      <c r="D97" s="5" t="n"/>
      <c r="E97">
        <f>IF(D97="","",IF(D97&gt;=0.7,3,IF(D97&gt;=0.6,2,IF(D97&gt;=0.5,1,0))))</f>
        <v/>
      </c>
    </row>
    <row r="98">
      <c r="A98">
        <f>'SEE Question Paper Mapping'!A95</f>
        <v/>
      </c>
      <c r="B98">
        <f>'SEE Question Paper Mapping'!C95</f>
        <v/>
      </c>
      <c r="C98">
        <f>'SEE Question Paper Mapping'!G95</f>
        <v/>
      </c>
      <c r="D98" s="5" t="n"/>
      <c r="E98">
        <f>IF(D98="","",IF(D98&gt;=0.7,3,IF(D98&gt;=0.6,2,IF(D98&gt;=0.5,1,0))))</f>
        <v/>
      </c>
    </row>
    <row r="99">
      <c r="A99">
        <f>'SEE Question Paper Mapping'!A96</f>
        <v/>
      </c>
      <c r="B99">
        <f>'SEE Question Paper Mapping'!C96</f>
        <v/>
      </c>
      <c r="C99">
        <f>'SEE Question Paper Mapping'!G96</f>
        <v/>
      </c>
      <c r="D99" s="5" t="n"/>
      <c r="E99">
        <f>IF(D99="","",IF(D99&gt;=0.7,3,IF(D99&gt;=0.6,2,IF(D99&gt;=0.5,1,0))))</f>
        <v/>
      </c>
    </row>
    <row r="100">
      <c r="A100">
        <f>'SEE Question Paper Mapping'!A97</f>
        <v/>
      </c>
      <c r="B100">
        <f>'SEE Question Paper Mapping'!C97</f>
        <v/>
      </c>
      <c r="C100">
        <f>'SEE Question Paper Mapping'!G97</f>
        <v/>
      </c>
      <c r="D100" s="5" t="n"/>
      <c r="E100">
        <f>IF(D100="","",IF(D100&gt;=0.7,3,IF(D100&gt;=0.6,2,IF(D100&gt;=0.5,1,0))))</f>
        <v/>
      </c>
    </row>
    <row r="101">
      <c r="A101">
        <f>'SEE Question Paper Mapping'!A98</f>
        <v/>
      </c>
      <c r="B101">
        <f>'SEE Question Paper Mapping'!C98</f>
        <v/>
      </c>
      <c r="C101">
        <f>'SEE Question Paper Mapping'!G98</f>
        <v/>
      </c>
      <c r="D101" s="5" t="n"/>
      <c r="E101">
        <f>IF(D101="","",IF(D101&gt;=0.7,3,IF(D101&gt;=0.6,2,IF(D101&gt;=0.5,1,0))))</f>
        <v/>
      </c>
    </row>
    <row r="102">
      <c r="A102">
        <f>'SEE Question Paper Mapping'!A99</f>
        <v/>
      </c>
      <c r="B102">
        <f>'SEE Question Paper Mapping'!C99</f>
        <v/>
      </c>
      <c r="C102">
        <f>'SEE Question Paper Mapping'!G99</f>
        <v/>
      </c>
      <c r="D102" s="5" t="n"/>
      <c r="E102">
        <f>IF(D102="","",IF(D102&gt;=0.7,3,IF(D102&gt;=0.6,2,IF(D102&gt;=0.5,1,0))))</f>
        <v/>
      </c>
    </row>
    <row r="103">
      <c r="A103">
        <f>'SEE Question Paper Mapping'!A100</f>
        <v/>
      </c>
      <c r="B103">
        <f>'SEE Question Paper Mapping'!C100</f>
        <v/>
      </c>
      <c r="C103">
        <f>'SEE Question Paper Mapping'!G100</f>
        <v/>
      </c>
      <c r="D103" s="5" t="n"/>
      <c r="E103">
        <f>IF(D103="","",IF(D103&gt;=0.7,3,IF(D103&gt;=0.6,2,IF(D103&gt;=0.5,1,0))))</f>
        <v/>
      </c>
    </row>
    <row r="104">
      <c r="A104">
        <f>'SEE Question Paper Mapping'!A101</f>
        <v/>
      </c>
      <c r="B104">
        <f>'SEE Question Paper Mapping'!C101</f>
        <v/>
      </c>
      <c r="C104">
        <f>'SEE Question Paper Mapping'!G101</f>
        <v/>
      </c>
      <c r="D104" s="5" t="n"/>
      <c r="E104">
        <f>IF(D104="","",IF(D104&gt;=0.7,3,IF(D104&gt;=0.6,2,IF(D104&gt;=0.5,1,0))))</f>
        <v/>
      </c>
    </row>
    <row r="110">
      <c r="A110" s="2" t="inlineStr">
        <is>
          <t>Section B — CO-wise Aggregation from SEE</t>
        </is>
      </c>
    </row>
    <row r="111">
      <c r="A111" s="1" t="inlineStr">
        <is>
          <t>CO</t>
        </is>
      </c>
      <c r="B111" s="1" t="inlineStr">
        <is>
          <t>Questions Mapped</t>
        </is>
      </c>
      <c r="C111" s="1" t="inlineStr">
        <is>
          <t>Total Marks (SEE)</t>
        </is>
      </c>
      <c r="D111" s="1" t="inlineStr">
        <is>
          <t>Weighted Avg % (Auto)</t>
        </is>
      </c>
      <c r="E111" s="1" t="inlineStr">
        <is>
          <t>Attainment Level (0–3 Auto)</t>
        </is>
      </c>
    </row>
    <row r="112">
      <c r="A112" t="inlineStr">
        <is>
          <t>CO1</t>
        </is>
      </c>
      <c r="B112">
        <f>IFERROR(TEXTJOIN(", ",TRUE,FILTER('SEE Question Paper Mapping'!A:A,'SEE Question Paper Mapping'!C:C=A112)),"")</f>
        <v/>
      </c>
      <c r="C112">
        <f>IFERROR(SUMIF('SEE Question Paper Mapping'!C:C,A112,'SEE Question Paper Mapping'!G:G),"")</f>
        <v/>
      </c>
      <c r="D112" s="5">
        <f>IF(SUMIF(B$5:B$104,A112,C$5:C$104)=0,"",SUMPRODUCT((B$5:B$104=A112)*(D$5:D$104)*(C$5:C$104))/SUMIF(B$5:B$104,A112,C$5:C$104))</f>
        <v/>
      </c>
      <c r="E112">
        <f>IF(D112="","",IF(D112&gt;=0.7,3,IF(D112&gt;=0.6,2,IF(D112&gt;=0.5,1,0))))</f>
        <v/>
      </c>
    </row>
    <row r="113">
      <c r="A113" t="inlineStr">
        <is>
          <t>CO2</t>
        </is>
      </c>
      <c r="B113">
        <f>IFERROR(TEXTJOIN(", ",TRUE,FILTER('SEE Question Paper Mapping'!A:A,'SEE Question Paper Mapping'!C:C=A113)),"")</f>
        <v/>
      </c>
      <c r="C113">
        <f>IFERROR(SUMIF('SEE Question Paper Mapping'!C:C,A113,'SEE Question Paper Mapping'!G:G),"")</f>
        <v/>
      </c>
      <c r="D113" s="5">
        <f>IF(SUMIF(B$5:B$104,A113,C$5:C$104)=0,"",SUMPRODUCT((B$5:B$104=A113)*(D$5:D$104)*(C$5:C$104))/SUMIF(B$5:B$104,A113,C$5:C$104))</f>
        <v/>
      </c>
      <c r="E113">
        <f>IF(D113="","",IF(D113&gt;=0.7,3,IF(D113&gt;=0.6,2,IF(D113&gt;=0.5,1,0))))</f>
        <v/>
      </c>
    </row>
    <row r="114">
      <c r="A114" t="inlineStr">
        <is>
          <t>CO3</t>
        </is>
      </c>
      <c r="B114">
        <f>IFERROR(TEXTJOIN(", ",TRUE,FILTER('SEE Question Paper Mapping'!A:A,'SEE Question Paper Mapping'!C:C=A114)),"")</f>
        <v/>
      </c>
      <c r="C114">
        <f>IFERROR(SUMIF('SEE Question Paper Mapping'!C:C,A114,'SEE Question Paper Mapping'!G:G),"")</f>
        <v/>
      </c>
      <c r="D114" s="5">
        <f>IF(SUMIF(B$5:B$104,A114,C$5:C$104)=0,"",SUMPRODUCT((B$5:B$104=A114)*(D$5:D$104)*(C$5:C$104))/SUMIF(B$5:B$104,A114,C$5:C$104))</f>
        <v/>
      </c>
      <c r="E114">
        <f>IF(D114="","",IF(D114&gt;=0.7,3,IF(D114&gt;=0.6,2,IF(D114&gt;=0.5,1,0))))</f>
        <v/>
      </c>
    </row>
    <row r="115">
      <c r="A115" t="inlineStr">
        <is>
          <t>CO4</t>
        </is>
      </c>
      <c r="B115">
        <f>IFERROR(TEXTJOIN(", ",TRUE,FILTER('SEE Question Paper Mapping'!A:A,'SEE Question Paper Mapping'!C:C=A115)),"")</f>
        <v/>
      </c>
      <c r="C115">
        <f>IFERROR(SUMIF('SEE Question Paper Mapping'!C:C,A115,'SEE Question Paper Mapping'!G:G),"")</f>
        <v/>
      </c>
      <c r="D115" s="5">
        <f>IF(SUMIF(B$5:B$104,A115,C$5:C$104)=0,"",SUMPRODUCT((B$5:B$104=A115)*(D$5:D$104)*(C$5:C$104))/SUMIF(B$5:B$104,A115,C$5:C$104))</f>
        <v/>
      </c>
      <c r="E115">
        <f>IF(D115="","",IF(D115&gt;=0.7,3,IF(D115&gt;=0.6,2,IF(D115&gt;=0.5,1,0))))</f>
        <v/>
      </c>
    </row>
    <row r="116">
      <c r="A116" t="inlineStr">
        <is>
          <t>CO5</t>
        </is>
      </c>
      <c r="B116">
        <f>IFERROR(TEXTJOIN(", ",TRUE,FILTER('SEE Question Paper Mapping'!A:A,'SEE Question Paper Mapping'!C:C=A116)),"")</f>
        <v/>
      </c>
      <c r="C116">
        <f>IFERROR(SUMIF('SEE Question Paper Mapping'!C:C,A116,'SEE Question Paper Mapping'!G:G),"")</f>
        <v/>
      </c>
      <c r="D116" s="5">
        <f>IF(SUMIF(B$5:B$104,A116,C$5:C$104)=0,"",SUMPRODUCT((B$5:B$104=A116)*(D$5:D$104)*(C$5:C$104))/SUMIF(B$5:B$104,A116,C$5:C$104))</f>
        <v/>
      </c>
      <c r="E116">
        <f>IF(D116="","",IF(D116&gt;=0.7,3,IF(D116&gt;=0.6,2,IF(D116&gt;=0.5,1,0))))</f>
        <v/>
      </c>
    </row>
    <row r="117">
      <c r="A117" t="inlineStr">
        <is>
          <t>CO6</t>
        </is>
      </c>
      <c r="B117">
        <f>IFERROR(TEXTJOIN(", ",TRUE,FILTER('SEE Question Paper Mapping'!A:A,'SEE Question Paper Mapping'!C:C=A117)),"")</f>
        <v/>
      </c>
      <c r="C117">
        <f>IFERROR(SUMIF('SEE Question Paper Mapping'!C:C,A117,'SEE Question Paper Mapping'!G:G),"")</f>
        <v/>
      </c>
      <c r="D117" s="5">
        <f>IF(SUMIF(B$5:B$104,A117,C$5:C$104)=0,"",SUMPRODUCT((B$5:B$104=A117)*(D$5:D$104)*(C$5:C$104))/SUMIF(B$5:B$104,A117,C$5:C$104))</f>
        <v/>
      </c>
      <c r="E117">
        <f>IF(D117="","",IF(D117&gt;=0.7,3,IF(D117&gt;=0.6,2,IF(D117&gt;=0.5,1,0))))</f>
        <v/>
      </c>
    </row>
    <row r="118">
      <c r="A118" t="inlineStr">
        <is>
          <t>CO7</t>
        </is>
      </c>
      <c r="B118">
        <f>IFERROR(TEXTJOIN(", ",TRUE,FILTER('SEE Question Paper Mapping'!A:A,'SEE Question Paper Mapping'!C:C=A118)),"")</f>
        <v/>
      </c>
      <c r="C118">
        <f>IFERROR(SUMIF('SEE Question Paper Mapping'!C:C,A118,'SEE Question Paper Mapping'!G:G),"")</f>
        <v/>
      </c>
      <c r="D118" s="5">
        <f>IF(SUMIF(B$5:B$104,A118,C$5:C$104)=0,"",SUMPRODUCT((B$5:B$104=A118)*(D$5:D$104)*(C$5:C$104))/SUMIF(B$5:B$104,A118,C$5:C$104))</f>
        <v/>
      </c>
      <c r="E118">
        <f>IF(D118="","",IF(D118&gt;=0.7,3,IF(D118&gt;=0.6,2,IF(D118&gt;=0.5,1,0))))</f>
        <v/>
      </c>
    </row>
    <row r="119">
      <c r="A119" t="inlineStr">
        <is>
          <t>CO8</t>
        </is>
      </c>
      <c r="B119">
        <f>IFERROR(TEXTJOIN(", ",TRUE,FILTER('SEE Question Paper Mapping'!A:A,'SEE Question Paper Mapping'!C:C=A119)),"")</f>
        <v/>
      </c>
      <c r="C119">
        <f>IFERROR(SUMIF('SEE Question Paper Mapping'!C:C,A119,'SEE Question Paper Mapping'!G:G),"")</f>
        <v/>
      </c>
      <c r="D119" s="5">
        <f>IF(SUMIF(B$5:B$104,A119,C$5:C$104)=0,"",SUMPRODUCT((B$5:B$104=A119)*(D$5:D$104)*(C$5:C$104))/SUMIF(B$5:B$104,A119,C$5:C$104))</f>
        <v/>
      </c>
      <c r="E119">
        <f>IF(D119="","",IF(D119&gt;=0.7,3,IF(D119&gt;=0.6,2,IF(D119&gt;=0.5,1,0))))</f>
        <v/>
      </c>
    </row>
    <row r="120">
      <c r="A120" t="inlineStr">
        <is>
          <t>CO9</t>
        </is>
      </c>
      <c r="B120">
        <f>IFERROR(TEXTJOIN(", ",TRUE,FILTER('SEE Question Paper Mapping'!A:A,'SEE Question Paper Mapping'!C:C=A120)),"")</f>
        <v/>
      </c>
      <c r="C120">
        <f>IFERROR(SUMIF('SEE Question Paper Mapping'!C:C,A120,'SEE Question Paper Mapping'!G:G),"")</f>
        <v/>
      </c>
      <c r="D120" s="5">
        <f>IF(SUMIF(B$5:B$104,A120,C$5:C$104)=0,"",SUMPRODUCT((B$5:B$104=A120)*(D$5:D$104)*(C$5:C$104))/SUMIF(B$5:B$104,A120,C$5:C$104))</f>
        <v/>
      </c>
      <c r="E120">
        <f>IF(D120="","",IF(D120&gt;=0.7,3,IF(D120&gt;=0.6,2,IF(D120&gt;=0.5,1,0))))</f>
        <v/>
      </c>
    </row>
    <row r="121">
      <c r="A121" t="inlineStr">
        <is>
          <t>CO10</t>
        </is>
      </c>
      <c r="B121">
        <f>IFERROR(TEXTJOIN(", ",TRUE,FILTER('SEE Question Paper Mapping'!A:A,'SEE Question Paper Mapping'!C:C=A121)),"")</f>
        <v/>
      </c>
      <c r="C121">
        <f>IFERROR(SUMIF('SEE Question Paper Mapping'!C:C,A121,'SEE Question Paper Mapping'!G:G),"")</f>
        <v/>
      </c>
      <c r="D121" s="5">
        <f>IF(SUMIF(B$5:B$104,A121,C$5:C$104)=0,"",SUMPRODUCT((B$5:B$104=A121)*(D$5:D$104)*(C$5:C$104))/SUMIF(B$5:B$104,A121,C$5:C$104))</f>
        <v/>
      </c>
      <c r="E121">
        <f>IF(D121="","",IF(D121&gt;=0.7,3,IF(D121&gt;=0.6,2,IF(D121&gt;=0.5,1,0))))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6" t="inlineStr">
        <is>
          <t>Simplified SEE Mapping Sheet (Question → CO → PO/PSO → Marks)</t>
        </is>
      </c>
    </row>
    <row r="3">
      <c r="A3" s="1" t="inlineStr">
        <is>
          <t>Q. No</t>
        </is>
      </c>
      <c r="B3" s="1" t="inlineStr">
        <is>
          <t>Question Description</t>
        </is>
      </c>
      <c r="C3" s="1" t="inlineStr">
        <is>
          <t>CO Mapped</t>
        </is>
      </c>
      <c r="D3" s="1" t="inlineStr">
        <is>
          <t>PO(s) Mapped</t>
        </is>
      </c>
      <c r="E3" s="1" t="inlineStr">
        <is>
          <t>PSO(s) Mapped</t>
        </is>
      </c>
      <c r="F3" s="1" t="inlineStr">
        <is>
          <t>Max Marks</t>
        </is>
      </c>
    </row>
    <row r="4">
      <c r="A4">
        <f>'SEE Question Paper Mapping'!A2</f>
        <v/>
      </c>
      <c r="B4">
        <f>'SEE Question Paper Mapping'!B2</f>
        <v/>
      </c>
      <c r="C4">
        <f>'SEE Question Paper Mapping'!C2</f>
        <v/>
      </c>
      <c r="D4">
        <f>'SEE Question Paper Mapping'!D2</f>
        <v/>
      </c>
      <c r="E4">
        <f>'SEE Question Paper Mapping'!E2</f>
        <v/>
      </c>
      <c r="F4">
        <f>'SEE Question Paper Mapping'!G2</f>
        <v/>
      </c>
    </row>
    <row r="5">
      <c r="A5">
        <f>'SEE Question Paper Mapping'!A3</f>
        <v/>
      </c>
      <c r="B5">
        <f>'SEE Question Paper Mapping'!B3</f>
        <v/>
      </c>
      <c r="C5">
        <f>'SEE Question Paper Mapping'!C3</f>
        <v/>
      </c>
      <c r="D5">
        <f>'SEE Question Paper Mapping'!D3</f>
        <v/>
      </c>
      <c r="E5">
        <f>'SEE Question Paper Mapping'!E3</f>
        <v/>
      </c>
      <c r="F5">
        <f>'SEE Question Paper Mapping'!G3</f>
        <v/>
      </c>
    </row>
    <row r="6">
      <c r="A6">
        <f>'SEE Question Paper Mapping'!A4</f>
        <v/>
      </c>
      <c r="B6">
        <f>'SEE Question Paper Mapping'!B4</f>
        <v/>
      </c>
      <c r="C6">
        <f>'SEE Question Paper Mapping'!C4</f>
        <v/>
      </c>
      <c r="D6">
        <f>'SEE Question Paper Mapping'!D4</f>
        <v/>
      </c>
      <c r="E6">
        <f>'SEE Question Paper Mapping'!E4</f>
        <v/>
      </c>
      <c r="F6">
        <f>'SEE Question Paper Mapping'!G4</f>
        <v/>
      </c>
    </row>
    <row r="7">
      <c r="A7">
        <f>'SEE Question Paper Mapping'!A5</f>
        <v/>
      </c>
      <c r="B7">
        <f>'SEE Question Paper Mapping'!B5</f>
        <v/>
      </c>
      <c r="C7">
        <f>'SEE Question Paper Mapping'!C5</f>
        <v/>
      </c>
      <c r="D7">
        <f>'SEE Question Paper Mapping'!D5</f>
        <v/>
      </c>
      <c r="E7">
        <f>'SEE Question Paper Mapping'!E5</f>
        <v/>
      </c>
      <c r="F7">
        <f>'SEE Question Paper Mapping'!G5</f>
        <v/>
      </c>
    </row>
    <row r="8">
      <c r="A8">
        <f>'SEE Question Paper Mapping'!A6</f>
        <v/>
      </c>
      <c r="B8">
        <f>'SEE Question Paper Mapping'!B6</f>
        <v/>
      </c>
      <c r="C8">
        <f>'SEE Question Paper Mapping'!C6</f>
        <v/>
      </c>
      <c r="D8">
        <f>'SEE Question Paper Mapping'!D6</f>
        <v/>
      </c>
      <c r="E8">
        <f>'SEE Question Paper Mapping'!E6</f>
        <v/>
      </c>
      <c r="F8">
        <f>'SEE Question Paper Mapping'!G6</f>
        <v/>
      </c>
    </row>
    <row r="9">
      <c r="A9">
        <f>'SEE Question Paper Mapping'!A7</f>
        <v/>
      </c>
      <c r="B9">
        <f>'SEE Question Paper Mapping'!B7</f>
        <v/>
      </c>
      <c r="C9">
        <f>'SEE Question Paper Mapping'!C7</f>
        <v/>
      </c>
      <c r="D9">
        <f>'SEE Question Paper Mapping'!D7</f>
        <v/>
      </c>
      <c r="E9">
        <f>'SEE Question Paper Mapping'!E7</f>
        <v/>
      </c>
      <c r="F9">
        <f>'SEE Question Paper Mapping'!G7</f>
        <v/>
      </c>
    </row>
    <row r="10">
      <c r="A10">
        <f>'SEE Question Paper Mapping'!A8</f>
        <v/>
      </c>
      <c r="B10">
        <f>'SEE Question Paper Mapping'!B8</f>
        <v/>
      </c>
      <c r="C10">
        <f>'SEE Question Paper Mapping'!C8</f>
        <v/>
      </c>
      <c r="D10">
        <f>'SEE Question Paper Mapping'!D8</f>
        <v/>
      </c>
      <c r="E10">
        <f>'SEE Question Paper Mapping'!E8</f>
        <v/>
      </c>
      <c r="F10">
        <f>'SEE Question Paper Mapping'!G8</f>
        <v/>
      </c>
    </row>
    <row r="11">
      <c r="A11">
        <f>'SEE Question Paper Mapping'!A9</f>
        <v/>
      </c>
      <c r="B11">
        <f>'SEE Question Paper Mapping'!B9</f>
        <v/>
      </c>
      <c r="C11">
        <f>'SEE Question Paper Mapping'!C9</f>
        <v/>
      </c>
      <c r="D11">
        <f>'SEE Question Paper Mapping'!D9</f>
        <v/>
      </c>
      <c r="E11">
        <f>'SEE Question Paper Mapping'!E9</f>
        <v/>
      </c>
      <c r="F11">
        <f>'SEE Question Paper Mapping'!G9</f>
        <v/>
      </c>
    </row>
    <row r="12">
      <c r="A12">
        <f>'SEE Question Paper Mapping'!A10</f>
        <v/>
      </c>
      <c r="B12">
        <f>'SEE Question Paper Mapping'!B10</f>
        <v/>
      </c>
      <c r="C12">
        <f>'SEE Question Paper Mapping'!C10</f>
        <v/>
      </c>
      <c r="D12">
        <f>'SEE Question Paper Mapping'!D10</f>
        <v/>
      </c>
      <c r="E12">
        <f>'SEE Question Paper Mapping'!E10</f>
        <v/>
      </c>
      <c r="F12">
        <f>'SEE Question Paper Mapping'!G10</f>
        <v/>
      </c>
    </row>
    <row r="13">
      <c r="A13">
        <f>'SEE Question Paper Mapping'!A11</f>
        <v/>
      </c>
      <c r="B13">
        <f>'SEE Question Paper Mapping'!B11</f>
        <v/>
      </c>
      <c r="C13">
        <f>'SEE Question Paper Mapping'!C11</f>
        <v/>
      </c>
      <c r="D13">
        <f>'SEE Question Paper Mapping'!D11</f>
        <v/>
      </c>
      <c r="E13">
        <f>'SEE Question Paper Mapping'!E11</f>
        <v/>
      </c>
      <c r="F13">
        <f>'SEE Question Paper Mapping'!G11</f>
        <v/>
      </c>
    </row>
    <row r="14">
      <c r="A14">
        <f>'SEE Question Paper Mapping'!A12</f>
        <v/>
      </c>
      <c r="B14">
        <f>'SEE Question Paper Mapping'!B12</f>
        <v/>
      </c>
      <c r="C14">
        <f>'SEE Question Paper Mapping'!C12</f>
        <v/>
      </c>
      <c r="D14">
        <f>'SEE Question Paper Mapping'!D12</f>
        <v/>
      </c>
      <c r="E14">
        <f>'SEE Question Paper Mapping'!E12</f>
        <v/>
      </c>
      <c r="F14">
        <f>'SEE Question Paper Mapping'!G12</f>
        <v/>
      </c>
    </row>
    <row r="15">
      <c r="A15">
        <f>'SEE Question Paper Mapping'!A13</f>
        <v/>
      </c>
      <c r="B15">
        <f>'SEE Question Paper Mapping'!B13</f>
        <v/>
      </c>
      <c r="C15">
        <f>'SEE Question Paper Mapping'!C13</f>
        <v/>
      </c>
      <c r="D15">
        <f>'SEE Question Paper Mapping'!D13</f>
        <v/>
      </c>
      <c r="E15">
        <f>'SEE Question Paper Mapping'!E13</f>
        <v/>
      </c>
      <c r="F15">
        <f>'SEE Question Paper Mapping'!G13</f>
        <v/>
      </c>
    </row>
    <row r="16">
      <c r="A16">
        <f>'SEE Question Paper Mapping'!A14</f>
        <v/>
      </c>
      <c r="B16">
        <f>'SEE Question Paper Mapping'!B14</f>
        <v/>
      </c>
      <c r="C16">
        <f>'SEE Question Paper Mapping'!C14</f>
        <v/>
      </c>
      <c r="D16">
        <f>'SEE Question Paper Mapping'!D14</f>
        <v/>
      </c>
      <c r="E16">
        <f>'SEE Question Paper Mapping'!E14</f>
        <v/>
      </c>
      <c r="F16">
        <f>'SEE Question Paper Mapping'!G14</f>
        <v/>
      </c>
    </row>
    <row r="17">
      <c r="A17">
        <f>'SEE Question Paper Mapping'!A15</f>
        <v/>
      </c>
      <c r="B17">
        <f>'SEE Question Paper Mapping'!B15</f>
        <v/>
      </c>
      <c r="C17">
        <f>'SEE Question Paper Mapping'!C15</f>
        <v/>
      </c>
      <c r="D17">
        <f>'SEE Question Paper Mapping'!D15</f>
        <v/>
      </c>
      <c r="E17">
        <f>'SEE Question Paper Mapping'!E15</f>
        <v/>
      </c>
      <c r="F17">
        <f>'SEE Question Paper Mapping'!G15</f>
        <v/>
      </c>
    </row>
    <row r="18">
      <c r="A18">
        <f>'SEE Question Paper Mapping'!A16</f>
        <v/>
      </c>
      <c r="B18">
        <f>'SEE Question Paper Mapping'!B16</f>
        <v/>
      </c>
      <c r="C18">
        <f>'SEE Question Paper Mapping'!C16</f>
        <v/>
      </c>
      <c r="D18">
        <f>'SEE Question Paper Mapping'!D16</f>
        <v/>
      </c>
      <c r="E18">
        <f>'SEE Question Paper Mapping'!E16</f>
        <v/>
      </c>
      <c r="F18">
        <f>'SEE Question Paper Mapping'!G16</f>
        <v/>
      </c>
    </row>
    <row r="19">
      <c r="A19">
        <f>'SEE Question Paper Mapping'!A17</f>
        <v/>
      </c>
      <c r="B19">
        <f>'SEE Question Paper Mapping'!B17</f>
        <v/>
      </c>
      <c r="C19">
        <f>'SEE Question Paper Mapping'!C17</f>
        <v/>
      </c>
      <c r="D19">
        <f>'SEE Question Paper Mapping'!D17</f>
        <v/>
      </c>
      <c r="E19">
        <f>'SEE Question Paper Mapping'!E17</f>
        <v/>
      </c>
      <c r="F19">
        <f>'SEE Question Paper Mapping'!G17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