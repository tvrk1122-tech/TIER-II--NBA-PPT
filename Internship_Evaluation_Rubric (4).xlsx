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 Definition" sheetId="1" state="visible" r:id="rId1"/>
    <sheet xmlns:r="http://schemas.openxmlformats.org/officeDocument/2006/relationships" name="Attainment Dashboard" sheetId="2" state="visible" r:id="rId2"/>
    <sheet xmlns:r="http://schemas.openxmlformats.org/officeDocument/2006/relationships" name="Internship Weekly Logbook" sheetId="3" state="visible" r:id="rId3"/>
    <sheet xmlns:r="http://schemas.openxmlformats.org/officeDocument/2006/relationships" name="Internship Viva &amp; Markshe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sz val="14"/>
    </font>
    <font>
      <b val="1"/>
      <sz val="12"/>
    </font>
    <font>
      <b val="1"/>
      <sz val="13"/>
    </font>
    <font>
      <i val="1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BBB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8" customWidth="1" min="4" max="4"/>
    <col width="12" customWidth="1" min="5" max="5"/>
    <col width="20" customWidth="1" min="6" max="6"/>
    <col width="20" customWidth="1" min="7" max="7"/>
    <col width="28" customWidth="1" min="8" max="8"/>
  </cols>
  <sheetData>
    <row r="2">
      <c r="A2" s="1" t="inlineStr">
        <is>
          <t>Continuous Assessment Rubric Definitions</t>
        </is>
      </c>
    </row>
    <row r="3">
      <c r="A3" s="2" t="inlineStr">
        <is>
          <t>Criterion ID</t>
        </is>
      </c>
      <c r="B3" s="2" t="inlineStr">
        <is>
          <t>Criterion Name</t>
        </is>
      </c>
      <c r="C3" s="2" t="inlineStr">
        <is>
          <t>Phase</t>
        </is>
      </c>
      <c r="D3" s="2" t="inlineStr">
        <is>
          <t>Weight (decimal)</t>
        </is>
      </c>
      <c r="E3" s="2" t="inlineStr">
        <is>
          <t>CO Mapped</t>
        </is>
      </c>
      <c r="F3" s="2" t="inlineStr">
        <is>
          <t>PO(s) Mapped</t>
        </is>
      </c>
      <c r="G3" s="2" t="inlineStr">
        <is>
          <t>PSO(s) Mapped</t>
        </is>
      </c>
      <c r="H3" s="2" t="inlineStr">
        <is>
          <t>Notes/Evidence</t>
        </is>
      </c>
    </row>
    <row r="4">
      <c r="A4" t="inlineStr">
        <is>
          <t>C1</t>
        </is>
      </c>
      <c r="B4" t="inlineStr">
        <is>
          <t>Regularity &amp; Punctuality</t>
        </is>
      </c>
      <c r="C4" t="inlineStr">
        <is>
          <t>Continuous</t>
        </is>
      </c>
      <c r="D4" t="n">
        <v>0.1</v>
      </c>
      <c r="E4" t="inlineStr">
        <is>
          <t>CO1</t>
        </is>
      </c>
      <c r="F4" t="inlineStr">
        <is>
          <t>PO9, PO11</t>
        </is>
      </c>
      <c r="G4" t="inlineStr">
        <is>
          <t>PSO3</t>
        </is>
      </c>
    </row>
    <row r="5">
      <c r="A5" t="inlineStr">
        <is>
          <t>C2</t>
        </is>
      </c>
      <c r="B5" t="inlineStr">
        <is>
          <t>Work Discipline &amp; Ethics</t>
        </is>
      </c>
      <c r="C5" t="inlineStr">
        <is>
          <t>Continuous</t>
        </is>
      </c>
      <c r="D5" t="n">
        <v>0.1</v>
      </c>
      <c r="E5" t="inlineStr">
        <is>
          <t>CO1</t>
        </is>
      </c>
      <c r="F5" t="inlineStr">
        <is>
          <t>PO8</t>
        </is>
      </c>
      <c r="G5" t="inlineStr">
        <is>
          <t>PSO3</t>
        </is>
      </c>
    </row>
    <row r="6">
      <c r="A6" t="inlineStr">
        <is>
          <t>C3</t>
        </is>
      </c>
      <c r="B6" t="inlineStr">
        <is>
          <t>Weekly Progress Reports</t>
        </is>
      </c>
      <c r="C6" t="inlineStr">
        <is>
          <t>Continuous</t>
        </is>
      </c>
      <c r="D6" t="n">
        <v>0.2</v>
      </c>
      <c r="E6" t="inlineStr">
        <is>
          <t>CO2</t>
        </is>
      </c>
      <c r="F6" t="inlineStr">
        <is>
          <t>PO2</t>
        </is>
      </c>
      <c r="G6" t="inlineStr">
        <is>
          <t>PSO1</t>
        </is>
      </c>
    </row>
    <row r="7">
      <c r="A7" t="inlineStr">
        <is>
          <t>C4</t>
        </is>
      </c>
      <c r="B7" t="inlineStr">
        <is>
          <t>Task Engagement</t>
        </is>
      </c>
      <c r="C7" t="inlineStr">
        <is>
          <t>Continuous</t>
        </is>
      </c>
      <c r="D7" t="n">
        <v>0.2</v>
      </c>
      <c r="E7" t="inlineStr">
        <is>
          <t>CO3</t>
        </is>
      </c>
      <c r="F7" t="inlineStr">
        <is>
          <t>PO5, PO6</t>
        </is>
      </c>
      <c r="G7" t="inlineStr">
        <is>
          <t>PSO2</t>
        </is>
      </c>
    </row>
    <row r="8">
      <c r="A8" t="inlineStr">
        <is>
          <t>C5</t>
        </is>
      </c>
      <c r="B8" t="inlineStr">
        <is>
          <t>Industry Supervisor Feedback</t>
        </is>
      </c>
      <c r="C8" t="inlineStr">
        <is>
          <t>Continuous</t>
        </is>
      </c>
      <c r="D8" t="n">
        <v>0.4</v>
      </c>
      <c r="E8" t="inlineStr">
        <is>
          <t>CO4</t>
        </is>
      </c>
      <c r="F8" t="inlineStr">
        <is>
          <t>PO10</t>
        </is>
      </c>
      <c r="G8" t="inlineStr">
        <is>
          <t>PSO2</t>
        </is>
      </c>
    </row>
    <row r="12">
      <c r="A12" s="3" t="inlineStr">
        <is>
          <t>SEE (Semester End Evaluation) Rubric Definitions</t>
        </is>
      </c>
    </row>
    <row r="13">
      <c r="A13" s="2" t="inlineStr">
        <is>
          <t>Criterion ID</t>
        </is>
      </c>
      <c r="B13" s="2" t="inlineStr">
        <is>
          <t>Criterion Name</t>
        </is>
      </c>
      <c r="C13" s="2" t="inlineStr">
        <is>
          <t>Phase</t>
        </is>
      </c>
      <c r="D13" s="2" t="inlineStr">
        <is>
          <t>Weight (decimal)</t>
        </is>
      </c>
      <c r="E13" s="2" t="inlineStr">
        <is>
          <t>CO Mapped</t>
        </is>
      </c>
      <c r="F13" s="2" t="inlineStr">
        <is>
          <t>PO(s) Mapped</t>
        </is>
      </c>
      <c r="G13" s="2" t="inlineStr">
        <is>
          <t>PSO(s) Mapped</t>
        </is>
      </c>
      <c r="H13" s="2" t="inlineStr">
        <is>
          <t>Notes/Evidence</t>
        </is>
      </c>
    </row>
    <row r="14">
      <c r="A14" t="inlineStr">
        <is>
          <t>S1</t>
        </is>
      </c>
      <c r="B14" t="inlineStr">
        <is>
          <t>Final Report</t>
        </is>
      </c>
      <c r="C14" t="inlineStr">
        <is>
          <t>SEE</t>
        </is>
      </c>
      <c r="D14" t="n">
        <v>0.3</v>
      </c>
      <c r="E14" t="inlineStr">
        <is>
          <t>CO5</t>
        </is>
      </c>
      <c r="F14" t="inlineStr">
        <is>
          <t>PO1, PO2</t>
        </is>
      </c>
      <c r="G14" t="inlineStr">
        <is>
          <t>PSO1</t>
        </is>
      </c>
    </row>
    <row r="15">
      <c r="A15" t="inlineStr">
        <is>
          <t>S2</t>
        </is>
      </c>
      <c r="B15" t="inlineStr">
        <is>
          <t>Seminar/Presentation</t>
        </is>
      </c>
      <c r="C15" t="inlineStr">
        <is>
          <t>SEE</t>
        </is>
      </c>
      <c r="D15" t="n">
        <v>0.3</v>
      </c>
      <c r="E15" t="inlineStr">
        <is>
          <t>CO6</t>
        </is>
      </c>
      <c r="F15" t="inlineStr">
        <is>
          <t>PO10, PO12</t>
        </is>
      </c>
      <c r="G15" t="inlineStr">
        <is>
          <t>PSO3</t>
        </is>
      </c>
    </row>
    <row r="16">
      <c r="A16" t="inlineStr">
        <is>
          <t>S3</t>
        </is>
      </c>
      <c r="B16" t="inlineStr">
        <is>
          <t>Viva Voce</t>
        </is>
      </c>
      <c r="C16" t="inlineStr">
        <is>
          <t>SEE</t>
        </is>
      </c>
      <c r="D16" t="n">
        <v>0.4</v>
      </c>
      <c r="E16" t="inlineStr">
        <is>
          <t>CO6</t>
        </is>
      </c>
      <c r="F16" t="inlineStr">
        <is>
          <t>PO9</t>
        </is>
      </c>
      <c r="G16" t="inlineStr">
        <is>
          <t>PSO3</t>
        </is>
      </c>
    </row>
  </sheetData>
  <mergeCells count="2">
    <mergeCell ref="A2:H2"/>
    <mergeCell ref="A12:H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0" customWidth="1" min="6" max="6"/>
    <col width="18" customWidth="1" min="7" max="7"/>
    <col width="32" customWidth="1" min="9" max="9"/>
  </cols>
  <sheetData>
    <row r="1">
      <c r="A1" s="4" t="inlineStr">
        <is>
          <t>Internship — Attainment Dashboard (Continuous + SEE → CO → PO/PSO)</t>
        </is>
      </c>
      <c r="H1" s="7" t="inlineStr">
        <is>
          <t>Notes</t>
        </is>
      </c>
    </row>
    <row r="2">
      <c r="H2" t="inlineStr">
        <is>
          <t>Weightage: 60% Continuous + 40% SEE</t>
        </is>
      </c>
    </row>
    <row r="3">
      <c r="A3" s="5" t="inlineStr">
        <is>
          <t>Section A — CO-wise Attainment Summary</t>
        </is>
      </c>
      <c r="H3" t="inlineStr">
        <is>
          <t>Threshold (Level 3): ≥ 2.5</t>
        </is>
      </c>
    </row>
    <row r="4">
      <c r="A4" s="6" t="inlineStr">
        <is>
          <t>CO</t>
        </is>
      </c>
      <c r="B4" s="6" t="inlineStr">
        <is>
          <t>Continuous Avg (0–3)</t>
        </is>
      </c>
      <c r="C4" s="6" t="inlineStr">
        <is>
          <t>SEE Avg (0–3)</t>
        </is>
      </c>
      <c r="D4" s="6" t="inlineStr">
        <is>
          <t>Weighted Avg (60/40)</t>
        </is>
      </c>
      <c r="E4" s="6" t="inlineStr">
        <is>
          <t>Final Level (0–3)</t>
        </is>
      </c>
      <c r="F4" s="6" t="inlineStr">
        <is>
          <t>PO(s)</t>
        </is>
      </c>
      <c r="G4" s="6" t="inlineStr">
        <is>
          <t>PSO(s)</t>
        </is>
      </c>
      <c r="H4" t="inlineStr">
        <is>
          <t>Threshold (Level 2): 2.0–2.49</t>
        </is>
      </c>
    </row>
    <row r="5">
      <c r="A5">
        <f>'CO Attainment (Internship)'!A2</f>
        <v/>
      </c>
      <c r="B5">
        <f>'CO Attainment (Internship)'!B2</f>
        <v/>
      </c>
      <c r="C5">
        <f>'CO Attainment (Internship)'!C2</f>
        <v/>
      </c>
      <c r="D5">
        <f>'CO Attainment (Internship)'!D2</f>
        <v/>
      </c>
      <c r="E5">
        <f>'CO Attainment (Internship)'!E2</f>
        <v/>
      </c>
      <c r="F5">
        <f>'CO Attainment (Internship)'!F2</f>
        <v/>
      </c>
      <c r="G5">
        <f>'CO Attainment (Internship)'!G2</f>
        <v/>
      </c>
      <c r="H5" t="inlineStr">
        <is>
          <t>Threshold (Level 1): 1.5–1.99</t>
        </is>
      </c>
    </row>
    <row r="6">
      <c r="A6">
        <f>'CO Attainment (Internship)'!A3</f>
        <v/>
      </c>
      <c r="B6">
        <f>'CO Attainment (Internship)'!B3</f>
        <v/>
      </c>
      <c r="C6">
        <f>'CO Attainment (Internship)'!C3</f>
        <v/>
      </c>
      <c r="D6">
        <f>'CO Attainment (Internship)'!D3</f>
        <v/>
      </c>
      <c r="E6">
        <f>'CO Attainment (Internship)'!E3</f>
        <v/>
      </c>
      <c r="F6">
        <f>'CO Attainment (Internship)'!F3</f>
        <v/>
      </c>
      <c r="G6">
        <f>'CO Attainment (Internship)'!G3</f>
        <v/>
      </c>
      <c r="H6" t="inlineStr">
        <is>
          <t>Threshold (Level 0): &lt; 1.5</t>
        </is>
      </c>
    </row>
    <row r="7">
      <c r="A7">
        <f>'CO Attainment (Internship)'!A4</f>
        <v/>
      </c>
      <c r="B7">
        <f>'CO Attainment (Internship)'!B4</f>
        <v/>
      </c>
      <c r="C7">
        <f>'CO Attainment (Internship)'!C4</f>
        <v/>
      </c>
      <c r="D7">
        <f>'CO Attainment (Internship)'!D4</f>
        <v/>
      </c>
      <c r="E7">
        <f>'CO Attainment (Internship)'!E4</f>
        <v/>
      </c>
      <c r="F7">
        <f>'CO Attainment (Internship)'!F4</f>
        <v/>
      </c>
      <c r="G7">
        <f>'CO Attainment (Internship)'!G4</f>
        <v/>
      </c>
    </row>
    <row r="8">
      <c r="A8">
        <f>'CO Attainment (Internship)'!A5</f>
        <v/>
      </c>
      <c r="B8">
        <f>'CO Attainment (Internship)'!B5</f>
        <v/>
      </c>
      <c r="C8">
        <f>'CO Attainment (Internship)'!C5</f>
        <v/>
      </c>
      <c r="D8">
        <f>'CO Attainment (Internship)'!D5</f>
        <v/>
      </c>
      <c r="E8">
        <f>'CO Attainment (Internship)'!E5</f>
        <v/>
      </c>
      <c r="F8">
        <f>'CO Attainment (Internship)'!F5</f>
        <v/>
      </c>
      <c r="G8">
        <f>'CO Attainment (Internship)'!G5</f>
        <v/>
      </c>
    </row>
    <row r="9">
      <c r="A9">
        <f>'CO Attainment (Internship)'!A6</f>
        <v/>
      </c>
      <c r="B9">
        <f>'CO Attainment (Internship)'!B6</f>
        <v/>
      </c>
      <c r="C9">
        <f>'CO Attainment (Internship)'!C6</f>
        <v/>
      </c>
      <c r="D9">
        <f>'CO Attainment (Internship)'!D6</f>
        <v/>
      </c>
      <c r="E9">
        <f>'CO Attainment (Internship)'!E6</f>
        <v/>
      </c>
      <c r="F9">
        <f>'CO Attainment (Internship)'!F6</f>
        <v/>
      </c>
      <c r="G9">
        <f>'CO Attainment (Internship)'!G6</f>
        <v/>
      </c>
    </row>
    <row r="10">
      <c r="A10">
        <f>'CO Attainment (Internship)'!A7</f>
        <v/>
      </c>
      <c r="B10">
        <f>'CO Attainment (Internship)'!B7</f>
        <v/>
      </c>
      <c r="C10">
        <f>'CO Attainment (Internship)'!C7</f>
        <v/>
      </c>
      <c r="D10">
        <f>'CO Attainment (Internship)'!D7</f>
        <v/>
      </c>
      <c r="E10">
        <f>'CO Attainment (Internship)'!E7</f>
        <v/>
      </c>
      <c r="F10">
        <f>'CO Attainment (Internship)'!F7</f>
        <v/>
      </c>
      <c r="G10">
        <f>'CO Attainment (Internship)'!G7</f>
        <v/>
      </c>
    </row>
    <row r="12">
      <c r="A12" s="5" t="inlineStr">
        <is>
          <t>Section B — Aggregated PO/PSO Attainment</t>
        </is>
      </c>
    </row>
    <row r="13">
      <c r="A13" s="6" t="inlineStr">
        <is>
          <t>Outcome</t>
        </is>
      </c>
      <c r="B13" s="6" t="inlineStr">
        <is>
          <t>Aggregated Attainment (Avg Level)</t>
        </is>
      </c>
    </row>
    <row r="14">
      <c r="A14">
        <f>IF('PO_PSO Aggregation'!A2="","",'PO_PSO Aggregation'!A2)</f>
        <v/>
      </c>
      <c r="B14">
        <f>IF('PO_PSO Aggregation'!B2="","",'PO_PSO Aggregation'!B2)</f>
        <v/>
      </c>
    </row>
    <row r="15">
      <c r="A15">
        <f>IF('PO_PSO Aggregation'!A3="","",'PO_PSO Aggregation'!A3)</f>
        <v/>
      </c>
      <c r="B15">
        <f>IF('PO_PSO Aggregation'!B3="","",'PO_PSO Aggregation'!B3)</f>
        <v/>
      </c>
    </row>
    <row r="16">
      <c r="A16">
        <f>IF('PO_PSO Aggregation'!A4="","",'PO_PSO Aggregation'!A4)</f>
        <v/>
      </c>
      <c r="B16">
        <f>IF('PO_PSO Aggregation'!B4="","",'PO_PSO Aggregation'!B4)</f>
        <v/>
      </c>
    </row>
    <row r="17">
      <c r="A17">
        <f>IF('PO_PSO Aggregation'!A5="","",'PO_PSO Aggregation'!A5)</f>
        <v/>
      </c>
      <c r="B17">
        <f>IF('PO_PSO Aggregation'!B5="","",'PO_PSO Aggregation'!B5)</f>
        <v/>
      </c>
    </row>
    <row r="18">
      <c r="A18">
        <f>IF('PO_PSO Aggregation'!A6="","",'PO_PSO Aggregation'!A6)</f>
        <v/>
      </c>
      <c r="B18">
        <f>IF('PO_PSO Aggregation'!B6="","",'PO_PSO Aggregation'!B6)</f>
        <v/>
      </c>
    </row>
    <row r="19">
      <c r="A19">
        <f>IF('PO_PSO Aggregation'!A7="","",'PO_PSO Aggregation'!A7)</f>
        <v/>
      </c>
      <c r="B19">
        <f>IF('PO_PSO Aggregation'!B7="","",'PO_PSO Aggregation'!B7)</f>
        <v/>
      </c>
    </row>
    <row r="20">
      <c r="A20">
        <f>IF('PO_PSO Aggregation'!A8="","",'PO_PSO Aggregation'!A8)</f>
        <v/>
      </c>
      <c r="B20">
        <f>IF('PO_PSO Aggregation'!B8="","",'PO_PSO Aggregation'!B8)</f>
        <v/>
      </c>
    </row>
    <row r="21">
      <c r="A21">
        <f>IF('PO_PSO Aggregation'!A9="","",'PO_PSO Aggregation'!A9)</f>
        <v/>
      </c>
      <c r="B21">
        <f>IF('PO_PSO Aggregation'!B9="","",'PO_PSO Aggregation'!B9)</f>
        <v/>
      </c>
    </row>
    <row r="22">
      <c r="A22">
        <f>IF('PO_PSO Aggregation'!A10="","",'PO_PSO Aggregation'!A10)</f>
        <v/>
      </c>
      <c r="B22">
        <f>IF('PO_PSO Aggregation'!B10="","",'PO_PSO Aggregation'!B10)</f>
        <v/>
      </c>
    </row>
    <row r="23">
      <c r="A23">
        <f>IF('PO_PSO Aggregation'!A11="","",'PO_PSO Aggregation'!A11)</f>
        <v/>
      </c>
      <c r="B23">
        <f>IF('PO_PSO Aggregation'!B11="","",'PO_PSO Aggregation'!B11)</f>
        <v/>
      </c>
    </row>
    <row r="24">
      <c r="A24">
        <f>IF('PO_PSO Aggregation'!A12="","",'PO_PSO Aggregation'!A12)</f>
        <v/>
      </c>
      <c r="B24">
        <f>IF('PO_PSO Aggregation'!B12="","",'PO_PSO Aggregation'!B12)</f>
        <v/>
      </c>
    </row>
    <row r="25">
      <c r="A25">
        <f>IF('PO_PSO Aggregation'!A13="","",'PO_PSO Aggregation'!A13)</f>
        <v/>
      </c>
      <c r="B25">
        <f>IF('PO_PSO Aggregation'!B13="","",'PO_PSO Aggregation'!B13)</f>
        <v/>
      </c>
    </row>
    <row r="26">
      <c r="A26">
        <f>IF('PO_PSO Aggregation'!A14="","",'PO_PSO Aggregation'!A14)</f>
        <v/>
      </c>
      <c r="B26">
        <f>IF('PO_PSO Aggregation'!B14="","",'PO_PSO Aggregation'!B14)</f>
        <v/>
      </c>
    </row>
    <row r="27">
      <c r="A27">
        <f>IF('PO_PSO Aggregation'!A15="","",'PO_PSO Aggregation'!A15)</f>
        <v/>
      </c>
      <c r="B27">
        <f>IF('PO_PSO Aggregation'!B15="","",'PO_PSO Aggregation'!B15)</f>
        <v/>
      </c>
    </row>
    <row r="28">
      <c r="A28">
        <f>IF('PO_PSO Aggregation'!A16="","",'PO_PSO Aggregation'!A16)</f>
        <v/>
      </c>
      <c r="B28">
        <f>IF('PO_PSO Aggregation'!B16="","",'PO_PSO Aggregation'!B16)</f>
        <v/>
      </c>
    </row>
    <row r="29">
      <c r="A29">
        <f>IF('PO_PSO Aggregation'!A17="","",'PO_PSO Aggregation'!A17)</f>
        <v/>
      </c>
      <c r="B29">
        <f>IF('PO_PSO Aggregation'!B17="","",'PO_PSO Aggregation'!B17)</f>
        <v/>
      </c>
    </row>
    <row r="30">
      <c r="A30">
        <f>IF('PO_PSO Aggregation'!A18="","",'PO_PSO Aggregation'!A18)</f>
        <v/>
      </c>
      <c r="B30">
        <f>IF('PO_PSO Aggregation'!B18="","",'PO_PSO Aggregation'!B18)</f>
        <v/>
      </c>
    </row>
    <row r="31">
      <c r="A31">
        <f>IF('PO_PSO Aggregation'!A19="","",'PO_PSO Aggregation'!A19)</f>
        <v/>
      </c>
      <c r="B31">
        <f>IF('PO_PSO Aggregation'!B19="","",'PO_PSO Aggregation'!B19)</f>
        <v/>
      </c>
    </row>
    <row r="32">
      <c r="A32">
        <f>IF('PO_PSO Aggregation'!A20="","",'PO_PSO Aggregation'!A20)</f>
        <v/>
      </c>
      <c r="B32">
        <f>IF('PO_PSO Aggregation'!B20="","",'PO_PSO Aggregation'!B20)</f>
        <v/>
      </c>
    </row>
    <row r="33">
      <c r="A33">
        <f>IF('PO_PSO Aggregation'!A21="","",'PO_PSO Aggregation'!A21)</f>
        <v/>
      </c>
      <c r="B33">
        <f>IF('PO_PSO Aggregation'!B21="","",'PO_PSO Aggregation'!B21)</f>
        <v/>
      </c>
    </row>
    <row r="34">
      <c r="A34">
        <f>IF('PO_PSO Aggregation'!A22="","",'PO_PSO Aggregation'!A22)</f>
        <v/>
      </c>
      <c r="B34">
        <f>IF('PO_PSO Aggregation'!B22="","",'PO_PSO Aggregation'!B22)</f>
        <v/>
      </c>
    </row>
    <row r="35">
      <c r="A35">
        <f>IF('PO_PSO Aggregation'!A23="","",'PO_PSO Aggregation'!A23)</f>
        <v/>
      </c>
      <c r="B35">
        <f>IF('PO_PSO Aggregation'!B23="","",'PO_PSO Aggregation'!B23)</f>
        <v/>
      </c>
    </row>
    <row r="36">
      <c r="A36">
        <f>IF('PO_PSO Aggregation'!A24="","",'PO_PSO Aggregation'!A24)</f>
        <v/>
      </c>
      <c r="B36">
        <f>IF('PO_PSO Aggregation'!B24="","",'PO_PSO Aggregation'!B24)</f>
        <v/>
      </c>
    </row>
    <row r="37">
      <c r="A37">
        <f>IF('PO_PSO Aggregation'!A25="","",'PO_PSO Aggregation'!A25)</f>
        <v/>
      </c>
      <c r="B37">
        <f>IF('PO_PSO Aggregation'!B25="","",'PO_PSO Aggregation'!B25)</f>
        <v/>
      </c>
    </row>
    <row r="38">
      <c r="A38">
        <f>IF('PO_PSO Aggregation'!A26="","",'PO_PSO Aggregation'!A26)</f>
        <v/>
      </c>
      <c r="B38">
        <f>IF('PO_PSO Aggregation'!B26="","",'PO_PSO Aggregation'!B26)</f>
        <v/>
      </c>
    </row>
    <row r="39">
      <c r="A39">
        <f>IF('PO_PSO Aggregation'!A27="","",'PO_PSO Aggregation'!A27)</f>
        <v/>
      </c>
      <c r="B39">
        <f>IF('PO_PSO Aggregation'!B27="","",'PO_PSO Aggregation'!B27)</f>
        <v/>
      </c>
    </row>
    <row r="40">
      <c r="A40">
        <f>IF('PO_PSO Aggregation'!A28="","",'PO_PSO Aggregation'!A28)</f>
        <v/>
      </c>
      <c r="B40">
        <f>IF('PO_PSO Aggregation'!B28="","",'PO_PSO Aggregation'!B28)</f>
        <v/>
      </c>
    </row>
    <row r="41">
      <c r="A41">
        <f>IF('PO_PSO Aggregation'!A29="","",'PO_PSO Aggregation'!A29)</f>
        <v/>
      </c>
      <c r="B41">
        <f>IF('PO_PSO Aggregation'!B29="","",'PO_PSO Aggregation'!B29)</f>
        <v/>
      </c>
    </row>
    <row r="42">
      <c r="A42">
        <f>IF('PO_PSO Aggregation'!A30="","",'PO_PSO Aggregation'!A30)</f>
        <v/>
      </c>
      <c r="B42">
        <f>IF('PO_PSO Aggregation'!B30="","",'PO_PSO Aggregation'!B30)</f>
        <v/>
      </c>
    </row>
    <row r="43">
      <c r="A43">
        <f>IF('PO_PSO Aggregation'!A31="","",'PO_PSO Aggregation'!A31)</f>
        <v/>
      </c>
      <c r="B43">
        <f>IF('PO_PSO Aggregation'!B31="","",'PO_PSO Aggregation'!B31)</f>
        <v/>
      </c>
    </row>
    <row r="44">
      <c r="A44">
        <f>IF('PO_PSO Aggregation'!A32="","",'PO_PSO Aggregation'!A32)</f>
        <v/>
      </c>
      <c r="B44">
        <f>IF('PO_PSO Aggregation'!B32="","",'PO_PSO Aggregation'!B32)</f>
        <v/>
      </c>
    </row>
    <row r="45">
      <c r="A45">
        <f>IF('PO_PSO Aggregation'!A33="","",'PO_PSO Aggregation'!A33)</f>
        <v/>
      </c>
      <c r="B45">
        <f>IF('PO_PSO Aggregation'!B33="","",'PO_PSO Aggregation'!B33)</f>
        <v/>
      </c>
    </row>
    <row r="46">
      <c r="A46">
        <f>IF('PO_PSO Aggregation'!A34="","",'PO_PSO Aggregation'!A34)</f>
        <v/>
      </c>
      <c r="B46">
        <f>IF('PO_PSO Aggregation'!B34="","",'PO_PSO Aggregation'!B34)</f>
        <v/>
      </c>
    </row>
    <row r="47">
      <c r="A47">
        <f>IF('PO_PSO Aggregation'!A35="","",'PO_PSO Aggregation'!A35)</f>
        <v/>
      </c>
      <c r="B47">
        <f>IF('PO_PSO Aggregation'!B35="","",'PO_PSO Aggregation'!B35)</f>
        <v/>
      </c>
    </row>
    <row r="48">
      <c r="A48">
        <f>IF('PO_PSO Aggregation'!A36="","",'PO_PSO Aggregation'!A36)</f>
        <v/>
      </c>
      <c r="B48">
        <f>IF('PO_PSO Aggregation'!B36="","",'PO_PSO Aggregation'!B36)</f>
        <v/>
      </c>
    </row>
    <row r="49">
      <c r="A49">
        <f>IF('PO_PSO Aggregation'!A37="","",'PO_PSO Aggregation'!A37)</f>
        <v/>
      </c>
      <c r="B49">
        <f>IF('PO_PSO Aggregation'!B37="","",'PO_PSO Aggregation'!B37)</f>
        <v/>
      </c>
    </row>
    <row r="50">
      <c r="A50">
        <f>IF('PO_PSO Aggregation'!A38="","",'PO_PSO Aggregation'!A38)</f>
        <v/>
      </c>
      <c r="B50">
        <f>IF('PO_PSO Aggregation'!B38="","",'PO_PSO Aggregation'!B38)</f>
        <v/>
      </c>
    </row>
    <row r="51">
      <c r="A51">
        <f>IF('PO_PSO Aggregation'!A39="","",'PO_PSO Aggregation'!A39)</f>
        <v/>
      </c>
      <c r="B51">
        <f>IF('PO_PSO Aggregation'!B39="","",'PO_PSO Aggregation'!B39)</f>
        <v/>
      </c>
    </row>
    <row r="52">
      <c r="A52">
        <f>IF('PO_PSO Aggregation'!A40="","",'PO_PSO Aggregation'!A40)</f>
        <v/>
      </c>
      <c r="B52">
        <f>IF('PO_PSO Aggregation'!B40="","",'PO_PSO Aggregation'!B40)</f>
        <v/>
      </c>
    </row>
    <row r="53">
      <c r="A53">
        <f>IF('PO_PSO Aggregation'!A41="","",'PO_PSO Aggregation'!A41)</f>
        <v/>
      </c>
      <c r="B53">
        <f>IF('PO_PSO Aggregation'!B41="","",'PO_PSO Aggregation'!B41)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16" customWidth="1" min="4" max="4"/>
    <col width="28" customWidth="1" min="5" max="5"/>
    <col width="28" customWidth="1" min="6" max="6"/>
    <col width="24" customWidth="1" min="7" max="7"/>
    <col width="22" customWidth="1" min="8" max="8"/>
    <col width="16" customWidth="1" min="9" max="9"/>
    <col width="16" customWidth="1" min="10" max="10"/>
    <col width="28" customWidth="1" min="11" max="11"/>
    <col width="30" customWidth="1" min="12" max="12"/>
    <col width="30" customWidth="1" min="13" max="13"/>
  </cols>
  <sheetData>
    <row r="1">
      <c r="A1" s="8" t="inlineStr">
        <is>
          <t>Internship Weekly Logbook (Signed by Industry Supervisor &amp; Verified by Faculty Mentor)</t>
        </is>
      </c>
    </row>
    <row r="2">
      <c r="A2" s="9" t="inlineStr">
        <is>
          <t>Note: Weekly Score uses rubric scale 0–3; ensure both supervisor and faculty sign each entry.</t>
        </is>
      </c>
    </row>
    <row r="3">
      <c r="A3" s="6" t="inlineStr">
        <is>
          <t>Student ID</t>
        </is>
      </c>
      <c r="B3" s="6" t="inlineStr">
        <is>
          <t>Student Name</t>
        </is>
      </c>
      <c r="C3" s="6" t="inlineStr">
        <is>
          <t>Week #</t>
        </is>
      </c>
      <c r="D3" s="6" t="inlineStr">
        <is>
          <t>Dates (From–To)</t>
        </is>
      </c>
      <c r="E3" s="6" t="inlineStr">
        <is>
          <t>Tasks Assigned</t>
        </is>
      </c>
      <c r="F3" s="6" t="inlineStr">
        <is>
          <t>Tasks Completed</t>
        </is>
      </c>
      <c r="G3" s="6" t="inlineStr">
        <is>
          <t>Skills Learned</t>
        </is>
      </c>
      <c r="H3" s="6" t="inlineStr">
        <is>
          <t>Challenges Faced</t>
        </is>
      </c>
      <c r="I3" s="6" t="inlineStr">
        <is>
          <t>COs Targeted</t>
        </is>
      </c>
      <c r="J3" s="6" t="inlineStr">
        <is>
          <t>Weekly Score (0–3)</t>
        </is>
      </c>
      <c r="K3" s="6" t="inlineStr">
        <is>
          <t>Supervisor Feedback / Signature</t>
        </is>
      </c>
      <c r="L3" s="6" t="inlineStr">
        <is>
          <t>Faculty Mentor Remarks / Signature</t>
        </is>
      </c>
      <c r="M3" s="6" t="inlineStr">
        <is>
          <t>Evidence File (Scan/Link)</t>
        </is>
      </c>
    </row>
    <row r="4">
      <c r="A4" t="inlineStr">
        <is>
          <t>INT101</t>
        </is>
      </c>
      <c r="B4" t="inlineStr">
        <is>
          <t>A. Kumar</t>
        </is>
      </c>
      <c r="C4" t="n">
        <v>1</v>
      </c>
      <c r="D4" t="inlineStr">
        <is>
          <t>01–07 Jun</t>
        </is>
      </c>
      <c r="E4" t="inlineStr">
        <is>
          <t>Safety induction, tool familiarization</t>
        </is>
      </c>
      <c r="F4" t="inlineStr">
        <is>
          <t>Completed safety training</t>
        </is>
      </c>
      <c r="G4" t="inlineStr">
        <is>
          <t>Workplace safety rules</t>
        </is>
      </c>
      <c r="H4" t="inlineStr">
        <is>
          <t>—</t>
        </is>
      </c>
      <c r="I4" t="inlineStr">
        <is>
          <t>CO1, CO2</t>
        </is>
      </c>
      <c r="J4" t="n">
        <v>2</v>
      </c>
      <c r="K4" t="inlineStr">
        <is>
          <t>Punctual; attentive  ✔</t>
        </is>
      </c>
      <c r="L4" t="inlineStr">
        <is>
          <t>Verified  ✔</t>
        </is>
      </c>
      <c r="M4" t="inlineStr">
        <is>
          <t>INT101_Week1_Log.pdf</t>
        </is>
      </c>
    </row>
    <row r="5">
      <c r="A5" t="inlineStr">
        <is>
          <t>INT101</t>
        </is>
      </c>
      <c r="B5" t="inlineStr">
        <is>
          <t>A. Kumar</t>
        </is>
      </c>
      <c r="C5" t="n">
        <v>2</v>
      </c>
      <c r="D5" t="inlineStr">
        <is>
          <t>08–14 Jun</t>
        </is>
      </c>
      <c r="E5" t="inlineStr">
        <is>
          <t>Assist in design documentation</t>
        </is>
      </c>
      <c r="F5" t="inlineStr">
        <is>
          <t>Drafted initial drawings</t>
        </is>
      </c>
      <c r="G5" t="inlineStr">
        <is>
          <t>CAD basics</t>
        </is>
      </c>
      <c r="H5" t="inlineStr">
        <is>
          <t>Time constraints</t>
        </is>
      </c>
      <c r="I5" t="inlineStr">
        <is>
          <t>CO3</t>
        </is>
      </c>
      <c r="J5" t="n">
        <v>3</v>
      </c>
      <c r="K5" t="inlineStr">
        <is>
          <t>Good learning progress  ✔</t>
        </is>
      </c>
      <c r="L5" t="inlineStr">
        <is>
          <t>Verified  ✔</t>
        </is>
      </c>
      <c r="M5" t="inlineStr">
        <is>
          <t>INT101_Week2_Log.pdf</t>
        </is>
      </c>
    </row>
    <row r="6">
      <c r="A6" t="inlineStr">
        <is>
          <t>INT102</t>
        </is>
      </c>
      <c r="B6" t="inlineStr">
        <is>
          <t>B. Singh</t>
        </is>
      </c>
      <c r="C6" t="n">
        <v>1</v>
      </c>
      <c r="D6" t="inlineStr">
        <is>
          <t>01–07 Jun</t>
        </is>
      </c>
      <c r="E6" t="inlineStr">
        <is>
          <t>Orientation, SOP reading</t>
        </is>
      </c>
      <c r="F6" t="inlineStr">
        <is>
          <t>Completed orientation</t>
        </is>
      </c>
      <c r="G6" t="inlineStr">
        <is>
          <t>Process awareness</t>
        </is>
      </c>
      <c r="H6" t="inlineStr">
        <is>
          <t>Late submission</t>
        </is>
      </c>
      <c r="I6" t="inlineStr">
        <is>
          <t>CO1</t>
        </is>
      </c>
      <c r="J6" t="n">
        <v>1</v>
      </c>
      <c r="K6" t="inlineStr">
        <is>
          <t>Needs to improve punctuality  ✔</t>
        </is>
      </c>
      <c r="L6" t="inlineStr">
        <is>
          <t>Verified  ✔</t>
        </is>
      </c>
      <c r="M6" t="inlineStr">
        <is>
          <t>INT102_Week1_Log.pdf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0" customWidth="1" min="4" max="4"/>
    <col width="16" customWidth="1" min="5" max="5"/>
    <col width="18" customWidth="1" min="6" max="6"/>
    <col width="18" customWidth="1" min="7" max="7"/>
    <col width="24" customWidth="1" min="8" max="8"/>
    <col width="20" customWidth="1" min="9" max="9"/>
    <col width="24" customWidth="1" min="10" max="10"/>
    <col width="32" customWidth="1" min="11" max="11"/>
  </cols>
  <sheetData>
    <row r="1">
      <c r="A1" s="8" t="inlineStr">
        <is>
          <t>Internship Viva Records &amp; Consolidated Marksheets (Rubric-based; 60% Continuous + 40% SEE)</t>
        </is>
      </c>
    </row>
    <row r="3">
      <c r="A3" s="5" t="inlineStr">
        <is>
          <t>Section A — Viva Records (Panel Evaluation; auto-pulls from 'SEE Evaluation')</t>
        </is>
      </c>
    </row>
    <row r="4">
      <c r="A4" s="6" t="inlineStr">
        <is>
          <t>Student ID</t>
        </is>
      </c>
      <c r="B4" s="6" t="inlineStr">
        <is>
          <t>Student Name</t>
        </is>
      </c>
      <c r="C4" s="6" t="inlineStr">
        <is>
          <t>Final Report (S1 0–3)</t>
        </is>
      </c>
      <c r="D4" s="6" t="inlineStr">
        <is>
          <t>Presentation (S2 0–3)</t>
        </is>
      </c>
      <c r="E4" s="6" t="inlineStr">
        <is>
          <t>Viva (S3 0–3)</t>
        </is>
      </c>
      <c r="F4" s="6" t="inlineStr">
        <is>
          <t>SEE Total (Weighted)</t>
        </is>
      </c>
      <c r="G4" s="6" t="inlineStr">
        <is>
          <t>SEE Level (0–3)</t>
        </is>
      </c>
      <c r="H4" s="6" t="inlineStr">
        <is>
          <t>Panel Members</t>
        </is>
      </c>
      <c r="I4" s="6" t="inlineStr">
        <is>
          <t>Panel Signatures</t>
        </is>
      </c>
      <c r="J4" s="6" t="inlineStr">
        <is>
          <t>Remarks</t>
        </is>
      </c>
      <c r="K4" s="6" t="inlineStr">
        <is>
          <t>Evidence File (PDF/Link)</t>
        </is>
      </c>
    </row>
    <row r="5">
      <c r="A5">
        <f>'SEE Evaluation'!A2</f>
        <v/>
      </c>
      <c r="B5">
        <f>'SEE Evaluation'!B2</f>
        <v/>
      </c>
      <c r="C5">
        <f>'SEE Evaluation'!C2</f>
        <v/>
      </c>
      <c r="D5">
        <f>'SEE Evaluation'!D2</f>
        <v/>
      </c>
      <c r="E5">
        <f>'SEE Evaluation'!E2</f>
        <v/>
      </c>
      <c r="F5">
        <f>'SEE Evaluation'!F2</f>
        <v/>
      </c>
      <c r="G5">
        <f>'SEE Evaluation'!G2</f>
        <v/>
      </c>
    </row>
    <row r="6">
      <c r="A6">
        <f>'SEE Evaluation'!A3</f>
        <v/>
      </c>
      <c r="B6">
        <f>'SEE Evaluation'!B3</f>
        <v/>
      </c>
      <c r="C6">
        <f>'SEE Evaluation'!C3</f>
        <v/>
      </c>
      <c r="D6">
        <f>'SEE Evaluation'!D3</f>
        <v/>
      </c>
      <c r="E6">
        <f>'SEE Evaluation'!E3</f>
        <v/>
      </c>
      <c r="F6">
        <f>'SEE Evaluation'!F3</f>
        <v/>
      </c>
      <c r="G6">
        <f>'SEE Evaluation'!G3</f>
        <v/>
      </c>
    </row>
    <row r="7">
      <c r="A7">
        <f>'SEE Evaluation'!A4</f>
        <v/>
      </c>
      <c r="B7">
        <f>'SEE Evaluation'!B4</f>
        <v/>
      </c>
      <c r="C7">
        <f>'SEE Evaluation'!C4</f>
        <v/>
      </c>
      <c r="D7">
        <f>'SEE Evaluation'!D4</f>
        <v/>
      </c>
      <c r="E7">
        <f>'SEE Evaluation'!E4</f>
        <v/>
      </c>
      <c r="F7">
        <f>'SEE Evaluation'!F4</f>
        <v/>
      </c>
      <c r="G7">
        <f>'SEE Evaluation'!G4</f>
        <v/>
      </c>
    </row>
    <row r="8">
      <c r="A8">
        <f>'SEE Evaluation'!A5</f>
        <v/>
      </c>
      <c r="B8">
        <f>'SEE Evaluation'!B5</f>
        <v/>
      </c>
      <c r="C8">
        <f>'SEE Evaluation'!C5</f>
        <v/>
      </c>
      <c r="D8">
        <f>'SEE Evaluation'!D5</f>
        <v/>
      </c>
      <c r="E8">
        <f>'SEE Evaluation'!E5</f>
        <v/>
      </c>
      <c r="F8">
        <f>'SEE Evaluation'!F5</f>
        <v/>
      </c>
      <c r="G8">
        <f>'SEE Evaluation'!G5</f>
        <v/>
      </c>
    </row>
    <row r="9">
      <c r="A9">
        <f>'SEE Evaluation'!A6</f>
        <v/>
      </c>
      <c r="B9">
        <f>'SEE Evaluation'!B6</f>
        <v/>
      </c>
      <c r="C9">
        <f>'SEE Evaluation'!C6</f>
        <v/>
      </c>
      <c r="D9">
        <f>'SEE Evaluation'!D6</f>
        <v/>
      </c>
      <c r="E9">
        <f>'SEE Evaluation'!E6</f>
        <v/>
      </c>
      <c r="F9">
        <f>'SEE Evaluation'!F6</f>
        <v/>
      </c>
      <c r="G9">
        <f>'SEE Evaluation'!G6</f>
        <v/>
      </c>
    </row>
    <row r="10">
      <c r="A10">
        <f>'SEE Evaluation'!A7</f>
        <v/>
      </c>
      <c r="B10">
        <f>'SEE Evaluation'!B7</f>
        <v/>
      </c>
      <c r="C10">
        <f>'SEE Evaluation'!C7</f>
        <v/>
      </c>
      <c r="D10">
        <f>'SEE Evaluation'!D7</f>
        <v/>
      </c>
      <c r="E10">
        <f>'SEE Evaluation'!E7</f>
        <v/>
      </c>
      <c r="F10">
        <f>'SEE Evaluation'!F7</f>
        <v/>
      </c>
      <c r="G10">
        <f>'SEE Evaluation'!G7</f>
        <v/>
      </c>
    </row>
    <row r="11">
      <c r="A11">
        <f>'SEE Evaluation'!A8</f>
        <v/>
      </c>
      <c r="B11">
        <f>'SEE Evaluation'!B8</f>
        <v/>
      </c>
      <c r="C11">
        <f>'SEE Evaluation'!C8</f>
        <v/>
      </c>
      <c r="D11">
        <f>'SEE Evaluation'!D8</f>
        <v/>
      </c>
      <c r="E11">
        <f>'SEE Evaluation'!E8</f>
        <v/>
      </c>
      <c r="F11">
        <f>'SEE Evaluation'!F8</f>
        <v/>
      </c>
      <c r="G11">
        <f>'SEE Evaluation'!G8</f>
        <v/>
      </c>
    </row>
    <row r="12">
      <c r="A12">
        <f>'SEE Evaluation'!A9</f>
        <v/>
      </c>
      <c r="B12">
        <f>'SEE Evaluation'!B9</f>
        <v/>
      </c>
      <c r="C12">
        <f>'SEE Evaluation'!C9</f>
        <v/>
      </c>
      <c r="D12">
        <f>'SEE Evaluation'!D9</f>
        <v/>
      </c>
      <c r="E12">
        <f>'SEE Evaluation'!E9</f>
        <v/>
      </c>
      <c r="F12">
        <f>'SEE Evaluation'!F9</f>
        <v/>
      </c>
      <c r="G12">
        <f>'SEE Evaluation'!G9</f>
        <v/>
      </c>
    </row>
    <row r="13">
      <c r="A13">
        <f>'SEE Evaluation'!A10</f>
        <v/>
      </c>
      <c r="B13">
        <f>'SEE Evaluation'!B10</f>
        <v/>
      </c>
      <c r="C13">
        <f>'SEE Evaluation'!C10</f>
        <v/>
      </c>
      <c r="D13">
        <f>'SEE Evaluation'!D10</f>
        <v/>
      </c>
      <c r="E13">
        <f>'SEE Evaluation'!E10</f>
        <v/>
      </c>
      <c r="F13">
        <f>'SEE Evaluation'!F10</f>
        <v/>
      </c>
      <c r="G13">
        <f>'SEE Evaluation'!G10</f>
        <v/>
      </c>
    </row>
    <row r="14">
      <c r="A14">
        <f>'SEE Evaluation'!A11</f>
        <v/>
      </c>
      <c r="B14">
        <f>'SEE Evaluation'!B11</f>
        <v/>
      </c>
      <c r="C14">
        <f>'SEE Evaluation'!C11</f>
        <v/>
      </c>
      <c r="D14">
        <f>'SEE Evaluation'!D11</f>
        <v/>
      </c>
      <c r="E14">
        <f>'SEE Evaluation'!E11</f>
        <v/>
      </c>
      <c r="F14">
        <f>'SEE Evaluation'!F11</f>
        <v/>
      </c>
      <c r="G14">
        <f>'SEE Evaluation'!G11</f>
        <v/>
      </c>
    </row>
    <row r="15">
      <c r="A15">
        <f>'SEE Evaluation'!A12</f>
        <v/>
      </c>
      <c r="B15">
        <f>'SEE Evaluation'!B12</f>
        <v/>
      </c>
      <c r="C15">
        <f>'SEE Evaluation'!C12</f>
        <v/>
      </c>
      <c r="D15">
        <f>'SEE Evaluation'!D12</f>
        <v/>
      </c>
      <c r="E15">
        <f>'SEE Evaluation'!E12</f>
        <v/>
      </c>
      <c r="F15">
        <f>'SEE Evaluation'!F12</f>
        <v/>
      </c>
      <c r="G15">
        <f>'SEE Evaluation'!G12</f>
        <v/>
      </c>
    </row>
    <row r="16">
      <c r="A16">
        <f>'SEE Evaluation'!A13</f>
        <v/>
      </c>
      <c r="B16">
        <f>'SEE Evaluation'!B13</f>
        <v/>
      </c>
      <c r="C16">
        <f>'SEE Evaluation'!C13</f>
        <v/>
      </c>
      <c r="D16">
        <f>'SEE Evaluation'!D13</f>
        <v/>
      </c>
      <c r="E16">
        <f>'SEE Evaluation'!E13</f>
        <v/>
      </c>
      <c r="F16">
        <f>'SEE Evaluation'!F13</f>
        <v/>
      </c>
      <c r="G16">
        <f>'SEE Evaluation'!G13</f>
        <v/>
      </c>
    </row>
    <row r="17">
      <c r="A17">
        <f>'SEE Evaluation'!A14</f>
        <v/>
      </c>
      <c r="B17">
        <f>'SEE Evaluation'!B14</f>
        <v/>
      </c>
      <c r="C17">
        <f>'SEE Evaluation'!C14</f>
        <v/>
      </c>
      <c r="D17">
        <f>'SEE Evaluation'!D14</f>
        <v/>
      </c>
      <c r="E17">
        <f>'SEE Evaluation'!E14</f>
        <v/>
      </c>
      <c r="F17">
        <f>'SEE Evaluation'!F14</f>
        <v/>
      </c>
      <c r="G17">
        <f>'SEE Evaluation'!G14</f>
        <v/>
      </c>
    </row>
    <row r="18">
      <c r="A18">
        <f>'SEE Evaluation'!A15</f>
        <v/>
      </c>
      <c r="B18">
        <f>'SEE Evaluation'!B15</f>
        <v/>
      </c>
      <c r="C18">
        <f>'SEE Evaluation'!C15</f>
        <v/>
      </c>
      <c r="D18">
        <f>'SEE Evaluation'!D15</f>
        <v/>
      </c>
      <c r="E18">
        <f>'SEE Evaluation'!E15</f>
        <v/>
      </c>
      <c r="F18">
        <f>'SEE Evaluation'!F15</f>
        <v/>
      </c>
      <c r="G18">
        <f>'SEE Evaluation'!G15</f>
        <v/>
      </c>
    </row>
    <row r="19">
      <c r="A19">
        <f>'SEE Evaluation'!A16</f>
        <v/>
      </c>
      <c r="B19">
        <f>'SEE Evaluation'!B16</f>
        <v/>
      </c>
      <c r="C19">
        <f>'SEE Evaluation'!C16</f>
        <v/>
      </c>
      <c r="D19">
        <f>'SEE Evaluation'!D16</f>
        <v/>
      </c>
      <c r="E19">
        <f>'SEE Evaluation'!E16</f>
        <v/>
      </c>
      <c r="F19">
        <f>'SEE Evaluation'!F16</f>
        <v/>
      </c>
      <c r="G19">
        <f>'SEE Evaluation'!G16</f>
        <v/>
      </c>
    </row>
    <row r="20">
      <c r="A20">
        <f>'SEE Evaluation'!A17</f>
        <v/>
      </c>
      <c r="B20">
        <f>'SEE Evaluation'!B17</f>
        <v/>
      </c>
      <c r="C20">
        <f>'SEE Evaluation'!C17</f>
        <v/>
      </c>
      <c r="D20">
        <f>'SEE Evaluation'!D17</f>
        <v/>
      </c>
      <c r="E20">
        <f>'SEE Evaluation'!E17</f>
        <v/>
      </c>
      <c r="F20">
        <f>'SEE Evaluation'!F17</f>
        <v/>
      </c>
      <c r="G20">
        <f>'SEE Evaluation'!G17</f>
        <v/>
      </c>
    </row>
    <row r="21">
      <c r="A21">
        <f>'SEE Evaluation'!A18</f>
        <v/>
      </c>
      <c r="B21">
        <f>'SEE Evaluation'!B18</f>
        <v/>
      </c>
      <c r="C21">
        <f>'SEE Evaluation'!C18</f>
        <v/>
      </c>
      <c r="D21">
        <f>'SEE Evaluation'!D18</f>
        <v/>
      </c>
      <c r="E21">
        <f>'SEE Evaluation'!E18</f>
        <v/>
      </c>
      <c r="F21">
        <f>'SEE Evaluation'!F18</f>
        <v/>
      </c>
      <c r="G21">
        <f>'SEE Evaluation'!G18</f>
        <v/>
      </c>
    </row>
    <row r="22">
      <c r="A22">
        <f>'SEE Evaluation'!A19</f>
        <v/>
      </c>
      <c r="B22">
        <f>'SEE Evaluation'!B19</f>
        <v/>
      </c>
      <c r="C22">
        <f>'SEE Evaluation'!C19</f>
        <v/>
      </c>
      <c r="D22">
        <f>'SEE Evaluation'!D19</f>
        <v/>
      </c>
      <c r="E22">
        <f>'SEE Evaluation'!E19</f>
        <v/>
      </c>
      <c r="F22">
        <f>'SEE Evaluation'!F19</f>
        <v/>
      </c>
      <c r="G22">
        <f>'SEE Evaluation'!G19</f>
        <v/>
      </c>
    </row>
    <row r="23">
      <c r="A23">
        <f>'SEE Evaluation'!A20</f>
        <v/>
      </c>
      <c r="B23">
        <f>'SEE Evaluation'!B20</f>
        <v/>
      </c>
      <c r="C23">
        <f>'SEE Evaluation'!C20</f>
        <v/>
      </c>
      <c r="D23">
        <f>'SEE Evaluation'!D20</f>
        <v/>
      </c>
      <c r="E23">
        <f>'SEE Evaluation'!E20</f>
        <v/>
      </c>
      <c r="F23">
        <f>'SEE Evaluation'!F20</f>
        <v/>
      </c>
      <c r="G23">
        <f>'SEE Evaluation'!G20</f>
        <v/>
      </c>
    </row>
    <row r="24">
      <c r="A24">
        <f>'SEE Evaluation'!A21</f>
        <v/>
      </c>
      <c r="B24">
        <f>'SEE Evaluation'!B21</f>
        <v/>
      </c>
      <c r="C24">
        <f>'SEE Evaluation'!C21</f>
        <v/>
      </c>
      <c r="D24">
        <f>'SEE Evaluation'!D21</f>
        <v/>
      </c>
      <c r="E24">
        <f>'SEE Evaluation'!E21</f>
        <v/>
      </c>
      <c r="F24">
        <f>'SEE Evaluation'!F21</f>
        <v/>
      </c>
      <c r="G24">
        <f>'SEE Evaluation'!G21</f>
        <v/>
      </c>
    </row>
    <row r="25">
      <c r="A25">
        <f>'SEE Evaluation'!A22</f>
        <v/>
      </c>
      <c r="B25">
        <f>'SEE Evaluation'!B22</f>
        <v/>
      </c>
      <c r="C25">
        <f>'SEE Evaluation'!C22</f>
        <v/>
      </c>
      <c r="D25">
        <f>'SEE Evaluation'!D22</f>
        <v/>
      </c>
      <c r="E25">
        <f>'SEE Evaluation'!E22</f>
        <v/>
      </c>
      <c r="F25">
        <f>'SEE Evaluation'!F22</f>
        <v/>
      </c>
      <c r="G25">
        <f>'SEE Evaluation'!G22</f>
        <v/>
      </c>
    </row>
    <row r="26">
      <c r="A26">
        <f>'SEE Evaluation'!A23</f>
        <v/>
      </c>
      <c r="B26">
        <f>'SEE Evaluation'!B23</f>
        <v/>
      </c>
      <c r="C26">
        <f>'SEE Evaluation'!C23</f>
        <v/>
      </c>
      <c r="D26">
        <f>'SEE Evaluation'!D23</f>
        <v/>
      </c>
      <c r="E26">
        <f>'SEE Evaluation'!E23</f>
        <v/>
      </c>
      <c r="F26">
        <f>'SEE Evaluation'!F23</f>
        <v/>
      </c>
      <c r="G26">
        <f>'SEE Evaluation'!G23</f>
        <v/>
      </c>
    </row>
    <row r="27">
      <c r="A27">
        <f>'SEE Evaluation'!A24</f>
        <v/>
      </c>
      <c r="B27">
        <f>'SEE Evaluation'!B24</f>
        <v/>
      </c>
      <c r="C27">
        <f>'SEE Evaluation'!C24</f>
        <v/>
      </c>
      <c r="D27">
        <f>'SEE Evaluation'!D24</f>
        <v/>
      </c>
      <c r="E27">
        <f>'SEE Evaluation'!E24</f>
        <v/>
      </c>
      <c r="F27">
        <f>'SEE Evaluation'!F24</f>
        <v/>
      </c>
      <c r="G27">
        <f>'SEE Evaluation'!G24</f>
        <v/>
      </c>
    </row>
    <row r="28">
      <c r="A28">
        <f>'SEE Evaluation'!A25</f>
        <v/>
      </c>
      <c r="B28">
        <f>'SEE Evaluation'!B25</f>
        <v/>
      </c>
      <c r="C28">
        <f>'SEE Evaluation'!C25</f>
        <v/>
      </c>
      <c r="D28">
        <f>'SEE Evaluation'!D25</f>
        <v/>
      </c>
      <c r="E28">
        <f>'SEE Evaluation'!E25</f>
        <v/>
      </c>
      <c r="F28">
        <f>'SEE Evaluation'!F25</f>
        <v/>
      </c>
      <c r="G28">
        <f>'SEE Evaluation'!G25</f>
        <v/>
      </c>
    </row>
    <row r="29">
      <c r="A29">
        <f>'SEE Evaluation'!A26</f>
        <v/>
      </c>
      <c r="B29">
        <f>'SEE Evaluation'!B26</f>
        <v/>
      </c>
      <c r="C29">
        <f>'SEE Evaluation'!C26</f>
        <v/>
      </c>
      <c r="D29">
        <f>'SEE Evaluation'!D26</f>
        <v/>
      </c>
      <c r="E29">
        <f>'SEE Evaluation'!E26</f>
        <v/>
      </c>
      <c r="F29">
        <f>'SEE Evaluation'!F26</f>
        <v/>
      </c>
      <c r="G29">
        <f>'SEE Evaluation'!G26</f>
        <v/>
      </c>
    </row>
    <row r="30">
      <c r="A30">
        <f>'SEE Evaluation'!A27</f>
        <v/>
      </c>
      <c r="B30">
        <f>'SEE Evaluation'!B27</f>
        <v/>
      </c>
      <c r="C30">
        <f>'SEE Evaluation'!C27</f>
        <v/>
      </c>
      <c r="D30">
        <f>'SEE Evaluation'!D27</f>
        <v/>
      </c>
      <c r="E30">
        <f>'SEE Evaluation'!E27</f>
        <v/>
      </c>
      <c r="F30">
        <f>'SEE Evaluation'!F27</f>
        <v/>
      </c>
      <c r="G30">
        <f>'SEE Evaluation'!G27</f>
        <v/>
      </c>
    </row>
    <row r="31">
      <c r="A31">
        <f>'SEE Evaluation'!A28</f>
        <v/>
      </c>
      <c r="B31">
        <f>'SEE Evaluation'!B28</f>
        <v/>
      </c>
      <c r="C31">
        <f>'SEE Evaluation'!C28</f>
        <v/>
      </c>
      <c r="D31">
        <f>'SEE Evaluation'!D28</f>
        <v/>
      </c>
      <c r="E31">
        <f>'SEE Evaluation'!E28</f>
        <v/>
      </c>
      <c r="F31">
        <f>'SEE Evaluation'!F28</f>
        <v/>
      </c>
      <c r="G31">
        <f>'SEE Evaluation'!G28</f>
        <v/>
      </c>
    </row>
    <row r="32">
      <c r="A32">
        <f>'SEE Evaluation'!A29</f>
        <v/>
      </c>
      <c r="B32">
        <f>'SEE Evaluation'!B29</f>
        <v/>
      </c>
      <c r="C32">
        <f>'SEE Evaluation'!C29</f>
        <v/>
      </c>
      <c r="D32">
        <f>'SEE Evaluation'!D29</f>
        <v/>
      </c>
      <c r="E32">
        <f>'SEE Evaluation'!E29</f>
        <v/>
      </c>
      <c r="F32">
        <f>'SEE Evaluation'!F29</f>
        <v/>
      </c>
      <c r="G32">
        <f>'SEE Evaluation'!G29</f>
        <v/>
      </c>
    </row>
    <row r="33">
      <c r="A33">
        <f>'SEE Evaluation'!A30</f>
        <v/>
      </c>
      <c r="B33">
        <f>'SEE Evaluation'!B30</f>
        <v/>
      </c>
      <c r="C33">
        <f>'SEE Evaluation'!C30</f>
        <v/>
      </c>
      <c r="D33">
        <f>'SEE Evaluation'!D30</f>
        <v/>
      </c>
      <c r="E33">
        <f>'SEE Evaluation'!E30</f>
        <v/>
      </c>
      <c r="F33">
        <f>'SEE Evaluation'!F30</f>
        <v/>
      </c>
      <c r="G33">
        <f>'SEE Evaluation'!G30</f>
        <v/>
      </c>
    </row>
    <row r="34">
      <c r="A34">
        <f>'SEE Evaluation'!A31</f>
        <v/>
      </c>
      <c r="B34">
        <f>'SEE Evaluation'!B31</f>
        <v/>
      </c>
      <c r="C34">
        <f>'SEE Evaluation'!C31</f>
        <v/>
      </c>
      <c r="D34">
        <f>'SEE Evaluation'!D31</f>
        <v/>
      </c>
      <c r="E34">
        <f>'SEE Evaluation'!E31</f>
        <v/>
      </c>
      <c r="F34">
        <f>'SEE Evaluation'!F31</f>
        <v/>
      </c>
      <c r="G34">
        <f>'SEE Evaluation'!G31</f>
        <v/>
      </c>
    </row>
    <row r="35">
      <c r="A35">
        <f>'SEE Evaluation'!A32</f>
        <v/>
      </c>
      <c r="B35">
        <f>'SEE Evaluation'!B32</f>
        <v/>
      </c>
      <c r="C35">
        <f>'SEE Evaluation'!C32</f>
        <v/>
      </c>
      <c r="D35">
        <f>'SEE Evaluation'!D32</f>
        <v/>
      </c>
      <c r="E35">
        <f>'SEE Evaluation'!E32</f>
        <v/>
      </c>
      <c r="F35">
        <f>'SEE Evaluation'!F32</f>
        <v/>
      </c>
      <c r="G35">
        <f>'SEE Evaluation'!G32</f>
        <v/>
      </c>
    </row>
    <row r="36">
      <c r="A36">
        <f>'SEE Evaluation'!A33</f>
        <v/>
      </c>
      <c r="B36">
        <f>'SEE Evaluation'!B33</f>
        <v/>
      </c>
      <c r="C36">
        <f>'SEE Evaluation'!C33</f>
        <v/>
      </c>
      <c r="D36">
        <f>'SEE Evaluation'!D33</f>
        <v/>
      </c>
      <c r="E36">
        <f>'SEE Evaluation'!E33</f>
        <v/>
      </c>
      <c r="F36">
        <f>'SEE Evaluation'!F33</f>
        <v/>
      </c>
      <c r="G36">
        <f>'SEE Evaluation'!G33</f>
        <v/>
      </c>
    </row>
    <row r="37">
      <c r="A37">
        <f>'SEE Evaluation'!A34</f>
        <v/>
      </c>
      <c r="B37">
        <f>'SEE Evaluation'!B34</f>
        <v/>
      </c>
      <c r="C37">
        <f>'SEE Evaluation'!C34</f>
        <v/>
      </c>
      <c r="D37">
        <f>'SEE Evaluation'!D34</f>
        <v/>
      </c>
      <c r="E37">
        <f>'SEE Evaluation'!E34</f>
        <v/>
      </c>
      <c r="F37">
        <f>'SEE Evaluation'!F34</f>
        <v/>
      </c>
      <c r="G37">
        <f>'SEE Evaluation'!G34</f>
        <v/>
      </c>
    </row>
    <row r="38">
      <c r="A38">
        <f>'SEE Evaluation'!A35</f>
        <v/>
      </c>
      <c r="B38">
        <f>'SEE Evaluation'!B35</f>
        <v/>
      </c>
      <c r="C38">
        <f>'SEE Evaluation'!C35</f>
        <v/>
      </c>
      <c r="D38">
        <f>'SEE Evaluation'!D35</f>
        <v/>
      </c>
      <c r="E38">
        <f>'SEE Evaluation'!E35</f>
        <v/>
      </c>
      <c r="F38">
        <f>'SEE Evaluation'!F35</f>
        <v/>
      </c>
      <c r="G38">
        <f>'SEE Evaluation'!G35</f>
        <v/>
      </c>
    </row>
    <row r="39">
      <c r="A39">
        <f>'SEE Evaluation'!A36</f>
        <v/>
      </c>
      <c r="B39">
        <f>'SEE Evaluation'!B36</f>
        <v/>
      </c>
      <c r="C39">
        <f>'SEE Evaluation'!C36</f>
        <v/>
      </c>
      <c r="D39">
        <f>'SEE Evaluation'!D36</f>
        <v/>
      </c>
      <c r="E39">
        <f>'SEE Evaluation'!E36</f>
        <v/>
      </c>
      <c r="F39">
        <f>'SEE Evaluation'!F36</f>
        <v/>
      </c>
      <c r="G39">
        <f>'SEE Evaluation'!G36</f>
        <v/>
      </c>
    </row>
    <row r="40">
      <c r="A40">
        <f>'SEE Evaluation'!A37</f>
        <v/>
      </c>
      <c r="B40">
        <f>'SEE Evaluation'!B37</f>
        <v/>
      </c>
      <c r="C40">
        <f>'SEE Evaluation'!C37</f>
        <v/>
      </c>
      <c r="D40">
        <f>'SEE Evaluation'!D37</f>
        <v/>
      </c>
      <c r="E40">
        <f>'SEE Evaluation'!E37</f>
        <v/>
      </c>
      <c r="F40">
        <f>'SEE Evaluation'!F37</f>
        <v/>
      </c>
      <c r="G40">
        <f>'SEE Evaluation'!G37</f>
        <v/>
      </c>
    </row>
    <row r="41">
      <c r="A41">
        <f>'SEE Evaluation'!A38</f>
        <v/>
      </c>
      <c r="B41">
        <f>'SEE Evaluation'!B38</f>
        <v/>
      </c>
      <c r="C41">
        <f>'SEE Evaluation'!C38</f>
        <v/>
      </c>
      <c r="D41">
        <f>'SEE Evaluation'!D38</f>
        <v/>
      </c>
      <c r="E41">
        <f>'SEE Evaluation'!E38</f>
        <v/>
      </c>
      <c r="F41">
        <f>'SEE Evaluation'!F38</f>
        <v/>
      </c>
      <c r="G41">
        <f>'SEE Evaluation'!G38</f>
        <v/>
      </c>
    </row>
    <row r="42">
      <c r="A42">
        <f>'SEE Evaluation'!A39</f>
        <v/>
      </c>
      <c r="B42">
        <f>'SEE Evaluation'!B39</f>
        <v/>
      </c>
      <c r="C42">
        <f>'SEE Evaluation'!C39</f>
        <v/>
      </c>
      <c r="D42">
        <f>'SEE Evaluation'!D39</f>
        <v/>
      </c>
      <c r="E42">
        <f>'SEE Evaluation'!E39</f>
        <v/>
      </c>
      <c r="F42">
        <f>'SEE Evaluation'!F39</f>
        <v/>
      </c>
      <c r="G42">
        <f>'SEE Evaluation'!G39</f>
        <v/>
      </c>
    </row>
    <row r="43">
      <c r="A43">
        <f>'SEE Evaluation'!A40</f>
        <v/>
      </c>
      <c r="B43">
        <f>'SEE Evaluation'!B40</f>
        <v/>
      </c>
      <c r="C43">
        <f>'SEE Evaluation'!C40</f>
        <v/>
      </c>
      <c r="D43">
        <f>'SEE Evaluation'!D40</f>
        <v/>
      </c>
      <c r="E43">
        <f>'SEE Evaluation'!E40</f>
        <v/>
      </c>
      <c r="F43">
        <f>'SEE Evaluation'!F40</f>
        <v/>
      </c>
      <c r="G43">
        <f>'SEE Evaluation'!G40</f>
        <v/>
      </c>
    </row>
    <row r="44">
      <c r="A44">
        <f>'SEE Evaluation'!A41</f>
        <v/>
      </c>
      <c r="B44">
        <f>'SEE Evaluation'!B41</f>
        <v/>
      </c>
      <c r="C44">
        <f>'SEE Evaluation'!C41</f>
        <v/>
      </c>
      <c r="D44">
        <f>'SEE Evaluation'!D41</f>
        <v/>
      </c>
      <c r="E44">
        <f>'SEE Evaluation'!E41</f>
        <v/>
      </c>
      <c r="F44">
        <f>'SEE Evaluation'!F41</f>
        <v/>
      </c>
      <c r="G44">
        <f>'SEE Evaluation'!G41</f>
        <v/>
      </c>
    </row>
    <row r="45">
      <c r="A45">
        <f>'SEE Evaluation'!A42</f>
        <v/>
      </c>
      <c r="B45">
        <f>'SEE Evaluation'!B42</f>
        <v/>
      </c>
      <c r="C45">
        <f>'SEE Evaluation'!C42</f>
        <v/>
      </c>
      <c r="D45">
        <f>'SEE Evaluation'!D42</f>
        <v/>
      </c>
      <c r="E45">
        <f>'SEE Evaluation'!E42</f>
        <v/>
      </c>
      <c r="F45">
        <f>'SEE Evaluation'!F42</f>
        <v/>
      </c>
      <c r="G45">
        <f>'SEE Evaluation'!G42</f>
        <v/>
      </c>
    </row>
    <row r="46">
      <c r="A46">
        <f>'SEE Evaluation'!A43</f>
        <v/>
      </c>
      <c r="B46">
        <f>'SEE Evaluation'!B43</f>
        <v/>
      </c>
      <c r="C46">
        <f>'SEE Evaluation'!C43</f>
        <v/>
      </c>
      <c r="D46">
        <f>'SEE Evaluation'!D43</f>
        <v/>
      </c>
      <c r="E46">
        <f>'SEE Evaluation'!E43</f>
        <v/>
      </c>
      <c r="F46">
        <f>'SEE Evaluation'!F43</f>
        <v/>
      </c>
      <c r="G46">
        <f>'SEE Evaluation'!G43</f>
        <v/>
      </c>
    </row>
    <row r="47">
      <c r="A47">
        <f>'SEE Evaluation'!A44</f>
        <v/>
      </c>
      <c r="B47">
        <f>'SEE Evaluation'!B44</f>
        <v/>
      </c>
      <c r="C47">
        <f>'SEE Evaluation'!C44</f>
        <v/>
      </c>
      <c r="D47">
        <f>'SEE Evaluation'!D44</f>
        <v/>
      </c>
      <c r="E47">
        <f>'SEE Evaluation'!E44</f>
        <v/>
      </c>
      <c r="F47">
        <f>'SEE Evaluation'!F44</f>
        <v/>
      </c>
      <c r="G47">
        <f>'SEE Evaluation'!G44</f>
        <v/>
      </c>
    </row>
    <row r="48">
      <c r="A48">
        <f>'SEE Evaluation'!A45</f>
        <v/>
      </c>
      <c r="B48">
        <f>'SEE Evaluation'!B45</f>
        <v/>
      </c>
      <c r="C48">
        <f>'SEE Evaluation'!C45</f>
        <v/>
      </c>
      <c r="D48">
        <f>'SEE Evaluation'!D45</f>
        <v/>
      </c>
      <c r="E48">
        <f>'SEE Evaluation'!E45</f>
        <v/>
      </c>
      <c r="F48">
        <f>'SEE Evaluation'!F45</f>
        <v/>
      </c>
      <c r="G48">
        <f>'SEE Evaluation'!G45</f>
        <v/>
      </c>
    </row>
    <row r="49">
      <c r="A49">
        <f>'SEE Evaluation'!A46</f>
        <v/>
      </c>
      <c r="B49">
        <f>'SEE Evaluation'!B46</f>
        <v/>
      </c>
      <c r="C49">
        <f>'SEE Evaluation'!C46</f>
        <v/>
      </c>
      <c r="D49">
        <f>'SEE Evaluation'!D46</f>
        <v/>
      </c>
      <c r="E49">
        <f>'SEE Evaluation'!E46</f>
        <v/>
      </c>
      <c r="F49">
        <f>'SEE Evaluation'!F46</f>
        <v/>
      </c>
      <c r="G49">
        <f>'SEE Evaluation'!G46</f>
        <v/>
      </c>
    </row>
    <row r="50">
      <c r="A50">
        <f>'SEE Evaluation'!A47</f>
        <v/>
      </c>
      <c r="B50">
        <f>'SEE Evaluation'!B47</f>
        <v/>
      </c>
      <c r="C50">
        <f>'SEE Evaluation'!C47</f>
        <v/>
      </c>
      <c r="D50">
        <f>'SEE Evaluation'!D47</f>
        <v/>
      </c>
      <c r="E50">
        <f>'SEE Evaluation'!E47</f>
        <v/>
      </c>
      <c r="F50">
        <f>'SEE Evaluation'!F47</f>
        <v/>
      </c>
      <c r="G50">
        <f>'SEE Evaluation'!G47</f>
        <v/>
      </c>
    </row>
    <row r="51">
      <c r="A51">
        <f>'SEE Evaluation'!A48</f>
        <v/>
      </c>
      <c r="B51">
        <f>'SEE Evaluation'!B48</f>
        <v/>
      </c>
      <c r="C51">
        <f>'SEE Evaluation'!C48</f>
        <v/>
      </c>
      <c r="D51">
        <f>'SEE Evaluation'!D48</f>
        <v/>
      </c>
      <c r="E51">
        <f>'SEE Evaluation'!E48</f>
        <v/>
      </c>
      <c r="F51">
        <f>'SEE Evaluation'!F48</f>
        <v/>
      </c>
      <c r="G51">
        <f>'SEE Evaluation'!G48</f>
        <v/>
      </c>
    </row>
    <row r="52">
      <c r="A52">
        <f>'SEE Evaluation'!A49</f>
        <v/>
      </c>
      <c r="B52">
        <f>'SEE Evaluation'!B49</f>
        <v/>
      </c>
      <c r="C52">
        <f>'SEE Evaluation'!C49</f>
        <v/>
      </c>
      <c r="D52">
        <f>'SEE Evaluation'!D49</f>
        <v/>
      </c>
      <c r="E52">
        <f>'SEE Evaluation'!E49</f>
        <v/>
      </c>
      <c r="F52">
        <f>'SEE Evaluation'!F49</f>
        <v/>
      </c>
      <c r="G52">
        <f>'SEE Evaluation'!G49</f>
        <v/>
      </c>
    </row>
    <row r="53">
      <c r="A53">
        <f>'SEE Evaluation'!A50</f>
        <v/>
      </c>
      <c r="B53">
        <f>'SEE Evaluation'!B50</f>
        <v/>
      </c>
      <c r="C53">
        <f>'SEE Evaluation'!C50</f>
        <v/>
      </c>
      <c r="D53">
        <f>'SEE Evaluation'!D50</f>
        <v/>
      </c>
      <c r="E53">
        <f>'SEE Evaluation'!E50</f>
        <v/>
      </c>
      <c r="F53">
        <f>'SEE Evaluation'!F50</f>
        <v/>
      </c>
      <c r="G53">
        <f>'SEE Evaluation'!G50</f>
        <v/>
      </c>
    </row>
    <row r="54">
      <c r="A54">
        <f>'SEE Evaluation'!A51</f>
        <v/>
      </c>
      <c r="B54">
        <f>'SEE Evaluation'!B51</f>
        <v/>
      </c>
      <c r="C54">
        <f>'SEE Evaluation'!C51</f>
        <v/>
      </c>
      <c r="D54">
        <f>'SEE Evaluation'!D51</f>
        <v/>
      </c>
      <c r="E54">
        <f>'SEE Evaluation'!E51</f>
        <v/>
      </c>
      <c r="F54">
        <f>'SEE Evaluation'!F51</f>
        <v/>
      </c>
      <c r="G54">
        <f>'SEE Evaluation'!G51</f>
        <v/>
      </c>
    </row>
    <row r="55">
      <c r="A55">
        <f>'SEE Evaluation'!A52</f>
        <v/>
      </c>
      <c r="B55">
        <f>'SEE Evaluation'!B52</f>
        <v/>
      </c>
      <c r="C55">
        <f>'SEE Evaluation'!C52</f>
        <v/>
      </c>
      <c r="D55">
        <f>'SEE Evaluation'!D52</f>
        <v/>
      </c>
      <c r="E55">
        <f>'SEE Evaluation'!E52</f>
        <v/>
      </c>
      <c r="F55">
        <f>'SEE Evaluation'!F52</f>
        <v/>
      </c>
      <c r="G55">
        <f>'SEE Evaluation'!G52</f>
        <v/>
      </c>
    </row>
    <row r="56">
      <c r="A56">
        <f>'SEE Evaluation'!A53</f>
        <v/>
      </c>
      <c r="B56">
        <f>'SEE Evaluation'!B53</f>
        <v/>
      </c>
      <c r="C56">
        <f>'SEE Evaluation'!C53</f>
        <v/>
      </c>
      <c r="D56">
        <f>'SEE Evaluation'!D53</f>
        <v/>
      </c>
      <c r="E56">
        <f>'SEE Evaluation'!E53</f>
        <v/>
      </c>
      <c r="F56">
        <f>'SEE Evaluation'!F53</f>
        <v/>
      </c>
      <c r="G56">
        <f>'SEE Evaluation'!G53</f>
        <v/>
      </c>
    </row>
    <row r="57">
      <c r="A57">
        <f>'SEE Evaluation'!A54</f>
        <v/>
      </c>
      <c r="B57">
        <f>'SEE Evaluation'!B54</f>
        <v/>
      </c>
      <c r="C57">
        <f>'SEE Evaluation'!C54</f>
        <v/>
      </c>
      <c r="D57">
        <f>'SEE Evaluation'!D54</f>
        <v/>
      </c>
      <c r="E57">
        <f>'SEE Evaluation'!E54</f>
        <v/>
      </c>
      <c r="F57">
        <f>'SEE Evaluation'!F54</f>
        <v/>
      </c>
      <c r="G57">
        <f>'SEE Evaluation'!G54</f>
        <v/>
      </c>
    </row>
    <row r="58">
      <c r="A58">
        <f>'SEE Evaluation'!A55</f>
        <v/>
      </c>
      <c r="B58">
        <f>'SEE Evaluation'!B55</f>
        <v/>
      </c>
      <c r="C58">
        <f>'SEE Evaluation'!C55</f>
        <v/>
      </c>
      <c r="D58">
        <f>'SEE Evaluation'!D55</f>
        <v/>
      </c>
      <c r="E58">
        <f>'SEE Evaluation'!E55</f>
        <v/>
      </c>
      <c r="F58">
        <f>'SEE Evaluation'!F55</f>
        <v/>
      </c>
      <c r="G58">
        <f>'SEE Evaluation'!G55</f>
        <v/>
      </c>
    </row>
    <row r="59">
      <c r="A59">
        <f>'SEE Evaluation'!A56</f>
        <v/>
      </c>
      <c r="B59">
        <f>'SEE Evaluation'!B56</f>
        <v/>
      </c>
      <c r="C59">
        <f>'SEE Evaluation'!C56</f>
        <v/>
      </c>
      <c r="D59">
        <f>'SEE Evaluation'!D56</f>
        <v/>
      </c>
      <c r="E59">
        <f>'SEE Evaluation'!E56</f>
        <v/>
      </c>
      <c r="F59">
        <f>'SEE Evaluation'!F56</f>
        <v/>
      </c>
      <c r="G59">
        <f>'SEE Evaluation'!G56</f>
        <v/>
      </c>
    </row>
    <row r="60">
      <c r="A60">
        <f>'SEE Evaluation'!A57</f>
        <v/>
      </c>
      <c r="B60">
        <f>'SEE Evaluation'!B57</f>
        <v/>
      </c>
      <c r="C60">
        <f>'SEE Evaluation'!C57</f>
        <v/>
      </c>
      <c r="D60">
        <f>'SEE Evaluation'!D57</f>
        <v/>
      </c>
      <c r="E60">
        <f>'SEE Evaluation'!E57</f>
        <v/>
      </c>
      <c r="F60">
        <f>'SEE Evaluation'!F57</f>
        <v/>
      </c>
      <c r="G60">
        <f>'SEE Evaluation'!G57</f>
        <v/>
      </c>
    </row>
    <row r="61">
      <c r="A61">
        <f>'SEE Evaluation'!A58</f>
        <v/>
      </c>
      <c r="B61">
        <f>'SEE Evaluation'!B58</f>
        <v/>
      </c>
      <c r="C61">
        <f>'SEE Evaluation'!C58</f>
        <v/>
      </c>
      <c r="D61">
        <f>'SEE Evaluation'!D58</f>
        <v/>
      </c>
      <c r="E61">
        <f>'SEE Evaluation'!E58</f>
        <v/>
      </c>
      <c r="F61">
        <f>'SEE Evaluation'!F58</f>
        <v/>
      </c>
      <c r="G61">
        <f>'SEE Evaluation'!G58</f>
        <v/>
      </c>
    </row>
    <row r="62">
      <c r="A62">
        <f>'SEE Evaluation'!A59</f>
        <v/>
      </c>
      <c r="B62">
        <f>'SEE Evaluation'!B59</f>
        <v/>
      </c>
      <c r="C62">
        <f>'SEE Evaluation'!C59</f>
        <v/>
      </c>
      <c r="D62">
        <f>'SEE Evaluation'!D59</f>
        <v/>
      </c>
      <c r="E62">
        <f>'SEE Evaluation'!E59</f>
        <v/>
      </c>
      <c r="F62">
        <f>'SEE Evaluation'!F59</f>
        <v/>
      </c>
      <c r="G62">
        <f>'SEE Evaluation'!G59</f>
        <v/>
      </c>
    </row>
    <row r="63">
      <c r="A63">
        <f>'SEE Evaluation'!A60</f>
        <v/>
      </c>
      <c r="B63">
        <f>'SEE Evaluation'!B60</f>
        <v/>
      </c>
      <c r="C63">
        <f>'SEE Evaluation'!C60</f>
        <v/>
      </c>
      <c r="D63">
        <f>'SEE Evaluation'!D60</f>
        <v/>
      </c>
      <c r="E63">
        <f>'SEE Evaluation'!E60</f>
        <v/>
      </c>
      <c r="F63">
        <f>'SEE Evaluation'!F60</f>
        <v/>
      </c>
      <c r="G63">
        <f>'SEE Evaluation'!G60</f>
        <v/>
      </c>
    </row>
    <row r="64">
      <c r="A64">
        <f>'SEE Evaluation'!A61</f>
        <v/>
      </c>
      <c r="B64">
        <f>'SEE Evaluation'!B61</f>
        <v/>
      </c>
      <c r="C64">
        <f>'SEE Evaluation'!C61</f>
        <v/>
      </c>
      <c r="D64">
        <f>'SEE Evaluation'!D61</f>
        <v/>
      </c>
      <c r="E64">
        <f>'SEE Evaluation'!E61</f>
        <v/>
      </c>
      <c r="F64">
        <f>'SEE Evaluation'!F61</f>
        <v/>
      </c>
      <c r="G64">
        <f>'SEE Evaluation'!G61</f>
        <v/>
      </c>
    </row>
    <row r="65">
      <c r="A65">
        <f>'SEE Evaluation'!A62</f>
        <v/>
      </c>
      <c r="B65">
        <f>'SEE Evaluation'!B62</f>
        <v/>
      </c>
      <c r="C65">
        <f>'SEE Evaluation'!C62</f>
        <v/>
      </c>
      <c r="D65">
        <f>'SEE Evaluation'!D62</f>
        <v/>
      </c>
      <c r="E65">
        <f>'SEE Evaluation'!E62</f>
        <v/>
      </c>
      <c r="F65">
        <f>'SEE Evaluation'!F62</f>
        <v/>
      </c>
      <c r="G65">
        <f>'SEE Evaluation'!G62</f>
        <v/>
      </c>
    </row>
    <row r="66">
      <c r="A66">
        <f>'SEE Evaluation'!A63</f>
        <v/>
      </c>
      <c r="B66">
        <f>'SEE Evaluation'!B63</f>
        <v/>
      </c>
      <c r="C66">
        <f>'SEE Evaluation'!C63</f>
        <v/>
      </c>
      <c r="D66">
        <f>'SEE Evaluation'!D63</f>
        <v/>
      </c>
      <c r="E66">
        <f>'SEE Evaluation'!E63</f>
        <v/>
      </c>
      <c r="F66">
        <f>'SEE Evaluation'!F63</f>
        <v/>
      </c>
      <c r="G66">
        <f>'SEE Evaluation'!G63</f>
        <v/>
      </c>
    </row>
    <row r="67">
      <c r="A67">
        <f>'SEE Evaluation'!A64</f>
        <v/>
      </c>
      <c r="B67">
        <f>'SEE Evaluation'!B64</f>
        <v/>
      </c>
      <c r="C67">
        <f>'SEE Evaluation'!C64</f>
        <v/>
      </c>
      <c r="D67">
        <f>'SEE Evaluation'!D64</f>
        <v/>
      </c>
      <c r="E67">
        <f>'SEE Evaluation'!E64</f>
        <v/>
      </c>
      <c r="F67">
        <f>'SEE Evaluation'!F64</f>
        <v/>
      </c>
      <c r="G67">
        <f>'SEE Evaluation'!G64</f>
        <v/>
      </c>
    </row>
    <row r="68">
      <c r="A68">
        <f>'SEE Evaluation'!A65</f>
        <v/>
      </c>
      <c r="B68">
        <f>'SEE Evaluation'!B65</f>
        <v/>
      </c>
      <c r="C68">
        <f>'SEE Evaluation'!C65</f>
        <v/>
      </c>
      <c r="D68">
        <f>'SEE Evaluation'!D65</f>
        <v/>
      </c>
      <c r="E68">
        <f>'SEE Evaluation'!E65</f>
        <v/>
      </c>
      <c r="F68">
        <f>'SEE Evaluation'!F65</f>
        <v/>
      </c>
      <c r="G68">
        <f>'SEE Evaluation'!G65</f>
        <v/>
      </c>
    </row>
    <row r="69">
      <c r="A69">
        <f>'SEE Evaluation'!A66</f>
        <v/>
      </c>
      <c r="B69">
        <f>'SEE Evaluation'!B66</f>
        <v/>
      </c>
      <c r="C69">
        <f>'SEE Evaluation'!C66</f>
        <v/>
      </c>
      <c r="D69">
        <f>'SEE Evaluation'!D66</f>
        <v/>
      </c>
      <c r="E69">
        <f>'SEE Evaluation'!E66</f>
        <v/>
      </c>
      <c r="F69">
        <f>'SEE Evaluation'!F66</f>
        <v/>
      </c>
      <c r="G69">
        <f>'SEE Evaluation'!G66</f>
        <v/>
      </c>
    </row>
    <row r="70">
      <c r="A70">
        <f>'SEE Evaluation'!A67</f>
        <v/>
      </c>
      <c r="B70">
        <f>'SEE Evaluation'!B67</f>
        <v/>
      </c>
      <c r="C70">
        <f>'SEE Evaluation'!C67</f>
        <v/>
      </c>
      <c r="D70">
        <f>'SEE Evaluation'!D67</f>
        <v/>
      </c>
      <c r="E70">
        <f>'SEE Evaluation'!E67</f>
        <v/>
      </c>
      <c r="F70">
        <f>'SEE Evaluation'!F67</f>
        <v/>
      </c>
      <c r="G70">
        <f>'SEE Evaluation'!G67</f>
        <v/>
      </c>
    </row>
    <row r="71">
      <c r="A71">
        <f>'SEE Evaluation'!A68</f>
        <v/>
      </c>
      <c r="B71">
        <f>'SEE Evaluation'!B68</f>
        <v/>
      </c>
      <c r="C71">
        <f>'SEE Evaluation'!C68</f>
        <v/>
      </c>
      <c r="D71">
        <f>'SEE Evaluation'!D68</f>
        <v/>
      </c>
      <c r="E71">
        <f>'SEE Evaluation'!E68</f>
        <v/>
      </c>
      <c r="F71">
        <f>'SEE Evaluation'!F68</f>
        <v/>
      </c>
      <c r="G71">
        <f>'SEE Evaluation'!G68</f>
        <v/>
      </c>
    </row>
    <row r="72">
      <c r="A72">
        <f>'SEE Evaluation'!A69</f>
        <v/>
      </c>
      <c r="B72">
        <f>'SEE Evaluation'!B69</f>
        <v/>
      </c>
      <c r="C72">
        <f>'SEE Evaluation'!C69</f>
        <v/>
      </c>
      <c r="D72">
        <f>'SEE Evaluation'!D69</f>
        <v/>
      </c>
      <c r="E72">
        <f>'SEE Evaluation'!E69</f>
        <v/>
      </c>
      <c r="F72">
        <f>'SEE Evaluation'!F69</f>
        <v/>
      </c>
      <c r="G72">
        <f>'SEE Evaluation'!G69</f>
        <v/>
      </c>
    </row>
    <row r="73">
      <c r="A73">
        <f>'SEE Evaluation'!A70</f>
        <v/>
      </c>
      <c r="B73">
        <f>'SEE Evaluation'!B70</f>
        <v/>
      </c>
      <c r="C73">
        <f>'SEE Evaluation'!C70</f>
        <v/>
      </c>
      <c r="D73">
        <f>'SEE Evaluation'!D70</f>
        <v/>
      </c>
      <c r="E73">
        <f>'SEE Evaluation'!E70</f>
        <v/>
      </c>
      <c r="F73">
        <f>'SEE Evaluation'!F70</f>
        <v/>
      </c>
      <c r="G73">
        <f>'SEE Evaluation'!G70</f>
        <v/>
      </c>
    </row>
    <row r="74">
      <c r="A74">
        <f>'SEE Evaluation'!A71</f>
        <v/>
      </c>
      <c r="B74">
        <f>'SEE Evaluation'!B71</f>
        <v/>
      </c>
      <c r="C74">
        <f>'SEE Evaluation'!C71</f>
        <v/>
      </c>
      <c r="D74">
        <f>'SEE Evaluation'!D71</f>
        <v/>
      </c>
      <c r="E74">
        <f>'SEE Evaluation'!E71</f>
        <v/>
      </c>
      <c r="F74">
        <f>'SEE Evaluation'!F71</f>
        <v/>
      </c>
      <c r="G74">
        <f>'SEE Evaluation'!G71</f>
        <v/>
      </c>
    </row>
    <row r="75">
      <c r="A75">
        <f>'SEE Evaluation'!A72</f>
        <v/>
      </c>
      <c r="B75">
        <f>'SEE Evaluation'!B72</f>
        <v/>
      </c>
      <c r="C75">
        <f>'SEE Evaluation'!C72</f>
        <v/>
      </c>
      <c r="D75">
        <f>'SEE Evaluation'!D72</f>
        <v/>
      </c>
      <c r="E75">
        <f>'SEE Evaluation'!E72</f>
        <v/>
      </c>
      <c r="F75">
        <f>'SEE Evaluation'!F72</f>
        <v/>
      </c>
      <c r="G75">
        <f>'SEE Evaluation'!G72</f>
        <v/>
      </c>
    </row>
    <row r="76">
      <c r="A76">
        <f>'SEE Evaluation'!A73</f>
        <v/>
      </c>
      <c r="B76">
        <f>'SEE Evaluation'!B73</f>
        <v/>
      </c>
      <c r="C76">
        <f>'SEE Evaluation'!C73</f>
        <v/>
      </c>
      <c r="D76">
        <f>'SEE Evaluation'!D73</f>
        <v/>
      </c>
      <c r="E76">
        <f>'SEE Evaluation'!E73</f>
        <v/>
      </c>
      <c r="F76">
        <f>'SEE Evaluation'!F73</f>
        <v/>
      </c>
      <c r="G76">
        <f>'SEE Evaluation'!G73</f>
        <v/>
      </c>
    </row>
    <row r="77">
      <c r="A77">
        <f>'SEE Evaluation'!A74</f>
        <v/>
      </c>
      <c r="B77">
        <f>'SEE Evaluation'!B74</f>
        <v/>
      </c>
      <c r="C77">
        <f>'SEE Evaluation'!C74</f>
        <v/>
      </c>
      <c r="D77">
        <f>'SEE Evaluation'!D74</f>
        <v/>
      </c>
      <c r="E77">
        <f>'SEE Evaluation'!E74</f>
        <v/>
      </c>
      <c r="F77">
        <f>'SEE Evaluation'!F74</f>
        <v/>
      </c>
      <c r="G77">
        <f>'SEE Evaluation'!G74</f>
        <v/>
      </c>
    </row>
    <row r="78">
      <c r="A78">
        <f>'SEE Evaluation'!A75</f>
        <v/>
      </c>
      <c r="B78">
        <f>'SEE Evaluation'!B75</f>
        <v/>
      </c>
      <c r="C78">
        <f>'SEE Evaluation'!C75</f>
        <v/>
      </c>
      <c r="D78">
        <f>'SEE Evaluation'!D75</f>
        <v/>
      </c>
      <c r="E78">
        <f>'SEE Evaluation'!E75</f>
        <v/>
      </c>
      <c r="F78">
        <f>'SEE Evaluation'!F75</f>
        <v/>
      </c>
      <c r="G78">
        <f>'SEE Evaluation'!G75</f>
        <v/>
      </c>
    </row>
    <row r="79">
      <c r="A79">
        <f>'SEE Evaluation'!A76</f>
        <v/>
      </c>
      <c r="B79">
        <f>'SEE Evaluation'!B76</f>
        <v/>
      </c>
      <c r="C79">
        <f>'SEE Evaluation'!C76</f>
        <v/>
      </c>
      <c r="D79">
        <f>'SEE Evaluation'!D76</f>
        <v/>
      </c>
      <c r="E79">
        <f>'SEE Evaluation'!E76</f>
        <v/>
      </c>
      <c r="F79">
        <f>'SEE Evaluation'!F76</f>
        <v/>
      </c>
      <c r="G79">
        <f>'SEE Evaluation'!G76</f>
        <v/>
      </c>
    </row>
    <row r="80">
      <c r="A80">
        <f>'SEE Evaluation'!A77</f>
        <v/>
      </c>
      <c r="B80">
        <f>'SEE Evaluation'!B77</f>
        <v/>
      </c>
      <c r="C80">
        <f>'SEE Evaluation'!C77</f>
        <v/>
      </c>
      <c r="D80">
        <f>'SEE Evaluation'!D77</f>
        <v/>
      </c>
      <c r="E80">
        <f>'SEE Evaluation'!E77</f>
        <v/>
      </c>
      <c r="F80">
        <f>'SEE Evaluation'!F77</f>
        <v/>
      </c>
      <c r="G80">
        <f>'SEE Evaluation'!G77</f>
        <v/>
      </c>
    </row>
    <row r="81">
      <c r="A81">
        <f>'SEE Evaluation'!A78</f>
        <v/>
      </c>
      <c r="B81">
        <f>'SEE Evaluation'!B78</f>
        <v/>
      </c>
      <c r="C81">
        <f>'SEE Evaluation'!C78</f>
        <v/>
      </c>
      <c r="D81">
        <f>'SEE Evaluation'!D78</f>
        <v/>
      </c>
      <c r="E81">
        <f>'SEE Evaluation'!E78</f>
        <v/>
      </c>
      <c r="F81">
        <f>'SEE Evaluation'!F78</f>
        <v/>
      </c>
      <c r="G81">
        <f>'SEE Evaluation'!G78</f>
        <v/>
      </c>
    </row>
    <row r="82">
      <c r="A82">
        <f>'SEE Evaluation'!A79</f>
        <v/>
      </c>
      <c r="B82">
        <f>'SEE Evaluation'!B79</f>
        <v/>
      </c>
      <c r="C82">
        <f>'SEE Evaluation'!C79</f>
        <v/>
      </c>
      <c r="D82">
        <f>'SEE Evaluation'!D79</f>
        <v/>
      </c>
      <c r="E82">
        <f>'SEE Evaluation'!E79</f>
        <v/>
      </c>
      <c r="F82">
        <f>'SEE Evaluation'!F79</f>
        <v/>
      </c>
      <c r="G82">
        <f>'SEE Evaluation'!G79</f>
        <v/>
      </c>
    </row>
    <row r="83">
      <c r="A83">
        <f>'SEE Evaluation'!A80</f>
        <v/>
      </c>
      <c r="B83">
        <f>'SEE Evaluation'!B80</f>
        <v/>
      </c>
      <c r="C83">
        <f>'SEE Evaluation'!C80</f>
        <v/>
      </c>
      <c r="D83">
        <f>'SEE Evaluation'!D80</f>
        <v/>
      </c>
      <c r="E83">
        <f>'SEE Evaluation'!E80</f>
        <v/>
      </c>
      <c r="F83">
        <f>'SEE Evaluation'!F80</f>
        <v/>
      </c>
      <c r="G83">
        <f>'SEE Evaluation'!G80</f>
        <v/>
      </c>
    </row>
    <row r="84">
      <c r="A84">
        <f>'SEE Evaluation'!A81</f>
        <v/>
      </c>
      <c r="B84">
        <f>'SEE Evaluation'!B81</f>
        <v/>
      </c>
      <c r="C84">
        <f>'SEE Evaluation'!C81</f>
        <v/>
      </c>
      <c r="D84">
        <f>'SEE Evaluation'!D81</f>
        <v/>
      </c>
      <c r="E84">
        <f>'SEE Evaluation'!E81</f>
        <v/>
      </c>
      <c r="F84">
        <f>'SEE Evaluation'!F81</f>
        <v/>
      </c>
      <c r="G84">
        <f>'SEE Evaluation'!G81</f>
        <v/>
      </c>
    </row>
    <row r="85">
      <c r="A85">
        <f>'SEE Evaluation'!A82</f>
        <v/>
      </c>
      <c r="B85">
        <f>'SEE Evaluation'!B82</f>
        <v/>
      </c>
      <c r="C85">
        <f>'SEE Evaluation'!C82</f>
        <v/>
      </c>
      <c r="D85">
        <f>'SEE Evaluation'!D82</f>
        <v/>
      </c>
      <c r="E85">
        <f>'SEE Evaluation'!E82</f>
        <v/>
      </c>
      <c r="F85">
        <f>'SEE Evaluation'!F82</f>
        <v/>
      </c>
      <c r="G85">
        <f>'SEE Evaluation'!G82</f>
        <v/>
      </c>
    </row>
    <row r="86">
      <c r="A86">
        <f>'SEE Evaluation'!A83</f>
        <v/>
      </c>
      <c r="B86">
        <f>'SEE Evaluation'!B83</f>
        <v/>
      </c>
      <c r="C86">
        <f>'SEE Evaluation'!C83</f>
        <v/>
      </c>
      <c r="D86">
        <f>'SEE Evaluation'!D83</f>
        <v/>
      </c>
      <c r="E86">
        <f>'SEE Evaluation'!E83</f>
        <v/>
      </c>
      <c r="F86">
        <f>'SEE Evaluation'!F83</f>
        <v/>
      </c>
      <c r="G86">
        <f>'SEE Evaluation'!G83</f>
        <v/>
      </c>
    </row>
    <row r="87">
      <c r="A87">
        <f>'SEE Evaluation'!A84</f>
        <v/>
      </c>
      <c r="B87">
        <f>'SEE Evaluation'!B84</f>
        <v/>
      </c>
      <c r="C87">
        <f>'SEE Evaluation'!C84</f>
        <v/>
      </c>
      <c r="D87">
        <f>'SEE Evaluation'!D84</f>
        <v/>
      </c>
      <c r="E87">
        <f>'SEE Evaluation'!E84</f>
        <v/>
      </c>
      <c r="F87">
        <f>'SEE Evaluation'!F84</f>
        <v/>
      </c>
      <c r="G87">
        <f>'SEE Evaluation'!G84</f>
        <v/>
      </c>
    </row>
    <row r="88">
      <c r="A88">
        <f>'SEE Evaluation'!A85</f>
        <v/>
      </c>
      <c r="B88">
        <f>'SEE Evaluation'!B85</f>
        <v/>
      </c>
      <c r="C88">
        <f>'SEE Evaluation'!C85</f>
        <v/>
      </c>
      <c r="D88">
        <f>'SEE Evaluation'!D85</f>
        <v/>
      </c>
      <c r="E88">
        <f>'SEE Evaluation'!E85</f>
        <v/>
      </c>
      <c r="F88">
        <f>'SEE Evaluation'!F85</f>
        <v/>
      </c>
      <c r="G88">
        <f>'SEE Evaluation'!G85</f>
        <v/>
      </c>
    </row>
    <row r="89">
      <c r="A89">
        <f>'SEE Evaluation'!A86</f>
        <v/>
      </c>
      <c r="B89">
        <f>'SEE Evaluation'!B86</f>
        <v/>
      </c>
      <c r="C89">
        <f>'SEE Evaluation'!C86</f>
        <v/>
      </c>
      <c r="D89">
        <f>'SEE Evaluation'!D86</f>
        <v/>
      </c>
      <c r="E89">
        <f>'SEE Evaluation'!E86</f>
        <v/>
      </c>
      <c r="F89">
        <f>'SEE Evaluation'!F86</f>
        <v/>
      </c>
      <c r="G89">
        <f>'SEE Evaluation'!G86</f>
        <v/>
      </c>
    </row>
    <row r="90">
      <c r="A90">
        <f>'SEE Evaluation'!A87</f>
        <v/>
      </c>
      <c r="B90">
        <f>'SEE Evaluation'!B87</f>
        <v/>
      </c>
      <c r="C90">
        <f>'SEE Evaluation'!C87</f>
        <v/>
      </c>
      <c r="D90">
        <f>'SEE Evaluation'!D87</f>
        <v/>
      </c>
      <c r="E90">
        <f>'SEE Evaluation'!E87</f>
        <v/>
      </c>
      <c r="F90">
        <f>'SEE Evaluation'!F87</f>
        <v/>
      </c>
      <c r="G90">
        <f>'SEE Evaluation'!G87</f>
        <v/>
      </c>
    </row>
    <row r="91">
      <c r="A91">
        <f>'SEE Evaluation'!A88</f>
        <v/>
      </c>
      <c r="B91">
        <f>'SEE Evaluation'!B88</f>
        <v/>
      </c>
      <c r="C91">
        <f>'SEE Evaluation'!C88</f>
        <v/>
      </c>
      <c r="D91">
        <f>'SEE Evaluation'!D88</f>
        <v/>
      </c>
      <c r="E91">
        <f>'SEE Evaluation'!E88</f>
        <v/>
      </c>
      <c r="F91">
        <f>'SEE Evaluation'!F88</f>
        <v/>
      </c>
      <c r="G91">
        <f>'SEE Evaluation'!G88</f>
        <v/>
      </c>
    </row>
    <row r="92">
      <c r="A92">
        <f>'SEE Evaluation'!A89</f>
        <v/>
      </c>
      <c r="B92">
        <f>'SEE Evaluation'!B89</f>
        <v/>
      </c>
      <c r="C92">
        <f>'SEE Evaluation'!C89</f>
        <v/>
      </c>
      <c r="D92">
        <f>'SEE Evaluation'!D89</f>
        <v/>
      </c>
      <c r="E92">
        <f>'SEE Evaluation'!E89</f>
        <v/>
      </c>
      <c r="F92">
        <f>'SEE Evaluation'!F89</f>
        <v/>
      </c>
      <c r="G92">
        <f>'SEE Evaluation'!G89</f>
        <v/>
      </c>
    </row>
    <row r="93">
      <c r="A93">
        <f>'SEE Evaluation'!A90</f>
        <v/>
      </c>
      <c r="B93">
        <f>'SEE Evaluation'!B90</f>
        <v/>
      </c>
      <c r="C93">
        <f>'SEE Evaluation'!C90</f>
        <v/>
      </c>
      <c r="D93">
        <f>'SEE Evaluation'!D90</f>
        <v/>
      </c>
      <c r="E93">
        <f>'SEE Evaluation'!E90</f>
        <v/>
      </c>
      <c r="F93">
        <f>'SEE Evaluation'!F90</f>
        <v/>
      </c>
      <c r="G93">
        <f>'SEE Evaluation'!G90</f>
        <v/>
      </c>
    </row>
    <row r="94">
      <c r="A94">
        <f>'SEE Evaluation'!A91</f>
        <v/>
      </c>
      <c r="B94">
        <f>'SEE Evaluation'!B91</f>
        <v/>
      </c>
      <c r="C94">
        <f>'SEE Evaluation'!C91</f>
        <v/>
      </c>
      <c r="D94">
        <f>'SEE Evaluation'!D91</f>
        <v/>
      </c>
      <c r="E94">
        <f>'SEE Evaluation'!E91</f>
        <v/>
      </c>
      <c r="F94">
        <f>'SEE Evaluation'!F91</f>
        <v/>
      </c>
      <c r="G94">
        <f>'SEE Evaluation'!G91</f>
        <v/>
      </c>
    </row>
    <row r="95">
      <c r="A95">
        <f>'SEE Evaluation'!A92</f>
        <v/>
      </c>
      <c r="B95">
        <f>'SEE Evaluation'!B92</f>
        <v/>
      </c>
      <c r="C95">
        <f>'SEE Evaluation'!C92</f>
        <v/>
      </c>
      <c r="D95">
        <f>'SEE Evaluation'!D92</f>
        <v/>
      </c>
      <c r="E95">
        <f>'SEE Evaluation'!E92</f>
        <v/>
      </c>
      <c r="F95">
        <f>'SEE Evaluation'!F92</f>
        <v/>
      </c>
      <c r="G95">
        <f>'SEE Evaluation'!G92</f>
        <v/>
      </c>
    </row>
    <row r="96">
      <c r="A96">
        <f>'SEE Evaluation'!A93</f>
        <v/>
      </c>
      <c r="B96">
        <f>'SEE Evaluation'!B93</f>
        <v/>
      </c>
      <c r="C96">
        <f>'SEE Evaluation'!C93</f>
        <v/>
      </c>
      <c r="D96">
        <f>'SEE Evaluation'!D93</f>
        <v/>
      </c>
      <c r="E96">
        <f>'SEE Evaluation'!E93</f>
        <v/>
      </c>
      <c r="F96">
        <f>'SEE Evaluation'!F93</f>
        <v/>
      </c>
      <c r="G96">
        <f>'SEE Evaluation'!G93</f>
        <v/>
      </c>
    </row>
    <row r="97">
      <c r="A97">
        <f>'SEE Evaluation'!A94</f>
        <v/>
      </c>
      <c r="B97">
        <f>'SEE Evaluation'!B94</f>
        <v/>
      </c>
      <c r="C97">
        <f>'SEE Evaluation'!C94</f>
        <v/>
      </c>
      <c r="D97">
        <f>'SEE Evaluation'!D94</f>
        <v/>
      </c>
      <c r="E97">
        <f>'SEE Evaluation'!E94</f>
        <v/>
      </c>
      <c r="F97">
        <f>'SEE Evaluation'!F94</f>
        <v/>
      </c>
      <c r="G97">
        <f>'SEE Evaluation'!G94</f>
        <v/>
      </c>
    </row>
    <row r="98">
      <c r="A98">
        <f>'SEE Evaluation'!A95</f>
        <v/>
      </c>
      <c r="B98">
        <f>'SEE Evaluation'!B95</f>
        <v/>
      </c>
      <c r="C98">
        <f>'SEE Evaluation'!C95</f>
        <v/>
      </c>
      <c r="D98">
        <f>'SEE Evaluation'!D95</f>
        <v/>
      </c>
      <c r="E98">
        <f>'SEE Evaluation'!E95</f>
        <v/>
      </c>
      <c r="F98">
        <f>'SEE Evaluation'!F95</f>
        <v/>
      </c>
      <c r="G98">
        <f>'SEE Evaluation'!G95</f>
        <v/>
      </c>
    </row>
    <row r="99">
      <c r="A99">
        <f>'SEE Evaluation'!A96</f>
        <v/>
      </c>
      <c r="B99">
        <f>'SEE Evaluation'!B96</f>
        <v/>
      </c>
      <c r="C99">
        <f>'SEE Evaluation'!C96</f>
        <v/>
      </c>
      <c r="D99">
        <f>'SEE Evaluation'!D96</f>
        <v/>
      </c>
      <c r="E99">
        <f>'SEE Evaluation'!E96</f>
        <v/>
      </c>
      <c r="F99">
        <f>'SEE Evaluation'!F96</f>
        <v/>
      </c>
      <c r="G99">
        <f>'SEE Evaluation'!G96</f>
        <v/>
      </c>
    </row>
    <row r="100">
      <c r="A100">
        <f>'SEE Evaluation'!A97</f>
        <v/>
      </c>
      <c r="B100">
        <f>'SEE Evaluation'!B97</f>
        <v/>
      </c>
      <c r="C100">
        <f>'SEE Evaluation'!C97</f>
        <v/>
      </c>
      <c r="D100">
        <f>'SEE Evaluation'!D97</f>
        <v/>
      </c>
      <c r="E100">
        <f>'SEE Evaluation'!E97</f>
        <v/>
      </c>
      <c r="F100">
        <f>'SEE Evaluation'!F97</f>
        <v/>
      </c>
      <c r="G100">
        <f>'SEE Evaluation'!G97</f>
        <v/>
      </c>
    </row>
    <row r="101">
      <c r="A101">
        <f>'SEE Evaluation'!A98</f>
        <v/>
      </c>
      <c r="B101">
        <f>'SEE Evaluation'!B98</f>
        <v/>
      </c>
      <c r="C101">
        <f>'SEE Evaluation'!C98</f>
        <v/>
      </c>
      <c r="D101">
        <f>'SEE Evaluation'!D98</f>
        <v/>
      </c>
      <c r="E101">
        <f>'SEE Evaluation'!E98</f>
        <v/>
      </c>
      <c r="F101">
        <f>'SEE Evaluation'!F98</f>
        <v/>
      </c>
      <c r="G101">
        <f>'SEE Evaluation'!G98</f>
        <v/>
      </c>
    </row>
    <row r="102">
      <c r="A102">
        <f>'SEE Evaluation'!A99</f>
        <v/>
      </c>
      <c r="B102">
        <f>'SEE Evaluation'!B99</f>
        <v/>
      </c>
      <c r="C102">
        <f>'SEE Evaluation'!C99</f>
        <v/>
      </c>
      <c r="D102">
        <f>'SEE Evaluation'!D99</f>
        <v/>
      </c>
      <c r="E102">
        <f>'SEE Evaluation'!E99</f>
        <v/>
      </c>
      <c r="F102">
        <f>'SEE Evaluation'!F99</f>
        <v/>
      </c>
      <c r="G102">
        <f>'SEE Evaluation'!G99</f>
        <v/>
      </c>
    </row>
    <row r="103">
      <c r="A103">
        <f>'SEE Evaluation'!A100</f>
        <v/>
      </c>
      <c r="B103">
        <f>'SEE Evaluation'!B100</f>
        <v/>
      </c>
      <c r="C103">
        <f>'SEE Evaluation'!C100</f>
        <v/>
      </c>
      <c r="D103">
        <f>'SEE Evaluation'!D100</f>
        <v/>
      </c>
      <c r="E103">
        <f>'SEE Evaluation'!E100</f>
        <v/>
      </c>
      <c r="F103">
        <f>'SEE Evaluation'!F100</f>
        <v/>
      </c>
      <c r="G103">
        <f>'SEE Evaluation'!G100</f>
        <v/>
      </c>
    </row>
    <row r="104">
      <c r="A104">
        <f>'SEE Evaluation'!A101</f>
        <v/>
      </c>
      <c r="B104">
        <f>'SEE Evaluation'!B101</f>
        <v/>
      </c>
      <c r="C104">
        <f>'SEE Evaluation'!C101</f>
        <v/>
      </c>
      <c r="D104">
        <f>'SEE Evaluation'!D101</f>
        <v/>
      </c>
      <c r="E104">
        <f>'SEE Evaluation'!E101</f>
        <v/>
      </c>
      <c r="F104">
        <f>'SEE Evaluation'!F101</f>
        <v/>
      </c>
      <c r="G104">
        <f>'SEE Evaluation'!G101</f>
        <v/>
      </c>
    </row>
    <row r="110">
      <c r="A110" s="5" t="inlineStr">
        <is>
          <t>Section B — Consolidated Marksheets (Continuous + SEE → Weighted 60/40)</t>
        </is>
      </c>
    </row>
    <row r="111">
      <c r="A111" s="6" t="inlineStr">
        <is>
          <t>Student ID</t>
        </is>
      </c>
      <c r="B111" s="6" t="inlineStr">
        <is>
          <t>Student Name</t>
        </is>
      </c>
      <c r="C111" s="6" t="inlineStr">
        <is>
          <t>Continuous Score (0–3)</t>
        </is>
      </c>
      <c r="D111" s="6" t="inlineStr">
        <is>
          <t>SEE Score (0–3)</t>
        </is>
      </c>
      <c r="E111" s="6" t="inlineStr">
        <is>
          <t>Weighted Avg (60%/40%)</t>
        </is>
      </c>
      <c r="F111" s="6" t="inlineStr">
        <is>
          <t>Final Level (0–3)</t>
        </is>
      </c>
      <c r="G111" s="6" t="inlineStr">
        <is>
          <t>Evidence Links / Notes</t>
        </is>
      </c>
    </row>
    <row r="112">
      <c r="A112">
        <f>'Continuous Assessment'!A2</f>
        <v/>
      </c>
      <c r="B112">
        <f>'Continuous Assessment'!B2</f>
        <v/>
      </c>
      <c r="C112">
        <f>'Continuous Assessment'!I2</f>
        <v/>
      </c>
      <c r="D112">
        <f>IFERROR(XLOOKUP(A112,'SEE Evaluation'!A:A,'SEE Evaluation'!G:G),"")</f>
        <v/>
      </c>
      <c r="E112">
        <f>IF(AND(C112&lt;&gt;"",D112&lt;&gt;""),0.6*C112+0.4*D112,IF(C112&lt;&gt;"",C112,D112))</f>
        <v/>
      </c>
      <c r="F112">
        <f>IF(E112="","",IF(E112&gt;=2.5,3,IF(E112&gt;=2,2,IF(E112&gt;=1.5,1,0))))</f>
        <v/>
      </c>
    </row>
    <row r="113">
      <c r="A113">
        <f>'Continuous Assessment'!A3</f>
        <v/>
      </c>
      <c r="B113">
        <f>'Continuous Assessment'!B3</f>
        <v/>
      </c>
      <c r="C113">
        <f>'Continuous Assessment'!I3</f>
        <v/>
      </c>
      <c r="D113">
        <f>IFERROR(XLOOKUP(A113,'SEE Evaluation'!A:A,'SEE Evaluation'!G:G),"")</f>
        <v/>
      </c>
      <c r="E113">
        <f>IF(AND(C113&lt;&gt;"",D113&lt;&gt;""),0.6*C113+0.4*D113,IF(C113&lt;&gt;"",C113,D113))</f>
        <v/>
      </c>
      <c r="F113">
        <f>IF(E113="","",IF(E113&gt;=2.5,3,IF(E113&gt;=2,2,IF(E113&gt;=1.5,1,0))))</f>
        <v/>
      </c>
    </row>
    <row r="114">
      <c r="A114">
        <f>'Continuous Assessment'!A4</f>
        <v/>
      </c>
      <c r="B114">
        <f>'Continuous Assessment'!B4</f>
        <v/>
      </c>
      <c r="C114">
        <f>'Continuous Assessment'!I4</f>
        <v/>
      </c>
      <c r="D114">
        <f>IFERROR(XLOOKUP(A114,'SEE Evaluation'!A:A,'SEE Evaluation'!G:G),"")</f>
        <v/>
      </c>
      <c r="E114">
        <f>IF(AND(C114&lt;&gt;"",D114&lt;&gt;""),0.6*C114+0.4*D114,IF(C114&lt;&gt;"",C114,D114))</f>
        <v/>
      </c>
      <c r="F114">
        <f>IF(E114="","",IF(E114&gt;=2.5,3,IF(E114&gt;=2,2,IF(E114&gt;=1.5,1,0))))</f>
        <v/>
      </c>
    </row>
    <row r="115">
      <c r="A115">
        <f>'Continuous Assessment'!A5</f>
        <v/>
      </c>
      <c r="B115">
        <f>'Continuous Assessment'!B5</f>
        <v/>
      </c>
      <c r="C115">
        <f>'Continuous Assessment'!I5</f>
        <v/>
      </c>
      <c r="D115">
        <f>IFERROR(XLOOKUP(A115,'SEE Evaluation'!A:A,'SEE Evaluation'!G:G),"")</f>
        <v/>
      </c>
      <c r="E115">
        <f>IF(AND(C115&lt;&gt;"",D115&lt;&gt;""),0.6*C115+0.4*D115,IF(C115&lt;&gt;"",C115,D115))</f>
        <v/>
      </c>
      <c r="F115">
        <f>IF(E115="","",IF(E115&gt;=2.5,3,IF(E115&gt;=2,2,IF(E115&gt;=1.5,1,0))))</f>
        <v/>
      </c>
    </row>
    <row r="116">
      <c r="A116">
        <f>'Continuous Assessment'!A6</f>
        <v/>
      </c>
      <c r="B116">
        <f>'Continuous Assessment'!B6</f>
        <v/>
      </c>
      <c r="C116">
        <f>'Continuous Assessment'!I6</f>
        <v/>
      </c>
      <c r="D116">
        <f>IFERROR(XLOOKUP(A116,'SEE Evaluation'!A:A,'SEE Evaluation'!G:G),"")</f>
        <v/>
      </c>
      <c r="E116">
        <f>IF(AND(C116&lt;&gt;"",D116&lt;&gt;""),0.6*C116+0.4*D116,IF(C116&lt;&gt;"",C116,D116))</f>
        <v/>
      </c>
      <c r="F116">
        <f>IF(E116="","",IF(E116&gt;=2.5,3,IF(E116&gt;=2,2,IF(E116&gt;=1.5,1,0))))</f>
        <v/>
      </c>
    </row>
    <row r="117">
      <c r="A117">
        <f>'Continuous Assessment'!A7</f>
        <v/>
      </c>
      <c r="B117">
        <f>'Continuous Assessment'!B7</f>
        <v/>
      </c>
      <c r="C117">
        <f>'Continuous Assessment'!I7</f>
        <v/>
      </c>
      <c r="D117">
        <f>IFERROR(XLOOKUP(A117,'SEE Evaluation'!A:A,'SEE Evaluation'!G:G),"")</f>
        <v/>
      </c>
      <c r="E117">
        <f>IF(AND(C117&lt;&gt;"",D117&lt;&gt;""),0.6*C117+0.4*D117,IF(C117&lt;&gt;"",C117,D117))</f>
        <v/>
      </c>
      <c r="F117">
        <f>IF(E117="","",IF(E117&gt;=2.5,3,IF(E117&gt;=2,2,IF(E117&gt;=1.5,1,0))))</f>
        <v/>
      </c>
    </row>
    <row r="118">
      <c r="A118">
        <f>'Continuous Assessment'!A8</f>
        <v/>
      </c>
      <c r="B118">
        <f>'Continuous Assessment'!B8</f>
        <v/>
      </c>
      <c r="C118">
        <f>'Continuous Assessment'!I8</f>
        <v/>
      </c>
      <c r="D118">
        <f>IFERROR(XLOOKUP(A118,'SEE Evaluation'!A:A,'SEE Evaluation'!G:G),"")</f>
        <v/>
      </c>
      <c r="E118">
        <f>IF(AND(C118&lt;&gt;"",D118&lt;&gt;""),0.6*C118+0.4*D118,IF(C118&lt;&gt;"",C118,D118))</f>
        <v/>
      </c>
      <c r="F118">
        <f>IF(E118="","",IF(E118&gt;=2.5,3,IF(E118&gt;=2,2,IF(E118&gt;=1.5,1,0))))</f>
        <v/>
      </c>
    </row>
    <row r="119">
      <c r="A119">
        <f>'Continuous Assessment'!A9</f>
        <v/>
      </c>
      <c r="B119">
        <f>'Continuous Assessment'!B9</f>
        <v/>
      </c>
      <c r="C119">
        <f>'Continuous Assessment'!I9</f>
        <v/>
      </c>
      <c r="D119">
        <f>IFERROR(XLOOKUP(A119,'SEE Evaluation'!A:A,'SEE Evaluation'!G:G),"")</f>
        <v/>
      </c>
      <c r="E119">
        <f>IF(AND(C119&lt;&gt;"",D119&lt;&gt;""),0.6*C119+0.4*D119,IF(C119&lt;&gt;"",C119,D119))</f>
        <v/>
      </c>
      <c r="F119">
        <f>IF(E119="","",IF(E119&gt;=2.5,3,IF(E119&gt;=2,2,IF(E119&gt;=1.5,1,0))))</f>
        <v/>
      </c>
    </row>
    <row r="120">
      <c r="A120">
        <f>'Continuous Assessment'!A10</f>
        <v/>
      </c>
      <c r="B120">
        <f>'Continuous Assessment'!B10</f>
        <v/>
      </c>
      <c r="C120">
        <f>'Continuous Assessment'!I10</f>
        <v/>
      </c>
      <c r="D120">
        <f>IFERROR(XLOOKUP(A120,'SEE Evaluation'!A:A,'SEE Evaluation'!G:G),"")</f>
        <v/>
      </c>
      <c r="E120">
        <f>IF(AND(C120&lt;&gt;"",D120&lt;&gt;""),0.6*C120+0.4*D120,IF(C120&lt;&gt;"",C120,D120))</f>
        <v/>
      </c>
      <c r="F120">
        <f>IF(E120="","",IF(E120&gt;=2.5,3,IF(E120&gt;=2,2,IF(E120&gt;=1.5,1,0))))</f>
        <v/>
      </c>
    </row>
    <row r="121">
      <c r="A121">
        <f>'Continuous Assessment'!A11</f>
        <v/>
      </c>
      <c r="B121">
        <f>'Continuous Assessment'!B11</f>
        <v/>
      </c>
      <c r="C121">
        <f>'Continuous Assessment'!I11</f>
        <v/>
      </c>
      <c r="D121">
        <f>IFERROR(XLOOKUP(A121,'SEE Evaluation'!A:A,'SEE Evaluation'!G:G),"")</f>
        <v/>
      </c>
      <c r="E121">
        <f>IF(AND(C121&lt;&gt;"",D121&lt;&gt;""),0.6*C121+0.4*D121,IF(C121&lt;&gt;"",C121,D121))</f>
        <v/>
      </c>
      <c r="F121">
        <f>IF(E121="","",IF(E121&gt;=2.5,3,IF(E121&gt;=2,2,IF(E121&gt;=1.5,1,0))))</f>
        <v/>
      </c>
    </row>
    <row r="122">
      <c r="A122">
        <f>'Continuous Assessment'!A12</f>
        <v/>
      </c>
      <c r="B122">
        <f>'Continuous Assessment'!B12</f>
        <v/>
      </c>
      <c r="C122">
        <f>'Continuous Assessment'!I12</f>
        <v/>
      </c>
      <c r="D122">
        <f>IFERROR(XLOOKUP(A122,'SEE Evaluation'!A:A,'SEE Evaluation'!G:G),"")</f>
        <v/>
      </c>
      <c r="E122">
        <f>IF(AND(C122&lt;&gt;"",D122&lt;&gt;""),0.6*C122+0.4*D122,IF(C122&lt;&gt;"",C122,D122))</f>
        <v/>
      </c>
      <c r="F122">
        <f>IF(E122="","",IF(E122&gt;=2.5,3,IF(E122&gt;=2,2,IF(E122&gt;=1.5,1,0))))</f>
        <v/>
      </c>
    </row>
    <row r="123">
      <c r="A123">
        <f>'Continuous Assessment'!A13</f>
        <v/>
      </c>
      <c r="B123">
        <f>'Continuous Assessment'!B13</f>
        <v/>
      </c>
      <c r="C123">
        <f>'Continuous Assessment'!I13</f>
        <v/>
      </c>
      <c r="D123">
        <f>IFERROR(XLOOKUP(A123,'SEE Evaluation'!A:A,'SEE Evaluation'!G:G),"")</f>
        <v/>
      </c>
      <c r="E123">
        <f>IF(AND(C123&lt;&gt;"",D123&lt;&gt;""),0.6*C123+0.4*D123,IF(C123&lt;&gt;"",C123,D123))</f>
        <v/>
      </c>
      <c r="F123">
        <f>IF(E123="","",IF(E123&gt;=2.5,3,IF(E123&gt;=2,2,IF(E123&gt;=1.5,1,0))))</f>
        <v/>
      </c>
    </row>
    <row r="124">
      <c r="A124">
        <f>'Continuous Assessment'!A14</f>
        <v/>
      </c>
      <c r="B124">
        <f>'Continuous Assessment'!B14</f>
        <v/>
      </c>
      <c r="C124">
        <f>'Continuous Assessment'!I14</f>
        <v/>
      </c>
      <c r="D124">
        <f>IFERROR(XLOOKUP(A124,'SEE Evaluation'!A:A,'SEE Evaluation'!G:G),"")</f>
        <v/>
      </c>
      <c r="E124">
        <f>IF(AND(C124&lt;&gt;"",D124&lt;&gt;""),0.6*C124+0.4*D124,IF(C124&lt;&gt;"",C124,D124))</f>
        <v/>
      </c>
      <c r="F124">
        <f>IF(E124="","",IF(E124&gt;=2.5,3,IF(E124&gt;=2,2,IF(E124&gt;=1.5,1,0))))</f>
        <v/>
      </c>
    </row>
    <row r="125">
      <c r="A125">
        <f>'Continuous Assessment'!A15</f>
        <v/>
      </c>
      <c r="B125">
        <f>'Continuous Assessment'!B15</f>
        <v/>
      </c>
      <c r="C125">
        <f>'Continuous Assessment'!I15</f>
        <v/>
      </c>
      <c r="D125">
        <f>IFERROR(XLOOKUP(A125,'SEE Evaluation'!A:A,'SEE Evaluation'!G:G),"")</f>
        <v/>
      </c>
      <c r="E125">
        <f>IF(AND(C125&lt;&gt;"",D125&lt;&gt;""),0.6*C125+0.4*D125,IF(C125&lt;&gt;"",C125,D125))</f>
        <v/>
      </c>
      <c r="F125">
        <f>IF(E125="","",IF(E125&gt;=2.5,3,IF(E125&gt;=2,2,IF(E125&gt;=1.5,1,0))))</f>
        <v/>
      </c>
    </row>
    <row r="126">
      <c r="A126">
        <f>'Continuous Assessment'!A16</f>
        <v/>
      </c>
      <c r="B126">
        <f>'Continuous Assessment'!B16</f>
        <v/>
      </c>
      <c r="C126">
        <f>'Continuous Assessment'!I16</f>
        <v/>
      </c>
      <c r="D126">
        <f>IFERROR(XLOOKUP(A126,'SEE Evaluation'!A:A,'SEE Evaluation'!G:G),"")</f>
        <v/>
      </c>
      <c r="E126">
        <f>IF(AND(C126&lt;&gt;"",D126&lt;&gt;""),0.6*C126+0.4*D126,IF(C126&lt;&gt;"",C126,D126))</f>
        <v/>
      </c>
      <c r="F126">
        <f>IF(E126="","",IF(E126&gt;=2.5,3,IF(E126&gt;=2,2,IF(E126&gt;=1.5,1,0))))</f>
        <v/>
      </c>
    </row>
    <row r="127">
      <c r="A127">
        <f>'Continuous Assessment'!A17</f>
        <v/>
      </c>
      <c r="B127">
        <f>'Continuous Assessment'!B17</f>
        <v/>
      </c>
      <c r="C127">
        <f>'Continuous Assessment'!I17</f>
        <v/>
      </c>
      <c r="D127">
        <f>IFERROR(XLOOKUP(A127,'SEE Evaluation'!A:A,'SEE Evaluation'!G:G),"")</f>
        <v/>
      </c>
      <c r="E127">
        <f>IF(AND(C127&lt;&gt;"",D127&lt;&gt;""),0.6*C127+0.4*D127,IF(C127&lt;&gt;"",C127,D127))</f>
        <v/>
      </c>
      <c r="F127">
        <f>IF(E127="","",IF(E127&gt;=2.5,3,IF(E127&gt;=2,2,IF(E127&gt;=1.5,1,0))))</f>
        <v/>
      </c>
    </row>
    <row r="128">
      <c r="A128">
        <f>'Continuous Assessment'!A18</f>
        <v/>
      </c>
      <c r="B128">
        <f>'Continuous Assessment'!B18</f>
        <v/>
      </c>
      <c r="C128">
        <f>'Continuous Assessment'!I18</f>
        <v/>
      </c>
      <c r="D128">
        <f>IFERROR(XLOOKUP(A128,'SEE Evaluation'!A:A,'SEE Evaluation'!G:G),"")</f>
        <v/>
      </c>
      <c r="E128">
        <f>IF(AND(C128&lt;&gt;"",D128&lt;&gt;""),0.6*C128+0.4*D128,IF(C128&lt;&gt;"",C128,D128))</f>
        <v/>
      </c>
      <c r="F128">
        <f>IF(E128="","",IF(E128&gt;=2.5,3,IF(E128&gt;=2,2,IF(E128&gt;=1.5,1,0))))</f>
        <v/>
      </c>
    </row>
    <row r="129">
      <c r="A129">
        <f>'Continuous Assessment'!A19</f>
        <v/>
      </c>
      <c r="B129">
        <f>'Continuous Assessment'!B19</f>
        <v/>
      </c>
      <c r="C129">
        <f>'Continuous Assessment'!I19</f>
        <v/>
      </c>
      <c r="D129">
        <f>IFERROR(XLOOKUP(A129,'SEE Evaluation'!A:A,'SEE Evaluation'!G:G),"")</f>
        <v/>
      </c>
      <c r="E129">
        <f>IF(AND(C129&lt;&gt;"",D129&lt;&gt;""),0.6*C129+0.4*D129,IF(C129&lt;&gt;"",C129,D129))</f>
        <v/>
      </c>
      <c r="F129">
        <f>IF(E129="","",IF(E129&gt;=2.5,3,IF(E129&gt;=2,2,IF(E129&gt;=1.5,1,0))))</f>
        <v/>
      </c>
    </row>
    <row r="130">
      <c r="A130">
        <f>'Continuous Assessment'!A20</f>
        <v/>
      </c>
      <c r="B130">
        <f>'Continuous Assessment'!B20</f>
        <v/>
      </c>
      <c r="C130">
        <f>'Continuous Assessment'!I20</f>
        <v/>
      </c>
      <c r="D130">
        <f>IFERROR(XLOOKUP(A130,'SEE Evaluation'!A:A,'SEE Evaluation'!G:G),"")</f>
        <v/>
      </c>
      <c r="E130">
        <f>IF(AND(C130&lt;&gt;"",D130&lt;&gt;""),0.6*C130+0.4*D130,IF(C130&lt;&gt;"",C130,D130))</f>
        <v/>
      </c>
      <c r="F130">
        <f>IF(E130="","",IF(E130&gt;=2.5,3,IF(E130&gt;=2,2,IF(E130&gt;=1.5,1,0))))</f>
        <v/>
      </c>
    </row>
    <row r="131">
      <c r="A131">
        <f>'Continuous Assessment'!A21</f>
        <v/>
      </c>
      <c r="B131">
        <f>'Continuous Assessment'!B21</f>
        <v/>
      </c>
      <c r="C131">
        <f>'Continuous Assessment'!I21</f>
        <v/>
      </c>
      <c r="D131">
        <f>IFERROR(XLOOKUP(A131,'SEE Evaluation'!A:A,'SEE Evaluation'!G:G),"")</f>
        <v/>
      </c>
      <c r="E131">
        <f>IF(AND(C131&lt;&gt;"",D131&lt;&gt;""),0.6*C131+0.4*D131,IF(C131&lt;&gt;"",C131,D131))</f>
        <v/>
      </c>
      <c r="F131">
        <f>IF(E131="","",IF(E131&gt;=2.5,3,IF(E131&gt;=2,2,IF(E131&gt;=1.5,1,0))))</f>
        <v/>
      </c>
    </row>
    <row r="132">
      <c r="A132">
        <f>'Continuous Assessment'!A22</f>
        <v/>
      </c>
      <c r="B132">
        <f>'Continuous Assessment'!B22</f>
        <v/>
      </c>
      <c r="C132">
        <f>'Continuous Assessment'!I22</f>
        <v/>
      </c>
      <c r="D132">
        <f>IFERROR(XLOOKUP(A132,'SEE Evaluation'!A:A,'SEE Evaluation'!G:G),"")</f>
        <v/>
      </c>
      <c r="E132">
        <f>IF(AND(C132&lt;&gt;"",D132&lt;&gt;""),0.6*C132+0.4*D132,IF(C132&lt;&gt;"",C132,D132))</f>
        <v/>
      </c>
      <c r="F132">
        <f>IF(E132="","",IF(E132&gt;=2.5,3,IF(E132&gt;=2,2,IF(E132&gt;=1.5,1,0))))</f>
        <v/>
      </c>
    </row>
    <row r="133">
      <c r="A133">
        <f>'Continuous Assessment'!A23</f>
        <v/>
      </c>
      <c r="B133">
        <f>'Continuous Assessment'!B23</f>
        <v/>
      </c>
      <c r="C133">
        <f>'Continuous Assessment'!I23</f>
        <v/>
      </c>
      <c r="D133">
        <f>IFERROR(XLOOKUP(A133,'SEE Evaluation'!A:A,'SEE Evaluation'!G:G),"")</f>
        <v/>
      </c>
      <c r="E133">
        <f>IF(AND(C133&lt;&gt;"",D133&lt;&gt;""),0.6*C133+0.4*D133,IF(C133&lt;&gt;"",C133,D133))</f>
        <v/>
      </c>
      <c r="F133">
        <f>IF(E133="","",IF(E133&gt;=2.5,3,IF(E133&gt;=2,2,IF(E133&gt;=1.5,1,0))))</f>
        <v/>
      </c>
    </row>
    <row r="134">
      <c r="A134">
        <f>'Continuous Assessment'!A24</f>
        <v/>
      </c>
      <c r="B134">
        <f>'Continuous Assessment'!B24</f>
        <v/>
      </c>
      <c r="C134">
        <f>'Continuous Assessment'!I24</f>
        <v/>
      </c>
      <c r="D134">
        <f>IFERROR(XLOOKUP(A134,'SEE Evaluation'!A:A,'SEE Evaluation'!G:G),"")</f>
        <v/>
      </c>
      <c r="E134">
        <f>IF(AND(C134&lt;&gt;"",D134&lt;&gt;""),0.6*C134+0.4*D134,IF(C134&lt;&gt;"",C134,D134))</f>
        <v/>
      </c>
      <c r="F134">
        <f>IF(E134="","",IF(E134&gt;=2.5,3,IF(E134&gt;=2,2,IF(E134&gt;=1.5,1,0))))</f>
        <v/>
      </c>
    </row>
    <row r="135">
      <c r="A135">
        <f>'Continuous Assessment'!A25</f>
        <v/>
      </c>
      <c r="B135">
        <f>'Continuous Assessment'!B25</f>
        <v/>
      </c>
      <c r="C135">
        <f>'Continuous Assessment'!I25</f>
        <v/>
      </c>
      <c r="D135">
        <f>IFERROR(XLOOKUP(A135,'SEE Evaluation'!A:A,'SEE Evaluation'!G:G),"")</f>
        <v/>
      </c>
      <c r="E135">
        <f>IF(AND(C135&lt;&gt;"",D135&lt;&gt;""),0.6*C135+0.4*D135,IF(C135&lt;&gt;"",C135,D135))</f>
        <v/>
      </c>
      <c r="F135">
        <f>IF(E135="","",IF(E135&gt;=2.5,3,IF(E135&gt;=2,2,IF(E135&gt;=1.5,1,0))))</f>
        <v/>
      </c>
    </row>
    <row r="136">
      <c r="A136">
        <f>'Continuous Assessment'!A26</f>
        <v/>
      </c>
      <c r="B136">
        <f>'Continuous Assessment'!B26</f>
        <v/>
      </c>
      <c r="C136">
        <f>'Continuous Assessment'!I26</f>
        <v/>
      </c>
      <c r="D136">
        <f>IFERROR(XLOOKUP(A136,'SEE Evaluation'!A:A,'SEE Evaluation'!G:G),"")</f>
        <v/>
      </c>
      <c r="E136">
        <f>IF(AND(C136&lt;&gt;"",D136&lt;&gt;""),0.6*C136+0.4*D136,IF(C136&lt;&gt;"",C136,D136))</f>
        <v/>
      </c>
      <c r="F136">
        <f>IF(E136="","",IF(E136&gt;=2.5,3,IF(E136&gt;=2,2,IF(E136&gt;=1.5,1,0))))</f>
        <v/>
      </c>
    </row>
    <row r="137">
      <c r="A137">
        <f>'Continuous Assessment'!A27</f>
        <v/>
      </c>
      <c r="B137">
        <f>'Continuous Assessment'!B27</f>
        <v/>
      </c>
      <c r="C137">
        <f>'Continuous Assessment'!I27</f>
        <v/>
      </c>
      <c r="D137">
        <f>IFERROR(XLOOKUP(A137,'SEE Evaluation'!A:A,'SEE Evaluation'!G:G),"")</f>
        <v/>
      </c>
      <c r="E137">
        <f>IF(AND(C137&lt;&gt;"",D137&lt;&gt;""),0.6*C137+0.4*D137,IF(C137&lt;&gt;"",C137,D137))</f>
        <v/>
      </c>
      <c r="F137">
        <f>IF(E137="","",IF(E137&gt;=2.5,3,IF(E137&gt;=2,2,IF(E137&gt;=1.5,1,0))))</f>
        <v/>
      </c>
    </row>
    <row r="138">
      <c r="A138">
        <f>'Continuous Assessment'!A28</f>
        <v/>
      </c>
      <c r="B138">
        <f>'Continuous Assessment'!B28</f>
        <v/>
      </c>
      <c r="C138">
        <f>'Continuous Assessment'!I28</f>
        <v/>
      </c>
      <c r="D138">
        <f>IFERROR(XLOOKUP(A138,'SEE Evaluation'!A:A,'SEE Evaluation'!G:G),"")</f>
        <v/>
      </c>
      <c r="E138">
        <f>IF(AND(C138&lt;&gt;"",D138&lt;&gt;""),0.6*C138+0.4*D138,IF(C138&lt;&gt;"",C138,D138))</f>
        <v/>
      </c>
      <c r="F138">
        <f>IF(E138="","",IF(E138&gt;=2.5,3,IF(E138&gt;=2,2,IF(E138&gt;=1.5,1,0))))</f>
        <v/>
      </c>
    </row>
    <row r="139">
      <c r="A139">
        <f>'Continuous Assessment'!A29</f>
        <v/>
      </c>
      <c r="B139">
        <f>'Continuous Assessment'!B29</f>
        <v/>
      </c>
      <c r="C139">
        <f>'Continuous Assessment'!I29</f>
        <v/>
      </c>
      <c r="D139">
        <f>IFERROR(XLOOKUP(A139,'SEE Evaluation'!A:A,'SEE Evaluation'!G:G),"")</f>
        <v/>
      </c>
      <c r="E139">
        <f>IF(AND(C139&lt;&gt;"",D139&lt;&gt;""),0.6*C139+0.4*D139,IF(C139&lt;&gt;"",C139,D139))</f>
        <v/>
      </c>
      <c r="F139">
        <f>IF(E139="","",IF(E139&gt;=2.5,3,IF(E139&gt;=2,2,IF(E139&gt;=1.5,1,0))))</f>
        <v/>
      </c>
    </row>
    <row r="140">
      <c r="A140">
        <f>'Continuous Assessment'!A30</f>
        <v/>
      </c>
      <c r="B140">
        <f>'Continuous Assessment'!B30</f>
        <v/>
      </c>
      <c r="C140">
        <f>'Continuous Assessment'!I30</f>
        <v/>
      </c>
      <c r="D140">
        <f>IFERROR(XLOOKUP(A140,'SEE Evaluation'!A:A,'SEE Evaluation'!G:G),"")</f>
        <v/>
      </c>
      <c r="E140">
        <f>IF(AND(C140&lt;&gt;"",D140&lt;&gt;""),0.6*C140+0.4*D140,IF(C140&lt;&gt;"",C140,D140))</f>
        <v/>
      </c>
      <c r="F140">
        <f>IF(E140="","",IF(E140&gt;=2.5,3,IF(E140&gt;=2,2,IF(E140&gt;=1.5,1,0))))</f>
        <v/>
      </c>
    </row>
    <row r="141">
      <c r="A141">
        <f>'Continuous Assessment'!A31</f>
        <v/>
      </c>
      <c r="B141">
        <f>'Continuous Assessment'!B31</f>
        <v/>
      </c>
      <c r="C141">
        <f>'Continuous Assessment'!I31</f>
        <v/>
      </c>
      <c r="D141">
        <f>IFERROR(XLOOKUP(A141,'SEE Evaluation'!A:A,'SEE Evaluation'!G:G),"")</f>
        <v/>
      </c>
      <c r="E141">
        <f>IF(AND(C141&lt;&gt;"",D141&lt;&gt;""),0.6*C141+0.4*D141,IF(C141&lt;&gt;"",C141,D141))</f>
        <v/>
      </c>
      <c r="F141">
        <f>IF(E141="","",IF(E141&gt;=2.5,3,IF(E141&gt;=2,2,IF(E141&gt;=1.5,1,0))))</f>
        <v/>
      </c>
    </row>
    <row r="142">
      <c r="A142">
        <f>'Continuous Assessment'!A32</f>
        <v/>
      </c>
      <c r="B142">
        <f>'Continuous Assessment'!B32</f>
        <v/>
      </c>
      <c r="C142">
        <f>'Continuous Assessment'!I32</f>
        <v/>
      </c>
      <c r="D142">
        <f>IFERROR(XLOOKUP(A142,'SEE Evaluation'!A:A,'SEE Evaluation'!G:G),"")</f>
        <v/>
      </c>
      <c r="E142">
        <f>IF(AND(C142&lt;&gt;"",D142&lt;&gt;""),0.6*C142+0.4*D142,IF(C142&lt;&gt;"",C142,D142))</f>
        <v/>
      </c>
      <c r="F142">
        <f>IF(E142="","",IF(E142&gt;=2.5,3,IF(E142&gt;=2,2,IF(E142&gt;=1.5,1,0))))</f>
        <v/>
      </c>
    </row>
    <row r="143">
      <c r="A143">
        <f>'Continuous Assessment'!A33</f>
        <v/>
      </c>
      <c r="B143">
        <f>'Continuous Assessment'!B33</f>
        <v/>
      </c>
      <c r="C143">
        <f>'Continuous Assessment'!I33</f>
        <v/>
      </c>
      <c r="D143">
        <f>IFERROR(XLOOKUP(A143,'SEE Evaluation'!A:A,'SEE Evaluation'!G:G),"")</f>
        <v/>
      </c>
      <c r="E143">
        <f>IF(AND(C143&lt;&gt;"",D143&lt;&gt;""),0.6*C143+0.4*D143,IF(C143&lt;&gt;"",C143,D143))</f>
        <v/>
      </c>
      <c r="F143">
        <f>IF(E143="","",IF(E143&gt;=2.5,3,IF(E143&gt;=2,2,IF(E143&gt;=1.5,1,0))))</f>
        <v/>
      </c>
    </row>
    <row r="144">
      <c r="A144">
        <f>'Continuous Assessment'!A34</f>
        <v/>
      </c>
      <c r="B144">
        <f>'Continuous Assessment'!B34</f>
        <v/>
      </c>
      <c r="C144">
        <f>'Continuous Assessment'!I34</f>
        <v/>
      </c>
      <c r="D144">
        <f>IFERROR(XLOOKUP(A144,'SEE Evaluation'!A:A,'SEE Evaluation'!G:G),"")</f>
        <v/>
      </c>
      <c r="E144">
        <f>IF(AND(C144&lt;&gt;"",D144&lt;&gt;""),0.6*C144+0.4*D144,IF(C144&lt;&gt;"",C144,D144))</f>
        <v/>
      </c>
      <c r="F144">
        <f>IF(E144="","",IF(E144&gt;=2.5,3,IF(E144&gt;=2,2,IF(E144&gt;=1.5,1,0))))</f>
        <v/>
      </c>
    </row>
    <row r="145">
      <c r="A145">
        <f>'Continuous Assessment'!A35</f>
        <v/>
      </c>
      <c r="B145">
        <f>'Continuous Assessment'!B35</f>
        <v/>
      </c>
      <c r="C145">
        <f>'Continuous Assessment'!I35</f>
        <v/>
      </c>
      <c r="D145">
        <f>IFERROR(XLOOKUP(A145,'SEE Evaluation'!A:A,'SEE Evaluation'!G:G),"")</f>
        <v/>
      </c>
      <c r="E145">
        <f>IF(AND(C145&lt;&gt;"",D145&lt;&gt;""),0.6*C145+0.4*D145,IF(C145&lt;&gt;"",C145,D145))</f>
        <v/>
      </c>
      <c r="F145">
        <f>IF(E145="","",IF(E145&gt;=2.5,3,IF(E145&gt;=2,2,IF(E145&gt;=1.5,1,0))))</f>
        <v/>
      </c>
    </row>
    <row r="146">
      <c r="A146">
        <f>'Continuous Assessment'!A36</f>
        <v/>
      </c>
      <c r="B146">
        <f>'Continuous Assessment'!B36</f>
        <v/>
      </c>
      <c r="C146">
        <f>'Continuous Assessment'!I36</f>
        <v/>
      </c>
      <c r="D146">
        <f>IFERROR(XLOOKUP(A146,'SEE Evaluation'!A:A,'SEE Evaluation'!G:G),"")</f>
        <v/>
      </c>
      <c r="E146">
        <f>IF(AND(C146&lt;&gt;"",D146&lt;&gt;""),0.6*C146+0.4*D146,IF(C146&lt;&gt;"",C146,D146))</f>
        <v/>
      </c>
      <c r="F146">
        <f>IF(E146="","",IF(E146&gt;=2.5,3,IF(E146&gt;=2,2,IF(E146&gt;=1.5,1,0))))</f>
        <v/>
      </c>
    </row>
    <row r="147">
      <c r="A147">
        <f>'Continuous Assessment'!A37</f>
        <v/>
      </c>
      <c r="B147">
        <f>'Continuous Assessment'!B37</f>
        <v/>
      </c>
      <c r="C147">
        <f>'Continuous Assessment'!I37</f>
        <v/>
      </c>
      <c r="D147">
        <f>IFERROR(XLOOKUP(A147,'SEE Evaluation'!A:A,'SEE Evaluation'!G:G),"")</f>
        <v/>
      </c>
      <c r="E147">
        <f>IF(AND(C147&lt;&gt;"",D147&lt;&gt;""),0.6*C147+0.4*D147,IF(C147&lt;&gt;"",C147,D147))</f>
        <v/>
      </c>
      <c r="F147">
        <f>IF(E147="","",IF(E147&gt;=2.5,3,IF(E147&gt;=2,2,IF(E147&gt;=1.5,1,0))))</f>
        <v/>
      </c>
    </row>
    <row r="148">
      <c r="A148">
        <f>'Continuous Assessment'!A38</f>
        <v/>
      </c>
      <c r="B148">
        <f>'Continuous Assessment'!B38</f>
        <v/>
      </c>
      <c r="C148">
        <f>'Continuous Assessment'!I38</f>
        <v/>
      </c>
      <c r="D148">
        <f>IFERROR(XLOOKUP(A148,'SEE Evaluation'!A:A,'SEE Evaluation'!G:G),"")</f>
        <v/>
      </c>
      <c r="E148">
        <f>IF(AND(C148&lt;&gt;"",D148&lt;&gt;""),0.6*C148+0.4*D148,IF(C148&lt;&gt;"",C148,D148))</f>
        <v/>
      </c>
      <c r="F148">
        <f>IF(E148="","",IF(E148&gt;=2.5,3,IF(E148&gt;=2,2,IF(E148&gt;=1.5,1,0))))</f>
        <v/>
      </c>
    </row>
    <row r="149">
      <c r="A149">
        <f>'Continuous Assessment'!A39</f>
        <v/>
      </c>
      <c r="B149">
        <f>'Continuous Assessment'!B39</f>
        <v/>
      </c>
      <c r="C149">
        <f>'Continuous Assessment'!I39</f>
        <v/>
      </c>
      <c r="D149">
        <f>IFERROR(XLOOKUP(A149,'SEE Evaluation'!A:A,'SEE Evaluation'!G:G),"")</f>
        <v/>
      </c>
      <c r="E149">
        <f>IF(AND(C149&lt;&gt;"",D149&lt;&gt;""),0.6*C149+0.4*D149,IF(C149&lt;&gt;"",C149,D149))</f>
        <v/>
      </c>
      <c r="F149">
        <f>IF(E149="","",IF(E149&gt;=2.5,3,IF(E149&gt;=2,2,IF(E149&gt;=1.5,1,0))))</f>
        <v/>
      </c>
    </row>
    <row r="150">
      <c r="A150">
        <f>'Continuous Assessment'!A40</f>
        <v/>
      </c>
      <c r="B150">
        <f>'Continuous Assessment'!B40</f>
        <v/>
      </c>
      <c r="C150">
        <f>'Continuous Assessment'!I40</f>
        <v/>
      </c>
      <c r="D150">
        <f>IFERROR(XLOOKUP(A150,'SEE Evaluation'!A:A,'SEE Evaluation'!G:G),"")</f>
        <v/>
      </c>
      <c r="E150">
        <f>IF(AND(C150&lt;&gt;"",D150&lt;&gt;""),0.6*C150+0.4*D150,IF(C150&lt;&gt;"",C150,D150))</f>
        <v/>
      </c>
      <c r="F150">
        <f>IF(E150="","",IF(E150&gt;=2.5,3,IF(E150&gt;=2,2,IF(E150&gt;=1.5,1,0))))</f>
        <v/>
      </c>
    </row>
    <row r="151">
      <c r="A151">
        <f>'Continuous Assessment'!A41</f>
        <v/>
      </c>
      <c r="B151">
        <f>'Continuous Assessment'!B41</f>
        <v/>
      </c>
      <c r="C151">
        <f>'Continuous Assessment'!I41</f>
        <v/>
      </c>
      <c r="D151">
        <f>IFERROR(XLOOKUP(A151,'SEE Evaluation'!A:A,'SEE Evaluation'!G:G),"")</f>
        <v/>
      </c>
      <c r="E151">
        <f>IF(AND(C151&lt;&gt;"",D151&lt;&gt;""),0.6*C151+0.4*D151,IF(C151&lt;&gt;"",C151,D151))</f>
        <v/>
      </c>
      <c r="F151">
        <f>IF(E151="","",IF(E151&gt;=2.5,3,IF(E151&gt;=2,2,IF(E151&gt;=1.5,1,0))))</f>
        <v/>
      </c>
    </row>
    <row r="152">
      <c r="A152">
        <f>'Continuous Assessment'!A42</f>
        <v/>
      </c>
      <c r="B152">
        <f>'Continuous Assessment'!B42</f>
        <v/>
      </c>
      <c r="C152">
        <f>'Continuous Assessment'!I42</f>
        <v/>
      </c>
      <c r="D152">
        <f>IFERROR(XLOOKUP(A152,'SEE Evaluation'!A:A,'SEE Evaluation'!G:G),"")</f>
        <v/>
      </c>
      <c r="E152">
        <f>IF(AND(C152&lt;&gt;"",D152&lt;&gt;""),0.6*C152+0.4*D152,IF(C152&lt;&gt;"",C152,D152))</f>
        <v/>
      </c>
      <c r="F152">
        <f>IF(E152="","",IF(E152&gt;=2.5,3,IF(E152&gt;=2,2,IF(E152&gt;=1.5,1,0))))</f>
        <v/>
      </c>
    </row>
    <row r="153">
      <c r="A153">
        <f>'Continuous Assessment'!A43</f>
        <v/>
      </c>
      <c r="B153">
        <f>'Continuous Assessment'!B43</f>
        <v/>
      </c>
      <c r="C153">
        <f>'Continuous Assessment'!I43</f>
        <v/>
      </c>
      <c r="D153">
        <f>IFERROR(XLOOKUP(A153,'SEE Evaluation'!A:A,'SEE Evaluation'!G:G),"")</f>
        <v/>
      </c>
      <c r="E153">
        <f>IF(AND(C153&lt;&gt;"",D153&lt;&gt;""),0.6*C153+0.4*D153,IF(C153&lt;&gt;"",C153,D153))</f>
        <v/>
      </c>
      <c r="F153">
        <f>IF(E153="","",IF(E153&gt;=2.5,3,IF(E153&gt;=2,2,IF(E153&gt;=1.5,1,0))))</f>
        <v/>
      </c>
    </row>
    <row r="154">
      <c r="A154">
        <f>'Continuous Assessment'!A44</f>
        <v/>
      </c>
      <c r="B154">
        <f>'Continuous Assessment'!B44</f>
        <v/>
      </c>
      <c r="C154">
        <f>'Continuous Assessment'!I44</f>
        <v/>
      </c>
      <c r="D154">
        <f>IFERROR(XLOOKUP(A154,'SEE Evaluation'!A:A,'SEE Evaluation'!G:G),"")</f>
        <v/>
      </c>
      <c r="E154">
        <f>IF(AND(C154&lt;&gt;"",D154&lt;&gt;""),0.6*C154+0.4*D154,IF(C154&lt;&gt;"",C154,D154))</f>
        <v/>
      </c>
      <c r="F154">
        <f>IF(E154="","",IF(E154&gt;=2.5,3,IF(E154&gt;=2,2,IF(E154&gt;=1.5,1,0))))</f>
        <v/>
      </c>
    </row>
    <row r="155">
      <c r="A155">
        <f>'Continuous Assessment'!A45</f>
        <v/>
      </c>
      <c r="B155">
        <f>'Continuous Assessment'!B45</f>
        <v/>
      </c>
      <c r="C155">
        <f>'Continuous Assessment'!I45</f>
        <v/>
      </c>
      <c r="D155">
        <f>IFERROR(XLOOKUP(A155,'SEE Evaluation'!A:A,'SEE Evaluation'!G:G),"")</f>
        <v/>
      </c>
      <c r="E155">
        <f>IF(AND(C155&lt;&gt;"",D155&lt;&gt;""),0.6*C155+0.4*D155,IF(C155&lt;&gt;"",C155,D155))</f>
        <v/>
      </c>
      <c r="F155">
        <f>IF(E155="","",IF(E155&gt;=2.5,3,IF(E155&gt;=2,2,IF(E155&gt;=1.5,1,0))))</f>
        <v/>
      </c>
    </row>
    <row r="156">
      <c r="A156">
        <f>'Continuous Assessment'!A46</f>
        <v/>
      </c>
      <c r="B156">
        <f>'Continuous Assessment'!B46</f>
        <v/>
      </c>
      <c r="C156">
        <f>'Continuous Assessment'!I46</f>
        <v/>
      </c>
      <c r="D156">
        <f>IFERROR(XLOOKUP(A156,'SEE Evaluation'!A:A,'SEE Evaluation'!G:G),"")</f>
        <v/>
      </c>
      <c r="E156">
        <f>IF(AND(C156&lt;&gt;"",D156&lt;&gt;""),0.6*C156+0.4*D156,IF(C156&lt;&gt;"",C156,D156))</f>
        <v/>
      </c>
      <c r="F156">
        <f>IF(E156="","",IF(E156&gt;=2.5,3,IF(E156&gt;=2,2,IF(E156&gt;=1.5,1,0))))</f>
        <v/>
      </c>
    </row>
    <row r="157">
      <c r="A157">
        <f>'Continuous Assessment'!A47</f>
        <v/>
      </c>
      <c r="B157">
        <f>'Continuous Assessment'!B47</f>
        <v/>
      </c>
      <c r="C157">
        <f>'Continuous Assessment'!I47</f>
        <v/>
      </c>
      <c r="D157">
        <f>IFERROR(XLOOKUP(A157,'SEE Evaluation'!A:A,'SEE Evaluation'!G:G),"")</f>
        <v/>
      </c>
      <c r="E157">
        <f>IF(AND(C157&lt;&gt;"",D157&lt;&gt;""),0.6*C157+0.4*D157,IF(C157&lt;&gt;"",C157,D157))</f>
        <v/>
      </c>
      <c r="F157">
        <f>IF(E157="","",IF(E157&gt;=2.5,3,IF(E157&gt;=2,2,IF(E157&gt;=1.5,1,0))))</f>
        <v/>
      </c>
    </row>
    <row r="158">
      <c r="A158">
        <f>'Continuous Assessment'!A48</f>
        <v/>
      </c>
      <c r="B158">
        <f>'Continuous Assessment'!B48</f>
        <v/>
      </c>
      <c r="C158">
        <f>'Continuous Assessment'!I48</f>
        <v/>
      </c>
      <c r="D158">
        <f>IFERROR(XLOOKUP(A158,'SEE Evaluation'!A:A,'SEE Evaluation'!G:G),"")</f>
        <v/>
      </c>
      <c r="E158">
        <f>IF(AND(C158&lt;&gt;"",D158&lt;&gt;""),0.6*C158+0.4*D158,IF(C158&lt;&gt;"",C158,D158))</f>
        <v/>
      </c>
      <c r="F158">
        <f>IF(E158="","",IF(E158&gt;=2.5,3,IF(E158&gt;=2,2,IF(E158&gt;=1.5,1,0))))</f>
        <v/>
      </c>
    </row>
    <row r="159">
      <c r="A159">
        <f>'Continuous Assessment'!A49</f>
        <v/>
      </c>
      <c r="B159">
        <f>'Continuous Assessment'!B49</f>
        <v/>
      </c>
      <c r="C159">
        <f>'Continuous Assessment'!I49</f>
        <v/>
      </c>
      <c r="D159">
        <f>IFERROR(XLOOKUP(A159,'SEE Evaluation'!A:A,'SEE Evaluation'!G:G),"")</f>
        <v/>
      </c>
      <c r="E159">
        <f>IF(AND(C159&lt;&gt;"",D159&lt;&gt;""),0.6*C159+0.4*D159,IF(C159&lt;&gt;"",C159,D159))</f>
        <v/>
      </c>
      <c r="F159">
        <f>IF(E159="","",IF(E159&gt;=2.5,3,IF(E159&gt;=2,2,IF(E159&gt;=1.5,1,0))))</f>
        <v/>
      </c>
    </row>
    <row r="160">
      <c r="A160">
        <f>'Continuous Assessment'!A50</f>
        <v/>
      </c>
      <c r="B160">
        <f>'Continuous Assessment'!B50</f>
        <v/>
      </c>
      <c r="C160">
        <f>'Continuous Assessment'!I50</f>
        <v/>
      </c>
      <c r="D160">
        <f>IFERROR(XLOOKUP(A160,'SEE Evaluation'!A:A,'SEE Evaluation'!G:G),"")</f>
        <v/>
      </c>
      <c r="E160">
        <f>IF(AND(C160&lt;&gt;"",D160&lt;&gt;""),0.6*C160+0.4*D160,IF(C160&lt;&gt;"",C160,D160))</f>
        <v/>
      </c>
      <c r="F160">
        <f>IF(E160="","",IF(E160&gt;=2.5,3,IF(E160&gt;=2,2,IF(E160&gt;=1.5,1,0))))</f>
        <v/>
      </c>
    </row>
    <row r="161">
      <c r="A161">
        <f>'Continuous Assessment'!A51</f>
        <v/>
      </c>
      <c r="B161">
        <f>'Continuous Assessment'!B51</f>
        <v/>
      </c>
      <c r="C161">
        <f>'Continuous Assessment'!I51</f>
        <v/>
      </c>
      <c r="D161">
        <f>IFERROR(XLOOKUP(A161,'SEE Evaluation'!A:A,'SEE Evaluation'!G:G),"")</f>
        <v/>
      </c>
      <c r="E161">
        <f>IF(AND(C161&lt;&gt;"",D161&lt;&gt;""),0.6*C161+0.4*D161,IF(C161&lt;&gt;"",C161,D161))</f>
        <v/>
      </c>
      <c r="F161">
        <f>IF(E161="","",IF(E161&gt;=2.5,3,IF(E161&gt;=2,2,IF(E161&gt;=1.5,1,0))))</f>
        <v/>
      </c>
    </row>
    <row r="162">
      <c r="A162">
        <f>'Continuous Assessment'!A52</f>
        <v/>
      </c>
      <c r="B162">
        <f>'Continuous Assessment'!B52</f>
        <v/>
      </c>
      <c r="C162">
        <f>'Continuous Assessment'!I52</f>
        <v/>
      </c>
      <c r="D162">
        <f>IFERROR(XLOOKUP(A162,'SEE Evaluation'!A:A,'SEE Evaluation'!G:G),"")</f>
        <v/>
      </c>
      <c r="E162">
        <f>IF(AND(C162&lt;&gt;"",D162&lt;&gt;""),0.6*C162+0.4*D162,IF(C162&lt;&gt;"",C162,D162))</f>
        <v/>
      </c>
      <c r="F162">
        <f>IF(E162="","",IF(E162&gt;=2.5,3,IF(E162&gt;=2,2,IF(E162&gt;=1.5,1,0))))</f>
        <v/>
      </c>
    </row>
    <row r="163">
      <c r="A163">
        <f>'Continuous Assessment'!A53</f>
        <v/>
      </c>
      <c r="B163">
        <f>'Continuous Assessment'!B53</f>
        <v/>
      </c>
      <c r="C163">
        <f>'Continuous Assessment'!I53</f>
        <v/>
      </c>
      <c r="D163">
        <f>IFERROR(XLOOKUP(A163,'SEE Evaluation'!A:A,'SEE Evaluation'!G:G),"")</f>
        <v/>
      </c>
      <c r="E163">
        <f>IF(AND(C163&lt;&gt;"",D163&lt;&gt;""),0.6*C163+0.4*D163,IF(C163&lt;&gt;"",C163,D163))</f>
        <v/>
      </c>
      <c r="F163">
        <f>IF(E163="","",IF(E163&gt;=2.5,3,IF(E163&gt;=2,2,IF(E163&gt;=1.5,1,0))))</f>
        <v/>
      </c>
    </row>
    <row r="164">
      <c r="A164">
        <f>'Continuous Assessment'!A54</f>
        <v/>
      </c>
      <c r="B164">
        <f>'Continuous Assessment'!B54</f>
        <v/>
      </c>
      <c r="C164">
        <f>'Continuous Assessment'!I54</f>
        <v/>
      </c>
      <c r="D164">
        <f>IFERROR(XLOOKUP(A164,'SEE Evaluation'!A:A,'SEE Evaluation'!G:G),"")</f>
        <v/>
      </c>
      <c r="E164">
        <f>IF(AND(C164&lt;&gt;"",D164&lt;&gt;""),0.6*C164+0.4*D164,IF(C164&lt;&gt;"",C164,D164))</f>
        <v/>
      </c>
      <c r="F164">
        <f>IF(E164="","",IF(E164&gt;=2.5,3,IF(E164&gt;=2,2,IF(E164&gt;=1.5,1,0))))</f>
        <v/>
      </c>
    </row>
    <row r="165">
      <c r="A165">
        <f>'Continuous Assessment'!A55</f>
        <v/>
      </c>
      <c r="B165">
        <f>'Continuous Assessment'!B55</f>
        <v/>
      </c>
      <c r="C165">
        <f>'Continuous Assessment'!I55</f>
        <v/>
      </c>
      <c r="D165">
        <f>IFERROR(XLOOKUP(A165,'SEE Evaluation'!A:A,'SEE Evaluation'!G:G),"")</f>
        <v/>
      </c>
      <c r="E165">
        <f>IF(AND(C165&lt;&gt;"",D165&lt;&gt;""),0.6*C165+0.4*D165,IF(C165&lt;&gt;"",C165,D165))</f>
        <v/>
      </c>
      <c r="F165">
        <f>IF(E165="","",IF(E165&gt;=2.5,3,IF(E165&gt;=2,2,IF(E165&gt;=1.5,1,0))))</f>
        <v/>
      </c>
    </row>
    <row r="166">
      <c r="A166">
        <f>'Continuous Assessment'!A56</f>
        <v/>
      </c>
      <c r="B166">
        <f>'Continuous Assessment'!B56</f>
        <v/>
      </c>
      <c r="C166">
        <f>'Continuous Assessment'!I56</f>
        <v/>
      </c>
      <c r="D166">
        <f>IFERROR(XLOOKUP(A166,'SEE Evaluation'!A:A,'SEE Evaluation'!G:G),"")</f>
        <v/>
      </c>
      <c r="E166">
        <f>IF(AND(C166&lt;&gt;"",D166&lt;&gt;""),0.6*C166+0.4*D166,IF(C166&lt;&gt;"",C166,D166))</f>
        <v/>
      </c>
      <c r="F166">
        <f>IF(E166="","",IF(E166&gt;=2.5,3,IF(E166&gt;=2,2,IF(E166&gt;=1.5,1,0))))</f>
        <v/>
      </c>
    </row>
    <row r="167">
      <c r="A167">
        <f>'Continuous Assessment'!A57</f>
        <v/>
      </c>
      <c r="B167">
        <f>'Continuous Assessment'!B57</f>
        <v/>
      </c>
      <c r="C167">
        <f>'Continuous Assessment'!I57</f>
        <v/>
      </c>
      <c r="D167">
        <f>IFERROR(XLOOKUP(A167,'SEE Evaluation'!A:A,'SEE Evaluation'!G:G),"")</f>
        <v/>
      </c>
      <c r="E167">
        <f>IF(AND(C167&lt;&gt;"",D167&lt;&gt;""),0.6*C167+0.4*D167,IF(C167&lt;&gt;"",C167,D167))</f>
        <v/>
      </c>
      <c r="F167">
        <f>IF(E167="","",IF(E167&gt;=2.5,3,IF(E167&gt;=2,2,IF(E167&gt;=1.5,1,0))))</f>
        <v/>
      </c>
    </row>
    <row r="168">
      <c r="A168">
        <f>'Continuous Assessment'!A58</f>
        <v/>
      </c>
      <c r="B168">
        <f>'Continuous Assessment'!B58</f>
        <v/>
      </c>
      <c r="C168">
        <f>'Continuous Assessment'!I58</f>
        <v/>
      </c>
      <c r="D168">
        <f>IFERROR(XLOOKUP(A168,'SEE Evaluation'!A:A,'SEE Evaluation'!G:G),"")</f>
        <v/>
      </c>
      <c r="E168">
        <f>IF(AND(C168&lt;&gt;"",D168&lt;&gt;""),0.6*C168+0.4*D168,IF(C168&lt;&gt;"",C168,D168))</f>
        <v/>
      </c>
      <c r="F168">
        <f>IF(E168="","",IF(E168&gt;=2.5,3,IF(E168&gt;=2,2,IF(E168&gt;=1.5,1,0))))</f>
        <v/>
      </c>
    </row>
    <row r="169">
      <c r="A169">
        <f>'Continuous Assessment'!A59</f>
        <v/>
      </c>
      <c r="B169">
        <f>'Continuous Assessment'!B59</f>
        <v/>
      </c>
      <c r="C169">
        <f>'Continuous Assessment'!I59</f>
        <v/>
      </c>
      <c r="D169">
        <f>IFERROR(XLOOKUP(A169,'SEE Evaluation'!A:A,'SEE Evaluation'!G:G),"")</f>
        <v/>
      </c>
      <c r="E169">
        <f>IF(AND(C169&lt;&gt;"",D169&lt;&gt;""),0.6*C169+0.4*D169,IF(C169&lt;&gt;"",C169,D169))</f>
        <v/>
      </c>
      <c r="F169">
        <f>IF(E169="","",IF(E169&gt;=2.5,3,IF(E169&gt;=2,2,IF(E169&gt;=1.5,1,0))))</f>
        <v/>
      </c>
    </row>
    <row r="170">
      <c r="A170">
        <f>'Continuous Assessment'!A60</f>
        <v/>
      </c>
      <c r="B170">
        <f>'Continuous Assessment'!B60</f>
        <v/>
      </c>
      <c r="C170">
        <f>'Continuous Assessment'!I60</f>
        <v/>
      </c>
      <c r="D170">
        <f>IFERROR(XLOOKUP(A170,'SEE Evaluation'!A:A,'SEE Evaluation'!G:G),"")</f>
        <v/>
      </c>
      <c r="E170">
        <f>IF(AND(C170&lt;&gt;"",D170&lt;&gt;""),0.6*C170+0.4*D170,IF(C170&lt;&gt;"",C170,D170))</f>
        <v/>
      </c>
      <c r="F170">
        <f>IF(E170="","",IF(E170&gt;=2.5,3,IF(E170&gt;=2,2,IF(E170&gt;=1.5,1,0))))</f>
        <v/>
      </c>
    </row>
    <row r="171">
      <c r="A171">
        <f>'Continuous Assessment'!A61</f>
        <v/>
      </c>
      <c r="B171">
        <f>'Continuous Assessment'!B61</f>
        <v/>
      </c>
      <c r="C171">
        <f>'Continuous Assessment'!I61</f>
        <v/>
      </c>
      <c r="D171">
        <f>IFERROR(XLOOKUP(A171,'SEE Evaluation'!A:A,'SEE Evaluation'!G:G),"")</f>
        <v/>
      </c>
      <c r="E171">
        <f>IF(AND(C171&lt;&gt;"",D171&lt;&gt;""),0.6*C171+0.4*D171,IF(C171&lt;&gt;"",C171,D171))</f>
        <v/>
      </c>
      <c r="F171">
        <f>IF(E171="","",IF(E171&gt;=2.5,3,IF(E171&gt;=2,2,IF(E171&gt;=1.5,1,0))))</f>
        <v/>
      </c>
    </row>
    <row r="172">
      <c r="A172">
        <f>'Continuous Assessment'!A62</f>
        <v/>
      </c>
      <c r="B172">
        <f>'Continuous Assessment'!B62</f>
        <v/>
      </c>
      <c r="C172">
        <f>'Continuous Assessment'!I62</f>
        <v/>
      </c>
      <c r="D172">
        <f>IFERROR(XLOOKUP(A172,'SEE Evaluation'!A:A,'SEE Evaluation'!G:G),"")</f>
        <v/>
      </c>
      <c r="E172">
        <f>IF(AND(C172&lt;&gt;"",D172&lt;&gt;""),0.6*C172+0.4*D172,IF(C172&lt;&gt;"",C172,D172))</f>
        <v/>
      </c>
      <c r="F172">
        <f>IF(E172="","",IF(E172&gt;=2.5,3,IF(E172&gt;=2,2,IF(E172&gt;=1.5,1,0))))</f>
        <v/>
      </c>
    </row>
    <row r="173">
      <c r="A173">
        <f>'Continuous Assessment'!A63</f>
        <v/>
      </c>
      <c r="B173">
        <f>'Continuous Assessment'!B63</f>
        <v/>
      </c>
      <c r="C173">
        <f>'Continuous Assessment'!I63</f>
        <v/>
      </c>
      <c r="D173">
        <f>IFERROR(XLOOKUP(A173,'SEE Evaluation'!A:A,'SEE Evaluation'!G:G),"")</f>
        <v/>
      </c>
      <c r="E173">
        <f>IF(AND(C173&lt;&gt;"",D173&lt;&gt;""),0.6*C173+0.4*D173,IF(C173&lt;&gt;"",C173,D173))</f>
        <v/>
      </c>
      <c r="F173">
        <f>IF(E173="","",IF(E173&gt;=2.5,3,IF(E173&gt;=2,2,IF(E173&gt;=1.5,1,0))))</f>
        <v/>
      </c>
    </row>
    <row r="174">
      <c r="A174">
        <f>'Continuous Assessment'!A64</f>
        <v/>
      </c>
      <c r="B174">
        <f>'Continuous Assessment'!B64</f>
        <v/>
      </c>
      <c r="C174">
        <f>'Continuous Assessment'!I64</f>
        <v/>
      </c>
      <c r="D174">
        <f>IFERROR(XLOOKUP(A174,'SEE Evaluation'!A:A,'SEE Evaluation'!G:G),"")</f>
        <v/>
      </c>
      <c r="E174">
        <f>IF(AND(C174&lt;&gt;"",D174&lt;&gt;""),0.6*C174+0.4*D174,IF(C174&lt;&gt;"",C174,D174))</f>
        <v/>
      </c>
      <c r="F174">
        <f>IF(E174="","",IF(E174&gt;=2.5,3,IF(E174&gt;=2,2,IF(E174&gt;=1.5,1,0))))</f>
        <v/>
      </c>
    </row>
    <row r="175">
      <c r="A175">
        <f>'Continuous Assessment'!A65</f>
        <v/>
      </c>
      <c r="B175">
        <f>'Continuous Assessment'!B65</f>
        <v/>
      </c>
      <c r="C175">
        <f>'Continuous Assessment'!I65</f>
        <v/>
      </c>
      <c r="D175">
        <f>IFERROR(XLOOKUP(A175,'SEE Evaluation'!A:A,'SEE Evaluation'!G:G),"")</f>
        <v/>
      </c>
      <c r="E175">
        <f>IF(AND(C175&lt;&gt;"",D175&lt;&gt;""),0.6*C175+0.4*D175,IF(C175&lt;&gt;"",C175,D175))</f>
        <v/>
      </c>
      <c r="F175">
        <f>IF(E175="","",IF(E175&gt;=2.5,3,IF(E175&gt;=2,2,IF(E175&gt;=1.5,1,0))))</f>
        <v/>
      </c>
    </row>
    <row r="176">
      <c r="A176">
        <f>'Continuous Assessment'!A66</f>
        <v/>
      </c>
      <c r="B176">
        <f>'Continuous Assessment'!B66</f>
        <v/>
      </c>
      <c r="C176">
        <f>'Continuous Assessment'!I66</f>
        <v/>
      </c>
      <c r="D176">
        <f>IFERROR(XLOOKUP(A176,'SEE Evaluation'!A:A,'SEE Evaluation'!G:G),"")</f>
        <v/>
      </c>
      <c r="E176">
        <f>IF(AND(C176&lt;&gt;"",D176&lt;&gt;""),0.6*C176+0.4*D176,IF(C176&lt;&gt;"",C176,D176))</f>
        <v/>
      </c>
      <c r="F176">
        <f>IF(E176="","",IF(E176&gt;=2.5,3,IF(E176&gt;=2,2,IF(E176&gt;=1.5,1,0))))</f>
        <v/>
      </c>
    </row>
    <row r="177">
      <c r="A177">
        <f>'Continuous Assessment'!A67</f>
        <v/>
      </c>
      <c r="B177">
        <f>'Continuous Assessment'!B67</f>
        <v/>
      </c>
      <c r="C177">
        <f>'Continuous Assessment'!I67</f>
        <v/>
      </c>
      <c r="D177">
        <f>IFERROR(XLOOKUP(A177,'SEE Evaluation'!A:A,'SEE Evaluation'!G:G),"")</f>
        <v/>
      </c>
      <c r="E177">
        <f>IF(AND(C177&lt;&gt;"",D177&lt;&gt;""),0.6*C177+0.4*D177,IF(C177&lt;&gt;"",C177,D177))</f>
        <v/>
      </c>
      <c r="F177">
        <f>IF(E177="","",IF(E177&gt;=2.5,3,IF(E177&gt;=2,2,IF(E177&gt;=1.5,1,0))))</f>
        <v/>
      </c>
    </row>
    <row r="178">
      <c r="A178">
        <f>'Continuous Assessment'!A68</f>
        <v/>
      </c>
      <c r="B178">
        <f>'Continuous Assessment'!B68</f>
        <v/>
      </c>
      <c r="C178">
        <f>'Continuous Assessment'!I68</f>
        <v/>
      </c>
      <c r="D178">
        <f>IFERROR(XLOOKUP(A178,'SEE Evaluation'!A:A,'SEE Evaluation'!G:G),"")</f>
        <v/>
      </c>
      <c r="E178">
        <f>IF(AND(C178&lt;&gt;"",D178&lt;&gt;""),0.6*C178+0.4*D178,IF(C178&lt;&gt;"",C178,D178))</f>
        <v/>
      </c>
      <c r="F178">
        <f>IF(E178="","",IF(E178&gt;=2.5,3,IF(E178&gt;=2,2,IF(E178&gt;=1.5,1,0))))</f>
        <v/>
      </c>
    </row>
    <row r="179">
      <c r="A179">
        <f>'Continuous Assessment'!A69</f>
        <v/>
      </c>
      <c r="B179">
        <f>'Continuous Assessment'!B69</f>
        <v/>
      </c>
      <c r="C179">
        <f>'Continuous Assessment'!I69</f>
        <v/>
      </c>
      <c r="D179">
        <f>IFERROR(XLOOKUP(A179,'SEE Evaluation'!A:A,'SEE Evaluation'!G:G),"")</f>
        <v/>
      </c>
      <c r="E179">
        <f>IF(AND(C179&lt;&gt;"",D179&lt;&gt;""),0.6*C179+0.4*D179,IF(C179&lt;&gt;"",C179,D179))</f>
        <v/>
      </c>
      <c r="F179">
        <f>IF(E179="","",IF(E179&gt;=2.5,3,IF(E179&gt;=2,2,IF(E179&gt;=1.5,1,0))))</f>
        <v/>
      </c>
    </row>
    <row r="180">
      <c r="A180">
        <f>'Continuous Assessment'!A70</f>
        <v/>
      </c>
      <c r="B180">
        <f>'Continuous Assessment'!B70</f>
        <v/>
      </c>
      <c r="C180">
        <f>'Continuous Assessment'!I70</f>
        <v/>
      </c>
      <c r="D180">
        <f>IFERROR(XLOOKUP(A180,'SEE Evaluation'!A:A,'SEE Evaluation'!G:G),"")</f>
        <v/>
      </c>
      <c r="E180">
        <f>IF(AND(C180&lt;&gt;"",D180&lt;&gt;""),0.6*C180+0.4*D180,IF(C180&lt;&gt;"",C180,D180))</f>
        <v/>
      </c>
      <c r="F180">
        <f>IF(E180="","",IF(E180&gt;=2.5,3,IF(E180&gt;=2,2,IF(E180&gt;=1.5,1,0))))</f>
        <v/>
      </c>
    </row>
    <row r="181">
      <c r="A181">
        <f>'Continuous Assessment'!A71</f>
        <v/>
      </c>
      <c r="B181">
        <f>'Continuous Assessment'!B71</f>
        <v/>
      </c>
      <c r="C181">
        <f>'Continuous Assessment'!I71</f>
        <v/>
      </c>
      <c r="D181">
        <f>IFERROR(XLOOKUP(A181,'SEE Evaluation'!A:A,'SEE Evaluation'!G:G),"")</f>
        <v/>
      </c>
      <c r="E181">
        <f>IF(AND(C181&lt;&gt;"",D181&lt;&gt;""),0.6*C181+0.4*D181,IF(C181&lt;&gt;"",C181,D181))</f>
        <v/>
      </c>
      <c r="F181">
        <f>IF(E181="","",IF(E181&gt;=2.5,3,IF(E181&gt;=2,2,IF(E181&gt;=1.5,1,0))))</f>
        <v/>
      </c>
    </row>
    <row r="182">
      <c r="A182">
        <f>'Continuous Assessment'!A72</f>
        <v/>
      </c>
      <c r="B182">
        <f>'Continuous Assessment'!B72</f>
        <v/>
      </c>
      <c r="C182">
        <f>'Continuous Assessment'!I72</f>
        <v/>
      </c>
      <c r="D182">
        <f>IFERROR(XLOOKUP(A182,'SEE Evaluation'!A:A,'SEE Evaluation'!G:G),"")</f>
        <v/>
      </c>
      <c r="E182">
        <f>IF(AND(C182&lt;&gt;"",D182&lt;&gt;""),0.6*C182+0.4*D182,IF(C182&lt;&gt;"",C182,D182))</f>
        <v/>
      </c>
      <c r="F182">
        <f>IF(E182="","",IF(E182&gt;=2.5,3,IF(E182&gt;=2,2,IF(E182&gt;=1.5,1,0))))</f>
        <v/>
      </c>
    </row>
    <row r="183">
      <c r="A183">
        <f>'Continuous Assessment'!A73</f>
        <v/>
      </c>
      <c r="B183">
        <f>'Continuous Assessment'!B73</f>
        <v/>
      </c>
      <c r="C183">
        <f>'Continuous Assessment'!I73</f>
        <v/>
      </c>
      <c r="D183">
        <f>IFERROR(XLOOKUP(A183,'SEE Evaluation'!A:A,'SEE Evaluation'!G:G),"")</f>
        <v/>
      </c>
      <c r="E183">
        <f>IF(AND(C183&lt;&gt;"",D183&lt;&gt;""),0.6*C183+0.4*D183,IF(C183&lt;&gt;"",C183,D183))</f>
        <v/>
      </c>
      <c r="F183">
        <f>IF(E183="","",IF(E183&gt;=2.5,3,IF(E183&gt;=2,2,IF(E183&gt;=1.5,1,0))))</f>
        <v/>
      </c>
    </row>
    <row r="184">
      <c r="A184">
        <f>'Continuous Assessment'!A74</f>
        <v/>
      </c>
      <c r="B184">
        <f>'Continuous Assessment'!B74</f>
        <v/>
      </c>
      <c r="C184">
        <f>'Continuous Assessment'!I74</f>
        <v/>
      </c>
      <c r="D184">
        <f>IFERROR(XLOOKUP(A184,'SEE Evaluation'!A:A,'SEE Evaluation'!G:G),"")</f>
        <v/>
      </c>
      <c r="E184">
        <f>IF(AND(C184&lt;&gt;"",D184&lt;&gt;""),0.6*C184+0.4*D184,IF(C184&lt;&gt;"",C184,D184))</f>
        <v/>
      </c>
      <c r="F184">
        <f>IF(E184="","",IF(E184&gt;=2.5,3,IF(E184&gt;=2,2,IF(E184&gt;=1.5,1,0))))</f>
        <v/>
      </c>
    </row>
    <row r="185">
      <c r="A185">
        <f>'Continuous Assessment'!A75</f>
        <v/>
      </c>
      <c r="B185">
        <f>'Continuous Assessment'!B75</f>
        <v/>
      </c>
      <c r="C185">
        <f>'Continuous Assessment'!I75</f>
        <v/>
      </c>
      <c r="D185">
        <f>IFERROR(XLOOKUP(A185,'SEE Evaluation'!A:A,'SEE Evaluation'!G:G),"")</f>
        <v/>
      </c>
      <c r="E185">
        <f>IF(AND(C185&lt;&gt;"",D185&lt;&gt;""),0.6*C185+0.4*D185,IF(C185&lt;&gt;"",C185,D185))</f>
        <v/>
      </c>
      <c r="F185">
        <f>IF(E185="","",IF(E185&gt;=2.5,3,IF(E185&gt;=2,2,IF(E185&gt;=1.5,1,0))))</f>
        <v/>
      </c>
    </row>
    <row r="186">
      <c r="A186">
        <f>'Continuous Assessment'!A76</f>
        <v/>
      </c>
      <c r="B186">
        <f>'Continuous Assessment'!B76</f>
        <v/>
      </c>
      <c r="C186">
        <f>'Continuous Assessment'!I76</f>
        <v/>
      </c>
      <c r="D186">
        <f>IFERROR(XLOOKUP(A186,'SEE Evaluation'!A:A,'SEE Evaluation'!G:G),"")</f>
        <v/>
      </c>
      <c r="E186">
        <f>IF(AND(C186&lt;&gt;"",D186&lt;&gt;""),0.6*C186+0.4*D186,IF(C186&lt;&gt;"",C186,D186))</f>
        <v/>
      </c>
      <c r="F186">
        <f>IF(E186="","",IF(E186&gt;=2.5,3,IF(E186&gt;=2,2,IF(E186&gt;=1.5,1,0))))</f>
        <v/>
      </c>
    </row>
    <row r="187">
      <c r="A187">
        <f>'Continuous Assessment'!A77</f>
        <v/>
      </c>
      <c r="B187">
        <f>'Continuous Assessment'!B77</f>
        <v/>
      </c>
      <c r="C187">
        <f>'Continuous Assessment'!I77</f>
        <v/>
      </c>
      <c r="D187">
        <f>IFERROR(XLOOKUP(A187,'SEE Evaluation'!A:A,'SEE Evaluation'!G:G),"")</f>
        <v/>
      </c>
      <c r="E187">
        <f>IF(AND(C187&lt;&gt;"",D187&lt;&gt;""),0.6*C187+0.4*D187,IF(C187&lt;&gt;"",C187,D187))</f>
        <v/>
      </c>
      <c r="F187">
        <f>IF(E187="","",IF(E187&gt;=2.5,3,IF(E187&gt;=2,2,IF(E187&gt;=1.5,1,0))))</f>
        <v/>
      </c>
    </row>
    <row r="188">
      <c r="A188">
        <f>'Continuous Assessment'!A78</f>
        <v/>
      </c>
      <c r="B188">
        <f>'Continuous Assessment'!B78</f>
        <v/>
      </c>
      <c r="C188">
        <f>'Continuous Assessment'!I78</f>
        <v/>
      </c>
      <c r="D188">
        <f>IFERROR(XLOOKUP(A188,'SEE Evaluation'!A:A,'SEE Evaluation'!G:G),"")</f>
        <v/>
      </c>
      <c r="E188">
        <f>IF(AND(C188&lt;&gt;"",D188&lt;&gt;""),0.6*C188+0.4*D188,IF(C188&lt;&gt;"",C188,D188))</f>
        <v/>
      </c>
      <c r="F188">
        <f>IF(E188="","",IF(E188&gt;=2.5,3,IF(E188&gt;=2,2,IF(E188&gt;=1.5,1,0))))</f>
        <v/>
      </c>
    </row>
    <row r="189">
      <c r="A189">
        <f>'Continuous Assessment'!A79</f>
        <v/>
      </c>
      <c r="B189">
        <f>'Continuous Assessment'!B79</f>
        <v/>
      </c>
      <c r="C189">
        <f>'Continuous Assessment'!I79</f>
        <v/>
      </c>
      <c r="D189">
        <f>IFERROR(XLOOKUP(A189,'SEE Evaluation'!A:A,'SEE Evaluation'!G:G),"")</f>
        <v/>
      </c>
      <c r="E189">
        <f>IF(AND(C189&lt;&gt;"",D189&lt;&gt;""),0.6*C189+0.4*D189,IF(C189&lt;&gt;"",C189,D189))</f>
        <v/>
      </c>
      <c r="F189">
        <f>IF(E189="","",IF(E189&gt;=2.5,3,IF(E189&gt;=2,2,IF(E189&gt;=1.5,1,0))))</f>
        <v/>
      </c>
    </row>
    <row r="190">
      <c r="A190">
        <f>'Continuous Assessment'!A80</f>
        <v/>
      </c>
      <c r="B190">
        <f>'Continuous Assessment'!B80</f>
        <v/>
      </c>
      <c r="C190">
        <f>'Continuous Assessment'!I80</f>
        <v/>
      </c>
      <c r="D190">
        <f>IFERROR(XLOOKUP(A190,'SEE Evaluation'!A:A,'SEE Evaluation'!G:G),"")</f>
        <v/>
      </c>
      <c r="E190">
        <f>IF(AND(C190&lt;&gt;"",D190&lt;&gt;""),0.6*C190+0.4*D190,IF(C190&lt;&gt;"",C190,D190))</f>
        <v/>
      </c>
      <c r="F190">
        <f>IF(E190="","",IF(E190&gt;=2.5,3,IF(E190&gt;=2,2,IF(E190&gt;=1.5,1,0))))</f>
        <v/>
      </c>
    </row>
    <row r="191">
      <c r="A191">
        <f>'Continuous Assessment'!A81</f>
        <v/>
      </c>
      <c r="B191">
        <f>'Continuous Assessment'!B81</f>
        <v/>
      </c>
      <c r="C191">
        <f>'Continuous Assessment'!I81</f>
        <v/>
      </c>
      <c r="D191">
        <f>IFERROR(XLOOKUP(A191,'SEE Evaluation'!A:A,'SEE Evaluation'!G:G),"")</f>
        <v/>
      </c>
      <c r="E191">
        <f>IF(AND(C191&lt;&gt;"",D191&lt;&gt;""),0.6*C191+0.4*D191,IF(C191&lt;&gt;"",C191,D191))</f>
        <v/>
      </c>
      <c r="F191">
        <f>IF(E191="","",IF(E191&gt;=2.5,3,IF(E191&gt;=2,2,IF(E191&gt;=1.5,1,0))))</f>
        <v/>
      </c>
    </row>
    <row r="192">
      <c r="A192">
        <f>'Continuous Assessment'!A82</f>
        <v/>
      </c>
      <c r="B192">
        <f>'Continuous Assessment'!B82</f>
        <v/>
      </c>
      <c r="C192">
        <f>'Continuous Assessment'!I82</f>
        <v/>
      </c>
      <c r="D192">
        <f>IFERROR(XLOOKUP(A192,'SEE Evaluation'!A:A,'SEE Evaluation'!G:G),"")</f>
        <v/>
      </c>
      <c r="E192">
        <f>IF(AND(C192&lt;&gt;"",D192&lt;&gt;""),0.6*C192+0.4*D192,IF(C192&lt;&gt;"",C192,D192))</f>
        <v/>
      </c>
      <c r="F192">
        <f>IF(E192="","",IF(E192&gt;=2.5,3,IF(E192&gt;=2,2,IF(E192&gt;=1.5,1,0))))</f>
        <v/>
      </c>
    </row>
    <row r="193">
      <c r="A193">
        <f>'Continuous Assessment'!A83</f>
        <v/>
      </c>
      <c r="B193">
        <f>'Continuous Assessment'!B83</f>
        <v/>
      </c>
      <c r="C193">
        <f>'Continuous Assessment'!I83</f>
        <v/>
      </c>
      <c r="D193">
        <f>IFERROR(XLOOKUP(A193,'SEE Evaluation'!A:A,'SEE Evaluation'!G:G),"")</f>
        <v/>
      </c>
      <c r="E193">
        <f>IF(AND(C193&lt;&gt;"",D193&lt;&gt;""),0.6*C193+0.4*D193,IF(C193&lt;&gt;"",C193,D193))</f>
        <v/>
      </c>
      <c r="F193">
        <f>IF(E193="","",IF(E193&gt;=2.5,3,IF(E193&gt;=2,2,IF(E193&gt;=1.5,1,0))))</f>
        <v/>
      </c>
    </row>
    <row r="194">
      <c r="A194">
        <f>'Continuous Assessment'!A84</f>
        <v/>
      </c>
      <c r="B194">
        <f>'Continuous Assessment'!B84</f>
        <v/>
      </c>
      <c r="C194">
        <f>'Continuous Assessment'!I84</f>
        <v/>
      </c>
      <c r="D194">
        <f>IFERROR(XLOOKUP(A194,'SEE Evaluation'!A:A,'SEE Evaluation'!G:G),"")</f>
        <v/>
      </c>
      <c r="E194">
        <f>IF(AND(C194&lt;&gt;"",D194&lt;&gt;""),0.6*C194+0.4*D194,IF(C194&lt;&gt;"",C194,D194))</f>
        <v/>
      </c>
      <c r="F194">
        <f>IF(E194="","",IF(E194&gt;=2.5,3,IF(E194&gt;=2,2,IF(E194&gt;=1.5,1,0))))</f>
        <v/>
      </c>
    </row>
    <row r="195">
      <c r="A195">
        <f>'Continuous Assessment'!A85</f>
        <v/>
      </c>
      <c r="B195">
        <f>'Continuous Assessment'!B85</f>
        <v/>
      </c>
      <c r="C195">
        <f>'Continuous Assessment'!I85</f>
        <v/>
      </c>
      <c r="D195">
        <f>IFERROR(XLOOKUP(A195,'SEE Evaluation'!A:A,'SEE Evaluation'!G:G),"")</f>
        <v/>
      </c>
      <c r="E195">
        <f>IF(AND(C195&lt;&gt;"",D195&lt;&gt;""),0.6*C195+0.4*D195,IF(C195&lt;&gt;"",C195,D195))</f>
        <v/>
      </c>
      <c r="F195">
        <f>IF(E195="","",IF(E195&gt;=2.5,3,IF(E195&gt;=2,2,IF(E195&gt;=1.5,1,0))))</f>
        <v/>
      </c>
    </row>
    <row r="196">
      <c r="A196">
        <f>'Continuous Assessment'!A86</f>
        <v/>
      </c>
      <c r="B196">
        <f>'Continuous Assessment'!B86</f>
        <v/>
      </c>
      <c r="C196">
        <f>'Continuous Assessment'!I86</f>
        <v/>
      </c>
      <c r="D196">
        <f>IFERROR(XLOOKUP(A196,'SEE Evaluation'!A:A,'SEE Evaluation'!G:G),"")</f>
        <v/>
      </c>
      <c r="E196">
        <f>IF(AND(C196&lt;&gt;"",D196&lt;&gt;""),0.6*C196+0.4*D196,IF(C196&lt;&gt;"",C196,D196))</f>
        <v/>
      </c>
      <c r="F196">
        <f>IF(E196="","",IF(E196&gt;=2.5,3,IF(E196&gt;=2,2,IF(E196&gt;=1.5,1,0))))</f>
        <v/>
      </c>
    </row>
    <row r="197">
      <c r="A197">
        <f>'Continuous Assessment'!A87</f>
        <v/>
      </c>
      <c r="B197">
        <f>'Continuous Assessment'!B87</f>
        <v/>
      </c>
      <c r="C197">
        <f>'Continuous Assessment'!I87</f>
        <v/>
      </c>
      <c r="D197">
        <f>IFERROR(XLOOKUP(A197,'SEE Evaluation'!A:A,'SEE Evaluation'!G:G),"")</f>
        <v/>
      </c>
      <c r="E197">
        <f>IF(AND(C197&lt;&gt;"",D197&lt;&gt;""),0.6*C197+0.4*D197,IF(C197&lt;&gt;"",C197,D197))</f>
        <v/>
      </c>
      <c r="F197">
        <f>IF(E197="","",IF(E197&gt;=2.5,3,IF(E197&gt;=2,2,IF(E197&gt;=1.5,1,0))))</f>
        <v/>
      </c>
    </row>
    <row r="198">
      <c r="A198">
        <f>'Continuous Assessment'!A88</f>
        <v/>
      </c>
      <c r="B198">
        <f>'Continuous Assessment'!B88</f>
        <v/>
      </c>
      <c r="C198">
        <f>'Continuous Assessment'!I88</f>
        <v/>
      </c>
      <c r="D198">
        <f>IFERROR(XLOOKUP(A198,'SEE Evaluation'!A:A,'SEE Evaluation'!G:G),"")</f>
        <v/>
      </c>
      <c r="E198">
        <f>IF(AND(C198&lt;&gt;"",D198&lt;&gt;""),0.6*C198+0.4*D198,IF(C198&lt;&gt;"",C198,D198))</f>
        <v/>
      </c>
      <c r="F198">
        <f>IF(E198="","",IF(E198&gt;=2.5,3,IF(E198&gt;=2,2,IF(E198&gt;=1.5,1,0))))</f>
        <v/>
      </c>
    </row>
    <row r="199">
      <c r="A199">
        <f>'Continuous Assessment'!A89</f>
        <v/>
      </c>
      <c r="B199">
        <f>'Continuous Assessment'!B89</f>
        <v/>
      </c>
      <c r="C199">
        <f>'Continuous Assessment'!I89</f>
        <v/>
      </c>
      <c r="D199">
        <f>IFERROR(XLOOKUP(A199,'SEE Evaluation'!A:A,'SEE Evaluation'!G:G),"")</f>
        <v/>
      </c>
      <c r="E199">
        <f>IF(AND(C199&lt;&gt;"",D199&lt;&gt;""),0.6*C199+0.4*D199,IF(C199&lt;&gt;"",C199,D199))</f>
        <v/>
      </c>
      <c r="F199">
        <f>IF(E199="","",IF(E199&gt;=2.5,3,IF(E199&gt;=2,2,IF(E199&gt;=1.5,1,0))))</f>
        <v/>
      </c>
    </row>
    <row r="200">
      <c r="A200">
        <f>'Continuous Assessment'!A90</f>
        <v/>
      </c>
      <c r="B200">
        <f>'Continuous Assessment'!B90</f>
        <v/>
      </c>
      <c r="C200">
        <f>'Continuous Assessment'!I90</f>
        <v/>
      </c>
      <c r="D200">
        <f>IFERROR(XLOOKUP(A200,'SEE Evaluation'!A:A,'SEE Evaluation'!G:G),"")</f>
        <v/>
      </c>
      <c r="E200">
        <f>IF(AND(C200&lt;&gt;"",D200&lt;&gt;""),0.6*C200+0.4*D200,IF(C200&lt;&gt;"",C200,D200))</f>
        <v/>
      </c>
      <c r="F200">
        <f>IF(E200="","",IF(E200&gt;=2.5,3,IF(E200&gt;=2,2,IF(E200&gt;=1.5,1,0))))</f>
        <v/>
      </c>
    </row>
    <row r="201">
      <c r="A201">
        <f>'Continuous Assessment'!A91</f>
        <v/>
      </c>
      <c r="B201">
        <f>'Continuous Assessment'!B91</f>
        <v/>
      </c>
      <c r="C201">
        <f>'Continuous Assessment'!I91</f>
        <v/>
      </c>
      <c r="D201">
        <f>IFERROR(XLOOKUP(A201,'SEE Evaluation'!A:A,'SEE Evaluation'!G:G),"")</f>
        <v/>
      </c>
      <c r="E201">
        <f>IF(AND(C201&lt;&gt;"",D201&lt;&gt;""),0.6*C201+0.4*D201,IF(C201&lt;&gt;"",C201,D201))</f>
        <v/>
      </c>
      <c r="F201">
        <f>IF(E201="","",IF(E201&gt;=2.5,3,IF(E201&gt;=2,2,IF(E201&gt;=1.5,1,0))))</f>
        <v/>
      </c>
    </row>
    <row r="202">
      <c r="A202">
        <f>'Continuous Assessment'!A92</f>
        <v/>
      </c>
      <c r="B202">
        <f>'Continuous Assessment'!B92</f>
        <v/>
      </c>
      <c r="C202">
        <f>'Continuous Assessment'!I92</f>
        <v/>
      </c>
      <c r="D202">
        <f>IFERROR(XLOOKUP(A202,'SEE Evaluation'!A:A,'SEE Evaluation'!G:G),"")</f>
        <v/>
      </c>
      <c r="E202">
        <f>IF(AND(C202&lt;&gt;"",D202&lt;&gt;""),0.6*C202+0.4*D202,IF(C202&lt;&gt;"",C202,D202))</f>
        <v/>
      </c>
      <c r="F202">
        <f>IF(E202="","",IF(E202&gt;=2.5,3,IF(E202&gt;=2,2,IF(E202&gt;=1.5,1,0))))</f>
        <v/>
      </c>
    </row>
    <row r="203">
      <c r="A203">
        <f>'Continuous Assessment'!A93</f>
        <v/>
      </c>
      <c r="B203">
        <f>'Continuous Assessment'!B93</f>
        <v/>
      </c>
      <c r="C203">
        <f>'Continuous Assessment'!I93</f>
        <v/>
      </c>
      <c r="D203">
        <f>IFERROR(XLOOKUP(A203,'SEE Evaluation'!A:A,'SEE Evaluation'!G:G),"")</f>
        <v/>
      </c>
      <c r="E203">
        <f>IF(AND(C203&lt;&gt;"",D203&lt;&gt;""),0.6*C203+0.4*D203,IF(C203&lt;&gt;"",C203,D203))</f>
        <v/>
      </c>
      <c r="F203">
        <f>IF(E203="","",IF(E203&gt;=2.5,3,IF(E203&gt;=2,2,IF(E203&gt;=1.5,1,0))))</f>
        <v/>
      </c>
    </row>
    <row r="204">
      <c r="A204">
        <f>'Continuous Assessment'!A94</f>
        <v/>
      </c>
      <c r="B204">
        <f>'Continuous Assessment'!B94</f>
        <v/>
      </c>
      <c r="C204">
        <f>'Continuous Assessment'!I94</f>
        <v/>
      </c>
      <c r="D204">
        <f>IFERROR(XLOOKUP(A204,'SEE Evaluation'!A:A,'SEE Evaluation'!G:G),"")</f>
        <v/>
      </c>
      <c r="E204">
        <f>IF(AND(C204&lt;&gt;"",D204&lt;&gt;""),0.6*C204+0.4*D204,IF(C204&lt;&gt;"",C204,D204))</f>
        <v/>
      </c>
      <c r="F204">
        <f>IF(E204="","",IF(E204&gt;=2.5,3,IF(E204&gt;=2,2,IF(E204&gt;=1.5,1,0))))</f>
        <v/>
      </c>
    </row>
    <row r="205">
      <c r="A205">
        <f>'Continuous Assessment'!A95</f>
        <v/>
      </c>
      <c r="B205">
        <f>'Continuous Assessment'!B95</f>
        <v/>
      </c>
      <c r="C205">
        <f>'Continuous Assessment'!I95</f>
        <v/>
      </c>
      <c r="D205">
        <f>IFERROR(XLOOKUP(A205,'SEE Evaluation'!A:A,'SEE Evaluation'!G:G),"")</f>
        <v/>
      </c>
      <c r="E205">
        <f>IF(AND(C205&lt;&gt;"",D205&lt;&gt;""),0.6*C205+0.4*D205,IF(C205&lt;&gt;"",C205,D205))</f>
        <v/>
      </c>
      <c r="F205">
        <f>IF(E205="","",IF(E205&gt;=2.5,3,IF(E205&gt;=2,2,IF(E205&gt;=1.5,1,0))))</f>
        <v/>
      </c>
    </row>
    <row r="206">
      <c r="A206">
        <f>'Continuous Assessment'!A96</f>
        <v/>
      </c>
      <c r="B206">
        <f>'Continuous Assessment'!B96</f>
        <v/>
      </c>
      <c r="C206">
        <f>'Continuous Assessment'!I96</f>
        <v/>
      </c>
      <c r="D206">
        <f>IFERROR(XLOOKUP(A206,'SEE Evaluation'!A:A,'SEE Evaluation'!G:G),"")</f>
        <v/>
      </c>
      <c r="E206">
        <f>IF(AND(C206&lt;&gt;"",D206&lt;&gt;""),0.6*C206+0.4*D206,IF(C206&lt;&gt;"",C206,D206))</f>
        <v/>
      </c>
      <c r="F206">
        <f>IF(E206="","",IF(E206&gt;=2.5,3,IF(E206&gt;=2,2,IF(E206&gt;=1.5,1,0))))</f>
        <v/>
      </c>
    </row>
    <row r="207">
      <c r="A207">
        <f>'Continuous Assessment'!A97</f>
        <v/>
      </c>
      <c r="B207">
        <f>'Continuous Assessment'!B97</f>
        <v/>
      </c>
      <c r="C207">
        <f>'Continuous Assessment'!I97</f>
        <v/>
      </c>
      <c r="D207">
        <f>IFERROR(XLOOKUP(A207,'SEE Evaluation'!A:A,'SEE Evaluation'!G:G),"")</f>
        <v/>
      </c>
      <c r="E207">
        <f>IF(AND(C207&lt;&gt;"",D207&lt;&gt;""),0.6*C207+0.4*D207,IF(C207&lt;&gt;"",C207,D207))</f>
        <v/>
      </c>
      <c r="F207">
        <f>IF(E207="","",IF(E207&gt;=2.5,3,IF(E207&gt;=2,2,IF(E207&gt;=1.5,1,0))))</f>
        <v/>
      </c>
    </row>
    <row r="208">
      <c r="A208">
        <f>'Continuous Assessment'!A98</f>
        <v/>
      </c>
      <c r="B208">
        <f>'Continuous Assessment'!B98</f>
        <v/>
      </c>
      <c r="C208">
        <f>'Continuous Assessment'!I98</f>
        <v/>
      </c>
      <c r="D208">
        <f>IFERROR(XLOOKUP(A208,'SEE Evaluation'!A:A,'SEE Evaluation'!G:G),"")</f>
        <v/>
      </c>
      <c r="E208">
        <f>IF(AND(C208&lt;&gt;"",D208&lt;&gt;""),0.6*C208+0.4*D208,IF(C208&lt;&gt;"",C208,D208))</f>
        <v/>
      </c>
      <c r="F208">
        <f>IF(E208="","",IF(E208&gt;=2.5,3,IF(E208&gt;=2,2,IF(E208&gt;=1.5,1,0))))</f>
        <v/>
      </c>
    </row>
    <row r="209">
      <c r="A209">
        <f>'Continuous Assessment'!A99</f>
        <v/>
      </c>
      <c r="B209">
        <f>'Continuous Assessment'!B99</f>
        <v/>
      </c>
      <c r="C209">
        <f>'Continuous Assessment'!I99</f>
        <v/>
      </c>
      <c r="D209">
        <f>IFERROR(XLOOKUP(A209,'SEE Evaluation'!A:A,'SEE Evaluation'!G:G),"")</f>
        <v/>
      </c>
      <c r="E209">
        <f>IF(AND(C209&lt;&gt;"",D209&lt;&gt;""),0.6*C209+0.4*D209,IF(C209&lt;&gt;"",C209,D209))</f>
        <v/>
      </c>
      <c r="F209">
        <f>IF(E209="","",IF(E209&gt;=2.5,3,IF(E209&gt;=2,2,IF(E209&gt;=1.5,1,0))))</f>
        <v/>
      </c>
    </row>
    <row r="210">
      <c r="A210">
        <f>'Continuous Assessment'!A100</f>
        <v/>
      </c>
      <c r="B210">
        <f>'Continuous Assessment'!B100</f>
        <v/>
      </c>
      <c r="C210">
        <f>'Continuous Assessment'!I100</f>
        <v/>
      </c>
      <c r="D210">
        <f>IFERROR(XLOOKUP(A210,'SEE Evaluation'!A:A,'SEE Evaluation'!G:G),"")</f>
        <v/>
      </c>
      <c r="E210">
        <f>IF(AND(C210&lt;&gt;"",D210&lt;&gt;""),0.6*C210+0.4*D210,IF(C210&lt;&gt;"",C210,D210))</f>
        <v/>
      </c>
      <c r="F210">
        <f>IF(E210="","",IF(E210&gt;=2.5,3,IF(E210&gt;=2,2,IF(E210&gt;=1.5,1,0))))</f>
        <v/>
      </c>
    </row>
    <row r="211">
      <c r="A211">
        <f>'Continuous Assessment'!A101</f>
        <v/>
      </c>
      <c r="B211">
        <f>'Continuous Assessment'!B101</f>
        <v/>
      </c>
      <c r="C211">
        <f>'Continuous Assessment'!I101</f>
        <v/>
      </c>
      <c r="D211">
        <f>IFERROR(XLOOKUP(A211,'SEE Evaluation'!A:A,'SEE Evaluation'!G:G),"")</f>
        <v/>
      </c>
      <c r="E211">
        <f>IF(AND(C211&lt;&gt;"",D211&lt;&gt;""),0.6*C211+0.4*D211,IF(C211&lt;&gt;"",C211,D211))</f>
        <v/>
      </c>
      <c r="F211">
        <f>IF(E211="","",IF(E211&gt;=2.5,3,IF(E211&gt;=2,2,IF(E211&gt;=1.5,1,0))))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2025-08-31T07:00:19Z</dcterms:created>
  <dcterms:modified xmlns:dcterms="http://purl.org/dc/terms/" xmlns:xsi="http://www.w3.org/2001/XMLSchema-instance" xsi:type="dcterms:W3CDTF">2025-08-31T07:00:19Z</dcterms:modified>
</cp:coreProperties>
</file>