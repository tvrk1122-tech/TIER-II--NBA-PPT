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9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20" customWidth="1" min="4" max="4"/>
    <col width="22" customWidth="1" min="5" max="5"/>
    <col width="16" customWidth="1" min="6" max="6"/>
    <col width="26" customWidth="1" min="7" max="7"/>
    <col width="22" customWidth="1" min="8" max="8"/>
    <col width="18" customWidth="1" min="9" max="9"/>
    <col width="18" customWidth="1" min="10" max="10"/>
    <col width="18" customWidth="1" min="11" max="11"/>
    <col width="36" customWidth="1" min="12" max="12"/>
  </cols>
  <sheetData>
    <row r="1">
      <c r="A1" s="1" t="inlineStr">
        <is>
          <t>S.N.</t>
        </is>
      </c>
      <c r="B1" s="1" t="inlineStr">
        <is>
          <t>Emp_ID</t>
        </is>
      </c>
      <c r="C1" s="2" t="inlineStr">
        <is>
          <t>Faculty_Name</t>
        </is>
      </c>
      <c r="D1" s="1" t="inlineStr">
        <is>
          <t>Designation</t>
        </is>
      </c>
      <c r="E1" s="1" t="inlineStr">
        <is>
          <t>Dept/Cluster</t>
        </is>
      </c>
      <c r="F1" s="1" t="inlineStr">
        <is>
          <t>Date_of_Joining</t>
        </is>
      </c>
      <c r="G1" s="1" t="inlineStr">
        <is>
          <t>Status (Active/Resigned/Retired/Transferred)</t>
        </is>
      </c>
      <c r="H1" s="1" t="inlineStr">
        <is>
          <t>Employment_Type (Regular/Contractual_FT)</t>
        </is>
      </c>
      <c r="I1" s="1" t="inlineStr">
        <is>
          <t>Counted_for_SFR (Yes/No)</t>
        </is>
      </c>
      <c r="J1" s="1" t="inlineStr">
        <is>
          <t>Tenure_Years_as_of_CAY</t>
        </is>
      </c>
      <c r="K1" s="1" t="inlineStr">
        <is>
          <t>Retained_≥3_Years? (Yes/No)</t>
        </is>
      </c>
      <c r="L1" s="2" t="inlineStr">
        <is>
          <t>Evidence/Remarks</t>
        </is>
      </c>
    </row>
    <row r="2">
      <c r="A2" s="3" t="n">
        <v>1</v>
      </c>
      <c r="B2" s="3" t="inlineStr">
        <is>
          <t>EMP001</t>
        </is>
      </c>
      <c r="C2" s="4" t="inlineStr">
        <is>
          <t>Dr. A.B. Expert</t>
        </is>
      </c>
      <c r="D2" s="3" t="inlineStr">
        <is>
          <t>Professor</t>
        </is>
      </c>
      <c r="E2" s="3" t="inlineStr">
        <is>
          <t>CSE</t>
        </is>
      </c>
      <c r="F2" s="3" t="inlineStr">
        <is>
          <t>2020-07-01</t>
        </is>
      </c>
      <c r="G2" s="3" t="inlineStr">
        <is>
          <t>Active</t>
        </is>
      </c>
      <c r="H2" s="3" t="inlineStr">
        <is>
          <t>Regular</t>
        </is>
      </c>
      <c r="I2" s="3" t="inlineStr">
        <is>
          <t>Yes</t>
        </is>
      </c>
      <c r="J2" s="3">
        <f>IF(AND(G2="Active",I2="Yes",F2&lt;&gt;""),DATEDIF(F2,Summary!$B$2,"Y"),"")</f>
        <v/>
      </c>
      <c r="K2" s="3">
        <f>IF(AND(J2&lt;&gt;"",J2&gt;=3),"Yes",IF(J2&lt;&gt;"","No",""))</f>
        <v/>
      </c>
      <c r="L2" s="4" t="inlineStr">
        <is>
          <t>Payroll continuity; Univ approval</t>
        </is>
      </c>
    </row>
    <row r="3">
      <c r="A3" s="3" t="n">
        <v>2</v>
      </c>
      <c r="B3" s="3" t="inlineStr">
        <is>
          <t>EMP002</t>
        </is>
      </c>
      <c r="C3" s="4" t="inlineStr">
        <is>
          <t>Ms. C.D. Scholar</t>
        </is>
      </c>
      <c r="D3" s="3" t="inlineStr">
        <is>
          <t>Assistant Professor</t>
        </is>
      </c>
      <c r="E3" s="3" t="inlineStr">
        <is>
          <t>CSE-AI</t>
        </is>
      </c>
      <c r="F3" s="3" t="inlineStr">
        <is>
          <t>2023-08-10</t>
        </is>
      </c>
      <c r="G3" s="3" t="inlineStr">
        <is>
          <t>Active</t>
        </is>
      </c>
      <c r="H3" s="3" t="inlineStr">
        <is>
          <t>Regular</t>
        </is>
      </c>
      <c r="I3" s="3" t="inlineStr">
        <is>
          <t>Yes</t>
        </is>
      </c>
      <c r="J3" s="3">
        <f>IF(AND(G3="Active",I3="Yes",F3&lt;&gt;""),DATEDIF(F3,Summary!$B$2,"Y"),"")</f>
        <v/>
      </c>
      <c r="K3" s="3">
        <f>IF(AND(J3&lt;&gt;"",J3&gt;=3),"Yes",IF(J3&lt;&gt;"","No",""))</f>
        <v/>
      </c>
      <c r="L3" s="4" t="inlineStr"/>
    </row>
    <row r="4">
      <c r="A4" s="3" t="n">
        <v>3</v>
      </c>
      <c r="B4" s="3" t="inlineStr">
        <is>
          <t>EMP003</t>
        </is>
      </c>
      <c r="C4" s="4" t="inlineStr">
        <is>
          <t>Mr. E.F. Mentor</t>
        </is>
      </c>
      <c r="D4" s="3" t="inlineStr">
        <is>
          <t>Associate Professor</t>
        </is>
      </c>
      <c r="E4" s="3" t="inlineStr">
        <is>
          <t>IT (Allied)</t>
        </is>
      </c>
      <c r="F4" s="3" t="inlineStr">
        <is>
          <t>2021-06-20</t>
        </is>
      </c>
      <c r="G4" s="3" t="inlineStr">
        <is>
          <t>Active</t>
        </is>
      </c>
      <c r="H4" s="3" t="inlineStr">
        <is>
          <t>Contractual_FT</t>
        </is>
      </c>
      <c r="I4" s="3" t="inlineStr">
        <is>
          <t>Yes</t>
        </is>
      </c>
      <c r="J4" s="3">
        <f>IF(AND(G4="Active",I4="Yes",F4&lt;&gt;""),DATEDIF(F4,Summary!$B$2,"Y"),"")</f>
        <v/>
      </c>
      <c r="K4" s="3">
        <f>IF(AND(J4&lt;&gt;"",J4&gt;=3),"Yes",IF(J4&lt;&gt;"","No",""))</f>
        <v/>
      </c>
      <c r="L4" s="4" t="inlineStr"/>
    </row>
    <row r="5">
      <c r="A5" s="3" t="n">
        <v>4</v>
      </c>
      <c r="B5" s="3" t="inlineStr">
        <is>
          <t>EMP004</t>
        </is>
      </c>
      <c r="C5" s="4" t="inlineStr">
        <is>
          <t>Dr. G.H. Senior</t>
        </is>
      </c>
      <c r="D5" s="3" t="inlineStr">
        <is>
          <t>Professor</t>
        </is>
      </c>
      <c r="E5" s="3" t="inlineStr">
        <is>
          <t>Applied Science (FY)</t>
        </is>
      </c>
      <c r="F5" s="3" t="inlineStr">
        <is>
          <t>2024-08-01</t>
        </is>
      </c>
      <c r="G5" s="3" t="inlineStr">
        <is>
          <t>Active</t>
        </is>
      </c>
      <c r="H5" s="3" t="inlineStr">
        <is>
          <t>Regular</t>
        </is>
      </c>
      <c r="I5" s="3" t="inlineStr">
        <is>
          <t>No</t>
        </is>
      </c>
      <c r="J5" s="3">
        <f>IF(AND(G5="Active",I5="Yes",F5&lt;&gt;""),DATEDIF(F5,Summary!$B$2,"Y"),"")</f>
        <v/>
      </c>
      <c r="K5" s="3">
        <f>IF(AND(J5&lt;&gt;"",J5&gt;=3),"Yes",IF(J5&lt;&gt;"","No",""))</f>
        <v/>
      </c>
      <c r="L5" s="4" t="inlineStr">
        <is>
          <t>100% FY load – excluded</t>
        </is>
      </c>
    </row>
  </sheetData>
  <dataValidations count="3">
    <dataValidation sqref="G2:G10000" showErrorMessage="1" showInputMessage="1" allowBlank="0" type="list">
      <formula1>"Active,Resigned,Retired,Transferred"</formula1>
    </dataValidation>
    <dataValidation sqref="H2:H10000" showErrorMessage="1" showInputMessage="1" allowBlank="0" type="list">
      <formula1>"Regular,Contractual_FT"</formula1>
    </dataValidation>
    <dataValidation sqref="I2:I10000" showErrorMessage="1" showInputMessage="1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4" t="inlineStr">
        <is>
          <t>CAY As-of Date</t>
        </is>
      </c>
      <c r="B2" s="3" t="inlineStr">
        <is>
          <t>2025-06-30</t>
        </is>
      </c>
      <c r="C2" s="3" t="inlineStr">
        <is>
          <t>Edit to your CAY end date (e.g., 30-Jun-YYYY)</t>
        </is>
      </c>
    </row>
    <row r="3">
      <c r="A3" s="4" t="inlineStr">
        <is>
          <t>S (Total Students: Dept + Allied)</t>
        </is>
      </c>
      <c r="B3" s="3" t="inlineStr"/>
      <c r="C3" s="3" t="inlineStr">
        <is>
          <t>From SFR 5.1; engineering only; exclude SNQ/EWS/TFWS; apply SA+L ≤110%</t>
        </is>
      </c>
    </row>
    <row r="4">
      <c r="A4" s="4" t="inlineStr">
        <is>
          <t>RF = S/20</t>
        </is>
      </c>
      <c r="B4" s="3">
        <f>IF(B3&gt;0,B3/20,"")</f>
        <v/>
      </c>
      <c r="C4" s="3" t="inlineStr">
        <is>
          <t>Required Faculty</t>
        </is>
      </c>
    </row>
    <row r="5">
      <c r="A5" s="4" t="inlineStr">
        <is>
          <t>Available Faculty counted (Active &amp; Counted_for_SFR=Yes)</t>
        </is>
      </c>
      <c r="B5" s="3">
        <f>COUNTIFS(Register!G:G,"Active",Register!I:I,"Yes")</f>
        <v/>
      </c>
      <c r="C5" s="3" t="inlineStr">
        <is>
          <t>For reference</t>
        </is>
      </c>
    </row>
    <row r="6">
      <c r="A6" s="4" t="inlineStr">
        <is>
          <t>Retained Faculty (≥3 yrs, Active &amp; Counted)</t>
        </is>
      </c>
      <c r="B6" s="3">
        <f>COUNTIFS(Register!K:K,"Yes",Register!G:G,"Active",Register!I:I,"Yes")</f>
        <v/>
      </c>
      <c r="C6" s="3" t="inlineStr">
        <is>
          <t>Auto from Register</t>
        </is>
      </c>
    </row>
    <row r="7">
      <c r="A7" s="4" t="inlineStr">
        <is>
          <t>Retention % (Retained / RF)</t>
        </is>
      </c>
      <c r="B7" s="5">
        <f>IF(B4&gt;0,B6/B4,"")</f>
        <v/>
      </c>
      <c r="C7" s="3" t="inlineStr">
        <is>
          <t>NBA formula uses RF (Required) in denominator</t>
        </is>
      </c>
    </row>
    <row r="8">
      <c r="A8" s="4" t="inlineStr">
        <is>
          <t>Marks (per NBA bands)</t>
        </is>
      </c>
      <c r="B8" s="3">
        <f>IF(B7&gt;=0.9,10,IF(B7&gt;=0.75,8,IF(B7&gt;=0.6,6,IF(B7&gt;=0.5,4,0))))</f>
        <v/>
      </c>
      <c r="C8" s="3" t="inlineStr">
        <is>
          <t>Bands: ≥90%=10; ≥75%=8; ≥60%=6; ≥50%=4; else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Faculty Retention Register — How to Use</t>
        </is>
      </c>
    </row>
    <row r="3">
      <c r="A3" t="inlineStr">
        <is>
          <t>- Fill the Register with full-time Regular/Contractual_FT faculty only; exclude visiting/adjunct/part-time and 100% first-year-only.</t>
        </is>
      </c>
    </row>
    <row r="4">
      <c r="A4" t="inlineStr">
        <is>
          <t>- Set Summary → CAY As-of Date (usually 30-Jun-YYYY).</t>
        </is>
      </c>
    </row>
    <row r="5">
      <c r="A5" t="inlineStr">
        <is>
          <t>- Mark Status, Employment Type, and Counted_for_SFR (Yes for faculty included in SFR).</t>
        </is>
      </c>
    </row>
    <row r="6">
      <c r="A6" t="inlineStr">
        <is>
          <t>- Tenure auto-computes via DATEDIF(Date_of_Joining, "CAY As-of Date", "Y").</t>
        </is>
      </c>
    </row>
    <row r="7">
      <c r="A7" t="inlineStr">
        <is>
          <t>- Retained ≥3 Years auto-flags Yes if Tenure ≥3 (and Active &amp; Counted).</t>
        </is>
      </c>
    </row>
    <row r="8">
      <c r="A8" t="inlineStr">
        <is>
          <t>- On Summary, enter S (Dept + Allied engineering students) → RF = S/20; Retention % = Retained / RF; Marks via NBA bands.</t>
        </is>
      </c>
    </row>
    <row r="9">
      <c r="A9" t="inlineStr">
        <is>
          <t>- Keep evidence: joining reports, payroll continuity, AICTE/University approvals.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2025-08-29T04:28:58Z</dcterms:created>
  <dcterms:modified xmlns:dcterms="http://purl.org/dc/terms/" xmlns:xsi="http://www.w3.org/2001/XMLSchema-instance" xsi:type="dcterms:W3CDTF">2025-08-29T04:28:58Z</dcterms:modified>
</cp:coreProperties>
</file>