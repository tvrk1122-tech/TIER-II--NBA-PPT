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R on Audit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3" customWidth="1" min="3" max="3"/>
    <col width="23" customWidth="1" min="4" max="4"/>
    <col width="12" customWidth="1" min="5" max="5"/>
    <col width="11" customWidth="1" min="6" max="6"/>
    <col width="20" customWidth="1" min="7" max="7"/>
    <col width="20" customWidth="1" min="8" max="8"/>
    <col width="40" customWidth="1" min="9" max="9"/>
    <col width="60" customWidth="1" min="10" max="10"/>
    <col width="60" customWidth="1" min="11" max="11"/>
    <col width="59" customWidth="1" min="12" max="12"/>
    <col width="60" customWidth="1" min="13" max="13"/>
    <col width="32" customWidth="1" min="14" max="14"/>
    <col width="51" customWidth="1" min="15" max="15"/>
    <col width="59" customWidth="1" min="16" max="16"/>
  </cols>
  <sheetData>
    <row r="1">
      <c r="A1" s="1" t="inlineStr">
        <is>
          <t>Academic Year</t>
        </is>
      </c>
      <c r="B1" s="1" t="inlineStr">
        <is>
          <t>Level (CO/PO/PSO)</t>
        </is>
      </c>
      <c r="C1" s="1" t="inlineStr">
        <is>
          <t>Code</t>
        </is>
      </c>
      <c r="D1" s="1" t="inlineStr">
        <is>
          <t>Target Attainment (%)</t>
        </is>
      </c>
      <c r="E1" s="1" t="inlineStr">
        <is>
          <t>Before (%)</t>
        </is>
      </c>
      <c r="F1" s="1" t="inlineStr">
        <is>
          <t>After (%)</t>
        </is>
      </c>
      <c r="G1" s="1" t="inlineStr">
        <is>
          <t>Gap Before (%)</t>
        </is>
      </c>
      <c r="H1" s="1" t="inlineStr">
        <is>
          <t>Gap After (%)</t>
        </is>
      </c>
      <c r="I1" s="1" t="inlineStr">
        <is>
          <t>Gap Closed (%)</t>
        </is>
      </c>
      <c r="J1" s="1" t="inlineStr">
        <is>
          <t>Status</t>
        </is>
      </c>
      <c r="K1" s="1" t="inlineStr">
        <is>
          <t>Audit Finding</t>
        </is>
      </c>
      <c r="L1" s="1" t="inlineStr">
        <is>
          <t>Recommendation</t>
        </is>
      </c>
      <c r="M1" s="1" t="inlineStr">
        <is>
          <t>Action Taken</t>
        </is>
      </c>
      <c r="N1" s="1" t="inlineStr">
        <is>
          <t>Responsible Unit/Owner</t>
        </is>
      </c>
      <c r="O1" s="1" t="inlineStr">
        <is>
          <t>Evidence Link/Path</t>
        </is>
      </c>
      <c r="P1" s="1" t="inlineStr">
        <is>
          <t>Impact/Improvement</t>
        </is>
      </c>
    </row>
    <row r="2">
      <c r="A2" t="inlineStr">
        <is>
          <t>2023-24 (CAYm1)</t>
        </is>
      </c>
      <c r="B2" t="inlineStr">
        <is>
          <t>CO</t>
        </is>
      </c>
      <c r="C2" t="inlineStr">
        <is>
          <t>CO2 – Data Structures</t>
        </is>
      </c>
      <c r="D2" t="n">
        <v>70</v>
      </c>
      <c r="E2" t="n">
        <v>52</v>
      </c>
      <c r="F2" t="n">
        <v>69</v>
      </c>
      <c r="G2">
        <f>IFERROR(D2-E2,"")</f>
        <v/>
      </c>
      <c r="H2">
        <f>IFERROR(D2-F2,"")</f>
        <v/>
      </c>
      <c r="I2">
        <f>IF(G2&lt;=0,"",MIN(1,MAX(0,(G2-H2)/G2)))</f>
        <v/>
      </c>
      <c r="J2">
        <f>IF(F2&gt;=D2,"Achieved",IF(I2="","",IF(I2&gt;=0.75,"On Track","Needs Attention")))</f>
        <v/>
      </c>
      <c r="K2" t="inlineStr">
        <is>
          <t>Low coding practice led to CO2 attainment 52% vs target 70%</t>
        </is>
      </c>
      <c r="L2" t="inlineStr">
        <is>
          <t>Introduce weekly coding practice labs and problem sheets</t>
        </is>
      </c>
      <c r="M2" t="inlineStr">
        <is>
          <t>Weekly coding challenges conducted Sep–Dec 2024</t>
        </is>
      </c>
      <c r="N2" t="inlineStr">
        <is>
          <t>Course Coordinator</t>
        </is>
      </c>
      <c r="O2" t="inlineStr">
        <is>
          <t>https://drive.example.com/CO2_coding_evidence</t>
        </is>
      </c>
      <c r="P2" t="inlineStr">
        <is>
          <t>CO2 improved to 69% (Gap closed from 18% to 1%)</t>
        </is>
      </c>
    </row>
    <row r="3">
      <c r="A3" t="inlineStr">
        <is>
          <t>2024-25 (CAY)</t>
        </is>
      </c>
      <c r="B3" t="inlineStr">
        <is>
          <t>PO</t>
        </is>
      </c>
      <c r="C3" t="inlineStr">
        <is>
          <t>PO4 – Investigations</t>
        </is>
      </c>
      <c r="D3" t="n">
        <v>70</v>
      </c>
      <c r="E3" t="n">
        <v>55</v>
      </c>
      <c r="F3" t="n">
        <v>68</v>
      </c>
      <c r="G3">
        <f>IFERROR(D3-E3,"")</f>
        <v/>
      </c>
      <c r="H3">
        <f>IFERROR(D3-F3,"")</f>
        <v/>
      </c>
      <c r="I3">
        <f>IF(G3&lt;=0,"",MIN(1,MAX(0,(G3-H3)/G3)))</f>
        <v/>
      </c>
      <c r="J3">
        <f>IF(F3&gt;=D3,"Achieved",IF(I3="","",IF(I3&gt;=0.75,"On Track","Needs Attention")))</f>
        <v/>
      </c>
      <c r="K3" t="inlineStr">
        <is>
          <t>Limited open-ended problem solving in assessments</t>
        </is>
      </c>
      <c r="L3" t="inlineStr">
        <is>
          <t>Add simulation-based experiments and mini-projects</t>
        </is>
      </c>
      <c r="M3" t="inlineStr">
        <is>
          <t>PSPICE/MATLAB labs integrated; mini-projects evaluated with rubrics</t>
        </is>
      </c>
      <c r="N3" t="inlineStr">
        <is>
          <t>Lab Incharge &amp; Course Teachers</t>
        </is>
      </c>
      <c r="O3" t="inlineStr">
        <is>
          <t>https://drive.example.com/PO4_simulation_evidence</t>
        </is>
      </c>
      <c r="P3" t="inlineStr">
        <is>
          <t>PO4 improved from 55% to 68% (Gap reduced from 15% to 2%)</t>
        </is>
      </c>
    </row>
    <row r="4">
      <c r="A4" t="inlineStr">
        <is>
          <t>2024-25 (CAY)</t>
        </is>
      </c>
      <c r="B4" t="inlineStr">
        <is>
          <t>PO</t>
        </is>
      </c>
      <c r="C4" t="inlineStr">
        <is>
          <t>PO9 – Communication</t>
        </is>
      </c>
      <c r="D4" t="n">
        <v>75</v>
      </c>
      <c r="E4" t="n">
        <v>60</v>
      </c>
      <c r="F4" t="n">
        <v>72</v>
      </c>
      <c r="G4">
        <f>IFERROR(D4-E4,"")</f>
        <v/>
      </c>
      <c r="H4">
        <f>IFERROR(D4-F4,"")</f>
        <v/>
      </c>
      <c r="I4">
        <f>IF(G4&lt;=0,"",MIN(1,MAX(0,(G4-H4)/G4)))</f>
        <v/>
      </c>
      <c r="J4">
        <f>IF(F4&gt;=D4,"Achieved",IF(I4="","",IF(I4&gt;=0.75,"On Track","Needs Attention")))</f>
        <v/>
      </c>
      <c r="K4" t="inlineStr">
        <is>
          <t>Weak presentation and technical writing skills</t>
        </is>
      </c>
      <c r="L4" t="inlineStr">
        <is>
          <t>Introduce seminar course with presentation/report rubrics</t>
        </is>
      </c>
      <c r="M4" t="inlineStr">
        <is>
          <t>Seminar course implemented; peer reviews conducted</t>
        </is>
      </c>
      <c r="N4" t="inlineStr">
        <is>
          <t>IQAC &amp; Department</t>
        </is>
      </c>
      <c r="O4" t="inlineStr">
        <is>
          <t>https://drive.example.com/PO9_comm_evidence</t>
        </is>
      </c>
      <c r="P4" t="inlineStr">
        <is>
          <t>Presentation scores up by 20%; attainment at 72%</t>
        </is>
      </c>
    </row>
    <row r="5">
      <c r="A5" t="inlineStr">
        <is>
          <t>2023-24 (CAYm1)</t>
        </is>
      </c>
      <c r="B5" t="inlineStr">
        <is>
          <t>PSO</t>
        </is>
      </c>
      <c r="C5" t="inlineStr">
        <is>
          <t>PSO1 – Domain Tools</t>
        </is>
      </c>
      <c r="D5" t="n">
        <v>70</v>
      </c>
      <c r="E5" t="n">
        <v>52</v>
      </c>
      <c r="F5" t="n">
        <v>66</v>
      </c>
      <c r="G5">
        <f>IFERROR(D5-E5,"")</f>
        <v/>
      </c>
      <c r="H5">
        <f>IFERROR(D5-F5,"")</f>
        <v/>
      </c>
      <c r="I5">
        <f>IF(G5&lt;=0,"",MIN(1,MAX(0,(G5-H5)/G5)))</f>
        <v/>
      </c>
      <c r="J5">
        <f>IF(F5&gt;=D5,"Achieved",IF(I5="","",IF(I5&gt;=0.75,"On Track","Needs Attention")))</f>
        <v/>
      </c>
      <c r="K5" t="inlineStr">
        <is>
          <t>Insufficient exposure to industry-grade software tools</t>
        </is>
      </c>
      <c r="L5" t="inlineStr">
        <is>
          <t>Upgrade lab software; conduct hands-on workshops</t>
        </is>
      </c>
      <c r="M5" t="inlineStr">
        <is>
          <t>Installed MATLAB/PSPICE; training sessions completed</t>
        </is>
      </c>
      <c r="N5" t="inlineStr">
        <is>
          <t>HoD &amp; Lab Incharge</t>
        </is>
      </c>
      <c r="O5" t="inlineStr">
        <is>
          <t>https://drive.example.com/PSO1_tools_evidence</t>
        </is>
      </c>
      <c r="P5" t="inlineStr">
        <is>
          <t>Attainment rose from 52% to 66% (Gap closed by ~78%)</t>
        </is>
      </c>
    </row>
  </sheetData>
  <conditionalFormatting sqref="H2:H5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dataValidations count="2">
    <dataValidation sqref="B2:B1000" showErrorMessage="1" showInputMessage="1" allowBlank="1" type="list">
      <formula1>"CO,PO,PSO"</formula1>
    </dataValidation>
    <dataValidation sqref="A2:A1000" showErrorMessage="1" showInputMessage="1" allowBlank="1" type="list">
      <formula1>"2024-25 (CAY),2023-24 (CAYm1),2022-23 (CAYm2)"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2025-08-28T07:43:43Z</dcterms:created>
  <dcterms:modified xmlns:dcterms="http://purl.org/dc/terms/" xmlns:xsi="http://www.w3.org/2001/XMLSchema-instance" xsi:type="dcterms:W3CDTF">2025-08-28T07:43:43Z</dcterms:modified>
</cp:coreProperties>
</file>