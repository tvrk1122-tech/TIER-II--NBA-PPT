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ch_Intake" sheetId="1" r:id="rId1"/>
    <sheet name="Graduation" sheetId="2" r:id="rId2"/>
    <sheet name="Dashboard" sheetId="3" r:id="rId3"/>
    <sheet name="Docs_Log" sheetId="4" r:id="rId4"/>
    <sheet name="ReadMe" sheetId="5" r:id="rId5"/>
  </sheets>
  <calcPr calcId="124519" fullCalcOnLoad="1"/>
</workbook>
</file>

<file path=xl/sharedStrings.xml><?xml version="1.0" encoding="utf-8"?>
<sst xmlns="http://schemas.openxmlformats.org/spreadsheetml/2006/main" count="85" uniqueCount="44">
  <si>
    <t>Year of Entry (Label)</t>
  </si>
  <si>
    <t>Academic Year (e.g., 2024-25)</t>
  </si>
  <si>
    <t>N1 (1st Yr admissions, migration adjusted)</t>
  </si>
  <si>
    <t>N2 (Lateral entry to 2nd Yr)</t>
  </si>
  <si>
    <t>N3 (Separate division, if any)</t>
  </si>
  <si>
    <t>N4 (Supernumerary: TFWS/EWS/PMSSS)</t>
  </si>
  <si>
    <t>N5 (MEES multiple entry)</t>
  </si>
  <si>
    <t>N6 (MEES multiple exit)</t>
  </si>
  <si>
    <t>Total Students (Auto: N1+N2+N3+N4+N5-N6)</t>
  </si>
  <si>
    <t>CAY</t>
  </si>
  <si>
    <t>CAYm1</t>
  </si>
  <si>
    <t>CAYm2</t>
  </si>
  <si>
    <t>CAYm3</t>
  </si>
  <si>
    <t>CAYm4 (LYG)</t>
  </si>
  <si>
    <t>CAYm5 (LYGm1)</t>
  </si>
  <si>
    <t>CAYm6 (LYGm2)</t>
  </si>
  <si>
    <t>Graduated WITHOUT Backlogs</t>
  </si>
  <si>
    <t>Graduated WITH Backlogs</t>
  </si>
  <si>
    <t>Total Graduated (Auto)</t>
  </si>
  <si>
    <t>Graduation Efficiency % (Auto)</t>
  </si>
  <si>
    <t>Metric</t>
  </si>
  <si>
    <t>Value (Auto)</t>
  </si>
  <si>
    <t>Average Graduation Efficiency (LYG..LYGm2)</t>
  </si>
  <si>
    <t>Cohort Size (Sum of Total Students for LYG..LYGm2)</t>
  </si>
  <si>
    <t>Graduated on time (Sum of Total Graduated for LYG..LYGm2)</t>
  </si>
  <si>
    <t>Document Type (Result Gazette / Degree Award List / Backlog Clearance Extract)</t>
  </si>
  <si>
    <t>File Path or Link</t>
  </si>
  <si>
    <t>Verified By</t>
  </si>
  <si>
    <t>Verification Date (YYYY-MM-DD)</t>
  </si>
  <si>
    <t>Remarks</t>
  </si>
  <si>
    <t>Instructions</t>
  </si>
  <si>
    <t>NBA Criterion 4 – Graduation Tracker (Within Stipulated Period)</t>
  </si>
  <si>
    <t>How to use:</t>
  </si>
  <si>
    <t>1) Fill 'Batch_Intake' N1..N6 per Year of Entry (CAY..CAYm6).</t>
  </si>
  <si>
    <t xml:space="preserve">   - Total Students auto-calculates = N1+N2+N3+N4+N5-N6.</t>
  </si>
  <si>
    <t>2) Fill 'Graduation' with counts of students who graduated within the stipulated period:</t>
  </si>
  <si>
    <t xml:space="preserve">   - Enter counts WITHOUT backlogs and WITH backlogs.</t>
  </si>
  <si>
    <t xml:space="preserve">   - Total Graduated and Graduation Efficiency % auto-calculate.</t>
  </si>
  <si>
    <t>3) 'Dashboard' summarises LYG..LYGm2 key KPIs for NBA reporting.</t>
  </si>
  <si>
    <t>4) Log proofs in 'Docs_Log' (university result gazette, degree award lists, backlog clearance records).</t>
  </si>
  <si>
    <t>Notes:</t>
  </si>
  <si>
    <t>- Do NOT include MEES entries/exits in N1..N4; use N5/N6 columns for MEES adjustments.</t>
  </si>
  <si>
    <t>- Efficiency% = Total Graduated / Total Students for that Year of Entry.</t>
  </si>
  <si>
    <t>- For ongoing cohorts (e.g., CAY..CAYm2 in a 4-year UG), leave graduation fields blank until completion.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</si>
</sst>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" fontId="1" fillId="3" borderId="1" xfId="0" applyNumberFormat="1" applyFont="1" applyFill="1" applyBorder="1"/>
    <xf numFmtId="164" fontId="0" fillId="0" borderId="1" xfId="0" applyNumberFormat="1" applyBorder="1"/>
    <xf numFmtId="164" fontId="1" fillId="0" borderId="1" xfId="0" applyNumberFormat="1" applyFon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8" width="30.7109375" customWidth="1"/>
    <col min="9" max="9" width="3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I2" s="2">
        <f>SUM(C2:G2)-H2</f>
        <v>0</v>
      </c>
    </row>
    <row r="3" spans="1:9">
      <c r="A3" t="s">
        <v>10</v>
      </c>
      <c r="I3" s="2">
        <f>SUM(C3:G3)-H3</f>
        <v>0</v>
      </c>
    </row>
    <row r="4" spans="1:9">
      <c r="A4" t="s">
        <v>11</v>
      </c>
      <c r="I4" s="2">
        <f>SUM(C4:G4)-H4</f>
        <v>0</v>
      </c>
    </row>
    <row r="5" spans="1:9">
      <c r="A5" t="s">
        <v>12</v>
      </c>
      <c r="I5" s="2">
        <f>SUM(C5:G5)-H5</f>
        <v>0</v>
      </c>
    </row>
    <row r="6" spans="1:9">
      <c r="A6" t="s">
        <v>13</v>
      </c>
      <c r="I6" s="2">
        <f>SUM(C6:G6)-H6</f>
        <v>0</v>
      </c>
    </row>
    <row r="7" spans="1:9">
      <c r="A7" t="s">
        <v>14</v>
      </c>
      <c r="I7" s="2">
        <f>SUM(C7:G7)-H7</f>
        <v>0</v>
      </c>
    </row>
    <row r="8" spans="1:9">
      <c r="A8" t="s">
        <v>15</v>
      </c>
      <c r="I8" s="2">
        <f>SUM(C8:G8)-H8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4" width="30.7109375" customWidth="1"/>
    <col min="5" max="5" width="28.7109375" customWidth="1"/>
    <col min="6" max="6" width="30.7109375" customWidth="1"/>
  </cols>
  <sheetData>
    <row r="1" spans="1:6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9</v>
      </c>
      <c r="E2" s="2">
        <f>SUM(C2:D2)</f>
        <v>0</v>
      </c>
      <c r="F2" s="3">
        <f>IFERROR(E2/Batch_Intake!I2,"")</f>
        <v>0</v>
      </c>
    </row>
    <row r="3" spans="1:6">
      <c r="A3" t="s">
        <v>10</v>
      </c>
      <c r="E3" s="2">
        <f>SUM(C3:D3)</f>
        <v>0</v>
      </c>
      <c r="F3" s="3">
        <f>IFERROR(E3/Batch_Intake!I3,"")</f>
        <v>0</v>
      </c>
    </row>
    <row r="4" spans="1:6">
      <c r="A4" t="s">
        <v>11</v>
      </c>
      <c r="E4" s="2">
        <f>SUM(C4:D4)</f>
        <v>0</v>
      </c>
      <c r="F4" s="3">
        <f>IFERROR(E4/Batch_Intake!I4,"")</f>
        <v>0</v>
      </c>
    </row>
    <row r="5" spans="1:6">
      <c r="A5" t="s">
        <v>12</v>
      </c>
      <c r="E5" s="2">
        <f>SUM(C5:D5)</f>
        <v>0</v>
      </c>
      <c r="F5" s="3">
        <f>IFERROR(E5/Batch_Intake!I5,"")</f>
        <v>0</v>
      </c>
    </row>
    <row r="6" spans="1:6">
      <c r="A6" t="s">
        <v>13</v>
      </c>
      <c r="E6" s="2">
        <f>SUM(C6:D6)</f>
        <v>0</v>
      </c>
      <c r="F6" s="3">
        <f>IFERROR(E6/Batch_Intake!I6,"")</f>
        <v>0</v>
      </c>
    </row>
    <row r="7" spans="1:6">
      <c r="A7" t="s">
        <v>14</v>
      </c>
      <c r="E7" s="2">
        <f>SUM(C7:D7)</f>
        <v>0</v>
      </c>
      <c r="F7" s="3">
        <f>IFERROR(E7/Batch_Intake!I7,"")</f>
        <v>0</v>
      </c>
    </row>
    <row r="8" spans="1:6">
      <c r="A8" t="s">
        <v>15</v>
      </c>
      <c r="E8" s="2">
        <f>SUM(C8:D8)</f>
        <v>0</v>
      </c>
      <c r="F8" s="3">
        <f>IFERROR(E8/Batch_Intake!I8,"")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32.7109375" customWidth="1"/>
  </cols>
  <sheetData>
    <row r="1" spans="1:2">
      <c r="A1" s="1" t="s">
        <v>20</v>
      </c>
      <c r="B1" s="1" t="s">
        <v>21</v>
      </c>
    </row>
    <row r="2" spans="1:2">
      <c r="A2" t="s">
        <v>22</v>
      </c>
      <c r="B2" s="4">
        <f>IFERROR(AVERAGE(Graduation!F6:F8),"")</f>
        <v>0</v>
      </c>
    </row>
    <row r="3" spans="1:2">
      <c r="A3" t="s">
        <v>23</v>
      </c>
      <c r="B3" s="5">
        <f>SUM(Batch_Intake!I6:I8)</f>
        <v>0</v>
      </c>
    </row>
    <row r="4" spans="1:2">
      <c r="A4" t="s">
        <v>24</v>
      </c>
      <c r="B4" s="5">
        <f>SUM(Graduation!E6:E8)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  <col min="3" max="5" width="28.7109375" customWidth="1"/>
    <col min="6" max="6" width="40.7109375" customWidth="1"/>
  </cols>
  <sheetData>
    <row r="1" spans="1: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t="s">
        <v>9</v>
      </c>
    </row>
    <row r="3" spans="1:6">
      <c r="A3" t="s">
        <v>10</v>
      </c>
    </row>
    <row r="4" spans="1:6">
      <c r="A4" t="s">
        <v>11</v>
      </c>
    </row>
    <row r="5" spans="1:6">
      <c r="A5" t="s">
        <v>12</v>
      </c>
    </row>
    <row r="6" spans="1:6">
      <c r="A6" t="s">
        <v>13</v>
      </c>
    </row>
    <row r="7" spans="1:6">
      <c r="A7" t="s">
        <v>14</v>
      </c>
    </row>
    <row r="8" spans="1:6">
      <c r="A8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30</v>
      </c>
    </row>
    <row r="2" spans="1:1">
      <c r="A2" t="s">
        <v>31</v>
      </c>
    </row>
    <row r="4" spans="1:1">
      <c r="A4" t="s">
        <v>32</v>
      </c>
    </row>
    <row r="5" spans="1:1">
      <c r="A5" t="s">
        <v>33</v>
      </c>
    </row>
    <row r="6" spans="1:1">
      <c r="A6" t="s">
        <v>34</v>
      </c>
    </row>
    <row r="7" spans="1:1">
      <c r="A7" t="s">
        <v>35</v>
      </c>
    </row>
    <row r="8" spans="1:1">
      <c r="A8" t="s">
        <v>36</v>
      </c>
    </row>
    <row r="9" spans="1:1">
      <c r="A9" t="s">
        <v>37</v>
      </c>
    </row>
    <row r="10" spans="1:1">
      <c r="A10" t="s">
        <v>38</v>
      </c>
    </row>
    <row r="11" spans="1:1">
      <c r="A11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6" spans="1:1">
      <c r="A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Batch_Intake</vt:lpstr>
      <vt:lpstr>Graduation</vt:lpstr>
      <vt:lpstr>Dashboard</vt:lpstr>
      <vt:lpstr>Docs_Log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2025-08-26T05:00:58Z</dcterms:created>
  <dcterms:modified xsi:type="dcterms:W3CDTF">2025-08-26T05:00:58Z</dcterms:modified>
</cp:coreProperties>
</file>