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og" sheetId="1" state="visible" r:id="rId1"/>
    <sheet xmlns:r="http://schemas.openxmlformats.org/officeDocument/2006/relationships" name="Yearly_Calc" sheetId="2" state="visible" r:id="rId2"/>
    <sheet xmlns:r="http://schemas.openxmlformats.org/officeDocument/2006/relationships" name="Summary_10_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Faculty Name</t>
        </is>
      </c>
      <c r="B1" s="1" t="inlineStr">
        <is>
          <t>Role (Participant / Resource Person)</t>
        </is>
      </c>
      <c r="C1" s="1" t="inlineStr">
        <is>
          <t>Event Title (STTP/FDP)</t>
        </is>
      </c>
      <c r="D1" s="1" t="inlineStr">
        <is>
          <t>Organized By (External Only)</t>
        </is>
      </c>
      <c r="E1" s="1" t="inlineStr">
        <is>
          <t>Location</t>
        </is>
      </c>
      <c r="F1" s="1" t="inlineStr">
        <is>
          <t>Year Tag (CAY / CAYm1 / CAYm2)</t>
        </is>
      </c>
      <c r="G1" s="1" t="inlineStr">
        <is>
          <t>Date From (dd-mm-yyyy)</t>
        </is>
      </c>
      <c r="H1" s="1" t="inlineStr">
        <is>
          <t>Date To (dd-mm-yyyy)</t>
        </is>
      </c>
      <c r="I1" s="1" t="inlineStr">
        <is>
          <t>No. of Days</t>
        </is>
      </c>
      <c r="J1" s="1" t="inlineStr">
        <is>
          <t>Level (National / International)</t>
        </is>
      </c>
      <c r="K1" s="1" t="inlineStr">
        <is>
          <t>Evidence Link / File Ref</t>
        </is>
      </c>
      <c r="L1" s="1" t="inlineStr">
        <is>
          <t>Auto Points (Participants only)</t>
        </is>
      </c>
    </row>
  </sheetData>
  <dataValidations count="3">
    <dataValidation sqref="B2:B101" showErrorMessage="1" showInputMessage="1" allowBlank="1" type="list">
      <formula1>"Participant,Resource Person"</formula1>
    </dataValidation>
    <dataValidation sqref="F2:F101" showErrorMessage="1" showInputMessage="1" allowBlank="1" type="list">
      <formula1>"CAY,CAYm1,CAYm2"</formula1>
    </dataValidation>
    <dataValidation sqref="J2:J101" showErrorMessage="1" showInputMessage="1" allowBlank="1" type="list">
      <formula1>"National,International"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Faculty Name</t>
        </is>
      </c>
      <c r="B1" s="1" t="inlineStr">
        <is>
          <t>CAYm1 Points (Raw)</t>
        </is>
      </c>
      <c r="C1" s="1" t="inlineStr">
        <is>
          <t>CAYm1 Points (Capped 5)</t>
        </is>
      </c>
      <c r="D1" s="1" t="inlineStr">
        <is>
          <t>CAYm2 Points (Raw)</t>
        </is>
      </c>
      <c r="E1" s="1" t="inlineStr">
        <is>
          <t>CAYm2 Points (Capped 5)</t>
        </is>
      </c>
      <c r="F1" s="1" t="inlineStr">
        <is>
          <t>CAYm3 Points (Raw)</t>
        </is>
      </c>
      <c r="G1" s="1" t="inlineStr">
        <is>
          <t>CAYm3 Points (Capped 5)</t>
        </is>
      </c>
    </row>
    <row r="2">
      <c r="B2">
        <f>IF(A2="","",SUMIFS(Master_Log!$L$2:$L$101, Master_Log!$A$2:$A$101, A2, Master_Log!$F$2:$F$101, "CAYm1"))</f>
        <v/>
      </c>
      <c r="C2">
        <f>IF(B2="","",MIN(5,B2))</f>
        <v/>
      </c>
      <c r="D2">
        <f>IF(A2="","",SUMIFS(Master_Log!$L$2:$L$101, Master_Log!$A$2:$A$101, A2, Master_Log!$F$2:$F$101, "CAYm2"))</f>
        <v/>
      </c>
      <c r="E2">
        <f>IF(D2="","",MIN(5,D2))</f>
        <v/>
      </c>
      <c r="F2">
        <f>IF(A2="","",SUMIFS(Master_Log!$L$2:$L$101, Master_Log!$A$2:$A$101, A2, Master_Log!$F$2:$F$101, "CAYm3"))</f>
        <v/>
      </c>
      <c r="G2">
        <f>IF(F2="","",MIN(5,F2))</f>
        <v/>
      </c>
    </row>
    <row r="3">
      <c r="B3">
        <f>IF(A3="","",SUMIFS(Master_Log!$L$2:$L$101, Master_Log!$A$2:$A$101, A3, Master_Log!$F$2:$F$101, "CAYm1"))</f>
        <v/>
      </c>
      <c r="C3">
        <f>IF(B3="","",MIN(5,B3))</f>
        <v/>
      </c>
      <c r="D3">
        <f>IF(A3="","",SUMIFS(Master_Log!$L$2:$L$101, Master_Log!$A$2:$A$101, A3, Master_Log!$F$2:$F$101, "CAYm2"))</f>
        <v/>
      </c>
      <c r="E3">
        <f>IF(D3="","",MIN(5,D3))</f>
        <v/>
      </c>
      <c r="F3">
        <f>IF(A3="","",SUMIFS(Master_Log!$L$2:$L$101, Master_Log!$A$2:$A$101, A3, Master_Log!$F$2:$F$101, "CAYm3"))</f>
        <v/>
      </c>
      <c r="G3">
        <f>IF(F3="","",MIN(5,F3))</f>
        <v/>
      </c>
    </row>
    <row r="4">
      <c r="B4">
        <f>IF(A4="","",SUMIFS(Master_Log!$L$2:$L$101, Master_Log!$A$2:$A$101, A4, Master_Log!$F$2:$F$101, "CAYm1"))</f>
        <v/>
      </c>
      <c r="C4">
        <f>IF(B4="","",MIN(5,B4))</f>
        <v/>
      </c>
      <c r="D4">
        <f>IF(A4="","",SUMIFS(Master_Log!$L$2:$L$101, Master_Log!$A$2:$A$101, A4, Master_Log!$F$2:$F$101, "CAYm2"))</f>
        <v/>
      </c>
      <c r="E4">
        <f>IF(D4="","",MIN(5,D4))</f>
        <v/>
      </c>
      <c r="F4">
        <f>IF(A4="","",SUMIFS(Master_Log!$L$2:$L$101, Master_Log!$A$2:$A$101, A4, Master_Log!$F$2:$F$101, "CAYm3"))</f>
        <v/>
      </c>
      <c r="G4">
        <f>IF(F4="","",MIN(5,F4))</f>
        <v/>
      </c>
    </row>
    <row r="5">
      <c r="B5">
        <f>IF(A5="","",SUMIFS(Master_Log!$L$2:$L$101, Master_Log!$A$2:$A$101, A5, Master_Log!$F$2:$F$101, "CAYm1"))</f>
        <v/>
      </c>
      <c r="C5">
        <f>IF(B5="","",MIN(5,B5))</f>
        <v/>
      </c>
      <c r="D5">
        <f>IF(A5="","",SUMIFS(Master_Log!$L$2:$L$101, Master_Log!$A$2:$A$101, A5, Master_Log!$F$2:$F$101, "CAYm2"))</f>
        <v/>
      </c>
      <c r="E5">
        <f>IF(D5="","",MIN(5,D5))</f>
        <v/>
      </c>
      <c r="F5">
        <f>IF(A5="","",SUMIFS(Master_Log!$L$2:$L$101, Master_Log!$A$2:$A$101, A5, Master_Log!$F$2:$F$101, "CAYm3"))</f>
        <v/>
      </c>
      <c r="G5">
        <f>IF(F5="","",MIN(5,F5))</f>
        <v/>
      </c>
    </row>
    <row r="6">
      <c r="B6">
        <f>IF(A6="","",SUMIFS(Master_Log!$L$2:$L$101, Master_Log!$A$2:$A$101, A6, Master_Log!$F$2:$F$101, "CAYm1"))</f>
        <v/>
      </c>
      <c r="C6">
        <f>IF(B6="","",MIN(5,B6))</f>
        <v/>
      </c>
      <c r="D6">
        <f>IF(A6="","",SUMIFS(Master_Log!$L$2:$L$101, Master_Log!$A$2:$A$101, A6, Master_Log!$F$2:$F$101, "CAYm2"))</f>
        <v/>
      </c>
      <c r="E6">
        <f>IF(D6="","",MIN(5,D6))</f>
        <v/>
      </c>
      <c r="F6">
        <f>IF(A6="","",SUMIFS(Master_Log!$L$2:$L$101, Master_Log!$A$2:$A$101, A6, Master_Log!$F$2:$F$101, "CAYm3"))</f>
        <v/>
      </c>
      <c r="G6">
        <f>IF(F6="","",MIN(5,F6))</f>
        <v/>
      </c>
    </row>
    <row r="7">
      <c r="B7">
        <f>IF(A7="","",SUMIFS(Master_Log!$L$2:$L$101, Master_Log!$A$2:$A$101, A7, Master_Log!$F$2:$F$101, "CAYm1"))</f>
        <v/>
      </c>
      <c r="C7">
        <f>IF(B7="","",MIN(5,B7))</f>
        <v/>
      </c>
      <c r="D7">
        <f>IF(A7="","",SUMIFS(Master_Log!$L$2:$L$101, Master_Log!$A$2:$A$101, A7, Master_Log!$F$2:$F$101, "CAYm2"))</f>
        <v/>
      </c>
      <c r="E7">
        <f>IF(D7="","",MIN(5,D7))</f>
        <v/>
      </c>
      <c r="F7">
        <f>IF(A7="","",SUMIFS(Master_Log!$L$2:$L$101, Master_Log!$A$2:$A$101, A7, Master_Log!$F$2:$F$101, "CAYm3"))</f>
        <v/>
      </c>
      <c r="G7">
        <f>IF(F7="","",MIN(5,F7))</f>
        <v/>
      </c>
    </row>
    <row r="8">
      <c r="B8">
        <f>IF(A8="","",SUMIFS(Master_Log!$L$2:$L$101, Master_Log!$A$2:$A$101, A8, Master_Log!$F$2:$F$101, "CAYm1"))</f>
        <v/>
      </c>
      <c r="C8">
        <f>IF(B8="","",MIN(5,B8))</f>
        <v/>
      </c>
      <c r="D8">
        <f>IF(A8="","",SUMIFS(Master_Log!$L$2:$L$101, Master_Log!$A$2:$A$101, A8, Master_Log!$F$2:$F$101, "CAYm2"))</f>
        <v/>
      </c>
      <c r="E8">
        <f>IF(D8="","",MIN(5,D8))</f>
        <v/>
      </c>
      <c r="F8">
        <f>IF(A8="","",SUMIFS(Master_Log!$L$2:$L$101, Master_Log!$A$2:$A$101, A8, Master_Log!$F$2:$F$101, "CAYm3"))</f>
        <v/>
      </c>
      <c r="G8">
        <f>IF(F8="","",MIN(5,F8))</f>
        <v/>
      </c>
    </row>
    <row r="9">
      <c r="B9">
        <f>IF(A9="","",SUMIFS(Master_Log!$L$2:$L$101, Master_Log!$A$2:$A$101, A9, Master_Log!$F$2:$F$101, "CAYm1"))</f>
        <v/>
      </c>
      <c r="C9">
        <f>IF(B9="","",MIN(5,B9))</f>
        <v/>
      </c>
      <c r="D9">
        <f>IF(A9="","",SUMIFS(Master_Log!$L$2:$L$101, Master_Log!$A$2:$A$101, A9, Master_Log!$F$2:$F$101, "CAYm2"))</f>
        <v/>
      </c>
      <c r="E9">
        <f>IF(D9="","",MIN(5,D9))</f>
        <v/>
      </c>
      <c r="F9">
        <f>IF(A9="","",SUMIFS(Master_Log!$L$2:$L$101, Master_Log!$A$2:$A$101, A9, Master_Log!$F$2:$F$101, "CAYm3"))</f>
        <v/>
      </c>
      <c r="G9">
        <f>IF(F9="","",MIN(5,F9))</f>
        <v/>
      </c>
    </row>
    <row r="10">
      <c r="B10">
        <f>IF(A10="","",SUMIFS(Master_Log!$L$2:$L$101, Master_Log!$A$2:$A$101, A10, Master_Log!$F$2:$F$101, "CAYm1"))</f>
        <v/>
      </c>
      <c r="C10">
        <f>IF(B10="","",MIN(5,B10))</f>
        <v/>
      </c>
      <c r="D10">
        <f>IF(A10="","",SUMIFS(Master_Log!$L$2:$L$101, Master_Log!$A$2:$A$101, A10, Master_Log!$F$2:$F$101, "CAYm2"))</f>
        <v/>
      </c>
      <c r="E10">
        <f>IF(D10="","",MIN(5,D10))</f>
        <v/>
      </c>
      <c r="F10">
        <f>IF(A10="","",SUMIFS(Master_Log!$L$2:$L$101, Master_Log!$A$2:$A$101, A10, Master_Log!$F$2:$F$101, "CAYm3"))</f>
        <v/>
      </c>
      <c r="G10">
        <f>IF(F10="","",MIN(5,F10))</f>
        <v/>
      </c>
    </row>
    <row r="11">
      <c r="B11">
        <f>IF(A11="","",SUMIFS(Master_Log!$L$2:$L$101, Master_Log!$A$2:$A$101, A11, Master_Log!$F$2:$F$101, "CAYm1"))</f>
        <v/>
      </c>
      <c r="C11">
        <f>IF(B11="","",MIN(5,B11))</f>
        <v/>
      </c>
      <c r="D11">
        <f>IF(A11="","",SUMIFS(Master_Log!$L$2:$L$101, Master_Log!$A$2:$A$101, A11, Master_Log!$F$2:$F$101, "CAYm2"))</f>
        <v/>
      </c>
      <c r="E11">
        <f>IF(D11="","",MIN(5,D11))</f>
        <v/>
      </c>
      <c r="F11">
        <f>IF(A11="","",SUMIFS(Master_Log!$L$2:$L$101, Master_Log!$A$2:$A$101, A11, Master_Log!$F$2:$F$101, "CAYm3"))</f>
        <v/>
      </c>
      <c r="G11">
        <f>IF(F11="","",MIN(5,F11))</f>
        <v/>
      </c>
    </row>
    <row r="12">
      <c r="B12">
        <f>IF(A12="","",SUMIFS(Master_Log!$L$2:$L$101, Master_Log!$A$2:$A$101, A12, Master_Log!$F$2:$F$101, "CAYm1"))</f>
        <v/>
      </c>
      <c r="C12">
        <f>IF(B12="","",MIN(5,B12))</f>
        <v/>
      </c>
      <c r="D12">
        <f>IF(A12="","",SUMIFS(Master_Log!$L$2:$L$101, Master_Log!$A$2:$A$101, A12, Master_Log!$F$2:$F$101, "CAYm2"))</f>
        <v/>
      </c>
      <c r="E12">
        <f>IF(D12="","",MIN(5,D12))</f>
        <v/>
      </c>
      <c r="F12">
        <f>IF(A12="","",SUMIFS(Master_Log!$L$2:$L$101, Master_Log!$A$2:$A$101, A12, Master_Log!$F$2:$F$101, "CAYm3"))</f>
        <v/>
      </c>
      <c r="G12">
        <f>IF(F12="","",MIN(5,F12))</f>
        <v/>
      </c>
    </row>
    <row r="13">
      <c r="B13">
        <f>IF(A13="","",SUMIFS(Master_Log!$L$2:$L$101, Master_Log!$A$2:$A$101, A13, Master_Log!$F$2:$F$101, "CAYm1"))</f>
        <v/>
      </c>
      <c r="C13">
        <f>IF(B13="","",MIN(5,B13))</f>
        <v/>
      </c>
      <c r="D13">
        <f>IF(A13="","",SUMIFS(Master_Log!$L$2:$L$101, Master_Log!$A$2:$A$101, A13, Master_Log!$F$2:$F$101, "CAYm2"))</f>
        <v/>
      </c>
      <c r="E13">
        <f>IF(D13="","",MIN(5,D13))</f>
        <v/>
      </c>
      <c r="F13">
        <f>IF(A13="","",SUMIFS(Master_Log!$L$2:$L$101, Master_Log!$A$2:$A$101, A13, Master_Log!$F$2:$F$101, "CAYm3"))</f>
        <v/>
      </c>
      <c r="G13">
        <f>IF(F13="","",MIN(5,F13))</f>
        <v/>
      </c>
    </row>
    <row r="14">
      <c r="B14">
        <f>IF(A14="","",SUMIFS(Master_Log!$L$2:$L$101, Master_Log!$A$2:$A$101, A14, Master_Log!$F$2:$F$101, "CAYm1"))</f>
        <v/>
      </c>
      <c r="C14">
        <f>IF(B14="","",MIN(5,B14))</f>
        <v/>
      </c>
      <c r="D14">
        <f>IF(A14="","",SUMIFS(Master_Log!$L$2:$L$101, Master_Log!$A$2:$A$101, A14, Master_Log!$F$2:$F$101, "CAYm2"))</f>
        <v/>
      </c>
      <c r="E14">
        <f>IF(D14="","",MIN(5,D14))</f>
        <v/>
      </c>
      <c r="F14">
        <f>IF(A14="","",SUMIFS(Master_Log!$L$2:$L$101, Master_Log!$A$2:$A$101, A14, Master_Log!$F$2:$F$101, "CAYm3"))</f>
        <v/>
      </c>
      <c r="G14">
        <f>IF(F14="","",MIN(5,F14))</f>
        <v/>
      </c>
    </row>
    <row r="15">
      <c r="B15">
        <f>IF(A15="","",SUMIFS(Master_Log!$L$2:$L$101, Master_Log!$A$2:$A$101, A15, Master_Log!$F$2:$F$101, "CAYm1"))</f>
        <v/>
      </c>
      <c r="C15">
        <f>IF(B15="","",MIN(5,B15))</f>
        <v/>
      </c>
      <c r="D15">
        <f>IF(A15="","",SUMIFS(Master_Log!$L$2:$L$101, Master_Log!$A$2:$A$101, A15, Master_Log!$F$2:$F$101, "CAYm2"))</f>
        <v/>
      </c>
      <c r="E15">
        <f>IF(D15="","",MIN(5,D15))</f>
        <v/>
      </c>
      <c r="F15">
        <f>IF(A15="","",SUMIFS(Master_Log!$L$2:$L$101, Master_Log!$A$2:$A$101, A15, Master_Log!$F$2:$F$101, "CAYm3"))</f>
        <v/>
      </c>
      <c r="G15">
        <f>IF(F15="","",MIN(5,F15))</f>
        <v/>
      </c>
    </row>
    <row r="16">
      <c r="B16">
        <f>IF(A16="","",SUMIFS(Master_Log!$L$2:$L$101, Master_Log!$A$2:$A$101, A16, Master_Log!$F$2:$F$101, "CAYm1"))</f>
        <v/>
      </c>
      <c r="C16">
        <f>IF(B16="","",MIN(5,B16))</f>
        <v/>
      </c>
      <c r="D16">
        <f>IF(A16="","",SUMIFS(Master_Log!$L$2:$L$101, Master_Log!$A$2:$A$101, A16, Master_Log!$F$2:$F$101, "CAYm2"))</f>
        <v/>
      </c>
      <c r="E16">
        <f>IF(D16="","",MIN(5,D16))</f>
        <v/>
      </c>
      <c r="F16">
        <f>IF(A16="","",SUMIFS(Master_Log!$L$2:$L$101, Master_Log!$A$2:$A$101, A16, Master_Log!$F$2:$F$101, "CAYm3"))</f>
        <v/>
      </c>
      <c r="G16">
        <f>IF(F16="","",MIN(5,F16))</f>
        <v/>
      </c>
    </row>
    <row r="17">
      <c r="B17">
        <f>IF(A17="","",SUMIFS(Master_Log!$L$2:$L$101, Master_Log!$A$2:$A$101, A17, Master_Log!$F$2:$F$101, "CAYm1"))</f>
        <v/>
      </c>
      <c r="C17">
        <f>IF(B17="","",MIN(5,B17))</f>
        <v/>
      </c>
      <c r="D17">
        <f>IF(A17="","",SUMIFS(Master_Log!$L$2:$L$101, Master_Log!$A$2:$A$101, A17, Master_Log!$F$2:$F$101, "CAYm2"))</f>
        <v/>
      </c>
      <c r="E17">
        <f>IF(D17="","",MIN(5,D17))</f>
        <v/>
      </c>
      <c r="F17">
        <f>IF(A17="","",SUMIFS(Master_Log!$L$2:$L$101, Master_Log!$A$2:$A$101, A17, Master_Log!$F$2:$F$101, "CAYm3"))</f>
        <v/>
      </c>
      <c r="G17">
        <f>IF(F17="","",MIN(5,F17))</f>
        <v/>
      </c>
    </row>
    <row r="18">
      <c r="B18">
        <f>IF(A18="","",SUMIFS(Master_Log!$L$2:$L$101, Master_Log!$A$2:$A$101, A18, Master_Log!$F$2:$F$101, "CAYm1"))</f>
        <v/>
      </c>
      <c r="C18">
        <f>IF(B18="","",MIN(5,B18))</f>
        <v/>
      </c>
      <c r="D18">
        <f>IF(A18="","",SUMIFS(Master_Log!$L$2:$L$101, Master_Log!$A$2:$A$101, A18, Master_Log!$F$2:$F$101, "CAYm2"))</f>
        <v/>
      </c>
      <c r="E18">
        <f>IF(D18="","",MIN(5,D18))</f>
        <v/>
      </c>
      <c r="F18">
        <f>IF(A18="","",SUMIFS(Master_Log!$L$2:$L$101, Master_Log!$A$2:$A$101, A18, Master_Log!$F$2:$F$101, "CAYm3"))</f>
        <v/>
      </c>
      <c r="G18">
        <f>IF(F18="","",MIN(5,F18))</f>
        <v/>
      </c>
    </row>
    <row r="19">
      <c r="B19">
        <f>IF(A19="","",SUMIFS(Master_Log!$L$2:$L$101, Master_Log!$A$2:$A$101, A19, Master_Log!$F$2:$F$101, "CAYm1"))</f>
        <v/>
      </c>
      <c r="C19">
        <f>IF(B19="","",MIN(5,B19))</f>
        <v/>
      </c>
      <c r="D19">
        <f>IF(A19="","",SUMIFS(Master_Log!$L$2:$L$101, Master_Log!$A$2:$A$101, A19, Master_Log!$F$2:$F$101, "CAYm2"))</f>
        <v/>
      </c>
      <c r="E19">
        <f>IF(D19="","",MIN(5,D19))</f>
        <v/>
      </c>
      <c r="F19">
        <f>IF(A19="","",SUMIFS(Master_Log!$L$2:$L$101, Master_Log!$A$2:$A$101, A19, Master_Log!$F$2:$F$101, "CAYm3"))</f>
        <v/>
      </c>
      <c r="G19">
        <f>IF(F19="","",MIN(5,F19))</f>
        <v/>
      </c>
    </row>
    <row r="20">
      <c r="B20">
        <f>IF(A20="","",SUMIFS(Master_Log!$L$2:$L$101, Master_Log!$A$2:$A$101, A20, Master_Log!$F$2:$F$101, "CAYm1"))</f>
        <v/>
      </c>
      <c r="C20">
        <f>IF(B20="","",MIN(5,B20))</f>
        <v/>
      </c>
      <c r="D20">
        <f>IF(A20="","",SUMIFS(Master_Log!$L$2:$L$101, Master_Log!$A$2:$A$101, A20, Master_Log!$F$2:$F$101, "CAYm2"))</f>
        <v/>
      </c>
      <c r="E20">
        <f>IF(D20="","",MIN(5,D20))</f>
        <v/>
      </c>
      <c r="F20">
        <f>IF(A20="","",SUMIFS(Master_Log!$L$2:$L$101, Master_Log!$A$2:$A$101, A20, Master_Log!$F$2:$F$101, "CAYm3"))</f>
        <v/>
      </c>
      <c r="G20">
        <f>IF(F20="","",MIN(5,F20))</f>
        <v/>
      </c>
    </row>
    <row r="21">
      <c r="B21">
        <f>IF(A21="","",SUMIFS(Master_Log!$L$2:$L$101, Master_Log!$A$2:$A$101, A21, Master_Log!$F$2:$F$101, "CAYm1"))</f>
        <v/>
      </c>
      <c r="C21">
        <f>IF(B21="","",MIN(5,B21))</f>
        <v/>
      </c>
      <c r="D21">
        <f>IF(A21="","",SUMIFS(Master_Log!$L$2:$L$101, Master_Log!$A$2:$A$101, A21, Master_Log!$F$2:$F$101, "CAYm2"))</f>
        <v/>
      </c>
      <c r="E21">
        <f>IF(D21="","",MIN(5,D21))</f>
        <v/>
      </c>
      <c r="F21">
        <f>IF(A21="","",SUMIFS(Master_Log!$L$2:$L$101, Master_Log!$A$2:$A$101, A21, Master_Log!$F$2:$F$101, "CAYm3"))</f>
        <v/>
      </c>
      <c r="G21">
        <f>IF(F21="","",MIN(5,F21))</f>
        <v/>
      </c>
    </row>
    <row r="22">
      <c r="B22">
        <f>IF(A22="","",SUMIFS(Master_Log!$L$2:$L$101, Master_Log!$A$2:$A$101, A22, Master_Log!$F$2:$F$101, "CAYm1"))</f>
        <v/>
      </c>
      <c r="C22">
        <f>IF(B22="","",MIN(5,B22))</f>
        <v/>
      </c>
      <c r="D22">
        <f>IF(A22="","",SUMIFS(Master_Log!$L$2:$L$101, Master_Log!$A$2:$A$101, A22, Master_Log!$F$2:$F$101, "CAYm2"))</f>
        <v/>
      </c>
      <c r="E22">
        <f>IF(D22="","",MIN(5,D22))</f>
        <v/>
      </c>
      <c r="F22">
        <f>IF(A22="","",SUMIFS(Master_Log!$L$2:$L$101, Master_Log!$A$2:$A$101, A22, Master_Log!$F$2:$F$101, "CAYm3"))</f>
        <v/>
      </c>
      <c r="G22">
        <f>IF(F22="","",MIN(5,F22))</f>
        <v/>
      </c>
    </row>
    <row r="23">
      <c r="B23">
        <f>IF(A23="","",SUMIFS(Master_Log!$L$2:$L$101, Master_Log!$A$2:$A$101, A23, Master_Log!$F$2:$F$101, "CAYm1"))</f>
        <v/>
      </c>
      <c r="C23">
        <f>IF(B23="","",MIN(5,B23))</f>
        <v/>
      </c>
      <c r="D23">
        <f>IF(A23="","",SUMIFS(Master_Log!$L$2:$L$101, Master_Log!$A$2:$A$101, A23, Master_Log!$F$2:$F$101, "CAYm2"))</f>
        <v/>
      </c>
      <c r="E23">
        <f>IF(D23="","",MIN(5,D23))</f>
        <v/>
      </c>
      <c r="F23">
        <f>IF(A23="","",SUMIFS(Master_Log!$L$2:$L$101, Master_Log!$A$2:$A$101, A23, Master_Log!$F$2:$F$101, "CAYm3"))</f>
        <v/>
      </c>
      <c r="G23">
        <f>IF(F23="","",MIN(5,F23))</f>
        <v/>
      </c>
    </row>
    <row r="24">
      <c r="B24">
        <f>IF(A24="","",SUMIFS(Master_Log!$L$2:$L$101, Master_Log!$A$2:$A$101, A24, Master_Log!$F$2:$F$101, "CAYm1"))</f>
        <v/>
      </c>
      <c r="C24">
        <f>IF(B24="","",MIN(5,B24))</f>
        <v/>
      </c>
      <c r="D24">
        <f>IF(A24="","",SUMIFS(Master_Log!$L$2:$L$101, Master_Log!$A$2:$A$101, A24, Master_Log!$F$2:$F$101, "CAYm2"))</f>
        <v/>
      </c>
      <c r="E24">
        <f>IF(D24="","",MIN(5,D24))</f>
        <v/>
      </c>
      <c r="F24">
        <f>IF(A24="","",SUMIFS(Master_Log!$L$2:$L$101, Master_Log!$A$2:$A$101, A24, Master_Log!$F$2:$F$101, "CAYm3"))</f>
        <v/>
      </c>
      <c r="G24">
        <f>IF(F24="","",MIN(5,F24))</f>
        <v/>
      </c>
    </row>
    <row r="25">
      <c r="B25">
        <f>IF(A25="","",SUMIFS(Master_Log!$L$2:$L$101, Master_Log!$A$2:$A$101, A25, Master_Log!$F$2:$F$101, "CAYm1"))</f>
        <v/>
      </c>
      <c r="C25">
        <f>IF(B25="","",MIN(5,B25))</f>
        <v/>
      </c>
      <c r="D25">
        <f>IF(A25="","",SUMIFS(Master_Log!$L$2:$L$101, Master_Log!$A$2:$A$101, A25, Master_Log!$F$2:$F$101, "CAYm2"))</f>
        <v/>
      </c>
      <c r="E25">
        <f>IF(D25="","",MIN(5,D25))</f>
        <v/>
      </c>
      <c r="F25">
        <f>IF(A25="","",SUMIFS(Master_Log!$L$2:$L$101, Master_Log!$A$2:$A$101, A25, Master_Log!$F$2:$F$101, "CAYm3"))</f>
        <v/>
      </c>
      <c r="G25">
        <f>IF(F25="","",MIN(5,F25))</f>
        <v/>
      </c>
    </row>
    <row r="26">
      <c r="B26">
        <f>IF(A26="","",SUMIFS(Master_Log!$L$2:$L$101, Master_Log!$A$2:$A$101, A26, Master_Log!$F$2:$F$101, "CAYm1"))</f>
        <v/>
      </c>
      <c r="C26">
        <f>IF(B26="","",MIN(5,B26))</f>
        <v/>
      </c>
      <c r="D26">
        <f>IF(A26="","",SUMIFS(Master_Log!$L$2:$L$101, Master_Log!$A$2:$A$101, A26, Master_Log!$F$2:$F$101, "CAYm2"))</f>
        <v/>
      </c>
      <c r="E26">
        <f>IF(D26="","",MIN(5,D26))</f>
        <v/>
      </c>
      <c r="F26">
        <f>IF(A26="","",SUMIFS(Master_Log!$L$2:$L$101, Master_Log!$A$2:$A$101, A26, Master_Log!$F$2:$F$101, "CAYm3"))</f>
        <v/>
      </c>
      <c r="G26">
        <f>IF(F26="","",MIN(5,F26))</f>
        <v/>
      </c>
    </row>
    <row r="27">
      <c r="B27">
        <f>IF(A27="","",SUMIFS(Master_Log!$L$2:$L$101, Master_Log!$A$2:$A$101, A27, Master_Log!$F$2:$F$101, "CAYm1"))</f>
        <v/>
      </c>
      <c r="C27">
        <f>IF(B27="","",MIN(5,B27))</f>
        <v/>
      </c>
      <c r="D27">
        <f>IF(A27="","",SUMIFS(Master_Log!$L$2:$L$101, Master_Log!$A$2:$A$101, A27, Master_Log!$F$2:$F$101, "CAYm2"))</f>
        <v/>
      </c>
      <c r="E27">
        <f>IF(D27="","",MIN(5,D27))</f>
        <v/>
      </c>
      <c r="F27">
        <f>IF(A27="","",SUMIFS(Master_Log!$L$2:$L$101, Master_Log!$A$2:$A$101, A27, Master_Log!$F$2:$F$101, "CAYm3"))</f>
        <v/>
      </c>
      <c r="G27">
        <f>IF(F27="","",MIN(5,F27))</f>
        <v/>
      </c>
    </row>
    <row r="28">
      <c r="B28">
        <f>IF(A28="","",SUMIFS(Master_Log!$L$2:$L$101, Master_Log!$A$2:$A$101, A28, Master_Log!$F$2:$F$101, "CAYm1"))</f>
        <v/>
      </c>
      <c r="C28">
        <f>IF(B28="","",MIN(5,B28))</f>
        <v/>
      </c>
      <c r="D28">
        <f>IF(A28="","",SUMIFS(Master_Log!$L$2:$L$101, Master_Log!$A$2:$A$101, A28, Master_Log!$F$2:$F$101, "CAYm2"))</f>
        <v/>
      </c>
      <c r="E28">
        <f>IF(D28="","",MIN(5,D28))</f>
        <v/>
      </c>
      <c r="F28">
        <f>IF(A28="","",SUMIFS(Master_Log!$L$2:$L$101, Master_Log!$A$2:$A$101, A28, Master_Log!$F$2:$F$101, "CAYm3"))</f>
        <v/>
      </c>
      <c r="G28">
        <f>IF(F28="","",MIN(5,F28))</f>
        <v/>
      </c>
    </row>
    <row r="29">
      <c r="B29">
        <f>IF(A29="","",SUMIFS(Master_Log!$L$2:$L$101, Master_Log!$A$2:$A$101, A29, Master_Log!$F$2:$F$101, "CAYm1"))</f>
        <v/>
      </c>
      <c r="C29">
        <f>IF(B29="","",MIN(5,B29))</f>
        <v/>
      </c>
      <c r="D29">
        <f>IF(A29="","",SUMIFS(Master_Log!$L$2:$L$101, Master_Log!$A$2:$A$101, A29, Master_Log!$F$2:$F$101, "CAYm2"))</f>
        <v/>
      </c>
      <c r="E29">
        <f>IF(D29="","",MIN(5,D29))</f>
        <v/>
      </c>
      <c r="F29">
        <f>IF(A29="","",SUMIFS(Master_Log!$L$2:$L$101, Master_Log!$A$2:$A$101, A29, Master_Log!$F$2:$F$101, "CAYm3"))</f>
        <v/>
      </c>
      <c r="G29">
        <f>IF(F29="","",MIN(5,F29))</f>
        <v/>
      </c>
    </row>
    <row r="30">
      <c r="B30">
        <f>IF(A30="","",SUMIFS(Master_Log!$L$2:$L$101, Master_Log!$A$2:$A$101, A30, Master_Log!$F$2:$F$101, "CAYm1"))</f>
        <v/>
      </c>
      <c r="C30">
        <f>IF(B30="","",MIN(5,B30))</f>
        <v/>
      </c>
      <c r="D30">
        <f>IF(A30="","",SUMIFS(Master_Log!$L$2:$L$101, Master_Log!$A$2:$A$101, A30, Master_Log!$F$2:$F$101, "CAYm2"))</f>
        <v/>
      </c>
      <c r="E30">
        <f>IF(D30="","",MIN(5,D30))</f>
        <v/>
      </c>
      <c r="F30">
        <f>IF(A30="","",SUMIFS(Master_Log!$L$2:$L$101, Master_Log!$A$2:$A$101, A30, Master_Log!$F$2:$F$101, "CAYm3"))</f>
        <v/>
      </c>
      <c r="G30">
        <f>IF(F30="","",MIN(5,F30))</f>
        <v/>
      </c>
    </row>
    <row r="31">
      <c r="B31">
        <f>IF(A31="","",SUMIFS(Master_Log!$L$2:$L$101, Master_Log!$A$2:$A$101, A31, Master_Log!$F$2:$F$101, "CAYm1"))</f>
        <v/>
      </c>
      <c r="C31">
        <f>IF(B31="","",MIN(5,B31))</f>
        <v/>
      </c>
      <c r="D31">
        <f>IF(A31="","",SUMIFS(Master_Log!$L$2:$L$101, Master_Log!$A$2:$A$101, A31, Master_Log!$F$2:$F$101, "CAYm2"))</f>
        <v/>
      </c>
      <c r="E31">
        <f>IF(D31="","",MIN(5,D31))</f>
        <v/>
      </c>
      <c r="F31">
        <f>IF(A31="","",SUMIFS(Master_Log!$L$2:$L$101, Master_Log!$A$2:$A$101, A31, Master_Log!$F$2:$F$101, "CAYm3"))</f>
        <v/>
      </c>
      <c r="G31">
        <f>IF(F31="","",MIN(5,F31))</f>
        <v/>
      </c>
    </row>
    <row r="32">
      <c r="B32">
        <f>IF(A32="","",SUMIFS(Master_Log!$L$2:$L$101, Master_Log!$A$2:$A$101, A32, Master_Log!$F$2:$F$101, "CAYm1"))</f>
        <v/>
      </c>
      <c r="C32">
        <f>IF(B32="","",MIN(5,B32))</f>
        <v/>
      </c>
      <c r="D32">
        <f>IF(A32="","",SUMIFS(Master_Log!$L$2:$L$101, Master_Log!$A$2:$A$101, A32, Master_Log!$F$2:$F$101, "CAYm2"))</f>
        <v/>
      </c>
      <c r="E32">
        <f>IF(D32="","",MIN(5,D32))</f>
        <v/>
      </c>
      <c r="F32">
        <f>IF(A32="","",SUMIFS(Master_Log!$L$2:$L$101, Master_Log!$A$2:$A$101, A32, Master_Log!$F$2:$F$101, "CAYm3"))</f>
        <v/>
      </c>
      <c r="G32">
        <f>IF(F32="","",MIN(5,F32))</f>
        <v/>
      </c>
    </row>
    <row r="33">
      <c r="B33">
        <f>IF(A33="","",SUMIFS(Master_Log!$L$2:$L$101, Master_Log!$A$2:$A$101, A33, Master_Log!$F$2:$F$101, "CAYm1"))</f>
        <v/>
      </c>
      <c r="C33">
        <f>IF(B33="","",MIN(5,B33))</f>
        <v/>
      </c>
      <c r="D33">
        <f>IF(A33="","",SUMIFS(Master_Log!$L$2:$L$101, Master_Log!$A$2:$A$101, A33, Master_Log!$F$2:$F$101, "CAYm2"))</f>
        <v/>
      </c>
      <c r="E33">
        <f>IF(D33="","",MIN(5,D33))</f>
        <v/>
      </c>
      <c r="F33">
        <f>IF(A33="","",SUMIFS(Master_Log!$L$2:$L$101, Master_Log!$A$2:$A$101, A33, Master_Log!$F$2:$F$101, "CAYm3"))</f>
        <v/>
      </c>
      <c r="G33">
        <f>IF(F33="","",MIN(5,F33))</f>
        <v/>
      </c>
    </row>
    <row r="34">
      <c r="B34">
        <f>IF(A34="","",SUMIFS(Master_Log!$L$2:$L$101, Master_Log!$A$2:$A$101, A34, Master_Log!$F$2:$F$101, "CAYm1"))</f>
        <v/>
      </c>
      <c r="C34">
        <f>IF(B34="","",MIN(5,B34))</f>
        <v/>
      </c>
      <c r="D34">
        <f>IF(A34="","",SUMIFS(Master_Log!$L$2:$L$101, Master_Log!$A$2:$A$101, A34, Master_Log!$F$2:$F$101, "CAYm2"))</f>
        <v/>
      </c>
      <c r="E34">
        <f>IF(D34="","",MIN(5,D34))</f>
        <v/>
      </c>
      <c r="F34">
        <f>IF(A34="","",SUMIFS(Master_Log!$L$2:$L$101, Master_Log!$A$2:$A$101, A34, Master_Log!$F$2:$F$101, "CAYm3"))</f>
        <v/>
      </c>
      <c r="G34">
        <f>IF(F34="","",MIN(5,F34))</f>
        <v/>
      </c>
    </row>
    <row r="35">
      <c r="B35">
        <f>IF(A35="","",SUMIFS(Master_Log!$L$2:$L$101, Master_Log!$A$2:$A$101, A35, Master_Log!$F$2:$F$101, "CAYm1"))</f>
        <v/>
      </c>
      <c r="C35">
        <f>IF(B35="","",MIN(5,B35))</f>
        <v/>
      </c>
      <c r="D35">
        <f>IF(A35="","",SUMIFS(Master_Log!$L$2:$L$101, Master_Log!$A$2:$A$101, A35, Master_Log!$F$2:$F$101, "CAYm2"))</f>
        <v/>
      </c>
      <c r="E35">
        <f>IF(D35="","",MIN(5,D35))</f>
        <v/>
      </c>
      <c r="F35">
        <f>IF(A35="","",SUMIFS(Master_Log!$L$2:$L$101, Master_Log!$A$2:$A$101, A35, Master_Log!$F$2:$F$101, "CAYm3"))</f>
        <v/>
      </c>
      <c r="G35">
        <f>IF(F35="","",MIN(5,F35))</f>
        <v/>
      </c>
    </row>
    <row r="36">
      <c r="B36">
        <f>IF(A36="","",SUMIFS(Master_Log!$L$2:$L$101, Master_Log!$A$2:$A$101, A36, Master_Log!$F$2:$F$101, "CAYm1"))</f>
        <v/>
      </c>
      <c r="C36">
        <f>IF(B36="","",MIN(5,B36))</f>
        <v/>
      </c>
      <c r="D36">
        <f>IF(A36="","",SUMIFS(Master_Log!$L$2:$L$101, Master_Log!$A$2:$A$101, A36, Master_Log!$F$2:$F$101, "CAYm2"))</f>
        <v/>
      </c>
      <c r="E36">
        <f>IF(D36="","",MIN(5,D36))</f>
        <v/>
      </c>
      <c r="F36">
        <f>IF(A36="","",SUMIFS(Master_Log!$L$2:$L$101, Master_Log!$A$2:$A$101, A36, Master_Log!$F$2:$F$101, "CAYm3"))</f>
        <v/>
      </c>
      <c r="G36">
        <f>IF(F36="","",MIN(5,F36))</f>
        <v/>
      </c>
    </row>
    <row r="37">
      <c r="B37">
        <f>IF(A37="","",SUMIFS(Master_Log!$L$2:$L$101, Master_Log!$A$2:$A$101, A37, Master_Log!$F$2:$F$101, "CAYm1"))</f>
        <v/>
      </c>
      <c r="C37">
        <f>IF(B37="","",MIN(5,B37))</f>
        <v/>
      </c>
      <c r="D37">
        <f>IF(A37="","",SUMIFS(Master_Log!$L$2:$L$101, Master_Log!$A$2:$A$101, A37, Master_Log!$F$2:$F$101, "CAYm2"))</f>
        <v/>
      </c>
      <c r="E37">
        <f>IF(D37="","",MIN(5,D37))</f>
        <v/>
      </c>
      <c r="F37">
        <f>IF(A37="","",SUMIFS(Master_Log!$L$2:$L$101, Master_Log!$A$2:$A$101, A37, Master_Log!$F$2:$F$101, "CAYm3"))</f>
        <v/>
      </c>
      <c r="G37">
        <f>IF(F37="","",MIN(5,F37))</f>
        <v/>
      </c>
    </row>
    <row r="38">
      <c r="B38">
        <f>IF(A38="","",SUMIFS(Master_Log!$L$2:$L$101, Master_Log!$A$2:$A$101, A38, Master_Log!$F$2:$F$101, "CAYm1"))</f>
        <v/>
      </c>
      <c r="C38">
        <f>IF(B38="","",MIN(5,B38))</f>
        <v/>
      </c>
      <c r="D38">
        <f>IF(A38="","",SUMIFS(Master_Log!$L$2:$L$101, Master_Log!$A$2:$A$101, A38, Master_Log!$F$2:$F$101, "CAYm2"))</f>
        <v/>
      </c>
      <c r="E38">
        <f>IF(D38="","",MIN(5,D38))</f>
        <v/>
      </c>
      <c r="F38">
        <f>IF(A38="","",SUMIFS(Master_Log!$L$2:$L$101, Master_Log!$A$2:$A$101, A38, Master_Log!$F$2:$F$101, "CAYm3"))</f>
        <v/>
      </c>
      <c r="G38">
        <f>IF(F38="","",MIN(5,F38))</f>
        <v/>
      </c>
    </row>
    <row r="39">
      <c r="B39">
        <f>IF(A39="","",SUMIFS(Master_Log!$L$2:$L$101, Master_Log!$A$2:$A$101, A39, Master_Log!$F$2:$F$101, "CAYm1"))</f>
        <v/>
      </c>
      <c r="C39">
        <f>IF(B39="","",MIN(5,B39))</f>
        <v/>
      </c>
      <c r="D39">
        <f>IF(A39="","",SUMIFS(Master_Log!$L$2:$L$101, Master_Log!$A$2:$A$101, A39, Master_Log!$F$2:$F$101, "CAYm2"))</f>
        <v/>
      </c>
      <c r="E39">
        <f>IF(D39="","",MIN(5,D39))</f>
        <v/>
      </c>
      <c r="F39">
        <f>IF(A39="","",SUMIFS(Master_Log!$L$2:$L$101, Master_Log!$A$2:$A$101, A39, Master_Log!$F$2:$F$101, "CAYm3"))</f>
        <v/>
      </c>
      <c r="G39">
        <f>IF(F39="","",MIN(5,F39))</f>
        <v/>
      </c>
    </row>
    <row r="40">
      <c r="B40">
        <f>IF(A40="","",SUMIFS(Master_Log!$L$2:$L$101, Master_Log!$A$2:$A$101, A40, Master_Log!$F$2:$F$101, "CAYm1"))</f>
        <v/>
      </c>
      <c r="C40">
        <f>IF(B40="","",MIN(5,B40))</f>
        <v/>
      </c>
      <c r="D40">
        <f>IF(A40="","",SUMIFS(Master_Log!$L$2:$L$101, Master_Log!$A$2:$A$101, A40, Master_Log!$F$2:$F$101, "CAYm2"))</f>
        <v/>
      </c>
      <c r="E40">
        <f>IF(D40="","",MIN(5,D40))</f>
        <v/>
      </c>
      <c r="F40">
        <f>IF(A40="","",SUMIFS(Master_Log!$L$2:$L$101, Master_Log!$A$2:$A$101, A40, Master_Log!$F$2:$F$101, "CAYm3"))</f>
        <v/>
      </c>
      <c r="G40">
        <f>IF(F40="","",MIN(5,F40))</f>
        <v/>
      </c>
    </row>
    <row r="41">
      <c r="B41">
        <f>IF(A41="","",SUMIFS(Master_Log!$L$2:$L$101, Master_Log!$A$2:$A$101, A41, Master_Log!$F$2:$F$101, "CAYm1"))</f>
        <v/>
      </c>
      <c r="C41">
        <f>IF(B41="","",MIN(5,B41))</f>
        <v/>
      </c>
      <c r="D41">
        <f>IF(A41="","",SUMIFS(Master_Log!$L$2:$L$101, Master_Log!$A$2:$A$101, A41, Master_Log!$F$2:$F$101, "CAYm2"))</f>
        <v/>
      </c>
      <c r="E41">
        <f>IF(D41="","",MIN(5,D41))</f>
        <v/>
      </c>
      <c r="F41">
        <f>IF(A41="","",SUMIFS(Master_Log!$L$2:$L$101, Master_Log!$A$2:$A$101, A41, Master_Log!$F$2:$F$101, "CAYm3"))</f>
        <v/>
      </c>
      <c r="G41">
        <f>IF(F41="","",MIN(5,F41))</f>
        <v/>
      </c>
    </row>
    <row r="42">
      <c r="B42">
        <f>IF(A42="","",SUMIFS(Master_Log!$L$2:$L$101, Master_Log!$A$2:$A$101, A42, Master_Log!$F$2:$F$101, "CAYm1"))</f>
        <v/>
      </c>
      <c r="C42">
        <f>IF(B42="","",MIN(5,B42))</f>
        <v/>
      </c>
      <c r="D42">
        <f>IF(A42="","",SUMIFS(Master_Log!$L$2:$L$101, Master_Log!$A$2:$A$101, A42, Master_Log!$F$2:$F$101, "CAYm2"))</f>
        <v/>
      </c>
      <c r="E42">
        <f>IF(D42="","",MIN(5,D42))</f>
        <v/>
      </c>
      <c r="F42">
        <f>IF(A42="","",SUMIFS(Master_Log!$L$2:$L$101, Master_Log!$A$2:$A$101, A42, Master_Log!$F$2:$F$101, "CAYm3"))</f>
        <v/>
      </c>
      <c r="G42">
        <f>IF(F42="","",MIN(5,F42))</f>
        <v/>
      </c>
    </row>
    <row r="43">
      <c r="B43">
        <f>IF(A43="","",SUMIFS(Master_Log!$L$2:$L$101, Master_Log!$A$2:$A$101, A43, Master_Log!$F$2:$F$101, "CAYm1"))</f>
        <v/>
      </c>
      <c r="C43">
        <f>IF(B43="","",MIN(5,B43))</f>
        <v/>
      </c>
      <c r="D43">
        <f>IF(A43="","",SUMIFS(Master_Log!$L$2:$L$101, Master_Log!$A$2:$A$101, A43, Master_Log!$F$2:$F$101, "CAYm2"))</f>
        <v/>
      </c>
      <c r="E43">
        <f>IF(D43="","",MIN(5,D43))</f>
        <v/>
      </c>
      <c r="F43">
        <f>IF(A43="","",SUMIFS(Master_Log!$L$2:$L$101, Master_Log!$A$2:$A$101, A43, Master_Log!$F$2:$F$101, "CAYm3"))</f>
        <v/>
      </c>
      <c r="G43">
        <f>IF(F43="","",MIN(5,F43))</f>
        <v/>
      </c>
    </row>
    <row r="44">
      <c r="B44">
        <f>IF(A44="","",SUMIFS(Master_Log!$L$2:$L$101, Master_Log!$A$2:$A$101, A44, Master_Log!$F$2:$F$101, "CAYm1"))</f>
        <v/>
      </c>
      <c r="C44">
        <f>IF(B44="","",MIN(5,B44))</f>
        <v/>
      </c>
      <c r="D44">
        <f>IF(A44="","",SUMIFS(Master_Log!$L$2:$L$101, Master_Log!$A$2:$A$101, A44, Master_Log!$F$2:$F$101, "CAYm2"))</f>
        <v/>
      </c>
      <c r="E44">
        <f>IF(D44="","",MIN(5,D44))</f>
        <v/>
      </c>
      <c r="F44">
        <f>IF(A44="","",SUMIFS(Master_Log!$L$2:$L$101, Master_Log!$A$2:$A$101, A44, Master_Log!$F$2:$F$101, "CAYm3"))</f>
        <v/>
      </c>
      <c r="G44">
        <f>IF(F44="","",MIN(5,F44))</f>
        <v/>
      </c>
    </row>
    <row r="45">
      <c r="B45">
        <f>IF(A45="","",SUMIFS(Master_Log!$L$2:$L$101, Master_Log!$A$2:$A$101, A45, Master_Log!$F$2:$F$101, "CAYm1"))</f>
        <v/>
      </c>
      <c r="C45">
        <f>IF(B45="","",MIN(5,B45))</f>
        <v/>
      </c>
      <c r="D45">
        <f>IF(A45="","",SUMIFS(Master_Log!$L$2:$L$101, Master_Log!$A$2:$A$101, A45, Master_Log!$F$2:$F$101, "CAYm2"))</f>
        <v/>
      </c>
      <c r="E45">
        <f>IF(D45="","",MIN(5,D45))</f>
        <v/>
      </c>
      <c r="F45">
        <f>IF(A45="","",SUMIFS(Master_Log!$L$2:$L$101, Master_Log!$A$2:$A$101, A45, Master_Log!$F$2:$F$101, "CAYm3"))</f>
        <v/>
      </c>
      <c r="G45">
        <f>IF(F45="","",MIN(5,F45))</f>
        <v/>
      </c>
    </row>
    <row r="46">
      <c r="B46">
        <f>IF(A46="","",SUMIFS(Master_Log!$L$2:$L$101, Master_Log!$A$2:$A$101, A46, Master_Log!$F$2:$F$101, "CAYm1"))</f>
        <v/>
      </c>
      <c r="C46">
        <f>IF(B46="","",MIN(5,B46))</f>
        <v/>
      </c>
      <c r="D46">
        <f>IF(A46="","",SUMIFS(Master_Log!$L$2:$L$101, Master_Log!$A$2:$A$101, A46, Master_Log!$F$2:$F$101, "CAYm2"))</f>
        <v/>
      </c>
      <c r="E46">
        <f>IF(D46="","",MIN(5,D46))</f>
        <v/>
      </c>
      <c r="F46">
        <f>IF(A46="","",SUMIFS(Master_Log!$L$2:$L$101, Master_Log!$A$2:$A$101, A46, Master_Log!$F$2:$F$101, "CAYm3"))</f>
        <v/>
      </c>
      <c r="G46">
        <f>IF(F46="","",MIN(5,F46))</f>
        <v/>
      </c>
    </row>
    <row r="47">
      <c r="B47">
        <f>IF(A47="","",SUMIFS(Master_Log!$L$2:$L$101, Master_Log!$A$2:$A$101, A47, Master_Log!$F$2:$F$101, "CAYm1"))</f>
        <v/>
      </c>
      <c r="C47">
        <f>IF(B47="","",MIN(5,B47))</f>
        <v/>
      </c>
      <c r="D47">
        <f>IF(A47="","",SUMIFS(Master_Log!$L$2:$L$101, Master_Log!$A$2:$A$101, A47, Master_Log!$F$2:$F$101, "CAYm2"))</f>
        <v/>
      </c>
      <c r="E47">
        <f>IF(D47="","",MIN(5,D47))</f>
        <v/>
      </c>
      <c r="F47">
        <f>IF(A47="","",SUMIFS(Master_Log!$L$2:$L$101, Master_Log!$A$2:$A$101, A47, Master_Log!$F$2:$F$101, "CAYm3"))</f>
        <v/>
      </c>
      <c r="G47">
        <f>IF(F47="","",MIN(5,F47))</f>
        <v/>
      </c>
    </row>
    <row r="48">
      <c r="B48">
        <f>IF(A48="","",SUMIFS(Master_Log!$L$2:$L$101, Master_Log!$A$2:$A$101, A48, Master_Log!$F$2:$F$101, "CAYm1"))</f>
        <v/>
      </c>
      <c r="C48">
        <f>IF(B48="","",MIN(5,B48))</f>
        <v/>
      </c>
      <c r="D48">
        <f>IF(A48="","",SUMIFS(Master_Log!$L$2:$L$101, Master_Log!$A$2:$A$101, A48, Master_Log!$F$2:$F$101, "CAYm2"))</f>
        <v/>
      </c>
      <c r="E48">
        <f>IF(D48="","",MIN(5,D48))</f>
        <v/>
      </c>
      <c r="F48">
        <f>IF(A48="","",SUMIFS(Master_Log!$L$2:$L$101, Master_Log!$A$2:$A$101, A48, Master_Log!$F$2:$F$101, "CAYm3"))</f>
        <v/>
      </c>
      <c r="G48">
        <f>IF(F48="","",MIN(5,F48))</f>
        <v/>
      </c>
    </row>
    <row r="49">
      <c r="B49">
        <f>IF(A49="","",SUMIFS(Master_Log!$L$2:$L$101, Master_Log!$A$2:$A$101, A49, Master_Log!$F$2:$F$101, "CAYm1"))</f>
        <v/>
      </c>
      <c r="C49">
        <f>IF(B49="","",MIN(5,B49))</f>
        <v/>
      </c>
      <c r="D49">
        <f>IF(A49="","",SUMIFS(Master_Log!$L$2:$L$101, Master_Log!$A$2:$A$101, A49, Master_Log!$F$2:$F$101, "CAYm2"))</f>
        <v/>
      </c>
      <c r="E49">
        <f>IF(D49="","",MIN(5,D49))</f>
        <v/>
      </c>
      <c r="F49">
        <f>IF(A49="","",SUMIFS(Master_Log!$L$2:$L$101, Master_Log!$A$2:$A$101, A49, Master_Log!$F$2:$F$101, "CAYm3"))</f>
        <v/>
      </c>
      <c r="G49">
        <f>IF(F49="","",MIN(5,F49))</f>
        <v/>
      </c>
    </row>
    <row r="50">
      <c r="B50">
        <f>IF(A50="","",SUMIFS(Master_Log!$L$2:$L$101, Master_Log!$A$2:$A$101, A50, Master_Log!$F$2:$F$101, "CAYm1"))</f>
        <v/>
      </c>
      <c r="C50">
        <f>IF(B50="","",MIN(5,B50))</f>
        <v/>
      </c>
      <c r="D50">
        <f>IF(A50="","",SUMIFS(Master_Log!$L$2:$L$101, Master_Log!$A$2:$A$101, A50, Master_Log!$F$2:$F$101, "CAYm2"))</f>
        <v/>
      </c>
      <c r="E50">
        <f>IF(D50="","",MIN(5,D50))</f>
        <v/>
      </c>
      <c r="F50">
        <f>IF(A50="","",SUMIFS(Master_Log!$L$2:$L$101, Master_Log!$A$2:$A$101, A50, Master_Log!$F$2:$F$101, "CAYm3"))</f>
        <v/>
      </c>
      <c r="G50">
        <f>IF(F50="","",MIN(5,F50))</f>
        <v/>
      </c>
    </row>
    <row r="51">
      <c r="B51">
        <f>IF(A51="","",SUMIFS(Master_Log!$L$2:$L$101, Master_Log!$A$2:$A$101, A51, Master_Log!$F$2:$F$101, "CAYm1"))</f>
        <v/>
      </c>
      <c r="C51">
        <f>IF(B51="","",MIN(5,B51))</f>
        <v/>
      </c>
      <c r="D51">
        <f>IF(A51="","",SUMIFS(Master_Log!$L$2:$L$101, Master_Log!$A$2:$A$101, A51, Master_Log!$F$2:$F$101, "CAYm2"))</f>
        <v/>
      </c>
      <c r="E51">
        <f>IF(D51="","",MIN(5,D51))</f>
        <v/>
      </c>
      <c r="F51">
        <f>IF(A51="","",SUMIFS(Master_Log!$L$2:$L$101, Master_Log!$A$2:$A$101, A51, Master_Log!$F$2:$F$101, "CAYm3"))</f>
        <v/>
      </c>
      <c r="G51">
        <f>IF(F51="","",MIN(5,F51))</f>
        <v/>
      </c>
    </row>
    <row r="52">
      <c r="B52">
        <f>IF(A52="","",SUMIFS(Master_Log!$L$2:$L$101, Master_Log!$A$2:$A$101, A52, Master_Log!$F$2:$F$101, "CAYm1"))</f>
        <v/>
      </c>
      <c r="C52">
        <f>IF(B52="","",MIN(5,B52))</f>
        <v/>
      </c>
      <c r="D52">
        <f>IF(A52="","",SUMIFS(Master_Log!$L$2:$L$101, Master_Log!$A$2:$A$101, A52, Master_Log!$F$2:$F$101, "CAYm2"))</f>
        <v/>
      </c>
      <c r="E52">
        <f>IF(D52="","",MIN(5,D52))</f>
        <v/>
      </c>
      <c r="F52">
        <f>IF(A52="","",SUMIFS(Master_Log!$L$2:$L$101, Master_Log!$A$2:$A$101, A52, Master_Log!$F$2:$F$101, "CAYm3"))</f>
        <v/>
      </c>
      <c r="G52">
        <f>IF(F52="","",MIN(5,F52))</f>
        <v/>
      </c>
    </row>
    <row r="53">
      <c r="B53">
        <f>IF(A53="","",SUMIFS(Master_Log!$L$2:$L$101, Master_Log!$A$2:$A$101, A53, Master_Log!$F$2:$F$101, "CAYm1"))</f>
        <v/>
      </c>
      <c r="C53">
        <f>IF(B53="","",MIN(5,B53))</f>
        <v/>
      </c>
      <c r="D53">
        <f>IF(A53="","",SUMIFS(Master_Log!$L$2:$L$101, Master_Log!$A$2:$A$101, A53, Master_Log!$F$2:$F$101, "CAYm2"))</f>
        <v/>
      </c>
      <c r="E53">
        <f>IF(D53="","",MIN(5,D53))</f>
        <v/>
      </c>
      <c r="F53">
        <f>IF(A53="","",SUMIFS(Master_Log!$L$2:$L$101, Master_Log!$A$2:$A$101, A53, Master_Log!$F$2:$F$101, "CAYm3"))</f>
        <v/>
      </c>
      <c r="G53">
        <f>IF(F53="","",MIN(5,F53))</f>
        <v/>
      </c>
    </row>
    <row r="54">
      <c r="B54">
        <f>IF(A54="","",SUMIFS(Master_Log!$L$2:$L$101, Master_Log!$A$2:$A$101, A54, Master_Log!$F$2:$F$101, "CAYm1"))</f>
        <v/>
      </c>
      <c r="C54">
        <f>IF(B54="","",MIN(5,B54))</f>
        <v/>
      </c>
      <c r="D54">
        <f>IF(A54="","",SUMIFS(Master_Log!$L$2:$L$101, Master_Log!$A$2:$A$101, A54, Master_Log!$F$2:$F$101, "CAYm2"))</f>
        <v/>
      </c>
      <c r="E54">
        <f>IF(D54="","",MIN(5,D54))</f>
        <v/>
      </c>
      <c r="F54">
        <f>IF(A54="","",SUMIFS(Master_Log!$L$2:$L$101, Master_Log!$A$2:$A$101, A54, Master_Log!$F$2:$F$101, "CAYm3"))</f>
        <v/>
      </c>
      <c r="G54">
        <f>IF(F54="","",MIN(5,F54))</f>
        <v/>
      </c>
    </row>
    <row r="55">
      <c r="B55">
        <f>IF(A55="","",SUMIFS(Master_Log!$L$2:$L$101, Master_Log!$A$2:$A$101, A55, Master_Log!$F$2:$F$101, "CAYm1"))</f>
        <v/>
      </c>
      <c r="C55">
        <f>IF(B55="","",MIN(5,B55))</f>
        <v/>
      </c>
      <c r="D55">
        <f>IF(A55="","",SUMIFS(Master_Log!$L$2:$L$101, Master_Log!$A$2:$A$101, A55, Master_Log!$F$2:$F$101, "CAYm2"))</f>
        <v/>
      </c>
      <c r="E55">
        <f>IF(D55="","",MIN(5,D55))</f>
        <v/>
      </c>
      <c r="F55">
        <f>IF(A55="","",SUMIFS(Master_Log!$L$2:$L$101, Master_Log!$A$2:$A$101, A55, Master_Log!$F$2:$F$101, "CAYm3"))</f>
        <v/>
      </c>
      <c r="G55">
        <f>IF(F55="","",MIN(5,F55))</f>
        <v/>
      </c>
    </row>
    <row r="56">
      <c r="B56">
        <f>IF(A56="","",SUMIFS(Master_Log!$L$2:$L$101, Master_Log!$A$2:$A$101, A56, Master_Log!$F$2:$F$101, "CAYm1"))</f>
        <v/>
      </c>
      <c r="C56">
        <f>IF(B56="","",MIN(5,B56))</f>
        <v/>
      </c>
      <c r="D56">
        <f>IF(A56="","",SUMIFS(Master_Log!$L$2:$L$101, Master_Log!$A$2:$A$101, A56, Master_Log!$F$2:$F$101, "CAYm2"))</f>
        <v/>
      </c>
      <c r="E56">
        <f>IF(D56="","",MIN(5,D56))</f>
        <v/>
      </c>
      <c r="F56">
        <f>IF(A56="","",SUMIFS(Master_Log!$L$2:$L$101, Master_Log!$A$2:$A$101, A56, Master_Log!$F$2:$F$101, "CAYm3"))</f>
        <v/>
      </c>
      <c r="G56">
        <f>IF(F56="","",MIN(5,F56))</f>
        <v/>
      </c>
    </row>
    <row r="57">
      <c r="B57">
        <f>IF(A57="","",SUMIFS(Master_Log!$L$2:$L$101, Master_Log!$A$2:$A$101, A57, Master_Log!$F$2:$F$101, "CAYm1"))</f>
        <v/>
      </c>
      <c r="C57">
        <f>IF(B57="","",MIN(5,B57))</f>
        <v/>
      </c>
      <c r="D57">
        <f>IF(A57="","",SUMIFS(Master_Log!$L$2:$L$101, Master_Log!$A$2:$A$101, A57, Master_Log!$F$2:$F$101, "CAYm2"))</f>
        <v/>
      </c>
      <c r="E57">
        <f>IF(D57="","",MIN(5,D57))</f>
        <v/>
      </c>
      <c r="F57">
        <f>IF(A57="","",SUMIFS(Master_Log!$L$2:$L$101, Master_Log!$A$2:$A$101, A57, Master_Log!$F$2:$F$101, "CAYm3"))</f>
        <v/>
      </c>
      <c r="G57">
        <f>IF(F57="","",MIN(5,F57))</f>
        <v/>
      </c>
    </row>
    <row r="58">
      <c r="B58">
        <f>IF(A58="","",SUMIFS(Master_Log!$L$2:$L$101, Master_Log!$A$2:$A$101, A58, Master_Log!$F$2:$F$101, "CAYm1"))</f>
        <v/>
      </c>
      <c r="C58">
        <f>IF(B58="","",MIN(5,B58))</f>
        <v/>
      </c>
      <c r="D58">
        <f>IF(A58="","",SUMIFS(Master_Log!$L$2:$L$101, Master_Log!$A$2:$A$101, A58, Master_Log!$F$2:$F$101, "CAYm2"))</f>
        <v/>
      </c>
      <c r="E58">
        <f>IF(D58="","",MIN(5,D58))</f>
        <v/>
      </c>
      <c r="F58">
        <f>IF(A58="","",SUMIFS(Master_Log!$L$2:$L$101, Master_Log!$A$2:$A$101, A58, Master_Log!$F$2:$F$101, "CAYm3"))</f>
        <v/>
      </c>
      <c r="G58">
        <f>IF(F58="","",MIN(5,F58))</f>
        <v/>
      </c>
    </row>
    <row r="59">
      <c r="B59">
        <f>IF(A59="","",SUMIFS(Master_Log!$L$2:$L$101, Master_Log!$A$2:$A$101, A59, Master_Log!$F$2:$F$101, "CAYm1"))</f>
        <v/>
      </c>
      <c r="C59">
        <f>IF(B59="","",MIN(5,B59))</f>
        <v/>
      </c>
      <c r="D59">
        <f>IF(A59="","",SUMIFS(Master_Log!$L$2:$L$101, Master_Log!$A$2:$A$101, A59, Master_Log!$F$2:$F$101, "CAYm2"))</f>
        <v/>
      </c>
      <c r="E59">
        <f>IF(D59="","",MIN(5,D59))</f>
        <v/>
      </c>
      <c r="F59">
        <f>IF(A59="","",SUMIFS(Master_Log!$L$2:$L$101, Master_Log!$A$2:$A$101, A59, Master_Log!$F$2:$F$101, "CAYm3"))</f>
        <v/>
      </c>
      <c r="G59">
        <f>IF(F59="","",MIN(5,F59))</f>
        <v/>
      </c>
    </row>
    <row r="60">
      <c r="B60">
        <f>IF(A60="","",SUMIFS(Master_Log!$L$2:$L$101, Master_Log!$A$2:$A$101, A60, Master_Log!$F$2:$F$101, "CAYm1"))</f>
        <v/>
      </c>
      <c r="C60">
        <f>IF(B60="","",MIN(5,B60))</f>
        <v/>
      </c>
      <c r="D60">
        <f>IF(A60="","",SUMIFS(Master_Log!$L$2:$L$101, Master_Log!$A$2:$A$101, A60, Master_Log!$F$2:$F$101, "CAYm2"))</f>
        <v/>
      </c>
      <c r="E60">
        <f>IF(D60="","",MIN(5,D60))</f>
        <v/>
      </c>
      <c r="F60">
        <f>IF(A60="","",SUMIFS(Master_Log!$L$2:$L$101, Master_Log!$A$2:$A$101, A60, Master_Log!$F$2:$F$101, "CAYm3"))</f>
        <v/>
      </c>
      <c r="G60">
        <f>IF(F60="","",MIN(5,F60))</f>
        <v/>
      </c>
    </row>
    <row r="61">
      <c r="B61">
        <f>IF(A61="","",SUMIFS(Master_Log!$L$2:$L$101, Master_Log!$A$2:$A$101, A61, Master_Log!$F$2:$F$101, "CAYm1"))</f>
        <v/>
      </c>
      <c r="C61">
        <f>IF(B61="","",MIN(5,B61))</f>
        <v/>
      </c>
      <c r="D61">
        <f>IF(A61="","",SUMIFS(Master_Log!$L$2:$L$101, Master_Log!$A$2:$A$101, A61, Master_Log!$F$2:$F$101, "CAYm2"))</f>
        <v/>
      </c>
      <c r="E61">
        <f>IF(D61="","",MIN(5,D61))</f>
        <v/>
      </c>
      <c r="F61">
        <f>IF(A61="","",SUMIFS(Master_Log!$L$2:$L$101, Master_Log!$A$2:$A$101, A61, Master_Log!$F$2:$F$101, "CAYm3"))</f>
        <v/>
      </c>
      <c r="G61">
        <f>IF(F61="","",MIN(5,F61))</f>
        <v/>
      </c>
    </row>
    <row r="62">
      <c r="B62">
        <f>IF(A62="","",SUMIFS(Master_Log!$L$2:$L$101, Master_Log!$A$2:$A$101, A62, Master_Log!$F$2:$F$101, "CAYm1"))</f>
        <v/>
      </c>
      <c r="C62">
        <f>IF(B62="","",MIN(5,B62))</f>
        <v/>
      </c>
      <c r="D62">
        <f>IF(A62="","",SUMIFS(Master_Log!$L$2:$L$101, Master_Log!$A$2:$A$101, A62, Master_Log!$F$2:$F$101, "CAYm2"))</f>
        <v/>
      </c>
      <c r="E62">
        <f>IF(D62="","",MIN(5,D62))</f>
        <v/>
      </c>
      <c r="F62">
        <f>IF(A62="","",SUMIFS(Master_Log!$L$2:$L$101, Master_Log!$A$2:$A$101, A62, Master_Log!$F$2:$F$101, "CAYm3"))</f>
        <v/>
      </c>
      <c r="G62">
        <f>IF(F62="","",MIN(5,F62))</f>
        <v/>
      </c>
    </row>
    <row r="63">
      <c r="B63">
        <f>IF(A63="","",SUMIFS(Master_Log!$L$2:$L$101, Master_Log!$A$2:$A$101, A63, Master_Log!$F$2:$F$101, "CAYm1"))</f>
        <v/>
      </c>
      <c r="C63">
        <f>IF(B63="","",MIN(5,B63))</f>
        <v/>
      </c>
      <c r="D63">
        <f>IF(A63="","",SUMIFS(Master_Log!$L$2:$L$101, Master_Log!$A$2:$A$101, A63, Master_Log!$F$2:$F$101, "CAYm2"))</f>
        <v/>
      </c>
      <c r="E63">
        <f>IF(D63="","",MIN(5,D63))</f>
        <v/>
      </c>
      <c r="F63">
        <f>IF(A63="","",SUMIFS(Master_Log!$L$2:$L$101, Master_Log!$A$2:$A$101, A63, Master_Log!$F$2:$F$101, "CAYm3"))</f>
        <v/>
      </c>
      <c r="G63">
        <f>IF(F63="","",MIN(5,F63))</f>
        <v/>
      </c>
    </row>
    <row r="64">
      <c r="B64">
        <f>IF(A64="","",SUMIFS(Master_Log!$L$2:$L$101, Master_Log!$A$2:$A$101, A64, Master_Log!$F$2:$F$101, "CAYm1"))</f>
        <v/>
      </c>
      <c r="C64">
        <f>IF(B64="","",MIN(5,B64))</f>
        <v/>
      </c>
      <c r="D64">
        <f>IF(A64="","",SUMIFS(Master_Log!$L$2:$L$101, Master_Log!$A$2:$A$101, A64, Master_Log!$F$2:$F$101, "CAYm2"))</f>
        <v/>
      </c>
      <c r="E64">
        <f>IF(D64="","",MIN(5,D64))</f>
        <v/>
      </c>
      <c r="F64">
        <f>IF(A64="","",SUMIFS(Master_Log!$L$2:$L$101, Master_Log!$A$2:$A$101, A64, Master_Log!$F$2:$F$101, "CAYm3"))</f>
        <v/>
      </c>
      <c r="G64">
        <f>IF(F64="","",MIN(5,F64))</f>
        <v/>
      </c>
    </row>
    <row r="65">
      <c r="B65">
        <f>IF(A65="","",SUMIFS(Master_Log!$L$2:$L$101, Master_Log!$A$2:$A$101, A65, Master_Log!$F$2:$F$101, "CAYm1"))</f>
        <v/>
      </c>
      <c r="C65">
        <f>IF(B65="","",MIN(5,B65))</f>
        <v/>
      </c>
      <c r="D65">
        <f>IF(A65="","",SUMIFS(Master_Log!$L$2:$L$101, Master_Log!$A$2:$A$101, A65, Master_Log!$F$2:$F$101, "CAYm2"))</f>
        <v/>
      </c>
      <c r="E65">
        <f>IF(D65="","",MIN(5,D65))</f>
        <v/>
      </c>
      <c r="F65">
        <f>IF(A65="","",SUMIFS(Master_Log!$L$2:$L$101, Master_Log!$A$2:$A$101, A65, Master_Log!$F$2:$F$101, "CAYm3"))</f>
        <v/>
      </c>
      <c r="G65">
        <f>IF(F65="","",MIN(5,F65))</f>
        <v/>
      </c>
    </row>
    <row r="66">
      <c r="B66">
        <f>IF(A66="","",SUMIFS(Master_Log!$L$2:$L$101, Master_Log!$A$2:$A$101, A66, Master_Log!$F$2:$F$101, "CAYm1"))</f>
        <v/>
      </c>
      <c r="C66">
        <f>IF(B66="","",MIN(5,B66))</f>
        <v/>
      </c>
      <c r="D66">
        <f>IF(A66="","",SUMIFS(Master_Log!$L$2:$L$101, Master_Log!$A$2:$A$101, A66, Master_Log!$F$2:$F$101, "CAYm2"))</f>
        <v/>
      </c>
      <c r="E66">
        <f>IF(D66="","",MIN(5,D66))</f>
        <v/>
      </c>
      <c r="F66">
        <f>IF(A66="","",SUMIFS(Master_Log!$L$2:$L$101, Master_Log!$A$2:$A$101, A66, Master_Log!$F$2:$F$101, "CAYm3"))</f>
        <v/>
      </c>
      <c r="G66">
        <f>IF(F66="","",MIN(5,F66))</f>
        <v/>
      </c>
    </row>
    <row r="67">
      <c r="B67">
        <f>IF(A67="","",SUMIFS(Master_Log!$L$2:$L$101, Master_Log!$A$2:$A$101, A67, Master_Log!$F$2:$F$101, "CAYm1"))</f>
        <v/>
      </c>
      <c r="C67">
        <f>IF(B67="","",MIN(5,B67))</f>
        <v/>
      </c>
      <c r="D67">
        <f>IF(A67="","",SUMIFS(Master_Log!$L$2:$L$101, Master_Log!$A$2:$A$101, A67, Master_Log!$F$2:$F$101, "CAYm2"))</f>
        <v/>
      </c>
      <c r="E67">
        <f>IF(D67="","",MIN(5,D67))</f>
        <v/>
      </c>
      <c r="F67">
        <f>IF(A67="","",SUMIFS(Master_Log!$L$2:$L$101, Master_Log!$A$2:$A$101, A67, Master_Log!$F$2:$F$101, "CAYm3"))</f>
        <v/>
      </c>
      <c r="G67">
        <f>IF(F67="","",MIN(5,F67))</f>
        <v/>
      </c>
    </row>
    <row r="68">
      <c r="B68">
        <f>IF(A68="","",SUMIFS(Master_Log!$L$2:$L$101, Master_Log!$A$2:$A$101, A68, Master_Log!$F$2:$F$101, "CAYm1"))</f>
        <v/>
      </c>
      <c r="C68">
        <f>IF(B68="","",MIN(5,B68))</f>
        <v/>
      </c>
      <c r="D68">
        <f>IF(A68="","",SUMIFS(Master_Log!$L$2:$L$101, Master_Log!$A$2:$A$101, A68, Master_Log!$F$2:$F$101, "CAYm2"))</f>
        <v/>
      </c>
      <c r="E68">
        <f>IF(D68="","",MIN(5,D68))</f>
        <v/>
      </c>
      <c r="F68">
        <f>IF(A68="","",SUMIFS(Master_Log!$L$2:$L$101, Master_Log!$A$2:$A$101, A68, Master_Log!$F$2:$F$101, "CAYm3"))</f>
        <v/>
      </c>
      <c r="G68">
        <f>IF(F68="","",MIN(5,F68))</f>
        <v/>
      </c>
    </row>
    <row r="69">
      <c r="B69">
        <f>IF(A69="","",SUMIFS(Master_Log!$L$2:$L$101, Master_Log!$A$2:$A$101, A69, Master_Log!$F$2:$F$101, "CAYm1"))</f>
        <v/>
      </c>
      <c r="C69">
        <f>IF(B69="","",MIN(5,B69))</f>
        <v/>
      </c>
      <c r="D69">
        <f>IF(A69="","",SUMIFS(Master_Log!$L$2:$L$101, Master_Log!$A$2:$A$101, A69, Master_Log!$F$2:$F$101, "CAYm2"))</f>
        <v/>
      </c>
      <c r="E69">
        <f>IF(D69="","",MIN(5,D69))</f>
        <v/>
      </c>
      <c r="F69">
        <f>IF(A69="","",SUMIFS(Master_Log!$L$2:$L$101, Master_Log!$A$2:$A$101, A69, Master_Log!$F$2:$F$101, "CAYm3"))</f>
        <v/>
      </c>
      <c r="G69">
        <f>IF(F69="","",MIN(5,F69))</f>
        <v/>
      </c>
    </row>
    <row r="70">
      <c r="B70">
        <f>IF(A70="","",SUMIFS(Master_Log!$L$2:$L$101, Master_Log!$A$2:$A$101, A70, Master_Log!$F$2:$F$101, "CAYm1"))</f>
        <v/>
      </c>
      <c r="C70">
        <f>IF(B70="","",MIN(5,B70))</f>
        <v/>
      </c>
      <c r="D70">
        <f>IF(A70="","",SUMIFS(Master_Log!$L$2:$L$101, Master_Log!$A$2:$A$101, A70, Master_Log!$F$2:$F$101, "CAYm2"))</f>
        <v/>
      </c>
      <c r="E70">
        <f>IF(D70="","",MIN(5,D70))</f>
        <v/>
      </c>
      <c r="F70">
        <f>IF(A70="","",SUMIFS(Master_Log!$L$2:$L$101, Master_Log!$A$2:$A$101, A70, Master_Log!$F$2:$F$101, "CAYm3"))</f>
        <v/>
      </c>
      <c r="G70">
        <f>IF(F70="","",MIN(5,F70))</f>
        <v/>
      </c>
    </row>
    <row r="71">
      <c r="B71">
        <f>IF(A71="","",SUMIFS(Master_Log!$L$2:$L$101, Master_Log!$A$2:$A$101, A71, Master_Log!$F$2:$F$101, "CAYm1"))</f>
        <v/>
      </c>
      <c r="C71">
        <f>IF(B71="","",MIN(5,B71))</f>
        <v/>
      </c>
      <c r="D71">
        <f>IF(A71="","",SUMIFS(Master_Log!$L$2:$L$101, Master_Log!$A$2:$A$101, A71, Master_Log!$F$2:$F$101, "CAYm2"))</f>
        <v/>
      </c>
      <c r="E71">
        <f>IF(D71="","",MIN(5,D71))</f>
        <v/>
      </c>
      <c r="F71">
        <f>IF(A71="","",SUMIFS(Master_Log!$L$2:$L$101, Master_Log!$A$2:$A$101, A71, Master_Log!$F$2:$F$101, "CAYm3"))</f>
        <v/>
      </c>
      <c r="G71">
        <f>IF(F71="","",MIN(5,F71))</f>
        <v/>
      </c>
    </row>
    <row r="72">
      <c r="B72">
        <f>IF(A72="","",SUMIFS(Master_Log!$L$2:$L$101, Master_Log!$A$2:$A$101, A72, Master_Log!$F$2:$F$101, "CAYm1"))</f>
        <v/>
      </c>
      <c r="C72">
        <f>IF(B72="","",MIN(5,B72))</f>
        <v/>
      </c>
      <c r="D72">
        <f>IF(A72="","",SUMIFS(Master_Log!$L$2:$L$101, Master_Log!$A$2:$A$101, A72, Master_Log!$F$2:$F$101, "CAYm2"))</f>
        <v/>
      </c>
      <c r="E72">
        <f>IF(D72="","",MIN(5,D72))</f>
        <v/>
      </c>
      <c r="F72">
        <f>IF(A72="","",SUMIFS(Master_Log!$L$2:$L$101, Master_Log!$A$2:$A$101, A72, Master_Log!$F$2:$F$101, "CAYm3"))</f>
        <v/>
      </c>
      <c r="G72">
        <f>IF(F72="","",MIN(5,F72))</f>
        <v/>
      </c>
    </row>
    <row r="73">
      <c r="B73">
        <f>IF(A73="","",SUMIFS(Master_Log!$L$2:$L$101, Master_Log!$A$2:$A$101, A73, Master_Log!$F$2:$F$101, "CAYm1"))</f>
        <v/>
      </c>
      <c r="C73">
        <f>IF(B73="","",MIN(5,B73))</f>
        <v/>
      </c>
      <c r="D73">
        <f>IF(A73="","",SUMIFS(Master_Log!$L$2:$L$101, Master_Log!$A$2:$A$101, A73, Master_Log!$F$2:$F$101, "CAYm2"))</f>
        <v/>
      </c>
      <c r="E73">
        <f>IF(D73="","",MIN(5,D73))</f>
        <v/>
      </c>
      <c r="F73">
        <f>IF(A73="","",SUMIFS(Master_Log!$L$2:$L$101, Master_Log!$A$2:$A$101, A73, Master_Log!$F$2:$F$101, "CAYm3"))</f>
        <v/>
      </c>
      <c r="G73">
        <f>IF(F73="","",MIN(5,F73))</f>
        <v/>
      </c>
    </row>
    <row r="74">
      <c r="B74">
        <f>IF(A74="","",SUMIFS(Master_Log!$L$2:$L$101, Master_Log!$A$2:$A$101, A74, Master_Log!$F$2:$F$101, "CAYm1"))</f>
        <v/>
      </c>
      <c r="C74">
        <f>IF(B74="","",MIN(5,B74))</f>
        <v/>
      </c>
      <c r="D74">
        <f>IF(A74="","",SUMIFS(Master_Log!$L$2:$L$101, Master_Log!$A$2:$A$101, A74, Master_Log!$F$2:$F$101, "CAYm2"))</f>
        <v/>
      </c>
      <c r="E74">
        <f>IF(D74="","",MIN(5,D74))</f>
        <v/>
      </c>
      <c r="F74">
        <f>IF(A74="","",SUMIFS(Master_Log!$L$2:$L$101, Master_Log!$A$2:$A$101, A74, Master_Log!$F$2:$F$101, "CAYm3"))</f>
        <v/>
      </c>
      <c r="G74">
        <f>IF(F74="","",MIN(5,F74))</f>
        <v/>
      </c>
    </row>
    <row r="75">
      <c r="B75">
        <f>IF(A75="","",SUMIFS(Master_Log!$L$2:$L$101, Master_Log!$A$2:$A$101, A75, Master_Log!$F$2:$F$101, "CAYm1"))</f>
        <v/>
      </c>
      <c r="C75">
        <f>IF(B75="","",MIN(5,B75))</f>
        <v/>
      </c>
      <c r="D75">
        <f>IF(A75="","",SUMIFS(Master_Log!$L$2:$L$101, Master_Log!$A$2:$A$101, A75, Master_Log!$F$2:$F$101, "CAYm2"))</f>
        <v/>
      </c>
      <c r="E75">
        <f>IF(D75="","",MIN(5,D75))</f>
        <v/>
      </c>
      <c r="F75">
        <f>IF(A75="","",SUMIFS(Master_Log!$L$2:$L$101, Master_Log!$A$2:$A$101, A75, Master_Log!$F$2:$F$101, "CAYm3"))</f>
        <v/>
      </c>
      <c r="G75">
        <f>IF(F75="","",MIN(5,F75))</f>
        <v/>
      </c>
    </row>
    <row r="76">
      <c r="B76">
        <f>IF(A76="","",SUMIFS(Master_Log!$L$2:$L$101, Master_Log!$A$2:$A$101, A76, Master_Log!$F$2:$F$101, "CAYm1"))</f>
        <v/>
      </c>
      <c r="C76">
        <f>IF(B76="","",MIN(5,B76))</f>
        <v/>
      </c>
      <c r="D76">
        <f>IF(A76="","",SUMIFS(Master_Log!$L$2:$L$101, Master_Log!$A$2:$A$101, A76, Master_Log!$F$2:$F$101, "CAYm2"))</f>
        <v/>
      </c>
      <c r="E76">
        <f>IF(D76="","",MIN(5,D76))</f>
        <v/>
      </c>
      <c r="F76">
        <f>IF(A76="","",SUMIFS(Master_Log!$L$2:$L$101, Master_Log!$A$2:$A$101, A76, Master_Log!$F$2:$F$101, "CAYm3"))</f>
        <v/>
      </c>
      <c r="G76">
        <f>IF(F76="","",MIN(5,F76))</f>
        <v/>
      </c>
    </row>
    <row r="77">
      <c r="B77">
        <f>IF(A77="","",SUMIFS(Master_Log!$L$2:$L$101, Master_Log!$A$2:$A$101, A77, Master_Log!$F$2:$F$101, "CAYm1"))</f>
        <v/>
      </c>
      <c r="C77">
        <f>IF(B77="","",MIN(5,B77))</f>
        <v/>
      </c>
      <c r="D77">
        <f>IF(A77="","",SUMIFS(Master_Log!$L$2:$L$101, Master_Log!$A$2:$A$101, A77, Master_Log!$F$2:$F$101, "CAYm2"))</f>
        <v/>
      </c>
      <c r="E77">
        <f>IF(D77="","",MIN(5,D77))</f>
        <v/>
      </c>
      <c r="F77">
        <f>IF(A77="","",SUMIFS(Master_Log!$L$2:$L$101, Master_Log!$A$2:$A$101, A77, Master_Log!$F$2:$F$101, "CAYm3"))</f>
        <v/>
      </c>
      <c r="G77">
        <f>IF(F77="","",MIN(5,F77))</f>
        <v/>
      </c>
    </row>
    <row r="78">
      <c r="B78">
        <f>IF(A78="","",SUMIFS(Master_Log!$L$2:$L$101, Master_Log!$A$2:$A$101, A78, Master_Log!$F$2:$F$101, "CAYm1"))</f>
        <v/>
      </c>
      <c r="C78">
        <f>IF(B78="","",MIN(5,B78))</f>
        <v/>
      </c>
      <c r="D78">
        <f>IF(A78="","",SUMIFS(Master_Log!$L$2:$L$101, Master_Log!$A$2:$A$101, A78, Master_Log!$F$2:$F$101, "CAYm2"))</f>
        <v/>
      </c>
      <c r="E78">
        <f>IF(D78="","",MIN(5,D78))</f>
        <v/>
      </c>
      <c r="F78">
        <f>IF(A78="","",SUMIFS(Master_Log!$L$2:$L$101, Master_Log!$A$2:$A$101, A78, Master_Log!$F$2:$F$101, "CAYm3"))</f>
        <v/>
      </c>
      <c r="G78">
        <f>IF(F78="","",MIN(5,F78))</f>
        <v/>
      </c>
    </row>
    <row r="79">
      <c r="B79">
        <f>IF(A79="","",SUMIFS(Master_Log!$L$2:$L$101, Master_Log!$A$2:$A$101, A79, Master_Log!$F$2:$F$101, "CAYm1"))</f>
        <v/>
      </c>
      <c r="C79">
        <f>IF(B79="","",MIN(5,B79))</f>
        <v/>
      </c>
      <c r="D79">
        <f>IF(A79="","",SUMIFS(Master_Log!$L$2:$L$101, Master_Log!$A$2:$A$101, A79, Master_Log!$F$2:$F$101, "CAYm2"))</f>
        <v/>
      </c>
      <c r="E79">
        <f>IF(D79="","",MIN(5,D79))</f>
        <v/>
      </c>
      <c r="F79">
        <f>IF(A79="","",SUMIFS(Master_Log!$L$2:$L$101, Master_Log!$A$2:$A$101, A79, Master_Log!$F$2:$F$101, "CAYm3"))</f>
        <v/>
      </c>
      <c r="G79">
        <f>IF(F79="","",MIN(5,F79))</f>
        <v/>
      </c>
    </row>
    <row r="80">
      <c r="B80">
        <f>IF(A80="","",SUMIFS(Master_Log!$L$2:$L$101, Master_Log!$A$2:$A$101, A80, Master_Log!$F$2:$F$101, "CAYm1"))</f>
        <v/>
      </c>
      <c r="C80">
        <f>IF(B80="","",MIN(5,B80))</f>
        <v/>
      </c>
      <c r="D80">
        <f>IF(A80="","",SUMIFS(Master_Log!$L$2:$L$101, Master_Log!$A$2:$A$101, A80, Master_Log!$F$2:$F$101, "CAYm2"))</f>
        <v/>
      </c>
      <c r="E80">
        <f>IF(D80="","",MIN(5,D80))</f>
        <v/>
      </c>
      <c r="F80">
        <f>IF(A80="","",SUMIFS(Master_Log!$L$2:$L$101, Master_Log!$A$2:$A$101, A80, Master_Log!$F$2:$F$101, "CAYm3"))</f>
        <v/>
      </c>
      <c r="G80">
        <f>IF(F80="","",MIN(5,F80))</f>
        <v/>
      </c>
    </row>
    <row r="81">
      <c r="B81">
        <f>IF(A81="","",SUMIFS(Master_Log!$L$2:$L$101, Master_Log!$A$2:$A$101, A81, Master_Log!$F$2:$F$101, "CAYm1"))</f>
        <v/>
      </c>
      <c r="C81">
        <f>IF(B81="","",MIN(5,B81))</f>
        <v/>
      </c>
      <c r="D81">
        <f>IF(A81="","",SUMIFS(Master_Log!$L$2:$L$101, Master_Log!$A$2:$A$101, A81, Master_Log!$F$2:$F$101, "CAYm2"))</f>
        <v/>
      </c>
      <c r="E81">
        <f>IF(D81="","",MIN(5,D81))</f>
        <v/>
      </c>
      <c r="F81">
        <f>IF(A81="","",SUMIFS(Master_Log!$L$2:$L$101, Master_Log!$A$2:$A$101, A81, Master_Log!$F$2:$F$101, "CAYm3"))</f>
        <v/>
      </c>
      <c r="G81">
        <f>IF(F81="","",MIN(5,F81))</f>
        <v/>
      </c>
    </row>
    <row r="82">
      <c r="B82">
        <f>IF(A82="","",SUMIFS(Master_Log!$L$2:$L$101, Master_Log!$A$2:$A$101, A82, Master_Log!$F$2:$F$101, "CAYm1"))</f>
        <v/>
      </c>
      <c r="C82">
        <f>IF(B82="","",MIN(5,B82))</f>
        <v/>
      </c>
      <c r="D82">
        <f>IF(A82="","",SUMIFS(Master_Log!$L$2:$L$101, Master_Log!$A$2:$A$101, A82, Master_Log!$F$2:$F$101, "CAYm2"))</f>
        <v/>
      </c>
      <c r="E82">
        <f>IF(D82="","",MIN(5,D82))</f>
        <v/>
      </c>
      <c r="F82">
        <f>IF(A82="","",SUMIFS(Master_Log!$L$2:$L$101, Master_Log!$A$2:$A$101, A82, Master_Log!$F$2:$F$101, "CAYm3"))</f>
        <v/>
      </c>
      <c r="G82">
        <f>IF(F82="","",MIN(5,F82))</f>
        <v/>
      </c>
    </row>
    <row r="83">
      <c r="B83">
        <f>IF(A83="","",SUMIFS(Master_Log!$L$2:$L$101, Master_Log!$A$2:$A$101, A83, Master_Log!$F$2:$F$101, "CAYm1"))</f>
        <v/>
      </c>
      <c r="C83">
        <f>IF(B83="","",MIN(5,B83))</f>
        <v/>
      </c>
      <c r="D83">
        <f>IF(A83="","",SUMIFS(Master_Log!$L$2:$L$101, Master_Log!$A$2:$A$101, A83, Master_Log!$F$2:$F$101, "CAYm2"))</f>
        <v/>
      </c>
      <c r="E83">
        <f>IF(D83="","",MIN(5,D83))</f>
        <v/>
      </c>
      <c r="F83">
        <f>IF(A83="","",SUMIFS(Master_Log!$L$2:$L$101, Master_Log!$A$2:$A$101, A83, Master_Log!$F$2:$F$101, "CAYm3"))</f>
        <v/>
      </c>
      <c r="G83">
        <f>IF(F83="","",MIN(5,F83))</f>
        <v/>
      </c>
    </row>
    <row r="84">
      <c r="B84">
        <f>IF(A84="","",SUMIFS(Master_Log!$L$2:$L$101, Master_Log!$A$2:$A$101, A84, Master_Log!$F$2:$F$101, "CAYm1"))</f>
        <v/>
      </c>
      <c r="C84">
        <f>IF(B84="","",MIN(5,B84))</f>
        <v/>
      </c>
      <c r="D84">
        <f>IF(A84="","",SUMIFS(Master_Log!$L$2:$L$101, Master_Log!$A$2:$A$101, A84, Master_Log!$F$2:$F$101, "CAYm2"))</f>
        <v/>
      </c>
      <c r="E84">
        <f>IF(D84="","",MIN(5,D84))</f>
        <v/>
      </c>
      <c r="F84">
        <f>IF(A84="","",SUMIFS(Master_Log!$L$2:$L$101, Master_Log!$A$2:$A$101, A84, Master_Log!$F$2:$F$101, "CAYm3"))</f>
        <v/>
      </c>
      <c r="G84">
        <f>IF(F84="","",MIN(5,F84))</f>
        <v/>
      </c>
    </row>
    <row r="85">
      <c r="B85">
        <f>IF(A85="","",SUMIFS(Master_Log!$L$2:$L$101, Master_Log!$A$2:$A$101, A85, Master_Log!$F$2:$F$101, "CAYm1"))</f>
        <v/>
      </c>
      <c r="C85">
        <f>IF(B85="","",MIN(5,B85))</f>
        <v/>
      </c>
      <c r="D85">
        <f>IF(A85="","",SUMIFS(Master_Log!$L$2:$L$101, Master_Log!$A$2:$A$101, A85, Master_Log!$F$2:$F$101, "CAYm2"))</f>
        <v/>
      </c>
      <c r="E85">
        <f>IF(D85="","",MIN(5,D85))</f>
        <v/>
      </c>
      <c r="F85">
        <f>IF(A85="","",SUMIFS(Master_Log!$L$2:$L$101, Master_Log!$A$2:$A$101, A85, Master_Log!$F$2:$F$101, "CAYm3"))</f>
        <v/>
      </c>
      <c r="G85">
        <f>IF(F85="","",MIN(5,F85))</f>
        <v/>
      </c>
    </row>
    <row r="86">
      <c r="B86">
        <f>IF(A86="","",SUMIFS(Master_Log!$L$2:$L$101, Master_Log!$A$2:$A$101, A86, Master_Log!$F$2:$F$101, "CAYm1"))</f>
        <v/>
      </c>
      <c r="C86">
        <f>IF(B86="","",MIN(5,B86))</f>
        <v/>
      </c>
      <c r="D86">
        <f>IF(A86="","",SUMIFS(Master_Log!$L$2:$L$101, Master_Log!$A$2:$A$101, A86, Master_Log!$F$2:$F$101, "CAYm2"))</f>
        <v/>
      </c>
      <c r="E86">
        <f>IF(D86="","",MIN(5,D86))</f>
        <v/>
      </c>
      <c r="F86">
        <f>IF(A86="","",SUMIFS(Master_Log!$L$2:$L$101, Master_Log!$A$2:$A$101, A86, Master_Log!$F$2:$F$101, "CAYm3"))</f>
        <v/>
      </c>
      <c r="G86">
        <f>IF(F86="","",MIN(5,F86))</f>
        <v/>
      </c>
    </row>
    <row r="87">
      <c r="B87">
        <f>IF(A87="","",SUMIFS(Master_Log!$L$2:$L$101, Master_Log!$A$2:$A$101, A87, Master_Log!$F$2:$F$101, "CAYm1"))</f>
        <v/>
      </c>
      <c r="C87">
        <f>IF(B87="","",MIN(5,B87))</f>
        <v/>
      </c>
      <c r="D87">
        <f>IF(A87="","",SUMIFS(Master_Log!$L$2:$L$101, Master_Log!$A$2:$A$101, A87, Master_Log!$F$2:$F$101, "CAYm2"))</f>
        <v/>
      </c>
      <c r="E87">
        <f>IF(D87="","",MIN(5,D87))</f>
        <v/>
      </c>
      <c r="F87">
        <f>IF(A87="","",SUMIFS(Master_Log!$L$2:$L$101, Master_Log!$A$2:$A$101, A87, Master_Log!$F$2:$F$101, "CAYm3"))</f>
        <v/>
      </c>
      <c r="G87">
        <f>IF(F87="","",MIN(5,F87))</f>
        <v/>
      </c>
    </row>
    <row r="88">
      <c r="B88">
        <f>IF(A88="","",SUMIFS(Master_Log!$L$2:$L$101, Master_Log!$A$2:$A$101, A88, Master_Log!$F$2:$F$101, "CAYm1"))</f>
        <v/>
      </c>
      <c r="C88">
        <f>IF(B88="","",MIN(5,B88))</f>
        <v/>
      </c>
      <c r="D88">
        <f>IF(A88="","",SUMIFS(Master_Log!$L$2:$L$101, Master_Log!$A$2:$A$101, A88, Master_Log!$F$2:$F$101, "CAYm2"))</f>
        <v/>
      </c>
      <c r="E88">
        <f>IF(D88="","",MIN(5,D88))</f>
        <v/>
      </c>
      <c r="F88">
        <f>IF(A88="","",SUMIFS(Master_Log!$L$2:$L$101, Master_Log!$A$2:$A$101, A88, Master_Log!$F$2:$F$101, "CAYm3"))</f>
        <v/>
      </c>
      <c r="G88">
        <f>IF(F88="","",MIN(5,F88))</f>
        <v/>
      </c>
    </row>
    <row r="89">
      <c r="B89">
        <f>IF(A89="","",SUMIFS(Master_Log!$L$2:$L$101, Master_Log!$A$2:$A$101, A89, Master_Log!$F$2:$F$101, "CAYm1"))</f>
        <v/>
      </c>
      <c r="C89">
        <f>IF(B89="","",MIN(5,B89))</f>
        <v/>
      </c>
      <c r="D89">
        <f>IF(A89="","",SUMIFS(Master_Log!$L$2:$L$101, Master_Log!$A$2:$A$101, A89, Master_Log!$F$2:$F$101, "CAYm2"))</f>
        <v/>
      </c>
      <c r="E89">
        <f>IF(D89="","",MIN(5,D89))</f>
        <v/>
      </c>
      <c r="F89">
        <f>IF(A89="","",SUMIFS(Master_Log!$L$2:$L$101, Master_Log!$A$2:$A$101, A89, Master_Log!$F$2:$F$101, "CAYm3"))</f>
        <v/>
      </c>
      <c r="G89">
        <f>IF(F89="","",MIN(5,F89))</f>
        <v/>
      </c>
    </row>
    <row r="90">
      <c r="B90">
        <f>IF(A90="","",SUMIFS(Master_Log!$L$2:$L$101, Master_Log!$A$2:$A$101, A90, Master_Log!$F$2:$F$101, "CAYm1"))</f>
        <v/>
      </c>
      <c r="C90">
        <f>IF(B90="","",MIN(5,B90))</f>
        <v/>
      </c>
      <c r="D90">
        <f>IF(A90="","",SUMIFS(Master_Log!$L$2:$L$101, Master_Log!$A$2:$A$101, A90, Master_Log!$F$2:$F$101, "CAYm2"))</f>
        <v/>
      </c>
      <c r="E90">
        <f>IF(D90="","",MIN(5,D90))</f>
        <v/>
      </c>
      <c r="F90">
        <f>IF(A90="","",SUMIFS(Master_Log!$L$2:$L$101, Master_Log!$A$2:$A$101, A90, Master_Log!$F$2:$F$101, "CAYm3"))</f>
        <v/>
      </c>
      <c r="G90">
        <f>IF(F90="","",MIN(5,F90))</f>
        <v/>
      </c>
    </row>
    <row r="91">
      <c r="B91">
        <f>IF(A91="","",SUMIFS(Master_Log!$L$2:$L$101, Master_Log!$A$2:$A$101, A91, Master_Log!$F$2:$F$101, "CAYm1"))</f>
        <v/>
      </c>
      <c r="C91">
        <f>IF(B91="","",MIN(5,B91))</f>
        <v/>
      </c>
      <c r="D91">
        <f>IF(A91="","",SUMIFS(Master_Log!$L$2:$L$101, Master_Log!$A$2:$A$101, A91, Master_Log!$F$2:$F$101, "CAYm2"))</f>
        <v/>
      </c>
      <c r="E91">
        <f>IF(D91="","",MIN(5,D91))</f>
        <v/>
      </c>
      <c r="F91">
        <f>IF(A91="","",SUMIFS(Master_Log!$L$2:$L$101, Master_Log!$A$2:$A$101, A91, Master_Log!$F$2:$F$101, "CAYm3"))</f>
        <v/>
      </c>
      <c r="G91">
        <f>IF(F91="","",MIN(5,F91))</f>
        <v/>
      </c>
    </row>
    <row r="92">
      <c r="B92">
        <f>IF(A92="","",SUMIFS(Master_Log!$L$2:$L$101, Master_Log!$A$2:$A$101, A92, Master_Log!$F$2:$F$101, "CAYm1"))</f>
        <v/>
      </c>
      <c r="C92">
        <f>IF(B92="","",MIN(5,B92))</f>
        <v/>
      </c>
      <c r="D92">
        <f>IF(A92="","",SUMIFS(Master_Log!$L$2:$L$101, Master_Log!$A$2:$A$101, A92, Master_Log!$F$2:$F$101, "CAYm2"))</f>
        <v/>
      </c>
      <c r="E92">
        <f>IF(D92="","",MIN(5,D92))</f>
        <v/>
      </c>
      <c r="F92">
        <f>IF(A92="","",SUMIFS(Master_Log!$L$2:$L$101, Master_Log!$A$2:$A$101, A92, Master_Log!$F$2:$F$101, "CAYm3"))</f>
        <v/>
      </c>
      <c r="G92">
        <f>IF(F92="","",MIN(5,F92))</f>
        <v/>
      </c>
    </row>
    <row r="93">
      <c r="B93">
        <f>IF(A93="","",SUMIFS(Master_Log!$L$2:$L$101, Master_Log!$A$2:$A$101, A93, Master_Log!$F$2:$F$101, "CAYm1"))</f>
        <v/>
      </c>
      <c r="C93">
        <f>IF(B93="","",MIN(5,B93))</f>
        <v/>
      </c>
      <c r="D93">
        <f>IF(A93="","",SUMIFS(Master_Log!$L$2:$L$101, Master_Log!$A$2:$A$101, A93, Master_Log!$F$2:$F$101, "CAYm2"))</f>
        <v/>
      </c>
      <c r="E93">
        <f>IF(D93="","",MIN(5,D93))</f>
        <v/>
      </c>
      <c r="F93">
        <f>IF(A93="","",SUMIFS(Master_Log!$L$2:$L$101, Master_Log!$A$2:$A$101, A93, Master_Log!$F$2:$F$101, "CAYm3"))</f>
        <v/>
      </c>
      <c r="G93">
        <f>IF(F93="","",MIN(5,F93))</f>
        <v/>
      </c>
    </row>
    <row r="94">
      <c r="B94">
        <f>IF(A94="","",SUMIFS(Master_Log!$L$2:$L$101, Master_Log!$A$2:$A$101, A94, Master_Log!$F$2:$F$101, "CAYm1"))</f>
        <v/>
      </c>
      <c r="C94">
        <f>IF(B94="","",MIN(5,B94))</f>
        <v/>
      </c>
      <c r="D94">
        <f>IF(A94="","",SUMIFS(Master_Log!$L$2:$L$101, Master_Log!$A$2:$A$101, A94, Master_Log!$F$2:$F$101, "CAYm2"))</f>
        <v/>
      </c>
      <c r="E94">
        <f>IF(D94="","",MIN(5,D94))</f>
        <v/>
      </c>
      <c r="F94">
        <f>IF(A94="","",SUMIFS(Master_Log!$L$2:$L$101, Master_Log!$A$2:$A$101, A94, Master_Log!$F$2:$F$101, "CAYm3"))</f>
        <v/>
      </c>
      <c r="G94">
        <f>IF(F94="","",MIN(5,F94))</f>
        <v/>
      </c>
    </row>
    <row r="95">
      <c r="B95">
        <f>IF(A95="","",SUMIFS(Master_Log!$L$2:$L$101, Master_Log!$A$2:$A$101, A95, Master_Log!$F$2:$F$101, "CAYm1"))</f>
        <v/>
      </c>
      <c r="C95">
        <f>IF(B95="","",MIN(5,B95))</f>
        <v/>
      </c>
      <c r="D95">
        <f>IF(A95="","",SUMIFS(Master_Log!$L$2:$L$101, Master_Log!$A$2:$A$101, A95, Master_Log!$F$2:$F$101, "CAYm2"))</f>
        <v/>
      </c>
      <c r="E95">
        <f>IF(D95="","",MIN(5,D95))</f>
        <v/>
      </c>
      <c r="F95">
        <f>IF(A95="","",SUMIFS(Master_Log!$L$2:$L$101, Master_Log!$A$2:$A$101, A95, Master_Log!$F$2:$F$101, "CAYm3"))</f>
        <v/>
      </c>
      <c r="G95">
        <f>IF(F95="","",MIN(5,F95))</f>
        <v/>
      </c>
    </row>
    <row r="96">
      <c r="B96">
        <f>IF(A96="","",SUMIFS(Master_Log!$L$2:$L$101, Master_Log!$A$2:$A$101, A96, Master_Log!$F$2:$F$101, "CAYm1"))</f>
        <v/>
      </c>
      <c r="C96">
        <f>IF(B96="","",MIN(5,B96))</f>
        <v/>
      </c>
      <c r="D96">
        <f>IF(A96="","",SUMIFS(Master_Log!$L$2:$L$101, Master_Log!$A$2:$A$101, A96, Master_Log!$F$2:$F$101, "CAYm2"))</f>
        <v/>
      </c>
      <c r="E96">
        <f>IF(D96="","",MIN(5,D96))</f>
        <v/>
      </c>
      <c r="F96">
        <f>IF(A96="","",SUMIFS(Master_Log!$L$2:$L$101, Master_Log!$A$2:$A$101, A96, Master_Log!$F$2:$F$101, "CAYm3"))</f>
        <v/>
      </c>
      <c r="G96">
        <f>IF(F96="","",MIN(5,F96))</f>
        <v/>
      </c>
    </row>
    <row r="97">
      <c r="B97">
        <f>IF(A97="","",SUMIFS(Master_Log!$L$2:$L$101, Master_Log!$A$2:$A$101, A97, Master_Log!$F$2:$F$101, "CAYm1"))</f>
        <v/>
      </c>
      <c r="C97">
        <f>IF(B97="","",MIN(5,B97))</f>
        <v/>
      </c>
      <c r="D97">
        <f>IF(A97="","",SUMIFS(Master_Log!$L$2:$L$101, Master_Log!$A$2:$A$101, A97, Master_Log!$F$2:$F$101, "CAYm2"))</f>
        <v/>
      </c>
      <c r="E97">
        <f>IF(D97="","",MIN(5,D97))</f>
        <v/>
      </c>
      <c r="F97">
        <f>IF(A97="","",SUMIFS(Master_Log!$L$2:$L$101, Master_Log!$A$2:$A$101, A97, Master_Log!$F$2:$F$101, "CAYm3"))</f>
        <v/>
      </c>
      <c r="G97">
        <f>IF(F97="","",MIN(5,F97))</f>
        <v/>
      </c>
    </row>
    <row r="98">
      <c r="B98">
        <f>IF(A98="","",SUMIFS(Master_Log!$L$2:$L$101, Master_Log!$A$2:$A$101, A98, Master_Log!$F$2:$F$101, "CAYm1"))</f>
        <v/>
      </c>
      <c r="C98">
        <f>IF(B98="","",MIN(5,B98))</f>
        <v/>
      </c>
      <c r="D98">
        <f>IF(A98="","",SUMIFS(Master_Log!$L$2:$L$101, Master_Log!$A$2:$A$101, A98, Master_Log!$F$2:$F$101, "CAYm2"))</f>
        <v/>
      </c>
      <c r="E98">
        <f>IF(D98="","",MIN(5,D98))</f>
        <v/>
      </c>
      <c r="F98">
        <f>IF(A98="","",SUMIFS(Master_Log!$L$2:$L$101, Master_Log!$A$2:$A$101, A98, Master_Log!$F$2:$F$101, "CAYm3"))</f>
        <v/>
      </c>
      <c r="G98">
        <f>IF(F98="","",MIN(5,F98))</f>
        <v/>
      </c>
    </row>
    <row r="99">
      <c r="B99">
        <f>IF(A99="","",SUMIFS(Master_Log!$L$2:$L$101, Master_Log!$A$2:$A$101, A99, Master_Log!$F$2:$F$101, "CAYm1"))</f>
        <v/>
      </c>
      <c r="C99">
        <f>IF(B99="","",MIN(5,B99))</f>
        <v/>
      </c>
      <c r="D99">
        <f>IF(A99="","",SUMIFS(Master_Log!$L$2:$L$101, Master_Log!$A$2:$A$101, A99, Master_Log!$F$2:$F$101, "CAYm2"))</f>
        <v/>
      </c>
      <c r="E99">
        <f>IF(D99="","",MIN(5,D99))</f>
        <v/>
      </c>
      <c r="F99">
        <f>IF(A99="","",SUMIFS(Master_Log!$L$2:$L$101, Master_Log!$A$2:$A$101, A99, Master_Log!$F$2:$F$101, "CAYm3"))</f>
        <v/>
      </c>
      <c r="G99">
        <f>IF(F99="","",MIN(5,F99))</f>
        <v/>
      </c>
    </row>
    <row r="100">
      <c r="B100">
        <f>IF(A100="","",SUMIFS(Master_Log!$L$2:$L$101, Master_Log!$A$2:$A$101, A100, Master_Log!$F$2:$F$101, "CAYm1"))</f>
        <v/>
      </c>
      <c r="C100">
        <f>IF(B100="","",MIN(5,B100))</f>
        <v/>
      </c>
      <c r="D100">
        <f>IF(A100="","",SUMIFS(Master_Log!$L$2:$L$101, Master_Log!$A$2:$A$101, A100, Master_Log!$F$2:$F$101, "CAYm2"))</f>
        <v/>
      </c>
      <c r="E100">
        <f>IF(D100="","",MIN(5,D100))</f>
        <v/>
      </c>
      <c r="F100">
        <f>IF(A100="","",SUMIFS(Master_Log!$L$2:$L$101, Master_Log!$A$2:$A$101, A100, Master_Log!$F$2:$F$101, "CAYm3"))</f>
        <v/>
      </c>
      <c r="G100">
        <f>IF(F100="","",MIN(5,F100))</f>
        <v/>
      </c>
    </row>
    <row r="101">
      <c r="B101">
        <f>IF(A101="","",SUMIFS(Master_Log!$L$2:$L$101, Master_Log!$A$2:$A$101, A101, Master_Log!$F$2:$F$101, "CAYm1"))</f>
        <v/>
      </c>
      <c r="C101">
        <f>IF(B101="","",MIN(5,B101))</f>
        <v/>
      </c>
      <c r="D101">
        <f>IF(A101="","",SUMIFS(Master_Log!$L$2:$L$101, Master_Log!$A$2:$A$101, A101, Master_Log!$F$2:$F$101, "CAYm2"))</f>
        <v/>
      </c>
      <c r="E101">
        <f>IF(D101="","",MIN(5,D101))</f>
        <v/>
      </c>
      <c r="F101">
        <f>IF(A101="","",SUMIFS(Master_Log!$L$2:$L$101, Master_Log!$A$2:$A$101, A101, Master_Log!$F$2:$F$101, "CAYm3"))</f>
        <v/>
      </c>
      <c r="G101">
        <f>IF(F101="","",MIN(5,F101))</f>
        <v/>
      </c>
    </row>
    <row r="102">
      <c r="A102" t="inlineStr">
        <is>
          <t>Totals</t>
        </is>
      </c>
      <c r="B102">
        <f>COUNTIF(C2:C101,"&gt;0")</f>
        <v/>
      </c>
      <c r="C102">
        <f>SUM(C2:C101)</f>
        <v/>
      </c>
      <c r="D102">
        <f>COUNTIF(E2:E101,"&gt;0")</f>
        <v/>
      </c>
      <c r="E102">
        <f>SUM(E2:E101)</f>
        <v/>
      </c>
      <c r="F102">
        <f>COUNTIF(G2:G101,"&gt;0")</f>
        <v/>
      </c>
      <c r="G102">
        <f>SUM(G2:G101)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Inputs &amp; Computations for NBA (10 marks = 5 Resource + 5 Participation)</t>
        </is>
      </c>
    </row>
    <row r="3">
      <c r="A3" t="inlineStr">
        <is>
          <t>Department Students (DS)</t>
        </is>
      </c>
      <c r="B3" t="inlineStr">
        <is>
          <t>RDF = CEILING(DS/20)</t>
        </is>
      </c>
      <c r="C3" t="inlineStr">
        <is>
          <t>Sum of Capped Points (Participants)</t>
        </is>
      </c>
      <c r="D3" t="inlineStr">
        <is>
          <t>AP = MIN(5, Sum/(0.5*RDF))</t>
        </is>
      </c>
    </row>
    <row r="4">
      <c r="A4" t="inlineStr">
        <is>
          <t>CAYm1 (DS_1)</t>
        </is>
      </c>
      <c r="B4">
        <f>CEILING(A4/20,1)</f>
        <v/>
      </c>
      <c r="C4">
        <f>Yearly_Calc!C102</f>
        <v/>
      </c>
      <c r="D4">
        <f>MIN(5,IF(B4=0,0,C4/(0.5*B4)))</f>
        <v/>
      </c>
    </row>
    <row r="5">
      <c r="A5" t="inlineStr">
        <is>
          <t>CAYm2 (DS_2)</t>
        </is>
      </c>
      <c r="B5">
        <f>CEILING(A5/20,1)</f>
        <v/>
      </c>
      <c r="C5">
        <f>Yearly_Calc!E102</f>
        <v/>
      </c>
      <c r="D5">
        <f>MIN(5,IF(B5=0,0,C5/(0.5*B5)))</f>
        <v/>
      </c>
    </row>
    <row r="6">
      <c r="A6" t="inlineStr">
        <is>
          <t>CAYm3 (DS_3)</t>
        </is>
      </c>
      <c r="B6">
        <f>CEILING(A6/20,1)</f>
        <v/>
      </c>
      <c r="C6">
        <f>Yearly_Calc!G102</f>
        <v/>
      </c>
      <c r="D6">
        <f>MIN(5,IF(B6=0,0,C6/(0.5*B6)))</f>
        <v/>
      </c>
    </row>
    <row r="8">
      <c r="C8" t="inlineStr">
        <is>
          <t>Average AP (Participants, capped at 5)</t>
        </is>
      </c>
      <c r="D8">
        <f>MIN(5,AVERAGE(D4:D6))</f>
        <v/>
      </c>
    </row>
    <row r="10">
      <c r="A10" t="inlineStr">
        <is>
          <t>Resource Person Events (quick counters)</t>
        </is>
      </c>
    </row>
    <row r="11">
      <c r="A11" t="inlineStr">
        <is>
          <t>Count of rows marked 'Resource Person' in Master_Log</t>
        </is>
      </c>
      <c r="B11">
        <f>COUNTIF(Master_Log!$B$2:$B$101,"Resource Person")</f>
        <v/>
      </c>
    </row>
    <row r="13">
      <c r="A13" t="inlineStr">
        <is>
          <t>Notes:</t>
        </is>
      </c>
    </row>
    <row r="14">
      <c r="A14" t="inlineStr">
        <is>
          <t>1) Only EXTERNAL programs count (exclude parent institute).</t>
        </is>
      </c>
    </row>
    <row r="15">
      <c r="A15" t="inlineStr">
        <is>
          <t>2) Participant points: 2–5 days=3; &gt;5 days=5; per faculty per year capped at 5.</t>
        </is>
      </c>
    </row>
    <row r="16">
      <c r="A16" t="inlineStr">
        <is>
          <t>3) Summary uses capped participant points for AP computation.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2025-08-29T05:53:49Z</dcterms:created>
  <dcterms:modified xmlns:dcterms="http://purl.org/dc/terms/" xmlns:xsi="http://www.w3.org/2001/XMLSchema-instance" xsi:type="dcterms:W3CDTF">2025-08-29T05:53:49Z</dcterms:modified>
</cp:coreProperties>
</file>