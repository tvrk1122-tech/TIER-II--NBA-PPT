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gration_Register" sheetId="1" r:id="rId1"/>
    <sheet name="Yearly_Summary" sheetId="2" r:id="rId2"/>
    <sheet name="Docs_Log" sheetId="3" r:id="rId3"/>
    <sheet name="ReadMe" sheetId="4" r:id="rId4"/>
  </sheets>
  <calcPr calcId="124519" fullCalcOnLoad="1"/>
</workbook>
</file>

<file path=xl/sharedStrings.xml><?xml version="1.0" encoding="utf-8"?>
<sst xmlns="http://schemas.openxmlformats.org/spreadsheetml/2006/main" count="74" uniqueCount="41">
  <si>
    <t>Year Label</t>
  </si>
  <si>
    <t>Academic Year (e.g., 2024-25)</t>
  </si>
  <si>
    <t>Student Name</t>
  </si>
  <si>
    <t>University Roll/Reg No</t>
  </si>
  <si>
    <t>Migration Type (IN/OUT)</t>
  </si>
  <si>
    <t>From Institution/Program (for IN)</t>
  </si>
  <si>
    <t>To Institution/Program (for OUT)</t>
  </si>
  <si>
    <t>University Approval Order No</t>
  </si>
  <si>
    <t>Approval Date (YYYY-MM-DD)</t>
  </si>
  <si>
    <t>Issued By (University/Board)</t>
  </si>
  <si>
    <t>Reason/Notes</t>
  </si>
  <si>
    <t>CAY|CAYm1|CAYm2|CAYm3|CAYm4 (LYG)|CAYm5 (LYGm1)|CAYm6 (LYGm2)</t>
  </si>
  <si>
    <t>IN or OUT</t>
  </si>
  <si>
    <t>Migrated IN (Auto)</t>
  </si>
  <si>
    <t>Migrated OUT (Auto)</t>
  </si>
  <si>
    <t>Net Adjustment to N1 (IN - OUT) (Auto)</t>
  </si>
  <si>
    <t>CAY</t>
  </si>
  <si>
    <t>CAYm1</t>
  </si>
  <si>
    <t>CAYm2</t>
  </si>
  <si>
    <t>CAYm3</t>
  </si>
  <si>
    <t>CAYm4 (LYG)</t>
  </si>
  <si>
    <t>CAYm5 (LYGm1)</t>
  </si>
  <si>
    <t>CAYm6 (LYGm2)</t>
  </si>
  <si>
    <t>Document Type (Univ Transfer Order / DTE Approval / College Forwarding)</t>
  </si>
  <si>
    <t>File Path or Link</t>
  </si>
  <si>
    <t>Verified By</t>
  </si>
  <si>
    <t>Verification Date (YYYY-MM-DD)</t>
  </si>
  <si>
    <t>Remarks</t>
  </si>
  <si>
    <t>Instructions</t>
  </si>
  <si>
    <t>NBA Criterion 4 – Migration Register (Ready-to-Use)</t>
  </si>
  <si>
    <t>Purpose: Track transfers IN/OUT approved by the affiliating body and auto-compute yearly adjustments to N1.</t>
  </si>
  <si>
    <t>How to use:</t>
  </si>
  <si>
    <t>1) Enter each migrated student as a new row in 'Migration_Register'. Fill Year Label, Academic Year, student details, and the University approval info.</t>
  </si>
  <si>
    <t>2) Use 'IN' for students joining your program; use 'OUT' for students leaving your program.</t>
  </si>
  <si>
    <t>3) 'Yearly_Summary' aggregates counts per year: Migrated IN, Migrated OUT, and Net Adjustment (IN - OUT).</t>
  </si>
  <si>
    <t>4) Use 'Docs_Log' to map each year to the scanned approval orders (PDFs).</t>
  </si>
  <si>
    <t>Definitions:</t>
  </si>
  <si>
    <t>- Migrated IN: Students transferring to your program from another institute (increase N1).</t>
  </si>
  <si>
    <t>- Migrated OUT: Students transferring from your program to another institute (decrease N1).</t>
  </si>
  <si>
    <t>- Net Adjustment to N1 = IN - OUT.</t>
  </si>
  <si>
    <t>Tip: Keep University approval orders and dates accurate for audit—NBA assessors verify these figures.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</si>
</sst>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" fontId="0" fillId="0" borderId="1" xfId="0" applyNumberFormat="1" applyBorder="1"/>
    <xf numFmtId="1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4" width="28.7109375" customWidth="1"/>
    <col min="5" max="5" width="20.7109375" customWidth="1"/>
    <col min="6" max="7" width="34.7109375" customWidth="1"/>
    <col min="8" max="8" width="28.7109375" customWidth="1"/>
    <col min="9" max="9" width="20.7109375" customWidth="1"/>
    <col min="10" max="10" width="30.7109375" customWidth="1"/>
    <col min="11" max="11" width="4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E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5" width="34.7109375" customWidth="1"/>
  </cols>
  <sheetData>
    <row r="1" spans="1:5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</row>
    <row r="2" spans="1:5">
      <c r="A2" t="s">
        <v>16</v>
      </c>
      <c r="C2" s="2">
        <f>COUNTIFS(Migration_Register!$A$2:$A$501,"CAY",Migration_Register!$E$2:$E$501,"IN")</f>
        <v>0</v>
      </c>
      <c r="D2" s="2">
        <f>COUNTIFS(Migration_Register!$A$2:$A$501,"CAY",Migration_Register!$E$2:$E$501,"OUT")</f>
        <v>0</v>
      </c>
      <c r="E2" s="3">
        <f>C2-D2</f>
        <v>0</v>
      </c>
    </row>
    <row r="3" spans="1:5">
      <c r="A3" t="s">
        <v>17</v>
      </c>
      <c r="C3" s="2">
        <f>COUNTIFS(Migration_Register!$A$2:$A$501,"CAYm1",Migration_Register!$E$2:$E$501,"IN")</f>
        <v>0</v>
      </c>
      <c r="D3" s="2">
        <f>COUNTIFS(Migration_Register!$A$2:$A$501,"CAYm1",Migration_Register!$E$2:$E$501,"OUT")</f>
        <v>0</v>
      </c>
      <c r="E3" s="3">
        <f>C3-D3</f>
        <v>0</v>
      </c>
    </row>
    <row r="4" spans="1:5">
      <c r="A4" t="s">
        <v>18</v>
      </c>
      <c r="C4" s="2">
        <f>COUNTIFS(Migration_Register!$A$2:$A$501,"CAYm2",Migration_Register!$E$2:$E$501,"IN")</f>
        <v>0</v>
      </c>
      <c r="D4" s="2">
        <f>COUNTIFS(Migration_Register!$A$2:$A$501,"CAYm2",Migration_Register!$E$2:$E$501,"OUT")</f>
        <v>0</v>
      </c>
      <c r="E4" s="3">
        <f>C4-D4</f>
        <v>0</v>
      </c>
    </row>
    <row r="5" spans="1:5">
      <c r="A5" t="s">
        <v>19</v>
      </c>
      <c r="C5" s="2">
        <f>COUNTIFS(Migration_Register!$A$2:$A$501,"CAYm3",Migration_Register!$E$2:$E$501,"IN")</f>
        <v>0</v>
      </c>
      <c r="D5" s="2">
        <f>COUNTIFS(Migration_Register!$A$2:$A$501,"CAYm3",Migration_Register!$E$2:$E$501,"OUT")</f>
        <v>0</v>
      </c>
      <c r="E5" s="3">
        <f>C5-D5</f>
        <v>0</v>
      </c>
    </row>
    <row r="6" spans="1:5">
      <c r="A6" t="s">
        <v>20</v>
      </c>
      <c r="C6" s="2">
        <f>COUNTIFS(Migration_Register!$A$2:$A$501,"CAYm4 (LYG)",Migration_Register!$E$2:$E$501,"IN")</f>
        <v>0</v>
      </c>
      <c r="D6" s="2">
        <f>COUNTIFS(Migration_Register!$A$2:$A$501,"CAYm4 (LYG)",Migration_Register!$E$2:$E$501,"OUT")</f>
        <v>0</v>
      </c>
      <c r="E6" s="3">
        <f>C6-D6</f>
        <v>0</v>
      </c>
    </row>
    <row r="7" spans="1:5">
      <c r="A7" t="s">
        <v>21</v>
      </c>
      <c r="C7" s="2">
        <f>COUNTIFS(Migration_Register!$A$2:$A$501,"CAYm5 (LYGm1)",Migration_Register!$E$2:$E$501,"IN")</f>
        <v>0</v>
      </c>
      <c r="D7" s="2">
        <f>COUNTIFS(Migration_Register!$A$2:$A$501,"CAYm5 (LYGm1)",Migration_Register!$E$2:$E$501,"OUT")</f>
        <v>0</v>
      </c>
      <c r="E7" s="3">
        <f>C7-D7</f>
        <v>0</v>
      </c>
    </row>
    <row r="8" spans="1:5">
      <c r="A8" t="s">
        <v>22</v>
      </c>
      <c r="C8" s="2">
        <f>COUNTIFS(Migration_Register!$A$2:$A$501,"CAYm6 (LYGm2)",Migration_Register!$E$2:$E$501,"IN")</f>
        <v>0</v>
      </c>
      <c r="D8" s="2">
        <f>COUNTIFS(Migration_Register!$A$2:$A$501,"CAYm6 (LYGm2)",Migration_Register!$E$2:$E$501,"OUT")</f>
        <v>0</v>
      </c>
      <c r="E8" s="3">
        <f>C8-D8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95.7109375" customWidth="1"/>
    <col min="3" max="5" width="28.7109375" customWidth="1"/>
    <col min="6" max="6" width="40.7109375" customWidth="1"/>
  </cols>
  <sheetData>
    <row r="1" spans="1:6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 t="s">
        <v>16</v>
      </c>
    </row>
    <row r="3" spans="1:6">
      <c r="A3" t="s">
        <v>17</v>
      </c>
    </row>
    <row r="4" spans="1:6">
      <c r="A4" t="s">
        <v>18</v>
      </c>
    </row>
    <row r="5" spans="1:6">
      <c r="A5" t="s">
        <v>19</v>
      </c>
    </row>
    <row r="6" spans="1:6">
      <c r="A6" t="s">
        <v>20</v>
      </c>
    </row>
    <row r="7" spans="1:6">
      <c r="A7" t="s">
        <v>21</v>
      </c>
    </row>
    <row r="8" spans="1:6">
      <c r="A8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0.7109375" customWidth="1"/>
  </cols>
  <sheetData>
    <row r="1" spans="1:1">
      <c r="A1" s="1" t="s">
        <v>28</v>
      </c>
    </row>
    <row r="2" spans="1:1">
      <c r="A2" t="s">
        <v>29</v>
      </c>
    </row>
    <row r="4" spans="1:1">
      <c r="A4" t="s">
        <v>30</v>
      </c>
    </row>
    <row r="6" spans="1:1">
      <c r="A6" t="s">
        <v>31</v>
      </c>
    </row>
    <row r="7" spans="1:1">
      <c r="A7" t="s">
        <v>32</v>
      </c>
    </row>
    <row r="8" spans="1:1">
      <c r="A8" t="s">
        <v>33</v>
      </c>
    </row>
    <row r="9" spans="1:1">
      <c r="A9" t="s">
        <v>34</v>
      </c>
    </row>
    <row r="10" spans="1:1">
      <c r="A10" t="s">
        <v>35</v>
      </c>
    </row>
    <row r="12" spans="1:1">
      <c r="A12" t="s">
        <v>36</v>
      </c>
    </row>
    <row r="13" spans="1:1">
      <c r="A13" t="s">
        <v>37</v>
      </c>
    </row>
    <row r="14" spans="1:1">
      <c r="A14" t="s">
        <v>38</v>
      </c>
    </row>
    <row r="15" spans="1:1">
      <c r="A15" t="s">
        <v>39</v>
      </c>
    </row>
    <row r="17" spans="1:1">
      <c r="A1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Migration_Register</vt:lpstr>
      <vt:lpstr>Yearly_Summary</vt:lpstr>
      <vt:lpstr>Docs_Log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2025-08-26T03:49:52Z</dcterms:created>
  <dcterms:modified xsi:type="dcterms:W3CDTF">2025-08-26T03:49:52Z</dcterms:modified>
</cp:coreProperties>
</file>