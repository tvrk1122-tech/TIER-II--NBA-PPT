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  <sheet xmlns:r="http://schemas.openxmlformats.org/officeDocument/2006/relationships" name="CO Score Sheets" sheetId="12" state="visible" r:id="rId12"/>
    <sheet xmlns:r="http://schemas.openxmlformats.org/officeDocument/2006/relationships" name="CO–PO Mapping &amp; Attainment" sheetId="13" state="visible" r:id="rId13"/>
    <sheet xmlns:r="http://schemas.openxmlformats.org/officeDocument/2006/relationships" name="Attainment Calc Sheets" sheetId="14" state="visible" r:id="rId14"/>
    <sheet xmlns:r="http://schemas.openxmlformats.org/officeDocument/2006/relationships" name="Assignment-wise Attainment" sheetId="15" state="visible" r:id="rId15"/>
    <sheet xmlns:r="http://schemas.openxmlformats.org/officeDocument/2006/relationships" name="CO Attainment Summary" sheetId="16" state="visible" r:id="rId16"/>
    <sheet xmlns:r="http://schemas.openxmlformats.org/officeDocument/2006/relationships" name="Unit Test-wise Attainment" sheetId="17" state="visible" r:id="rId17"/>
    <sheet xmlns:r="http://schemas.openxmlformats.org/officeDocument/2006/relationships" name="Mid-Term-wise Attainmen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J2">
        <f>IF(COUNTA(F2:I2)=0,"",AVERAGE(F2:I2))</f>
        <v/>
      </c>
      <c r="K2">
        <f>IF(J2="","",IF(J2&gt;=70,3,IF(J2&gt;=60,2,IF(J2&gt;=50,1,0))))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J3">
        <f>IF(COUNTA(F3:I3)=0,"",AVERAGE(F3:I3))</f>
        <v/>
      </c>
      <c r="K3">
        <f>IF(J3="","",IF(J3&gt;=70,3,IF(J3&gt;=60,2,IF(J3&gt;=50,1,0))))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J4">
        <f>IF(COUNTA(F4:I4)=0,"",AVERAGE(F4:I4))</f>
        <v/>
      </c>
      <c r="K4">
        <f>IF(J4="","",IF(J4&gt;=70,3,IF(J4&gt;=60,2,IF(J4&gt;=50,1,0))))</f>
        <v/>
      </c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6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8" customWidth="1" min="14" max="14"/>
    <col width="28" customWidth="1" min="15" max="15"/>
    <col width="36" customWidth="1" min="16" max="16"/>
  </cols>
  <sheetData>
    <row r="1">
      <c r="A1" s="6" t="inlineStr">
        <is>
          <t>CO–PO Mapping Matrix (Strength Values: 3=Strong, 2=Moderate, 1=Slight, Blank=None)</t>
        </is>
      </c>
    </row>
    <row r="2">
      <c r="A2" s="7" t="inlineStr">
        <is>
          <t>CO</t>
        </is>
      </c>
      <c r="B2" s="7" t="inlineStr">
        <is>
          <t>PO1</t>
        </is>
      </c>
      <c r="C2" s="7" t="inlineStr">
        <is>
          <t>PO2</t>
        </is>
      </c>
      <c r="D2" s="7" t="inlineStr">
        <is>
          <t>PO3</t>
        </is>
      </c>
      <c r="E2" s="7" t="inlineStr">
        <is>
          <t>PO4</t>
        </is>
      </c>
      <c r="F2" s="7" t="inlineStr">
        <is>
          <t>PO5</t>
        </is>
      </c>
      <c r="G2" s="7" t="inlineStr">
        <is>
          <t>PO6</t>
        </is>
      </c>
      <c r="H2" s="7" t="inlineStr">
        <is>
          <t>PO7</t>
        </is>
      </c>
      <c r="I2" s="7" t="inlineStr">
        <is>
          <t>PO8</t>
        </is>
      </c>
      <c r="J2" s="7" t="inlineStr">
        <is>
          <t>PO9</t>
        </is>
      </c>
      <c r="K2" s="7" t="inlineStr">
        <is>
          <t>PO10</t>
        </is>
      </c>
      <c r="L2" s="7" t="inlineStr">
        <is>
          <t>PO11</t>
        </is>
      </c>
      <c r="M2" s="7" t="inlineStr">
        <is>
          <t>PO12</t>
        </is>
      </c>
    </row>
    <row r="3">
      <c r="A3" t="inlineStr">
        <is>
          <t>CO1</t>
        </is>
      </c>
    </row>
    <row r="4">
      <c r="A4" t="inlineStr">
        <is>
          <t>CO2</t>
        </is>
      </c>
    </row>
    <row r="5">
      <c r="A5" t="inlineStr">
        <is>
          <t>CO3</t>
        </is>
      </c>
    </row>
    <row r="6">
      <c r="A6" t="inlineStr">
        <is>
          <t>CO4</t>
        </is>
      </c>
    </row>
    <row r="8">
      <c r="A8" s="6" t="inlineStr">
        <is>
          <t>CO Attainment Levels (Auto from CO Attainment Analysis)</t>
        </is>
      </c>
    </row>
    <row r="9">
      <c r="A9" s="6" t="inlineStr">
        <is>
          <t>CO</t>
        </is>
      </c>
      <c r="B9" s="6" t="inlineStr">
        <is>
          <t>Direct Attainment Level (Auto)</t>
        </is>
      </c>
      <c r="C9" s="6" t="inlineStr">
        <is>
          <t>Final Attainment Level (Auto)</t>
        </is>
      </c>
    </row>
    <row r="10">
      <c r="A10" t="inlineStr">
        <is>
          <t>CO1</t>
        </is>
      </c>
      <c r="B10">
        <f>INDEX('CO Attainment Analysis'!M:M, MATCH(A10, 'CO Attainment Analysis'!B:B, 0))</f>
        <v/>
      </c>
      <c r="C10">
        <f>INDEX('CO Attainment Analysis'!O:O, MATCH(A10, 'CO Attainment Analysis'!B:B, 0))</f>
        <v/>
      </c>
    </row>
    <row r="11">
      <c r="A11" t="inlineStr">
        <is>
          <t>CO2</t>
        </is>
      </c>
      <c r="B11">
        <f>INDEX('CO Attainment Analysis'!M:M, MATCH(A11, 'CO Attainment Analysis'!B:B, 0))</f>
        <v/>
      </c>
      <c r="C11">
        <f>INDEX('CO Attainment Analysis'!O:O, MATCH(A11, 'CO Attainment Analysis'!B:B, 0))</f>
        <v/>
      </c>
    </row>
    <row r="12">
      <c r="A12" t="inlineStr">
        <is>
          <t>CO3</t>
        </is>
      </c>
      <c r="B12">
        <f>INDEX('CO Attainment Analysis'!M:M, MATCH(A12, 'CO Attainment Analysis'!B:B, 0))</f>
        <v/>
      </c>
      <c r="C12">
        <f>INDEX('CO Attainment Analysis'!O:O, MATCH(A12, 'CO Attainment Analysis'!B:B, 0))</f>
        <v/>
      </c>
    </row>
    <row r="13">
      <c r="A13" t="inlineStr">
        <is>
          <t>CO4</t>
        </is>
      </c>
      <c r="B13">
        <f>INDEX('CO Attainment Analysis'!M:M, MATCH(A13, 'CO Attainment Analysis'!B:B, 0))</f>
        <v/>
      </c>
      <c r="C13">
        <f>INDEX('CO Attainment Analysis'!O:O, MATCH(A13, 'CO Attainment Analysis'!B:B, 0))</f>
        <v/>
      </c>
    </row>
    <row r="16">
      <c r="A16" s="6" t="inlineStr">
        <is>
          <t>Aggregated PO Attainment (Weighted Average using Mapping Strengths)</t>
        </is>
      </c>
    </row>
    <row r="17">
      <c r="A17" s="6" t="inlineStr">
        <is>
          <t>PO</t>
        </is>
      </c>
      <c r="B17" s="6" t="inlineStr">
        <is>
          <t>Contributing COs</t>
        </is>
      </c>
      <c r="C17" s="6" t="inlineStr">
        <is>
          <t>Aggregated PO Attainment (0–3 Auto)</t>
        </is>
      </c>
    </row>
    <row r="18">
      <c r="A18" t="inlineStr">
        <is>
          <t>PO1</t>
        </is>
      </c>
      <c r="B18">
        <f>TEXTJOIN(", ",TRUE,IF(B$3:B$6&lt;&gt;"",$A$3:$A$6,""))</f>
        <v/>
      </c>
      <c r="C18">
        <f>IF(SUM(B$3:B$6)=0,"",SUMPRODUCT($C$10:$C$13,B$3:B$6)/SUM(B$3:B$6))</f>
        <v/>
      </c>
    </row>
    <row r="19">
      <c r="A19" t="inlineStr">
        <is>
          <t>PO2</t>
        </is>
      </c>
      <c r="B19">
        <f>TEXTJOIN(", ",TRUE,IF(B$3:B$6&lt;&gt;"",$A$3:$A$6,""))</f>
        <v/>
      </c>
      <c r="C19">
        <f>IF(SUM(B$3:B$6)=0,"",SUMPRODUCT($C$10:$C$13,B$3:B$6)/SUM(B$3:B$6))</f>
        <v/>
      </c>
    </row>
    <row r="20">
      <c r="A20" t="inlineStr">
        <is>
          <t>PO3</t>
        </is>
      </c>
      <c r="B20">
        <f>TEXTJOIN(", ",TRUE,IF(B$3:B$6&lt;&gt;"",$A$3:$A$6,""))</f>
        <v/>
      </c>
      <c r="C20">
        <f>IF(SUM(B$3:B$6)=0,"",SUMPRODUCT($C$10:$C$13,B$3:B$6)/SUM(B$3:B$6))</f>
        <v/>
      </c>
    </row>
    <row r="21">
      <c r="A21" t="inlineStr">
        <is>
          <t>PO4</t>
        </is>
      </c>
      <c r="B21">
        <f>TEXTJOIN(", ",TRUE,IF(B$3:B$6&lt;&gt;"",$A$3:$A$6,""))</f>
        <v/>
      </c>
      <c r="C21">
        <f>IF(SUM(B$3:B$6)=0,"",SUMPRODUCT($C$10:$C$13,B$3:B$6)/SUM(B$3:B$6))</f>
        <v/>
      </c>
    </row>
    <row r="22">
      <c r="A22" s="3" t="inlineStr">
        <is>
          <t>Note: Fill CO–PO mapping matrix (cells B3:M6) with strengths (3/2/1). PO attainment auto-calculates using CO Final Attainment.</t>
        </is>
      </c>
      <c r="B22">
        <f>TEXTJOIN(", ",TRUE,IF(B$3:B$6&lt;&gt;"",$A$3:$A$6,""))</f>
        <v/>
      </c>
      <c r="C22">
        <f>IF(SUM(B$3:B$6)=0,"",SUMPRODUCT($C$10:$C$13,B$3:B$6)/SUM(B$3:B$6))</f>
        <v/>
      </c>
    </row>
    <row r="23">
      <c r="A23" t="inlineStr">
        <is>
          <t>PO6</t>
        </is>
      </c>
      <c r="B23">
        <f>TEXTJOIN(", ",TRUE,IF(B$3:B$6&lt;&gt;"",$A$3:$A$6,""))</f>
        <v/>
      </c>
      <c r="C23">
        <f>IF(SUM(B$3:B$6)=0,"",SUMPRODUCT($C$10:$C$13,B$3:B$6)/SUM(B$3:B$6))</f>
        <v/>
      </c>
    </row>
    <row r="24">
      <c r="A24" t="inlineStr">
        <is>
          <t>PO7</t>
        </is>
      </c>
      <c r="B24">
        <f>TEXTJOIN(", ",TRUE,IF(B$3:B$6&lt;&gt;"",$A$3:$A$6,""))</f>
        <v/>
      </c>
      <c r="C24">
        <f>IF(SUM(B$3:B$6)=0,"",SUMPRODUCT($C$10:$C$13,B$3:B$6)/SUM(B$3:B$6))</f>
        <v/>
      </c>
    </row>
    <row r="25">
      <c r="A25" t="inlineStr">
        <is>
          <t>PO8</t>
        </is>
      </c>
      <c r="B25">
        <f>TEXTJOIN(", ",TRUE,IF(B$3:B$6&lt;&gt;"",$A$3:$A$6,""))</f>
        <v/>
      </c>
      <c r="C25">
        <f>IF(SUM(B$3:B$6)=0,"",SUMPRODUCT($C$10:$C$13,B$3:B$6)/SUM(B$3:B$6))</f>
        <v/>
      </c>
    </row>
    <row r="26">
      <c r="A26" t="inlineStr">
        <is>
          <t>PO9</t>
        </is>
      </c>
      <c r="B26">
        <f>TEXTJOIN(", ",TRUE,IF(B$3:B$6&lt;&gt;"",$A$3:$A$6,""))</f>
        <v/>
      </c>
      <c r="C26">
        <f>IF(SUM(B$3:B$6)=0,"",SUMPRODUCT($C$10:$C$13,B$3:B$6)/SUM(B$3:B$6))</f>
        <v/>
      </c>
    </row>
    <row r="27">
      <c r="A27" t="inlineStr">
        <is>
          <t>PO10</t>
        </is>
      </c>
      <c r="B27">
        <f>TEXTJOIN(", ",TRUE,IF(B$3:B$6&lt;&gt;"",$A$3:$A$6,""))</f>
        <v/>
      </c>
      <c r="C27">
        <f>IF(SUM(B$3:B$6)=0,"",SUMPRODUCT($C$10:$C$13,B$3:B$6)/SUM(B$3:B$6))</f>
        <v/>
      </c>
    </row>
    <row r="28">
      <c r="A28" t="inlineStr">
        <is>
          <t>PO11</t>
        </is>
      </c>
      <c r="B28">
        <f>TEXTJOIN(", ",TRUE,IF(B$3:B$6&lt;&gt;"",$A$3:$A$6,""))</f>
        <v/>
      </c>
      <c r="C28">
        <f>IF(SUM(B$3:B$6)=0,"",SUMPRODUCT($C$10:$C$13,B$3:B$6)/SUM(B$3:B$6))</f>
        <v/>
      </c>
    </row>
    <row r="29">
      <c r="A29" t="inlineStr">
        <is>
          <t>PO12</t>
        </is>
      </c>
      <c r="B29">
        <f>TEXTJOIN(", ",TRUE,IF(B$3:B$6&lt;&gt;"",$A$3:$A$6,""))</f>
        <v/>
      </c>
      <c r="C29">
        <f>IF(SUM(B$3:B$6)=0,"",SUMPRODUCT($C$10:$C$13,B$3:B$6)/SUM(B$3:B$6))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20" customWidth="1" min="6" max="6"/>
    <col width="24" customWidth="1" min="7" max="7"/>
  </cols>
  <sheetData>
    <row r="1">
      <c r="A1" s="6" t="inlineStr">
        <is>
          <t>Section A: Student-wise Attainment per CO (Raw to Levels)</t>
        </is>
      </c>
    </row>
    <row r="2">
      <c r="A2" s="7" t="inlineStr">
        <is>
          <t>Roll No.</t>
        </is>
      </c>
      <c r="B2" s="7" t="inlineStr">
        <is>
          <t>Student Name</t>
        </is>
      </c>
      <c r="C2" s="7" t="inlineStr">
        <is>
          <t>CO</t>
        </is>
      </c>
      <c r="D2" s="7" t="inlineStr">
        <is>
          <t>Max Marks</t>
        </is>
      </c>
      <c r="E2" s="7" t="inlineStr">
        <is>
          <t>Marks Obtained</t>
        </is>
      </c>
      <c r="F2" s="7" t="inlineStr">
        <is>
          <t>% Score (Auto)</t>
        </is>
      </c>
      <c r="G2" s="7" t="inlineStr">
        <is>
          <t>Attainment Level (0–3)</t>
        </is>
      </c>
    </row>
    <row r="3">
      <c r="A3" t="inlineStr">
        <is>
          <t>101</t>
        </is>
      </c>
      <c r="B3" t="inlineStr">
        <is>
          <t>A. Kumar</t>
        </is>
      </c>
      <c r="C3" t="inlineStr">
        <is>
          <t>CO1</t>
        </is>
      </c>
      <c r="D3" t="n">
        <v>10</v>
      </c>
      <c r="E3" t="n">
        <v>8</v>
      </c>
      <c r="F3" s="5">
        <f>IF(D3=0,"",E3/D3)</f>
        <v/>
      </c>
      <c r="G3">
        <f>IF(F3="","",IF(F3&gt;=0.7,3,IF(F3&gt;=0.6,2,IF(F3&gt;=0.5,1,0))))</f>
        <v/>
      </c>
    </row>
    <row r="4">
      <c r="A4" t="inlineStr">
        <is>
          <t>102</t>
        </is>
      </c>
      <c r="B4" t="inlineStr">
        <is>
          <t>B. Singh</t>
        </is>
      </c>
      <c r="C4" t="inlineStr">
        <is>
          <t>CO1</t>
        </is>
      </c>
      <c r="D4" t="n">
        <v>10</v>
      </c>
      <c r="E4" t="n">
        <v>6</v>
      </c>
      <c r="F4" s="5">
        <f>IF(D4=0,"",E4/D4)</f>
        <v/>
      </c>
      <c r="G4">
        <f>IF(F4="","",IF(F4&gt;=0.7,3,IF(F4&gt;=0.6,2,IF(F4&gt;=0.5,1,0))))</f>
        <v/>
      </c>
    </row>
    <row r="5">
      <c r="A5" t="inlineStr">
        <is>
          <t>103</t>
        </is>
      </c>
      <c r="B5" t="inlineStr">
        <is>
          <t>C. Rao</t>
        </is>
      </c>
      <c r="C5" t="inlineStr">
        <is>
          <t>CO1</t>
        </is>
      </c>
      <c r="D5" t="n">
        <v>10</v>
      </c>
      <c r="E5" t="n">
        <v>5</v>
      </c>
      <c r="F5" s="5">
        <f>IF(D5=0,"",E5/D5)</f>
        <v/>
      </c>
      <c r="G5">
        <f>IF(F5="","",IF(F5&gt;=0.7,3,IF(F5&gt;=0.6,2,IF(F5&gt;=0.5,1,0))))</f>
        <v/>
      </c>
    </row>
    <row r="6">
      <c r="F6" s="5">
        <f>IF(D6=0,"",E6/D6)</f>
        <v/>
      </c>
      <c r="G6">
        <f>IF(F6="","",IF(F6&gt;=0.7,3,IF(F6&gt;=0.6,2,IF(F6&gt;=0.5,1,0))))</f>
        <v/>
      </c>
    </row>
    <row r="7">
      <c r="F7" s="5">
        <f>IF(D7=0,"",E7/D7)</f>
        <v/>
      </c>
      <c r="G7">
        <f>IF(F7="","",IF(F7&gt;=0.7,3,IF(F7&gt;=0.6,2,IF(F7&gt;=0.5,1,0))))</f>
        <v/>
      </c>
    </row>
    <row r="8">
      <c r="F8" s="5">
        <f>IF(D8=0,"",E8/D8)</f>
        <v/>
      </c>
      <c r="G8">
        <f>IF(F8="","",IF(F8&gt;=0.7,3,IF(F8&gt;=0.6,2,IF(F8&gt;=0.5,1,0))))</f>
        <v/>
      </c>
    </row>
    <row r="9">
      <c r="F9" s="5">
        <f>IF(D9=0,"",E9/D9)</f>
        <v/>
      </c>
      <c r="G9">
        <f>IF(F9="","",IF(F9&gt;=0.7,3,IF(F9&gt;=0.6,2,IF(F9&gt;=0.5,1,0))))</f>
        <v/>
      </c>
    </row>
    <row r="10">
      <c r="F10" s="5">
        <f>IF(D10=0,"",E10/D10)</f>
        <v/>
      </c>
      <c r="G10">
        <f>IF(F10="","",IF(F10&gt;=0.7,3,IF(F10&gt;=0.6,2,IF(F10&gt;=0.5,1,0))))</f>
        <v/>
      </c>
    </row>
    <row r="11">
      <c r="F11" s="5">
        <f>IF(D11=0,"",E11/D11)</f>
        <v/>
      </c>
      <c r="G11">
        <f>IF(F11="","",IF(F11&gt;=0.7,3,IF(F11&gt;=0.6,2,IF(F11&gt;=0.5,1,0))))</f>
        <v/>
      </c>
    </row>
    <row r="12">
      <c r="F12" s="5">
        <f>IF(D12=0,"",E12/D12)</f>
        <v/>
      </c>
      <c r="G12">
        <f>IF(F12="","",IF(F12&gt;=0.7,3,IF(F12&gt;=0.6,2,IF(F12&gt;=0.5,1,0))))</f>
        <v/>
      </c>
    </row>
    <row r="13">
      <c r="F13" s="5">
        <f>IF(D13=0,"",E13/D13)</f>
        <v/>
      </c>
      <c r="G13">
        <f>IF(F13="","",IF(F13&gt;=0.7,3,IF(F13&gt;=0.6,2,IF(F13&gt;=0.5,1,0))))</f>
        <v/>
      </c>
    </row>
    <row r="14">
      <c r="F14" s="5">
        <f>IF(D14=0,"",E14/D14)</f>
        <v/>
      </c>
      <c r="G14">
        <f>IF(F14="","",IF(F14&gt;=0.7,3,IF(F14&gt;=0.6,2,IF(F14&gt;=0.5,1,0))))</f>
        <v/>
      </c>
    </row>
    <row r="15">
      <c r="F15" s="5">
        <f>IF(D15=0,"",E15/D15)</f>
        <v/>
      </c>
      <c r="G15">
        <f>IF(F15="","",IF(F15&gt;=0.7,3,IF(F15&gt;=0.6,2,IF(F15&gt;=0.5,1,0))))</f>
        <v/>
      </c>
    </row>
    <row r="16">
      <c r="F16" s="5">
        <f>IF(D16=0,"",E16/D16)</f>
        <v/>
      </c>
      <c r="G16">
        <f>IF(F16="","",IF(F16&gt;=0.7,3,IF(F16&gt;=0.6,2,IF(F16&gt;=0.5,1,0))))</f>
        <v/>
      </c>
    </row>
    <row r="17">
      <c r="F17" s="5">
        <f>IF(D17=0,"",E17/D17)</f>
        <v/>
      </c>
      <c r="G17">
        <f>IF(F17="","",IF(F17&gt;=0.7,3,IF(F17&gt;=0.6,2,IF(F17&gt;=0.5,1,0))))</f>
        <v/>
      </c>
    </row>
    <row r="18">
      <c r="F18" s="5">
        <f>IF(D18=0,"",E18/D18)</f>
        <v/>
      </c>
      <c r="G18">
        <f>IF(F18="","",IF(F18&gt;=0.7,3,IF(F18&gt;=0.6,2,IF(F18&gt;=0.5,1,0))))</f>
        <v/>
      </c>
    </row>
    <row r="19">
      <c r="F19" s="5">
        <f>IF(D19=0,"",E19/D19)</f>
        <v/>
      </c>
      <c r="G19">
        <f>IF(F19="","",IF(F19&gt;=0.7,3,IF(F19&gt;=0.6,2,IF(F19&gt;=0.5,1,0))))</f>
        <v/>
      </c>
    </row>
    <row r="20">
      <c r="F20" s="5">
        <f>IF(D20=0,"",E20/D20)</f>
        <v/>
      </c>
      <c r="G20">
        <f>IF(F20="","",IF(F20&gt;=0.7,3,IF(F20&gt;=0.6,2,IF(F20&gt;=0.5,1,0))))</f>
        <v/>
      </c>
    </row>
    <row r="21">
      <c r="F21" s="5">
        <f>IF(D21=0,"",E21/D21)</f>
        <v/>
      </c>
      <c r="G21">
        <f>IF(F21="","",IF(F21&gt;=0.7,3,IF(F21&gt;=0.6,2,IF(F21&gt;=0.5,1,0))))</f>
        <v/>
      </c>
    </row>
    <row r="22">
      <c r="F22" s="5">
        <f>IF(D22=0,"",E22/D22)</f>
        <v/>
      </c>
      <c r="G22">
        <f>IF(F22="","",IF(F22&gt;=0.7,3,IF(F22&gt;=0.6,2,IF(F22&gt;=0.5,1,0))))</f>
        <v/>
      </c>
    </row>
    <row r="23">
      <c r="F23" s="5">
        <f>IF(D23=0,"",E23/D23)</f>
        <v/>
      </c>
      <c r="G23">
        <f>IF(F23="","",IF(F23&gt;=0.7,3,IF(F23&gt;=0.6,2,IF(F23&gt;=0.5,1,0))))</f>
        <v/>
      </c>
    </row>
    <row r="24">
      <c r="F24" s="5">
        <f>IF(D24=0,"",E24/D24)</f>
        <v/>
      </c>
      <c r="G24">
        <f>IF(F24="","",IF(F24&gt;=0.7,3,IF(F24&gt;=0.6,2,IF(F24&gt;=0.5,1,0))))</f>
        <v/>
      </c>
    </row>
    <row r="25">
      <c r="F25" s="5">
        <f>IF(D25=0,"",E25/D25)</f>
        <v/>
      </c>
      <c r="G25">
        <f>IF(F25="","",IF(F25&gt;=0.7,3,IF(F25&gt;=0.6,2,IF(F25&gt;=0.5,1,0))))</f>
        <v/>
      </c>
    </row>
    <row r="26">
      <c r="F26" s="5">
        <f>IF(D26=0,"",E26/D26)</f>
        <v/>
      </c>
      <c r="G26">
        <f>IF(F26="","",IF(F26&gt;=0.7,3,IF(F26&gt;=0.6,2,IF(F26&gt;=0.5,1,0))))</f>
        <v/>
      </c>
    </row>
    <row r="27">
      <c r="F27" s="5">
        <f>IF(D27=0,"",E27/D27)</f>
        <v/>
      </c>
      <c r="G27">
        <f>IF(F27="","",IF(F27&gt;=0.7,3,IF(F27&gt;=0.6,2,IF(F27&gt;=0.5,1,0))))</f>
        <v/>
      </c>
    </row>
    <row r="28">
      <c r="F28" s="5">
        <f>IF(D28=0,"",E28/D28)</f>
        <v/>
      </c>
      <c r="G28">
        <f>IF(F28="","",IF(F28&gt;=0.7,3,IF(F28&gt;=0.6,2,IF(F28&gt;=0.5,1,0))))</f>
        <v/>
      </c>
    </row>
    <row r="29">
      <c r="F29" s="5">
        <f>IF(D29=0,"",E29/D29)</f>
        <v/>
      </c>
      <c r="G29">
        <f>IF(F29="","",IF(F29&gt;=0.7,3,IF(F29&gt;=0.6,2,IF(F29&gt;=0.5,1,0))))</f>
        <v/>
      </c>
    </row>
    <row r="30">
      <c r="F30" s="5">
        <f>IF(D30=0,"",E30/D30)</f>
        <v/>
      </c>
      <c r="G30">
        <f>IF(F30="","",IF(F30&gt;=0.7,3,IF(F30&gt;=0.6,2,IF(F30&gt;=0.5,1,0))))</f>
        <v/>
      </c>
    </row>
    <row r="31">
      <c r="F31" s="5">
        <f>IF(D31=0,"",E31/D31)</f>
        <v/>
      </c>
      <c r="G31">
        <f>IF(F31="","",IF(F31&gt;=0.7,3,IF(F31&gt;=0.6,2,IF(F31&gt;=0.5,1,0))))</f>
        <v/>
      </c>
    </row>
    <row r="32">
      <c r="F32" s="5">
        <f>IF(D32=0,"",E32/D32)</f>
        <v/>
      </c>
      <c r="G32">
        <f>IF(F32="","",IF(F32&gt;=0.7,3,IF(F32&gt;=0.6,2,IF(F32&gt;=0.5,1,0))))</f>
        <v/>
      </c>
    </row>
    <row r="33">
      <c r="F33" s="5">
        <f>IF(D33=0,"",E33/D33)</f>
        <v/>
      </c>
      <c r="G33">
        <f>IF(F33="","",IF(F33&gt;=0.7,3,IF(F33&gt;=0.6,2,IF(F33&gt;=0.5,1,0))))</f>
        <v/>
      </c>
    </row>
    <row r="34">
      <c r="F34" s="5">
        <f>IF(D34=0,"",E34/D34)</f>
        <v/>
      </c>
      <c r="G34">
        <f>IF(F34="","",IF(F34&gt;=0.7,3,IF(F34&gt;=0.6,2,IF(F34&gt;=0.5,1,0))))</f>
        <v/>
      </c>
    </row>
    <row r="35">
      <c r="F35" s="5">
        <f>IF(D35=0,"",E35/D35)</f>
        <v/>
      </c>
      <c r="G35">
        <f>IF(F35="","",IF(F35&gt;=0.7,3,IF(F35&gt;=0.6,2,IF(F35&gt;=0.5,1,0))))</f>
        <v/>
      </c>
    </row>
    <row r="36">
      <c r="F36" s="5">
        <f>IF(D36=0,"",E36/D36)</f>
        <v/>
      </c>
      <c r="G36">
        <f>IF(F36="","",IF(F36&gt;=0.7,3,IF(F36&gt;=0.6,2,IF(F36&gt;=0.5,1,0))))</f>
        <v/>
      </c>
    </row>
    <row r="37">
      <c r="F37" s="5">
        <f>IF(D37=0,"",E37/D37)</f>
        <v/>
      </c>
      <c r="G37">
        <f>IF(F37="","",IF(F37&gt;=0.7,3,IF(F37&gt;=0.6,2,IF(F37&gt;=0.5,1,0))))</f>
        <v/>
      </c>
    </row>
    <row r="38">
      <c r="F38" s="5">
        <f>IF(D38=0,"",E38/D38)</f>
        <v/>
      </c>
      <c r="G38">
        <f>IF(F38="","",IF(F38&gt;=0.7,3,IF(F38&gt;=0.6,2,IF(F38&gt;=0.5,1,0))))</f>
        <v/>
      </c>
    </row>
    <row r="39">
      <c r="F39" s="5">
        <f>IF(D39=0,"",E39/D39)</f>
        <v/>
      </c>
      <c r="G39">
        <f>IF(F39="","",IF(F39&gt;=0.7,3,IF(F39&gt;=0.6,2,IF(F39&gt;=0.5,1,0))))</f>
        <v/>
      </c>
    </row>
    <row r="40">
      <c r="F40" s="5">
        <f>IF(D40=0,"",E40/D40)</f>
        <v/>
      </c>
      <c r="G40">
        <f>IF(F40="","",IF(F40&gt;=0.7,3,IF(F40&gt;=0.6,2,IF(F40&gt;=0.5,1,0))))</f>
        <v/>
      </c>
    </row>
    <row r="41">
      <c r="F41" s="5">
        <f>IF(D41=0,"",E41/D41)</f>
        <v/>
      </c>
      <c r="G41">
        <f>IF(F41="","",IF(F41&gt;=0.7,3,IF(F41&gt;=0.6,2,IF(F41&gt;=0.5,1,0))))</f>
        <v/>
      </c>
    </row>
    <row r="42">
      <c r="F42" s="5">
        <f>IF(D42=0,"",E42/D42)</f>
        <v/>
      </c>
      <c r="G42">
        <f>IF(F42="","",IF(F42&gt;=0.7,3,IF(F42&gt;=0.6,2,IF(F42&gt;=0.5,1,0))))</f>
        <v/>
      </c>
    </row>
    <row r="43">
      <c r="F43" s="5">
        <f>IF(D43=0,"",E43/D43)</f>
        <v/>
      </c>
      <c r="G43">
        <f>IF(F43="","",IF(F43&gt;=0.7,3,IF(F43&gt;=0.6,2,IF(F43&gt;=0.5,1,0))))</f>
        <v/>
      </c>
    </row>
    <row r="44">
      <c r="F44" s="5">
        <f>IF(D44=0,"",E44/D44)</f>
        <v/>
      </c>
      <c r="G44">
        <f>IF(F44="","",IF(F44&gt;=0.7,3,IF(F44&gt;=0.6,2,IF(F44&gt;=0.5,1,0))))</f>
        <v/>
      </c>
    </row>
    <row r="45">
      <c r="F45" s="5">
        <f>IF(D45=0,"",E45/D45)</f>
        <v/>
      </c>
      <c r="G45">
        <f>IF(F45="","",IF(F45&gt;=0.7,3,IF(F45&gt;=0.6,2,IF(F45&gt;=0.5,1,0))))</f>
        <v/>
      </c>
    </row>
    <row r="46">
      <c r="F46" s="5">
        <f>IF(D46=0,"",E46/D46)</f>
        <v/>
      </c>
      <c r="G46">
        <f>IF(F46="","",IF(F46&gt;=0.7,3,IF(F46&gt;=0.6,2,IF(F46&gt;=0.5,1,0))))</f>
        <v/>
      </c>
    </row>
    <row r="47">
      <c r="F47" s="5">
        <f>IF(D47=0,"",E47/D47)</f>
        <v/>
      </c>
      <c r="G47">
        <f>IF(F47="","",IF(F47&gt;=0.7,3,IF(F47&gt;=0.6,2,IF(F47&gt;=0.5,1,0))))</f>
        <v/>
      </c>
    </row>
    <row r="48">
      <c r="F48" s="5">
        <f>IF(D48=0,"",E48/D48)</f>
        <v/>
      </c>
      <c r="G48">
        <f>IF(F48="","",IF(F48&gt;=0.7,3,IF(F48&gt;=0.6,2,IF(F48&gt;=0.5,1,0))))</f>
        <v/>
      </c>
    </row>
    <row r="49">
      <c r="F49" s="5">
        <f>IF(D49=0,"",E49/D49)</f>
        <v/>
      </c>
      <c r="G49">
        <f>IF(F49="","",IF(F49&gt;=0.7,3,IF(F49&gt;=0.6,2,IF(F49&gt;=0.5,1,0))))</f>
        <v/>
      </c>
    </row>
    <row r="50">
      <c r="F50" s="5">
        <f>IF(D50=0,"",E50/D50)</f>
        <v/>
      </c>
      <c r="G50">
        <f>IF(F50="","",IF(F50&gt;=0.7,3,IF(F50&gt;=0.6,2,IF(F50&gt;=0.5,1,0))))</f>
        <v/>
      </c>
    </row>
    <row r="51">
      <c r="F51" s="5">
        <f>IF(D51=0,"",E51/D51)</f>
        <v/>
      </c>
      <c r="G51">
        <f>IF(F51="","",IF(F51&gt;=0.7,3,IF(F51&gt;=0.6,2,IF(F51&gt;=0.5,1,0))))</f>
        <v/>
      </c>
    </row>
    <row r="52">
      <c r="F52" s="5">
        <f>IF(D52=0,"",E52/D52)</f>
        <v/>
      </c>
      <c r="G52">
        <f>IF(F52="","",IF(F52&gt;=0.7,3,IF(F52&gt;=0.6,2,IF(F52&gt;=0.5,1,0))))</f>
        <v/>
      </c>
    </row>
    <row r="53">
      <c r="F53" s="5">
        <f>IF(D53=0,"",E53/D53)</f>
        <v/>
      </c>
      <c r="G53">
        <f>IF(F53="","",IF(F53&gt;=0.7,3,IF(F53&gt;=0.6,2,IF(F53&gt;=0.5,1,0))))</f>
        <v/>
      </c>
    </row>
    <row r="54">
      <c r="F54" s="5">
        <f>IF(D54=0,"",E54/D54)</f>
        <v/>
      </c>
      <c r="G54">
        <f>IF(F54="","",IF(F54&gt;=0.7,3,IF(F54&gt;=0.6,2,IF(F54&gt;=0.5,1,0))))</f>
        <v/>
      </c>
    </row>
    <row r="55">
      <c r="F55" s="5">
        <f>IF(D55=0,"",E55/D55)</f>
        <v/>
      </c>
      <c r="G55">
        <f>IF(F55="","",IF(F55&gt;=0.7,3,IF(F55&gt;=0.6,2,IF(F55&gt;=0.5,1,0))))</f>
        <v/>
      </c>
    </row>
    <row r="56">
      <c r="F56" s="5">
        <f>IF(D56=0,"",E56/D56)</f>
        <v/>
      </c>
      <c r="G56">
        <f>IF(F56="","",IF(F56&gt;=0.7,3,IF(F56&gt;=0.6,2,IF(F56&gt;=0.5,1,0))))</f>
        <v/>
      </c>
    </row>
    <row r="57">
      <c r="F57" s="5">
        <f>IF(D57=0,"",E57/D57)</f>
        <v/>
      </c>
      <c r="G57">
        <f>IF(F57="","",IF(F57&gt;=0.7,3,IF(F57&gt;=0.6,2,IF(F57&gt;=0.5,1,0))))</f>
        <v/>
      </c>
    </row>
    <row r="58">
      <c r="F58" s="5">
        <f>IF(D58=0,"",E58/D58)</f>
        <v/>
      </c>
      <c r="G58">
        <f>IF(F58="","",IF(F58&gt;=0.7,3,IF(F58&gt;=0.6,2,IF(F58&gt;=0.5,1,0))))</f>
        <v/>
      </c>
    </row>
    <row r="59">
      <c r="F59" s="5">
        <f>IF(D59=0,"",E59/D59)</f>
        <v/>
      </c>
      <c r="G59">
        <f>IF(F59="","",IF(F59&gt;=0.7,3,IF(F59&gt;=0.6,2,IF(F59&gt;=0.5,1,0))))</f>
        <v/>
      </c>
    </row>
    <row r="60">
      <c r="F60" s="5">
        <f>IF(D60=0,"",E60/D60)</f>
        <v/>
      </c>
      <c r="G60">
        <f>IF(F60="","",IF(F60&gt;=0.7,3,IF(F60&gt;=0.6,2,IF(F60&gt;=0.5,1,0))))</f>
        <v/>
      </c>
    </row>
    <row r="61">
      <c r="F61" s="5">
        <f>IF(D61=0,"",E61/D61)</f>
        <v/>
      </c>
      <c r="G61">
        <f>IF(F61="","",IF(F61&gt;=0.7,3,IF(F61&gt;=0.6,2,IF(F61&gt;=0.5,1,0))))</f>
        <v/>
      </c>
    </row>
    <row r="62">
      <c r="F62" s="5">
        <f>IF(D62=0,"",E62/D62)</f>
        <v/>
      </c>
      <c r="G62">
        <f>IF(F62="","",IF(F62&gt;=0.7,3,IF(F62&gt;=0.6,2,IF(F62&gt;=0.5,1,0))))</f>
        <v/>
      </c>
    </row>
    <row r="63">
      <c r="F63" s="5">
        <f>IF(D63=0,"",E63/D63)</f>
        <v/>
      </c>
      <c r="G63">
        <f>IF(F63="","",IF(F63&gt;=0.7,3,IF(F63&gt;=0.6,2,IF(F63&gt;=0.5,1,0))))</f>
        <v/>
      </c>
    </row>
    <row r="64">
      <c r="F64" s="5">
        <f>IF(D64=0,"",E64/D64)</f>
        <v/>
      </c>
      <c r="G64">
        <f>IF(F64="","",IF(F64&gt;=0.7,3,IF(F64&gt;=0.6,2,IF(F64&gt;=0.5,1,0))))</f>
        <v/>
      </c>
    </row>
    <row r="65">
      <c r="F65" s="5">
        <f>IF(D65=0,"",E65/D65)</f>
        <v/>
      </c>
      <c r="G65">
        <f>IF(F65="","",IF(F65&gt;=0.7,3,IF(F65&gt;=0.6,2,IF(F65&gt;=0.5,1,0))))</f>
        <v/>
      </c>
    </row>
    <row r="66">
      <c r="F66" s="5">
        <f>IF(D66=0,"",E66/D66)</f>
        <v/>
      </c>
      <c r="G66">
        <f>IF(F66="","",IF(F66&gt;=0.7,3,IF(F66&gt;=0.6,2,IF(F66&gt;=0.5,1,0))))</f>
        <v/>
      </c>
    </row>
    <row r="67">
      <c r="F67" s="5">
        <f>IF(D67=0,"",E67/D67)</f>
        <v/>
      </c>
      <c r="G67">
        <f>IF(F67="","",IF(F67&gt;=0.7,3,IF(F67&gt;=0.6,2,IF(F67&gt;=0.5,1,0))))</f>
        <v/>
      </c>
    </row>
    <row r="68">
      <c r="F68" s="5">
        <f>IF(D68=0,"",E68/D68)</f>
        <v/>
      </c>
      <c r="G68">
        <f>IF(F68="","",IF(F68&gt;=0.7,3,IF(F68&gt;=0.6,2,IF(F68&gt;=0.5,1,0))))</f>
        <v/>
      </c>
    </row>
    <row r="69">
      <c r="F69" s="5">
        <f>IF(D69=0,"",E69/D69)</f>
        <v/>
      </c>
      <c r="G69">
        <f>IF(F69="","",IF(F69&gt;=0.7,3,IF(F69&gt;=0.6,2,IF(F69&gt;=0.5,1,0))))</f>
        <v/>
      </c>
    </row>
    <row r="70">
      <c r="F70" s="5">
        <f>IF(D70=0,"",E70/D70)</f>
        <v/>
      </c>
      <c r="G70">
        <f>IF(F70="","",IF(F70&gt;=0.7,3,IF(F70&gt;=0.6,2,IF(F70&gt;=0.5,1,0))))</f>
        <v/>
      </c>
    </row>
    <row r="71">
      <c r="F71" s="5">
        <f>IF(D71=0,"",E71/D71)</f>
        <v/>
      </c>
      <c r="G71">
        <f>IF(F71="","",IF(F71&gt;=0.7,3,IF(F71&gt;=0.6,2,IF(F71&gt;=0.5,1,0))))</f>
        <v/>
      </c>
    </row>
    <row r="72">
      <c r="F72" s="5">
        <f>IF(D72=0,"",E72/D72)</f>
        <v/>
      </c>
      <c r="G72">
        <f>IF(F72="","",IF(F72&gt;=0.7,3,IF(F72&gt;=0.6,2,IF(F72&gt;=0.5,1,0))))</f>
        <v/>
      </c>
    </row>
    <row r="73">
      <c r="F73" s="5">
        <f>IF(D73=0,"",E73/D73)</f>
        <v/>
      </c>
      <c r="G73">
        <f>IF(F73="","",IF(F73&gt;=0.7,3,IF(F73&gt;=0.6,2,IF(F73&gt;=0.5,1,0))))</f>
        <v/>
      </c>
    </row>
    <row r="74">
      <c r="F74" s="5">
        <f>IF(D74=0,"",E74/D74)</f>
        <v/>
      </c>
      <c r="G74">
        <f>IF(F74="","",IF(F74&gt;=0.7,3,IF(F74&gt;=0.6,2,IF(F74&gt;=0.5,1,0))))</f>
        <v/>
      </c>
    </row>
    <row r="75">
      <c r="F75" s="5">
        <f>IF(D75=0,"",E75/D75)</f>
        <v/>
      </c>
      <c r="G75">
        <f>IF(F75="","",IF(F75&gt;=0.7,3,IF(F75&gt;=0.6,2,IF(F75&gt;=0.5,1,0))))</f>
        <v/>
      </c>
    </row>
    <row r="76">
      <c r="F76" s="5">
        <f>IF(D76=0,"",E76/D76)</f>
        <v/>
      </c>
      <c r="G76">
        <f>IF(F76="","",IF(F76&gt;=0.7,3,IF(F76&gt;=0.6,2,IF(F76&gt;=0.5,1,0))))</f>
        <v/>
      </c>
    </row>
    <row r="77">
      <c r="F77" s="5">
        <f>IF(D77=0,"",E77/D77)</f>
        <v/>
      </c>
      <c r="G77">
        <f>IF(F77="","",IF(F77&gt;=0.7,3,IF(F77&gt;=0.6,2,IF(F77&gt;=0.5,1,0))))</f>
        <v/>
      </c>
    </row>
    <row r="78">
      <c r="F78" s="5">
        <f>IF(D78=0,"",E78/D78)</f>
        <v/>
      </c>
      <c r="G78">
        <f>IF(F78="","",IF(F78&gt;=0.7,3,IF(F78&gt;=0.6,2,IF(F78&gt;=0.5,1,0))))</f>
        <v/>
      </c>
    </row>
    <row r="79">
      <c r="F79" s="5">
        <f>IF(D79=0,"",E79/D79)</f>
        <v/>
      </c>
      <c r="G79">
        <f>IF(F79="","",IF(F79&gt;=0.7,3,IF(F79&gt;=0.6,2,IF(F79&gt;=0.5,1,0))))</f>
        <v/>
      </c>
    </row>
    <row r="80">
      <c r="F80" s="5">
        <f>IF(D80=0,"",E80/D80)</f>
        <v/>
      </c>
      <c r="G80">
        <f>IF(F80="","",IF(F80&gt;=0.7,3,IF(F80&gt;=0.6,2,IF(F80&gt;=0.5,1,0))))</f>
        <v/>
      </c>
    </row>
    <row r="81">
      <c r="F81" s="5">
        <f>IF(D81=0,"",E81/D81)</f>
        <v/>
      </c>
      <c r="G81">
        <f>IF(F81="","",IF(F81&gt;=0.7,3,IF(F81&gt;=0.6,2,IF(F81&gt;=0.5,1,0))))</f>
        <v/>
      </c>
    </row>
    <row r="82">
      <c r="F82" s="5">
        <f>IF(D82=0,"",E82/D82)</f>
        <v/>
      </c>
      <c r="G82">
        <f>IF(F82="","",IF(F82&gt;=0.7,3,IF(F82&gt;=0.6,2,IF(F82&gt;=0.5,1,0))))</f>
        <v/>
      </c>
    </row>
    <row r="83">
      <c r="F83" s="5">
        <f>IF(D83=0,"",E83/D83)</f>
        <v/>
      </c>
      <c r="G83">
        <f>IF(F83="","",IF(F83&gt;=0.7,3,IF(F83&gt;=0.6,2,IF(F83&gt;=0.5,1,0))))</f>
        <v/>
      </c>
    </row>
    <row r="84">
      <c r="F84" s="5">
        <f>IF(D84=0,"",E84/D84)</f>
        <v/>
      </c>
      <c r="G84">
        <f>IF(F84="","",IF(F84&gt;=0.7,3,IF(F84&gt;=0.6,2,IF(F84&gt;=0.5,1,0))))</f>
        <v/>
      </c>
    </row>
    <row r="85">
      <c r="F85" s="5">
        <f>IF(D85=0,"",E85/D85)</f>
        <v/>
      </c>
      <c r="G85">
        <f>IF(F85="","",IF(F85&gt;=0.7,3,IF(F85&gt;=0.6,2,IF(F85&gt;=0.5,1,0))))</f>
        <v/>
      </c>
    </row>
    <row r="86">
      <c r="F86" s="5">
        <f>IF(D86=0,"",E86/D86)</f>
        <v/>
      </c>
      <c r="G86">
        <f>IF(F86="","",IF(F86&gt;=0.7,3,IF(F86&gt;=0.6,2,IF(F86&gt;=0.5,1,0))))</f>
        <v/>
      </c>
    </row>
    <row r="87">
      <c r="F87" s="5">
        <f>IF(D87=0,"",E87/D87)</f>
        <v/>
      </c>
      <c r="G87">
        <f>IF(F87="","",IF(F87&gt;=0.7,3,IF(F87&gt;=0.6,2,IF(F87&gt;=0.5,1,0))))</f>
        <v/>
      </c>
    </row>
    <row r="88">
      <c r="F88" s="5">
        <f>IF(D88=0,"",E88/D88)</f>
        <v/>
      </c>
      <c r="G88">
        <f>IF(F88="","",IF(F88&gt;=0.7,3,IF(F88&gt;=0.6,2,IF(F88&gt;=0.5,1,0))))</f>
        <v/>
      </c>
    </row>
    <row r="89">
      <c r="F89" s="5">
        <f>IF(D89=0,"",E89/D89)</f>
        <v/>
      </c>
      <c r="G89">
        <f>IF(F89="","",IF(F89&gt;=0.7,3,IF(F89&gt;=0.6,2,IF(F89&gt;=0.5,1,0))))</f>
        <v/>
      </c>
    </row>
    <row r="90">
      <c r="F90" s="5">
        <f>IF(D90=0,"",E90/D90)</f>
        <v/>
      </c>
      <c r="G90">
        <f>IF(F90="","",IF(F90&gt;=0.7,3,IF(F90&gt;=0.6,2,IF(F90&gt;=0.5,1,0))))</f>
        <v/>
      </c>
    </row>
    <row r="91">
      <c r="F91" s="5">
        <f>IF(D91=0,"",E91/D91)</f>
        <v/>
      </c>
      <c r="G91">
        <f>IF(F91="","",IF(F91&gt;=0.7,3,IF(F91&gt;=0.6,2,IF(F91&gt;=0.5,1,0))))</f>
        <v/>
      </c>
    </row>
    <row r="92">
      <c r="F92" s="5">
        <f>IF(D92=0,"",E92/D92)</f>
        <v/>
      </c>
      <c r="G92">
        <f>IF(F92="","",IF(F92&gt;=0.7,3,IF(F92&gt;=0.6,2,IF(F92&gt;=0.5,1,0))))</f>
        <v/>
      </c>
    </row>
    <row r="93">
      <c r="F93" s="5">
        <f>IF(D93=0,"",E93/D93)</f>
        <v/>
      </c>
      <c r="G93">
        <f>IF(F93="","",IF(F93&gt;=0.7,3,IF(F93&gt;=0.6,2,IF(F93&gt;=0.5,1,0))))</f>
        <v/>
      </c>
    </row>
    <row r="94">
      <c r="F94" s="5">
        <f>IF(D94=0,"",E94/D94)</f>
        <v/>
      </c>
      <c r="G94">
        <f>IF(F94="","",IF(F94&gt;=0.7,3,IF(F94&gt;=0.6,2,IF(F94&gt;=0.5,1,0))))</f>
        <v/>
      </c>
    </row>
    <row r="95">
      <c r="F95" s="5">
        <f>IF(D95=0,"",E95/D95)</f>
        <v/>
      </c>
      <c r="G95">
        <f>IF(F95="","",IF(F95&gt;=0.7,3,IF(F95&gt;=0.6,2,IF(F95&gt;=0.5,1,0))))</f>
        <v/>
      </c>
    </row>
    <row r="96">
      <c r="F96" s="5">
        <f>IF(D96=0,"",E96/D96)</f>
        <v/>
      </c>
      <c r="G96">
        <f>IF(F96="","",IF(F96&gt;=0.7,3,IF(F96&gt;=0.6,2,IF(F96&gt;=0.5,1,0))))</f>
        <v/>
      </c>
    </row>
    <row r="97">
      <c r="F97" s="5">
        <f>IF(D97=0,"",E97/D97)</f>
        <v/>
      </c>
      <c r="G97">
        <f>IF(F97="","",IF(F97&gt;=0.7,3,IF(F97&gt;=0.6,2,IF(F97&gt;=0.5,1,0))))</f>
        <v/>
      </c>
    </row>
    <row r="98">
      <c r="F98" s="5">
        <f>IF(D98=0,"",E98/D98)</f>
        <v/>
      </c>
      <c r="G98">
        <f>IF(F98="","",IF(F98&gt;=0.7,3,IF(F98&gt;=0.6,2,IF(F98&gt;=0.5,1,0))))</f>
        <v/>
      </c>
    </row>
    <row r="99">
      <c r="F99" s="5">
        <f>IF(D99=0,"",E99/D99)</f>
        <v/>
      </c>
      <c r="G99">
        <f>IF(F99="","",IF(F99&gt;=0.7,3,IF(F99&gt;=0.6,2,IF(F99&gt;=0.5,1,0))))</f>
        <v/>
      </c>
    </row>
    <row r="100">
      <c r="F100" s="5">
        <f>IF(D100=0,"",E100/D100)</f>
        <v/>
      </c>
      <c r="G100">
        <f>IF(F100="","",IF(F100&gt;=0.7,3,IF(F100&gt;=0.6,2,IF(F100&gt;=0.5,1,0))))</f>
        <v/>
      </c>
    </row>
    <row r="101">
      <c r="F101" s="5">
        <f>IF(D101=0,"",E101/D101)</f>
        <v/>
      </c>
      <c r="G101">
        <f>IF(F101="","",IF(F101&gt;=0.7,3,IF(F101&gt;=0.6,2,IF(F101&gt;=0.5,1,0))))</f>
        <v/>
      </c>
    </row>
    <row r="102">
      <c r="F102" s="5">
        <f>IF(D102=0,"",E102/D102)</f>
        <v/>
      </c>
      <c r="G102">
        <f>IF(F102="","",IF(F102&gt;=0.7,3,IF(F102&gt;=0.6,2,IF(F102&gt;=0.5,1,0))))</f>
        <v/>
      </c>
    </row>
    <row r="103">
      <c r="F103" s="5">
        <f>IF(D103=0,"",E103/D103)</f>
        <v/>
      </c>
      <c r="G103">
        <f>IF(F103="","",IF(F103&gt;=0.7,3,IF(F103&gt;=0.6,2,IF(F103&gt;=0.5,1,0))))</f>
        <v/>
      </c>
    </row>
    <row r="104">
      <c r="F104" s="5">
        <f>IF(D104=0,"",E104/D104)</f>
        <v/>
      </c>
      <c r="G104">
        <f>IF(F104="","",IF(F104&gt;=0.7,3,IF(F104&gt;=0.6,2,IF(F104&gt;=0.5,1,0))))</f>
        <v/>
      </c>
    </row>
    <row r="105">
      <c r="F105" s="5">
        <f>IF(D105=0,"",E105/D105)</f>
        <v/>
      </c>
      <c r="G105">
        <f>IF(F105="","",IF(F105&gt;=0.7,3,IF(F105&gt;=0.6,2,IF(F105&gt;=0.5,1,0))))</f>
        <v/>
      </c>
    </row>
    <row r="106">
      <c r="F106" s="5">
        <f>IF(D106=0,"",E106/D106)</f>
        <v/>
      </c>
      <c r="G106">
        <f>IF(F106="","",IF(F106&gt;=0.7,3,IF(F106&gt;=0.6,2,IF(F106&gt;=0.5,1,0))))</f>
        <v/>
      </c>
    </row>
    <row r="107">
      <c r="F107" s="5">
        <f>IF(D107=0,"",E107/D107)</f>
        <v/>
      </c>
      <c r="G107">
        <f>IF(F107="","",IF(F107&gt;=0.7,3,IF(F107&gt;=0.6,2,IF(F107&gt;=0.5,1,0))))</f>
        <v/>
      </c>
    </row>
    <row r="108">
      <c r="F108" s="5">
        <f>IF(D108=0,"",E108/D108)</f>
        <v/>
      </c>
      <c r="G108">
        <f>IF(F108="","",IF(F108&gt;=0.7,3,IF(F108&gt;=0.6,2,IF(F108&gt;=0.5,1,0))))</f>
        <v/>
      </c>
    </row>
    <row r="109">
      <c r="F109" s="5">
        <f>IF(D109=0,"",E109/D109)</f>
        <v/>
      </c>
      <c r="G109">
        <f>IF(F109="","",IF(F109&gt;=0.7,3,IF(F109&gt;=0.6,2,IF(F109&gt;=0.5,1,0))))</f>
        <v/>
      </c>
    </row>
    <row r="110">
      <c r="F110" s="5">
        <f>IF(D110=0,"",E110/D110)</f>
        <v/>
      </c>
      <c r="G110">
        <f>IF(F110="","",IF(F110&gt;=0.7,3,IF(F110&gt;=0.6,2,IF(F110&gt;=0.5,1,0))))</f>
        <v/>
      </c>
    </row>
    <row r="111">
      <c r="F111" s="5">
        <f>IF(D111=0,"",E111/D111)</f>
        <v/>
      </c>
      <c r="G111">
        <f>IF(F111="","",IF(F111&gt;=0.7,3,IF(F111&gt;=0.6,2,IF(F111&gt;=0.5,1,0))))</f>
        <v/>
      </c>
    </row>
    <row r="112">
      <c r="F112" s="5">
        <f>IF(D112=0,"",E112/D112)</f>
        <v/>
      </c>
      <c r="G112">
        <f>IF(F112="","",IF(F112&gt;=0.7,3,IF(F112&gt;=0.6,2,IF(F112&gt;=0.5,1,0))))</f>
        <v/>
      </c>
    </row>
    <row r="113">
      <c r="F113" s="5">
        <f>IF(D113=0,"",E113/D113)</f>
        <v/>
      </c>
      <c r="G113">
        <f>IF(F113="","",IF(F113&gt;=0.7,3,IF(F113&gt;=0.6,2,IF(F113&gt;=0.5,1,0))))</f>
        <v/>
      </c>
    </row>
    <row r="114">
      <c r="F114" s="5">
        <f>IF(D114=0,"",E114/D114)</f>
        <v/>
      </c>
      <c r="G114">
        <f>IF(F114="","",IF(F114&gt;=0.7,3,IF(F114&gt;=0.6,2,IF(F114&gt;=0.5,1,0))))</f>
        <v/>
      </c>
    </row>
    <row r="115">
      <c r="F115" s="5">
        <f>IF(D115=0,"",E115/D115)</f>
        <v/>
      </c>
      <c r="G115">
        <f>IF(F115="","",IF(F115&gt;=0.7,3,IF(F115&gt;=0.6,2,IF(F115&gt;=0.5,1,0))))</f>
        <v/>
      </c>
    </row>
    <row r="116">
      <c r="F116" s="5">
        <f>IF(D116=0,"",E116/D116)</f>
        <v/>
      </c>
      <c r="G116">
        <f>IF(F116="","",IF(F116&gt;=0.7,3,IF(F116&gt;=0.6,2,IF(F116&gt;=0.5,1,0))))</f>
        <v/>
      </c>
    </row>
    <row r="117">
      <c r="F117" s="5">
        <f>IF(D117=0,"",E117/D117)</f>
        <v/>
      </c>
      <c r="G117">
        <f>IF(F117="","",IF(F117&gt;=0.7,3,IF(F117&gt;=0.6,2,IF(F117&gt;=0.5,1,0))))</f>
        <v/>
      </c>
    </row>
    <row r="118">
      <c r="F118" s="5">
        <f>IF(D118=0,"",E118/D118)</f>
        <v/>
      </c>
      <c r="G118">
        <f>IF(F118="","",IF(F118&gt;=0.7,3,IF(F118&gt;=0.6,2,IF(F118&gt;=0.5,1,0))))</f>
        <v/>
      </c>
    </row>
    <row r="119">
      <c r="F119" s="5">
        <f>IF(D119=0,"",E119/D119)</f>
        <v/>
      </c>
      <c r="G119">
        <f>IF(F119="","",IF(F119&gt;=0.7,3,IF(F119&gt;=0.6,2,IF(F119&gt;=0.5,1,0))))</f>
        <v/>
      </c>
    </row>
    <row r="120">
      <c r="F120" s="5">
        <f>IF(D120=0,"",E120/D120)</f>
        <v/>
      </c>
      <c r="G120">
        <f>IF(F120="","",IF(F120&gt;=0.7,3,IF(F120&gt;=0.6,2,IF(F120&gt;=0.5,1,0))))</f>
        <v/>
      </c>
    </row>
    <row r="121">
      <c r="F121" s="5">
        <f>IF(D121=0,"",E121/D121)</f>
        <v/>
      </c>
      <c r="G121">
        <f>IF(F121="","",IF(F121&gt;=0.7,3,IF(F121&gt;=0.6,2,IF(F121&gt;=0.5,1,0))))</f>
        <v/>
      </c>
    </row>
    <row r="122">
      <c r="F122" s="5">
        <f>IF(D122=0,"",E122/D122)</f>
        <v/>
      </c>
      <c r="G122">
        <f>IF(F122="","",IF(F122&gt;=0.7,3,IF(F122&gt;=0.6,2,IF(F122&gt;=0.5,1,0))))</f>
        <v/>
      </c>
    </row>
    <row r="123">
      <c r="F123" s="5">
        <f>IF(D123=0,"",E123/D123)</f>
        <v/>
      </c>
      <c r="G123">
        <f>IF(F123="","",IF(F123&gt;=0.7,3,IF(F123&gt;=0.6,2,IF(F123&gt;=0.5,1,0))))</f>
        <v/>
      </c>
    </row>
    <row r="124">
      <c r="F124" s="5">
        <f>IF(D124=0,"",E124/D124)</f>
        <v/>
      </c>
      <c r="G124">
        <f>IF(F124="","",IF(F124&gt;=0.7,3,IF(F124&gt;=0.6,2,IF(F124&gt;=0.5,1,0))))</f>
        <v/>
      </c>
    </row>
    <row r="125">
      <c r="F125" s="5">
        <f>IF(D125=0,"",E125/D125)</f>
        <v/>
      </c>
      <c r="G125">
        <f>IF(F125="","",IF(F125&gt;=0.7,3,IF(F125&gt;=0.6,2,IF(F125&gt;=0.5,1,0))))</f>
        <v/>
      </c>
    </row>
    <row r="126">
      <c r="F126" s="5">
        <f>IF(D126=0,"",E126/D126)</f>
        <v/>
      </c>
      <c r="G126">
        <f>IF(F126="","",IF(F126&gt;=0.7,3,IF(F126&gt;=0.6,2,IF(F126&gt;=0.5,1,0))))</f>
        <v/>
      </c>
    </row>
    <row r="127">
      <c r="F127" s="5">
        <f>IF(D127=0,"",E127/D127)</f>
        <v/>
      </c>
      <c r="G127">
        <f>IF(F127="","",IF(F127&gt;=0.7,3,IF(F127&gt;=0.6,2,IF(F127&gt;=0.5,1,0))))</f>
        <v/>
      </c>
    </row>
    <row r="128">
      <c r="F128" s="5">
        <f>IF(D128=0,"",E128/D128)</f>
        <v/>
      </c>
      <c r="G128">
        <f>IF(F128="","",IF(F128&gt;=0.7,3,IF(F128&gt;=0.6,2,IF(F128&gt;=0.5,1,0))))</f>
        <v/>
      </c>
    </row>
    <row r="129">
      <c r="F129" s="5">
        <f>IF(D129=0,"",E129/D129)</f>
        <v/>
      </c>
      <c r="G129">
        <f>IF(F129="","",IF(F129&gt;=0.7,3,IF(F129&gt;=0.6,2,IF(F129&gt;=0.5,1,0))))</f>
        <v/>
      </c>
    </row>
    <row r="130">
      <c r="F130" s="5">
        <f>IF(D130=0,"",E130/D130)</f>
        <v/>
      </c>
      <c r="G130">
        <f>IF(F130="","",IF(F130&gt;=0.7,3,IF(F130&gt;=0.6,2,IF(F130&gt;=0.5,1,0))))</f>
        <v/>
      </c>
    </row>
    <row r="131">
      <c r="F131" s="5">
        <f>IF(D131=0,"",E131/D131)</f>
        <v/>
      </c>
      <c r="G131">
        <f>IF(F131="","",IF(F131&gt;=0.7,3,IF(F131&gt;=0.6,2,IF(F131&gt;=0.5,1,0))))</f>
        <v/>
      </c>
    </row>
    <row r="132">
      <c r="F132" s="5">
        <f>IF(D132=0,"",E132/D132)</f>
        <v/>
      </c>
      <c r="G132">
        <f>IF(F132="","",IF(F132&gt;=0.7,3,IF(F132&gt;=0.6,2,IF(F132&gt;=0.5,1,0))))</f>
        <v/>
      </c>
    </row>
    <row r="133">
      <c r="F133" s="5">
        <f>IF(D133=0,"",E133/D133)</f>
        <v/>
      </c>
      <c r="G133">
        <f>IF(F133="","",IF(F133&gt;=0.7,3,IF(F133&gt;=0.6,2,IF(F133&gt;=0.5,1,0))))</f>
        <v/>
      </c>
    </row>
    <row r="134">
      <c r="F134" s="5">
        <f>IF(D134=0,"",E134/D134)</f>
        <v/>
      </c>
      <c r="G134">
        <f>IF(F134="","",IF(F134&gt;=0.7,3,IF(F134&gt;=0.6,2,IF(F134&gt;=0.5,1,0))))</f>
        <v/>
      </c>
    </row>
    <row r="135">
      <c r="F135" s="5">
        <f>IF(D135=0,"",E135/D135)</f>
        <v/>
      </c>
      <c r="G135">
        <f>IF(F135="","",IF(F135&gt;=0.7,3,IF(F135&gt;=0.6,2,IF(F135&gt;=0.5,1,0))))</f>
        <v/>
      </c>
    </row>
    <row r="136">
      <c r="F136" s="5">
        <f>IF(D136=0,"",E136/D136)</f>
        <v/>
      </c>
      <c r="G136">
        <f>IF(F136="","",IF(F136&gt;=0.7,3,IF(F136&gt;=0.6,2,IF(F136&gt;=0.5,1,0))))</f>
        <v/>
      </c>
    </row>
    <row r="137">
      <c r="F137" s="5">
        <f>IF(D137=0,"",E137/D137)</f>
        <v/>
      </c>
      <c r="G137">
        <f>IF(F137="","",IF(F137&gt;=0.7,3,IF(F137&gt;=0.6,2,IF(F137&gt;=0.5,1,0))))</f>
        <v/>
      </c>
    </row>
    <row r="138">
      <c r="F138" s="5">
        <f>IF(D138=0,"",E138/D138)</f>
        <v/>
      </c>
      <c r="G138">
        <f>IF(F138="","",IF(F138&gt;=0.7,3,IF(F138&gt;=0.6,2,IF(F138&gt;=0.5,1,0))))</f>
        <v/>
      </c>
    </row>
    <row r="139">
      <c r="F139" s="5">
        <f>IF(D139=0,"",E139/D139)</f>
        <v/>
      </c>
      <c r="G139">
        <f>IF(F139="","",IF(F139&gt;=0.7,3,IF(F139&gt;=0.6,2,IF(F139&gt;=0.5,1,0))))</f>
        <v/>
      </c>
    </row>
    <row r="140">
      <c r="F140" s="5">
        <f>IF(D140=0,"",E140/D140)</f>
        <v/>
      </c>
      <c r="G140">
        <f>IF(F140="","",IF(F140&gt;=0.7,3,IF(F140&gt;=0.6,2,IF(F140&gt;=0.5,1,0))))</f>
        <v/>
      </c>
    </row>
    <row r="141">
      <c r="F141" s="5">
        <f>IF(D141=0,"",E141/D141)</f>
        <v/>
      </c>
      <c r="G141">
        <f>IF(F141="","",IF(F141&gt;=0.7,3,IF(F141&gt;=0.6,2,IF(F141&gt;=0.5,1,0))))</f>
        <v/>
      </c>
    </row>
    <row r="142">
      <c r="F142" s="5">
        <f>IF(D142=0,"",E142/D142)</f>
        <v/>
      </c>
      <c r="G142">
        <f>IF(F142="","",IF(F142&gt;=0.7,3,IF(F142&gt;=0.6,2,IF(F142&gt;=0.5,1,0))))</f>
        <v/>
      </c>
    </row>
    <row r="143">
      <c r="F143" s="5">
        <f>IF(D143=0,"",E143/D143)</f>
        <v/>
      </c>
      <c r="G143">
        <f>IF(F143="","",IF(F143&gt;=0.7,3,IF(F143&gt;=0.6,2,IF(F143&gt;=0.5,1,0))))</f>
        <v/>
      </c>
    </row>
    <row r="144">
      <c r="F144" s="5">
        <f>IF(D144=0,"",E144/D144)</f>
        <v/>
      </c>
      <c r="G144">
        <f>IF(F144="","",IF(F144&gt;=0.7,3,IF(F144&gt;=0.6,2,IF(F144&gt;=0.5,1,0))))</f>
        <v/>
      </c>
    </row>
    <row r="145">
      <c r="F145" s="5">
        <f>IF(D145=0,"",E145/D145)</f>
        <v/>
      </c>
      <c r="G145">
        <f>IF(F145="","",IF(F145&gt;=0.7,3,IF(F145&gt;=0.6,2,IF(F145&gt;=0.5,1,0))))</f>
        <v/>
      </c>
    </row>
    <row r="146">
      <c r="F146" s="5">
        <f>IF(D146=0,"",E146/D146)</f>
        <v/>
      </c>
      <c r="G146">
        <f>IF(F146="","",IF(F146&gt;=0.7,3,IF(F146&gt;=0.6,2,IF(F146&gt;=0.5,1,0))))</f>
        <v/>
      </c>
    </row>
    <row r="147">
      <c r="F147" s="5">
        <f>IF(D147=0,"",E147/D147)</f>
        <v/>
      </c>
      <c r="G147">
        <f>IF(F147="","",IF(F147&gt;=0.7,3,IF(F147&gt;=0.6,2,IF(F147&gt;=0.5,1,0))))</f>
        <v/>
      </c>
    </row>
    <row r="148">
      <c r="F148" s="5">
        <f>IF(D148=0,"",E148/D148)</f>
        <v/>
      </c>
      <c r="G148">
        <f>IF(F148="","",IF(F148&gt;=0.7,3,IF(F148&gt;=0.6,2,IF(F148&gt;=0.5,1,0))))</f>
        <v/>
      </c>
    </row>
    <row r="149">
      <c r="F149" s="5">
        <f>IF(D149=0,"",E149/D149)</f>
        <v/>
      </c>
      <c r="G149">
        <f>IF(F149="","",IF(F149&gt;=0.7,3,IF(F149&gt;=0.6,2,IF(F149&gt;=0.5,1,0))))</f>
        <v/>
      </c>
    </row>
    <row r="150">
      <c r="F150" s="5">
        <f>IF(D150=0,"",E150/D150)</f>
        <v/>
      </c>
      <c r="G150">
        <f>IF(F150="","",IF(F150&gt;=0.7,3,IF(F150&gt;=0.6,2,IF(F150&gt;=0.5,1,0))))</f>
        <v/>
      </c>
    </row>
    <row r="151">
      <c r="F151" s="5">
        <f>IF(D151=0,"",E151/D151)</f>
        <v/>
      </c>
      <c r="G151">
        <f>IF(F151="","",IF(F151&gt;=0.7,3,IF(F151&gt;=0.6,2,IF(F151&gt;=0.5,1,0))))</f>
        <v/>
      </c>
    </row>
    <row r="152">
      <c r="F152" s="5">
        <f>IF(D152=0,"",E152/D152)</f>
        <v/>
      </c>
      <c r="G152">
        <f>IF(F152="","",IF(F152&gt;=0.7,3,IF(F152&gt;=0.6,2,IF(F152&gt;=0.5,1,0))))</f>
        <v/>
      </c>
    </row>
    <row r="153">
      <c r="F153" s="5">
        <f>IF(D153=0,"",E153/D153)</f>
        <v/>
      </c>
      <c r="G153">
        <f>IF(F153="","",IF(F153&gt;=0.7,3,IF(F153&gt;=0.6,2,IF(F153&gt;=0.5,1,0))))</f>
        <v/>
      </c>
    </row>
    <row r="154">
      <c r="F154" s="5">
        <f>IF(D154=0,"",E154/D154)</f>
        <v/>
      </c>
      <c r="G154">
        <f>IF(F154="","",IF(F154&gt;=0.7,3,IF(F154&gt;=0.6,2,IF(F154&gt;=0.5,1,0))))</f>
        <v/>
      </c>
    </row>
    <row r="155">
      <c r="F155" s="5">
        <f>IF(D155=0,"",E155/D155)</f>
        <v/>
      </c>
      <c r="G155">
        <f>IF(F155="","",IF(F155&gt;=0.7,3,IF(F155&gt;=0.6,2,IF(F155&gt;=0.5,1,0))))</f>
        <v/>
      </c>
    </row>
    <row r="156">
      <c r="F156" s="5">
        <f>IF(D156=0,"",E156/D156)</f>
        <v/>
      </c>
      <c r="G156">
        <f>IF(F156="","",IF(F156&gt;=0.7,3,IF(F156&gt;=0.6,2,IF(F156&gt;=0.5,1,0))))</f>
        <v/>
      </c>
    </row>
    <row r="157">
      <c r="F157" s="5">
        <f>IF(D157=0,"",E157/D157)</f>
        <v/>
      </c>
      <c r="G157">
        <f>IF(F157="","",IF(F157&gt;=0.7,3,IF(F157&gt;=0.6,2,IF(F157&gt;=0.5,1,0))))</f>
        <v/>
      </c>
    </row>
    <row r="158">
      <c r="F158" s="5">
        <f>IF(D158=0,"",E158/D158)</f>
        <v/>
      </c>
      <c r="G158">
        <f>IF(F158="","",IF(F158&gt;=0.7,3,IF(F158&gt;=0.6,2,IF(F158&gt;=0.5,1,0))))</f>
        <v/>
      </c>
    </row>
    <row r="159">
      <c r="F159" s="5">
        <f>IF(D159=0,"",E159/D159)</f>
        <v/>
      </c>
      <c r="G159">
        <f>IF(F159="","",IF(F159&gt;=0.7,3,IF(F159&gt;=0.6,2,IF(F159&gt;=0.5,1,0))))</f>
        <v/>
      </c>
    </row>
    <row r="160">
      <c r="F160" s="5">
        <f>IF(D160=0,"",E160/D160)</f>
        <v/>
      </c>
      <c r="G160">
        <f>IF(F160="","",IF(F160&gt;=0.7,3,IF(F160&gt;=0.6,2,IF(F160&gt;=0.5,1,0))))</f>
        <v/>
      </c>
    </row>
    <row r="161">
      <c r="F161" s="5">
        <f>IF(D161=0,"",E161/D161)</f>
        <v/>
      </c>
      <c r="G161">
        <f>IF(F161="","",IF(F161&gt;=0.7,3,IF(F161&gt;=0.6,2,IF(F161&gt;=0.5,1,0))))</f>
        <v/>
      </c>
    </row>
    <row r="162">
      <c r="F162" s="5">
        <f>IF(D162=0,"",E162/D162)</f>
        <v/>
      </c>
      <c r="G162">
        <f>IF(F162="","",IF(F162&gt;=0.7,3,IF(F162&gt;=0.6,2,IF(F162&gt;=0.5,1,0))))</f>
        <v/>
      </c>
    </row>
    <row r="163">
      <c r="F163" s="5">
        <f>IF(D163=0,"",E163/D163)</f>
        <v/>
      </c>
      <c r="G163">
        <f>IF(F163="","",IF(F163&gt;=0.7,3,IF(F163&gt;=0.6,2,IF(F163&gt;=0.5,1,0))))</f>
        <v/>
      </c>
    </row>
    <row r="164">
      <c r="F164" s="5">
        <f>IF(D164=0,"",E164/D164)</f>
        <v/>
      </c>
      <c r="G164">
        <f>IF(F164="","",IF(F164&gt;=0.7,3,IF(F164&gt;=0.6,2,IF(F164&gt;=0.5,1,0))))</f>
        <v/>
      </c>
    </row>
    <row r="165">
      <c r="F165" s="5">
        <f>IF(D165=0,"",E165/D165)</f>
        <v/>
      </c>
      <c r="G165">
        <f>IF(F165="","",IF(F165&gt;=0.7,3,IF(F165&gt;=0.6,2,IF(F165&gt;=0.5,1,0))))</f>
        <v/>
      </c>
    </row>
    <row r="166">
      <c r="F166" s="5">
        <f>IF(D166=0,"",E166/D166)</f>
        <v/>
      </c>
      <c r="G166">
        <f>IF(F166="","",IF(F166&gt;=0.7,3,IF(F166&gt;=0.6,2,IF(F166&gt;=0.5,1,0))))</f>
        <v/>
      </c>
    </row>
    <row r="167">
      <c r="F167" s="5">
        <f>IF(D167=0,"",E167/D167)</f>
        <v/>
      </c>
      <c r="G167">
        <f>IF(F167="","",IF(F167&gt;=0.7,3,IF(F167&gt;=0.6,2,IF(F167&gt;=0.5,1,0))))</f>
        <v/>
      </c>
    </row>
    <row r="168">
      <c r="F168" s="5">
        <f>IF(D168=0,"",E168/D168)</f>
        <v/>
      </c>
      <c r="G168">
        <f>IF(F168="","",IF(F168&gt;=0.7,3,IF(F168&gt;=0.6,2,IF(F168&gt;=0.5,1,0))))</f>
        <v/>
      </c>
    </row>
    <row r="169">
      <c r="F169" s="5">
        <f>IF(D169=0,"",E169/D169)</f>
        <v/>
      </c>
      <c r="G169">
        <f>IF(F169="","",IF(F169&gt;=0.7,3,IF(F169&gt;=0.6,2,IF(F169&gt;=0.5,1,0))))</f>
        <v/>
      </c>
    </row>
    <row r="170">
      <c r="F170" s="5">
        <f>IF(D170=0,"",E170/D170)</f>
        <v/>
      </c>
      <c r="G170">
        <f>IF(F170="","",IF(F170&gt;=0.7,3,IF(F170&gt;=0.6,2,IF(F170&gt;=0.5,1,0))))</f>
        <v/>
      </c>
    </row>
    <row r="171">
      <c r="F171" s="5">
        <f>IF(D171=0,"",E171/D171)</f>
        <v/>
      </c>
      <c r="G171">
        <f>IF(F171="","",IF(F171&gt;=0.7,3,IF(F171&gt;=0.6,2,IF(F171&gt;=0.5,1,0))))</f>
        <v/>
      </c>
    </row>
    <row r="172">
      <c r="F172" s="5">
        <f>IF(D172=0,"",E172/D172)</f>
        <v/>
      </c>
      <c r="G172">
        <f>IF(F172="","",IF(F172&gt;=0.7,3,IF(F172&gt;=0.6,2,IF(F172&gt;=0.5,1,0))))</f>
        <v/>
      </c>
    </row>
    <row r="173">
      <c r="F173" s="5">
        <f>IF(D173=0,"",E173/D173)</f>
        <v/>
      </c>
      <c r="G173">
        <f>IF(F173="","",IF(F173&gt;=0.7,3,IF(F173&gt;=0.6,2,IF(F173&gt;=0.5,1,0))))</f>
        <v/>
      </c>
    </row>
    <row r="174">
      <c r="F174" s="5">
        <f>IF(D174=0,"",E174/D174)</f>
        <v/>
      </c>
      <c r="G174">
        <f>IF(F174="","",IF(F174&gt;=0.7,3,IF(F174&gt;=0.6,2,IF(F174&gt;=0.5,1,0))))</f>
        <v/>
      </c>
    </row>
    <row r="175">
      <c r="F175" s="5">
        <f>IF(D175=0,"",E175/D175)</f>
        <v/>
      </c>
      <c r="G175">
        <f>IF(F175="","",IF(F175&gt;=0.7,3,IF(F175&gt;=0.6,2,IF(F175&gt;=0.5,1,0))))</f>
        <v/>
      </c>
    </row>
    <row r="176">
      <c r="F176" s="5">
        <f>IF(D176=0,"",E176/D176)</f>
        <v/>
      </c>
      <c r="G176">
        <f>IF(F176="","",IF(F176&gt;=0.7,3,IF(F176&gt;=0.6,2,IF(F176&gt;=0.5,1,0))))</f>
        <v/>
      </c>
    </row>
    <row r="177">
      <c r="F177" s="5">
        <f>IF(D177=0,"",E177/D177)</f>
        <v/>
      </c>
      <c r="G177">
        <f>IF(F177="","",IF(F177&gt;=0.7,3,IF(F177&gt;=0.6,2,IF(F177&gt;=0.5,1,0))))</f>
        <v/>
      </c>
    </row>
    <row r="178">
      <c r="F178" s="5">
        <f>IF(D178=0,"",E178/D178)</f>
        <v/>
      </c>
      <c r="G178">
        <f>IF(F178="","",IF(F178&gt;=0.7,3,IF(F178&gt;=0.6,2,IF(F178&gt;=0.5,1,0))))</f>
        <v/>
      </c>
    </row>
    <row r="179">
      <c r="F179" s="5">
        <f>IF(D179=0,"",E179/D179)</f>
        <v/>
      </c>
      <c r="G179">
        <f>IF(F179="","",IF(F179&gt;=0.7,3,IF(F179&gt;=0.6,2,IF(F179&gt;=0.5,1,0))))</f>
        <v/>
      </c>
    </row>
    <row r="180">
      <c r="F180" s="5">
        <f>IF(D180=0,"",E180/D180)</f>
        <v/>
      </c>
      <c r="G180">
        <f>IF(F180="","",IF(F180&gt;=0.7,3,IF(F180&gt;=0.6,2,IF(F180&gt;=0.5,1,0))))</f>
        <v/>
      </c>
    </row>
    <row r="181">
      <c r="F181" s="5">
        <f>IF(D181=0,"",E181/D181)</f>
        <v/>
      </c>
      <c r="G181">
        <f>IF(F181="","",IF(F181&gt;=0.7,3,IF(F181&gt;=0.6,2,IF(F181&gt;=0.5,1,0))))</f>
        <v/>
      </c>
    </row>
    <row r="182">
      <c r="F182" s="5">
        <f>IF(D182=0,"",E182/D182)</f>
        <v/>
      </c>
      <c r="G182">
        <f>IF(F182="","",IF(F182&gt;=0.7,3,IF(F182&gt;=0.6,2,IF(F182&gt;=0.5,1,0))))</f>
        <v/>
      </c>
    </row>
    <row r="183">
      <c r="F183" s="5">
        <f>IF(D183=0,"",E183/D183)</f>
        <v/>
      </c>
      <c r="G183">
        <f>IF(F183="","",IF(F183&gt;=0.7,3,IF(F183&gt;=0.6,2,IF(F183&gt;=0.5,1,0))))</f>
        <v/>
      </c>
    </row>
    <row r="184">
      <c r="F184" s="5">
        <f>IF(D184=0,"",E184/D184)</f>
        <v/>
      </c>
      <c r="G184">
        <f>IF(F184="","",IF(F184&gt;=0.7,3,IF(F184&gt;=0.6,2,IF(F184&gt;=0.5,1,0))))</f>
        <v/>
      </c>
    </row>
    <row r="185">
      <c r="F185" s="5">
        <f>IF(D185=0,"",E185/D185)</f>
        <v/>
      </c>
      <c r="G185">
        <f>IF(F185="","",IF(F185&gt;=0.7,3,IF(F185&gt;=0.6,2,IF(F185&gt;=0.5,1,0))))</f>
        <v/>
      </c>
    </row>
    <row r="186">
      <c r="F186" s="5">
        <f>IF(D186=0,"",E186/D186)</f>
        <v/>
      </c>
      <c r="G186">
        <f>IF(F186="","",IF(F186&gt;=0.7,3,IF(F186&gt;=0.6,2,IF(F186&gt;=0.5,1,0))))</f>
        <v/>
      </c>
    </row>
    <row r="187">
      <c r="F187" s="5">
        <f>IF(D187=0,"",E187/D187)</f>
        <v/>
      </c>
      <c r="G187">
        <f>IF(F187="","",IF(F187&gt;=0.7,3,IF(F187&gt;=0.6,2,IF(F187&gt;=0.5,1,0))))</f>
        <v/>
      </c>
    </row>
    <row r="188">
      <c r="F188" s="5">
        <f>IF(D188=0,"",E188/D188)</f>
        <v/>
      </c>
      <c r="G188">
        <f>IF(F188="","",IF(F188&gt;=0.7,3,IF(F188&gt;=0.6,2,IF(F188&gt;=0.5,1,0))))</f>
        <v/>
      </c>
    </row>
    <row r="189">
      <c r="F189" s="5">
        <f>IF(D189=0,"",E189/D189)</f>
        <v/>
      </c>
      <c r="G189">
        <f>IF(F189="","",IF(F189&gt;=0.7,3,IF(F189&gt;=0.6,2,IF(F189&gt;=0.5,1,0))))</f>
        <v/>
      </c>
    </row>
    <row r="190">
      <c r="F190" s="5">
        <f>IF(D190=0,"",E190/D190)</f>
        <v/>
      </c>
      <c r="G190">
        <f>IF(F190="","",IF(F190&gt;=0.7,3,IF(F190&gt;=0.6,2,IF(F190&gt;=0.5,1,0))))</f>
        <v/>
      </c>
    </row>
    <row r="191">
      <c r="F191" s="5">
        <f>IF(D191=0,"",E191/D191)</f>
        <v/>
      </c>
      <c r="G191">
        <f>IF(F191="","",IF(F191&gt;=0.7,3,IF(F191&gt;=0.6,2,IF(F191&gt;=0.5,1,0))))</f>
        <v/>
      </c>
    </row>
    <row r="192">
      <c r="F192" s="5">
        <f>IF(D192=0,"",E192/D192)</f>
        <v/>
      </c>
      <c r="G192">
        <f>IF(F192="","",IF(F192&gt;=0.7,3,IF(F192&gt;=0.6,2,IF(F192&gt;=0.5,1,0))))</f>
        <v/>
      </c>
    </row>
    <row r="193">
      <c r="F193" s="5">
        <f>IF(D193=0,"",E193/D193)</f>
        <v/>
      </c>
      <c r="G193">
        <f>IF(F193="","",IF(F193&gt;=0.7,3,IF(F193&gt;=0.6,2,IF(F193&gt;=0.5,1,0))))</f>
        <v/>
      </c>
    </row>
    <row r="194">
      <c r="F194" s="5">
        <f>IF(D194=0,"",E194/D194)</f>
        <v/>
      </c>
      <c r="G194">
        <f>IF(F194="","",IF(F194&gt;=0.7,3,IF(F194&gt;=0.6,2,IF(F194&gt;=0.5,1,0))))</f>
        <v/>
      </c>
    </row>
    <row r="195">
      <c r="F195" s="5">
        <f>IF(D195=0,"",E195/D195)</f>
        <v/>
      </c>
      <c r="G195">
        <f>IF(F195="","",IF(F195&gt;=0.7,3,IF(F195&gt;=0.6,2,IF(F195&gt;=0.5,1,0))))</f>
        <v/>
      </c>
    </row>
    <row r="196">
      <c r="F196" s="5">
        <f>IF(D196=0,"",E196/D196)</f>
        <v/>
      </c>
      <c r="G196">
        <f>IF(F196="","",IF(F196&gt;=0.7,3,IF(F196&gt;=0.6,2,IF(F196&gt;=0.5,1,0))))</f>
        <v/>
      </c>
    </row>
    <row r="197">
      <c r="F197" s="5">
        <f>IF(D197=0,"",E197/D197)</f>
        <v/>
      </c>
      <c r="G197">
        <f>IF(F197="","",IF(F197&gt;=0.7,3,IF(F197&gt;=0.6,2,IF(F197&gt;=0.5,1,0))))</f>
        <v/>
      </c>
    </row>
    <row r="198">
      <c r="F198" s="5">
        <f>IF(D198=0,"",E198/D198)</f>
        <v/>
      </c>
      <c r="G198">
        <f>IF(F198="","",IF(F198&gt;=0.7,3,IF(F198&gt;=0.6,2,IF(F198&gt;=0.5,1,0))))</f>
        <v/>
      </c>
    </row>
    <row r="199">
      <c r="F199" s="5">
        <f>IF(D199=0,"",E199/D199)</f>
        <v/>
      </c>
      <c r="G199">
        <f>IF(F199="","",IF(F199&gt;=0.7,3,IF(F199&gt;=0.6,2,IF(F199&gt;=0.5,1,0))))</f>
        <v/>
      </c>
    </row>
    <row r="200">
      <c r="F200" s="5">
        <f>IF(D200=0,"",E200/D200)</f>
        <v/>
      </c>
      <c r="G200">
        <f>IF(F200="","",IF(F200&gt;=0.7,3,IF(F200&gt;=0.6,2,IF(F200&gt;=0.5,1,0))))</f>
        <v/>
      </c>
    </row>
    <row r="201">
      <c r="F201" s="5">
        <f>IF(D201=0,"",E201/D201)</f>
        <v/>
      </c>
      <c r="G201">
        <f>IF(F201="","",IF(F201&gt;=0.7,3,IF(F201&gt;=0.6,2,IF(F201&gt;=0.5,1,0))))</f>
        <v/>
      </c>
    </row>
    <row r="202">
      <c r="F202" s="5">
        <f>IF(D202=0,"",E202/D202)</f>
        <v/>
      </c>
      <c r="G202">
        <f>IF(F202="","",IF(F202&gt;=0.7,3,IF(F202&gt;=0.6,2,IF(F202&gt;=0.5,1,0))))</f>
        <v/>
      </c>
    </row>
    <row r="210">
      <c r="A210" s="6" t="inlineStr">
        <is>
          <t>Section B: CO-wise Weighted Averages</t>
        </is>
      </c>
    </row>
    <row r="211">
      <c r="A211" s="6" t="inlineStr">
        <is>
          <t>CO</t>
        </is>
      </c>
      <c r="B211" s="6" t="inlineStr">
        <is>
          <t>Avg % Assignment</t>
        </is>
      </c>
      <c r="C211" s="6" t="inlineStr">
        <is>
          <t>Avg % UT</t>
        </is>
      </c>
      <c r="D211" s="6" t="inlineStr">
        <is>
          <t>Avg % Mid-Term</t>
        </is>
      </c>
      <c r="E211" s="6" t="inlineStr">
        <is>
          <t>Weighted Avg % (Auto)</t>
        </is>
      </c>
      <c r="F211" s="6" t="inlineStr">
        <is>
          <t>Attainment Level (0–3)</t>
        </is>
      </c>
    </row>
    <row r="212">
      <c r="A212" t="inlineStr">
        <is>
          <t>CO1</t>
        </is>
      </c>
      <c r="E212">
        <f>IF(COUNTA(B212:D212)=0,"",B212*'CO Attainment Analysis'!$I$205+C212*'CO Attainment Analysis'!$J$205+D212*'CO Attainment Analysis'!$K$205)</f>
        <v/>
      </c>
      <c r="F212">
        <f>IF(E212="","",IF(E212&gt;=0.7,3,IF(E212&gt;=0.6,2,IF(E212&gt;=0.5,1,0))))</f>
        <v/>
      </c>
    </row>
    <row r="213">
      <c r="A213" t="inlineStr">
        <is>
          <t>CO2</t>
        </is>
      </c>
      <c r="E213">
        <f>IF(COUNTA(B213:D213)=0,"",B213*'CO Attainment Analysis'!$I$205+C213*'CO Attainment Analysis'!$J$205+D213*'CO Attainment Analysis'!$K$205)</f>
        <v/>
      </c>
      <c r="F213">
        <f>IF(E213="","",IF(E213&gt;=0.7,3,IF(E213&gt;=0.6,2,IF(E213&gt;=0.5,1,0))))</f>
        <v/>
      </c>
    </row>
    <row r="214">
      <c r="A214" t="inlineStr">
        <is>
          <t>CO3</t>
        </is>
      </c>
      <c r="E214">
        <f>IF(COUNTA(B214:D214)=0,"",B214*'CO Attainment Analysis'!$I$205+C214*'CO Attainment Analysis'!$J$205+D214*'CO Attainment Analysis'!$K$205)</f>
        <v/>
      </c>
      <c r="F214">
        <f>IF(E214="","",IF(E214&gt;=0.7,3,IF(E214&gt;=0.6,2,IF(E214&gt;=0.5,1,0))))</f>
        <v/>
      </c>
    </row>
    <row r="215">
      <c r="A215" t="inlineStr">
        <is>
          <t>CO4</t>
        </is>
      </c>
      <c r="E215">
        <f>IF(COUNTA(B215:D215)=0,"",B215*'CO Attainment Analysis'!$I$205+C215*'CO Attainment Analysis'!$J$205+D215*'CO Attainment Analysis'!$K$205)</f>
        <v/>
      </c>
      <c r="F215">
        <f>IF(E215="","",IF(E215&gt;=0.7,3,IF(E215&gt;=0.6,2,IF(E215&gt;=0.5,1,0))))</f>
        <v/>
      </c>
    </row>
    <row r="230">
      <c r="A230" s="6" t="inlineStr">
        <is>
          <t>Section C: CO → PO Aggregation (Weighted by Mapping Strengths)</t>
        </is>
      </c>
    </row>
    <row r="231">
      <c r="A231" s="6" t="inlineStr">
        <is>
          <t>PO</t>
        </is>
      </c>
      <c r="B231" s="6" t="inlineStr">
        <is>
          <t>Contributing COs</t>
        </is>
      </c>
      <c r="C231" s="6" t="inlineStr">
        <is>
          <t>Aggregated Attainment (Auto)</t>
        </is>
      </c>
    </row>
    <row r="232">
      <c r="A232" t="inlineStr">
        <is>
          <t>PO1</t>
        </is>
      </c>
      <c r="B232">
        <f>TEXTJOIN(", ",TRUE,IF('CO–PO Mapping &amp; Attainment'!B$3:M$6&lt;&gt;"",'CO–PO Mapping &amp; Attainment'!$A$3:$A$6,""))</f>
        <v/>
      </c>
      <c r="C232">
        <f>IF(SUM('CO–PO Mapping &amp; Attainment'!B$3:M$6)=0,"",SUMPRODUCT('CO–PO Mapping &amp; Attainment'!$C$10:$C$13,'CO–PO Mapping &amp; Attainment'!B$3:M$6)/SUM('CO–PO Mapping &amp; Attainment'!B$3:M$6))</f>
        <v/>
      </c>
    </row>
    <row r="233">
      <c r="A233" t="inlineStr">
        <is>
          <t>PO2</t>
        </is>
      </c>
      <c r="B233">
        <f>TEXTJOIN(", ",TRUE,IF('CO–PO Mapping &amp; Attainment'!B$3:M$6&lt;&gt;"",'CO–PO Mapping &amp; Attainment'!$A$3:$A$6,""))</f>
        <v/>
      </c>
      <c r="C233">
        <f>IF(SUM('CO–PO Mapping &amp; Attainment'!B$3:M$6)=0,"",SUMPRODUCT('CO–PO Mapping &amp; Attainment'!$C$10:$C$13,'CO–PO Mapping &amp; Attainment'!B$3:M$6)/SUM('CO–PO Mapping &amp; Attainment'!B$3:M$6))</f>
        <v/>
      </c>
    </row>
    <row r="234">
      <c r="A234" t="inlineStr">
        <is>
          <t>PO3</t>
        </is>
      </c>
      <c r="B234">
        <f>TEXTJOIN(", ",TRUE,IF('CO–PO Mapping &amp; Attainment'!B$3:M$6&lt;&gt;"",'CO–PO Mapping &amp; Attainment'!$A$3:$A$6,""))</f>
        <v/>
      </c>
      <c r="C234">
        <f>IF(SUM('CO–PO Mapping &amp; Attainment'!B$3:M$6)=0,"",SUMPRODUCT('CO–PO Mapping &amp; Attainment'!$C$10:$C$13,'CO–PO Mapping &amp; Attainment'!B$3:M$6)/SUM('CO–PO Mapping &amp; Attainment'!B$3:M$6))</f>
        <v/>
      </c>
    </row>
    <row r="235">
      <c r="A235" t="inlineStr">
        <is>
          <t>PO4</t>
        </is>
      </c>
      <c r="B235">
        <f>TEXTJOIN(", ",TRUE,IF('CO–PO Mapping &amp; Attainment'!B$3:M$6&lt;&gt;"",'CO–PO Mapping &amp; Attainment'!$A$3:$A$6,""))</f>
        <v/>
      </c>
      <c r="C235">
        <f>IF(SUM('CO–PO Mapping &amp; Attainment'!B$3:M$6)=0,"",SUMPRODUCT('CO–PO Mapping &amp; Attainment'!$C$10:$C$13,'CO–PO Mapping &amp; Attainment'!B$3:M$6)/SUM('CO–PO Mapping &amp; Attainment'!B$3:M$6))</f>
        <v/>
      </c>
    </row>
    <row r="236">
      <c r="A236" t="inlineStr">
        <is>
          <t>PO5</t>
        </is>
      </c>
      <c r="B236">
        <f>TEXTJOIN(", ",TRUE,IF('CO–PO Mapping &amp; Attainment'!B$3:M$6&lt;&gt;"",'CO–PO Mapping &amp; Attainment'!$A$3:$A$6,""))</f>
        <v/>
      </c>
      <c r="C236">
        <f>IF(SUM('CO–PO Mapping &amp; Attainment'!B$3:M$6)=0,"",SUMPRODUCT('CO–PO Mapping &amp; Attainment'!$C$10:$C$13,'CO–PO Mapping &amp; Attainment'!B$3:M$6)/SUM('CO–PO Mapping &amp; Attainment'!B$3:M$6))</f>
        <v/>
      </c>
    </row>
    <row r="237">
      <c r="A237" t="inlineStr">
        <is>
          <t>PO6</t>
        </is>
      </c>
      <c r="B237">
        <f>TEXTJOIN(", ",TRUE,IF('CO–PO Mapping &amp; Attainment'!B$3:M$6&lt;&gt;"",'CO–PO Mapping &amp; Attainment'!$A$3:$A$6,""))</f>
        <v/>
      </c>
      <c r="C237">
        <f>IF(SUM('CO–PO Mapping &amp; Attainment'!B$3:M$6)=0,"",SUMPRODUCT('CO–PO Mapping &amp; Attainment'!$C$10:$C$13,'CO–PO Mapping &amp; Attainment'!B$3:M$6)/SUM('CO–PO Mapping &amp; Attainment'!B$3:M$6))</f>
        <v/>
      </c>
    </row>
    <row r="238">
      <c r="A238" t="inlineStr">
        <is>
          <t>PO7</t>
        </is>
      </c>
      <c r="B238">
        <f>TEXTJOIN(", ",TRUE,IF('CO–PO Mapping &amp; Attainment'!B$3:M$6&lt;&gt;"",'CO–PO Mapping &amp; Attainment'!$A$3:$A$6,""))</f>
        <v/>
      </c>
      <c r="C238">
        <f>IF(SUM('CO–PO Mapping &amp; Attainment'!B$3:M$6)=0,"",SUMPRODUCT('CO–PO Mapping &amp; Attainment'!$C$10:$C$13,'CO–PO Mapping &amp; Attainment'!B$3:M$6)/SUM('CO–PO Mapping &amp; Attainment'!B$3:M$6))</f>
        <v/>
      </c>
    </row>
    <row r="239">
      <c r="A239" t="inlineStr">
        <is>
          <t>PO8</t>
        </is>
      </c>
      <c r="B239">
        <f>TEXTJOIN(", ",TRUE,IF('CO–PO Mapping &amp; Attainment'!B$3:M$6&lt;&gt;"",'CO–PO Mapping &amp; Attainment'!$A$3:$A$6,""))</f>
        <v/>
      </c>
      <c r="C239">
        <f>IF(SUM('CO–PO Mapping &amp; Attainment'!B$3:M$6)=0,"",SUMPRODUCT('CO–PO Mapping &amp; Attainment'!$C$10:$C$13,'CO–PO Mapping &amp; Attainment'!B$3:M$6)/SUM('CO–PO Mapping &amp; Attainment'!B$3:M$6))</f>
        <v/>
      </c>
    </row>
    <row r="240">
      <c r="A240" t="inlineStr">
        <is>
          <t>PO9</t>
        </is>
      </c>
      <c r="B240">
        <f>TEXTJOIN(", ",TRUE,IF('CO–PO Mapping &amp; Attainment'!B$3:M$6&lt;&gt;"",'CO–PO Mapping &amp; Attainment'!$A$3:$A$6,""))</f>
        <v/>
      </c>
      <c r="C240">
        <f>IF(SUM('CO–PO Mapping &amp; Attainment'!B$3:M$6)=0,"",SUMPRODUCT('CO–PO Mapping &amp; Attainment'!$C$10:$C$13,'CO–PO Mapping &amp; Attainment'!B$3:M$6)/SUM('CO–PO Mapping &amp; Attainment'!B$3:M$6))</f>
        <v/>
      </c>
    </row>
    <row r="241">
      <c r="A241" t="inlineStr">
        <is>
          <t>PO10</t>
        </is>
      </c>
      <c r="B241">
        <f>TEXTJOIN(", ",TRUE,IF('CO–PO Mapping &amp; Attainment'!B$3:M$6&lt;&gt;"",'CO–PO Mapping &amp; Attainment'!$A$3:$A$6,""))</f>
        <v/>
      </c>
      <c r="C241">
        <f>IF(SUM('CO–PO Mapping &amp; Attainment'!B$3:M$6)=0,"",SUMPRODUCT('CO–PO Mapping &amp; Attainment'!$C$10:$C$13,'CO–PO Mapping &amp; Attainment'!B$3:M$6)/SUM('CO–PO Mapping &amp; Attainment'!B$3:M$6))</f>
        <v/>
      </c>
    </row>
    <row r="242">
      <c r="A242" t="inlineStr">
        <is>
          <t>PO11</t>
        </is>
      </c>
      <c r="B242">
        <f>TEXTJOIN(", ",TRUE,IF('CO–PO Mapping &amp; Attainment'!B$3:M$6&lt;&gt;"",'CO–PO Mapping &amp; Attainment'!$A$3:$A$6,""))</f>
        <v/>
      </c>
      <c r="C242">
        <f>IF(SUM('CO–PO Mapping &amp; Attainment'!B$3:M$6)=0,"",SUMPRODUCT('CO–PO Mapping &amp; Attainment'!$C$10:$C$13,'CO–PO Mapping &amp; Attainment'!B$3:M$6)/SUM('CO–PO Mapping &amp; Attainment'!B$3:M$6))</f>
        <v/>
      </c>
    </row>
    <row r="243">
      <c r="A243" t="inlineStr">
        <is>
          <t>PO12</t>
        </is>
      </c>
      <c r="B243">
        <f>TEXTJOIN(", ",TRUE,IF('CO–PO Mapping &amp; Attainment'!B$3:M$6&lt;&gt;"",'CO–PO Mapping &amp; Attainment'!$A$3:$A$6,""))</f>
        <v/>
      </c>
      <c r="C243">
        <f>IF(SUM('CO–PO Mapping &amp; Attainment'!B$3:M$6)=0,"",SUMPRODUCT('CO–PO Mapping &amp; Attainment'!$C$10:$C$13,'CO–PO Mapping &amp; Attainment'!B$3:M$6)/SUM('CO–PO Mapping &amp; Attainment'!B$3:M$6))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18" customWidth="1" min="3" max="3"/>
    <col width="28" customWidth="1" min="4" max="4"/>
    <col width="22" customWidth="1" min="5" max="5"/>
    <col width="22" customWidth="1" min="6" max="6"/>
  </cols>
  <sheetData>
    <row r="1">
      <c r="A1" s="6" t="inlineStr">
        <is>
          <t>Assignment-wise CO Attainment (Based on Assignment Mapping + Marks)</t>
        </is>
      </c>
    </row>
    <row r="2">
      <c r="A2" s="1" t="inlineStr">
        <is>
          <t>CO</t>
        </is>
      </c>
      <c r="B2" s="1" t="inlineStr">
        <is>
          <t>Assignments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",TRUE,IF('Assignment Mapping'!F$2:F$1000=A3,'Assignment Mapping'!C$2:C$1000,""))</f>
        <v/>
      </c>
      <c r="C3">
        <f>IFERROR(AVERAGEIFS('Continuous Assessment Records'!L:L,'Continuous Assessment Records'!F:F,A3,'Continuous Assessment Records'!C:C,"Assignment"),"")</f>
        <v/>
      </c>
      <c r="D3">
        <f>IF(C3="","",IF(C3&gt;=0.7,3,IF(C3&gt;=0.6,2,IF(C3&gt;=0.5,1,0))))</f>
        <v/>
      </c>
      <c r="E3">
        <f>TEXTJOIN(", ",TRUE,IF('Assignment Mapping'!F$2:F$1000=A3,'Assignment Mapping'!G$2:G$1000,""))</f>
        <v/>
      </c>
      <c r="F3">
        <f>TEXTJOIN(", ",TRUE,IF('Assignment Mapping'!F$2:F$1000=A3,'Assignment Mapping'!H$2:H$1000,""))</f>
        <v/>
      </c>
    </row>
    <row r="4">
      <c r="A4" t="inlineStr">
        <is>
          <t>CO2</t>
        </is>
      </c>
      <c r="B4">
        <f>TEXTJOIN(", ",TRUE,IF('Assignment Mapping'!F$2:F$1000=A4,'Assignment Mapping'!C$2:C$1000,""))</f>
        <v/>
      </c>
      <c r="C4">
        <f>IFERROR(AVERAGEIFS('Continuous Assessment Records'!L:L,'Continuous Assessment Records'!F:F,A4,'Continuous Assessment Records'!C:C,"Assignment"),"")</f>
        <v/>
      </c>
      <c r="D4">
        <f>IF(C4="","",IF(C4&gt;=0.7,3,IF(C4&gt;=0.6,2,IF(C4&gt;=0.5,1,0))))</f>
        <v/>
      </c>
      <c r="E4">
        <f>TEXTJOIN(", ",TRUE,IF('Assignment Mapping'!F$2:F$1000=A4,'Assignment Mapping'!G$2:G$1000,""))</f>
        <v/>
      </c>
      <c r="F4">
        <f>TEXTJOIN(", ",TRUE,IF('Assignment Mapping'!F$2:F$1000=A4,'Assignment Mapping'!H$2:H$1000,""))</f>
        <v/>
      </c>
    </row>
    <row r="5">
      <c r="A5" t="inlineStr">
        <is>
          <t>CO3</t>
        </is>
      </c>
      <c r="B5">
        <f>TEXTJOIN(", ",TRUE,IF('Assignment Mapping'!F$2:F$1000=A5,'Assignment Mapping'!C$2:C$1000,""))</f>
        <v/>
      </c>
      <c r="C5">
        <f>IFERROR(AVERAGEIFS('Continuous Assessment Records'!L:L,'Continuous Assessment Records'!F:F,A5,'Continuous Assessment Records'!C:C,"Assignment"),"")</f>
        <v/>
      </c>
      <c r="D5">
        <f>IF(C5="","",IF(C5&gt;=0.7,3,IF(C5&gt;=0.6,2,IF(C5&gt;=0.5,1,0))))</f>
        <v/>
      </c>
      <c r="E5">
        <f>TEXTJOIN(", ",TRUE,IF('Assignment Mapping'!F$2:F$1000=A5,'Assignment Mapping'!G$2:G$1000,""))</f>
        <v/>
      </c>
      <c r="F5">
        <f>TEXTJOIN(", ",TRUE,IF('Assignment Mapping'!F$2:F$1000=A5,'Assignment Mapping'!H$2:H$1000,""))</f>
        <v/>
      </c>
    </row>
    <row r="6">
      <c r="A6" t="inlineStr">
        <is>
          <t>CO4</t>
        </is>
      </c>
      <c r="B6">
        <f>TEXTJOIN(", ",TRUE,IF('Assignment Mapping'!F$2:F$1000=A6,'Assignment Mapping'!C$2:C$1000,""))</f>
        <v/>
      </c>
      <c r="C6">
        <f>IFERROR(AVERAGEIFS('Continuous Assessment Records'!L:L,'Continuous Assessment Records'!F:F,A6,'Continuous Assessment Records'!C:C,"Assignment"),"")</f>
        <v/>
      </c>
      <c r="D6">
        <f>IF(C6="","",IF(C6&gt;=0.7,3,IF(C6&gt;=0.6,2,IF(C6&gt;=0.5,1,0))))</f>
        <v/>
      </c>
      <c r="E6">
        <f>TEXTJOIN(", ",TRUE,IF('Assignment Mapping'!F$2:F$1000=A6,'Assignment Mapping'!G$2:G$1000,""))</f>
        <v/>
      </c>
      <c r="F6">
        <f>TEXTJOIN(", ",TRUE,IF('Assignment Mapping'!F$2:F$1000=A6,'Assignment Mapping'!H$2:H$1000,""))</f>
        <v/>
      </c>
    </row>
    <row r="8">
      <c r="A8" s="3" t="inlineStr">
        <is>
          <t>Note: Enter Assignment-to-CO mappings in 'Assignment Mapping' sheet and marks in 'Continuous Assessment Records'. This sheet auto-computes CO attainment for assignments.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20" customWidth="1" min="3" max="3"/>
    <col width="24" customWidth="1" min="4" max="4"/>
    <col width="22" customWidth="1" min="5" max="5"/>
    <col width="26" customWidth="1" min="6" max="6"/>
    <col width="28" customWidth="1" min="7" max="7"/>
    <col width="28" customWidth="1" min="8" max="8"/>
    <col width="24" customWidth="1" min="9" max="9"/>
    <col width="24" customWidth="1" min="10" max="10"/>
  </cols>
  <sheetData>
    <row r="1">
      <c r="A1" s="6" t="inlineStr">
        <is>
          <t>Consolidated CO Attainment Summary (Assignments + UTs + Mid-Terms + Indirect)</t>
        </is>
      </c>
    </row>
    <row r="2">
      <c r="A2" s="1" t="inlineStr">
        <is>
          <t>CO</t>
        </is>
      </c>
      <c r="B2" s="1" t="inlineStr">
        <is>
          <t>Assignment Avg % (Auto)</t>
        </is>
      </c>
      <c r="C2" s="1" t="inlineStr">
        <is>
          <t>UT Avg % (Auto)</t>
        </is>
      </c>
      <c r="D2" s="1" t="inlineStr">
        <is>
          <t>Mid-Term Avg % (Auto)</t>
        </is>
      </c>
      <c r="E2" s="1" t="inlineStr">
        <is>
          <t>Weighted Avg % (Auto)</t>
        </is>
      </c>
      <c r="F2" s="1" t="inlineStr">
        <is>
          <t>Direct Attainment Level (Auto)</t>
        </is>
      </c>
      <c r="G2" s="1" t="inlineStr">
        <is>
          <t>Indirect Attainment (Manual Entry)</t>
        </is>
      </c>
      <c r="H2" s="1" t="inlineStr">
        <is>
          <t>Final Attainment Level (Auto)</t>
        </is>
      </c>
      <c r="I2" s="1" t="inlineStr">
        <is>
          <t>PO(s) Mapped</t>
        </is>
      </c>
      <c r="J2" s="1" t="inlineStr">
        <is>
          <t>PSO(s) Mapped</t>
        </is>
      </c>
    </row>
    <row r="3">
      <c r="A3" t="inlineStr">
        <is>
          <t>CO1</t>
        </is>
      </c>
      <c r="B3">
        <f>'Assignment-wise Attainment'!C3</f>
        <v/>
      </c>
      <c r="C3">
        <f>'Unit Test-wise Attainment'!C3</f>
        <v/>
      </c>
      <c r="D3">
        <f>'Mid-Term-wise Attainment'!C3</f>
        <v/>
      </c>
      <c r="E3">
        <f>IF(C3="","",C3*$B$20+D3*$C$20+E3*$D$20)</f>
        <v/>
      </c>
      <c r="F3">
        <f>IF(E3="","",IF(E3&gt;=0.7,3,IF(E3&gt;=0.6,2,IF(E3&gt;=0.5,1,0))))</f>
        <v/>
      </c>
      <c r="H3">
        <f>IF(OR(F3="",G3=""),F3,ROUND(0.8*F3+0.2*G3,0))</f>
        <v/>
      </c>
      <c r="I3">
        <f>'Assignment-wise Attainment'!E3</f>
        <v/>
      </c>
      <c r="J3">
        <f>'Assignment-wise Attainment'!F3</f>
        <v/>
      </c>
    </row>
    <row r="4">
      <c r="A4" t="inlineStr">
        <is>
          <t>CO2</t>
        </is>
      </c>
      <c r="B4">
        <f>'Assignment-wise Attainment'!C4</f>
        <v/>
      </c>
      <c r="C4">
        <f>'Unit Test-wise Attainment'!C4</f>
        <v/>
      </c>
      <c r="D4">
        <f>'Mid-Term-wise Attainment'!C4</f>
        <v/>
      </c>
      <c r="E4">
        <f>IF(C4="","",C4*$B$20+D4*$C$20+E4*$D$20)</f>
        <v/>
      </c>
      <c r="F4">
        <f>IF(E4="","",IF(E4&gt;=0.7,3,IF(E4&gt;=0.6,2,IF(E4&gt;=0.5,1,0))))</f>
        <v/>
      </c>
      <c r="H4">
        <f>IF(OR(F4="",G4=""),F4,ROUND(0.8*F4+0.2*G4,0))</f>
        <v/>
      </c>
      <c r="I4">
        <f>'Assignment-wise Attainment'!E4</f>
        <v/>
      </c>
      <c r="J4">
        <f>'Assignment-wise Attainment'!F4</f>
        <v/>
      </c>
    </row>
    <row r="5">
      <c r="A5" t="inlineStr">
        <is>
          <t>CO3</t>
        </is>
      </c>
      <c r="B5">
        <f>'Assignment-wise Attainment'!C5</f>
        <v/>
      </c>
      <c r="C5">
        <f>'Unit Test-wise Attainment'!C5</f>
        <v/>
      </c>
      <c r="D5">
        <f>'Mid-Term-wise Attainment'!C5</f>
        <v/>
      </c>
      <c r="E5">
        <f>IF(C5="","",C5*$B$20+D5*$C$20+E5*$D$20)</f>
        <v/>
      </c>
      <c r="F5">
        <f>IF(E5="","",IF(E5&gt;=0.7,3,IF(E5&gt;=0.6,2,IF(E5&gt;=0.5,1,0))))</f>
        <v/>
      </c>
      <c r="H5">
        <f>IF(OR(F5="",G5=""),F5,ROUND(0.8*F5+0.2*G5,0))</f>
        <v/>
      </c>
      <c r="I5">
        <f>'Assignment-wise Attainment'!E5</f>
        <v/>
      </c>
      <c r="J5">
        <f>'Assignment-wise Attainment'!F5</f>
        <v/>
      </c>
    </row>
    <row r="6">
      <c r="A6" t="inlineStr">
        <is>
          <t>CO4</t>
        </is>
      </c>
      <c r="B6">
        <f>'Assignment-wise Attainment'!C6</f>
        <v/>
      </c>
      <c r="C6">
        <f>'Unit Test-wise Attainment'!C6</f>
        <v/>
      </c>
      <c r="D6">
        <f>'Mid-Term-wise Attainment'!C6</f>
        <v/>
      </c>
      <c r="E6">
        <f>IF(C6="","",C6*$B$20+D6*$C$20+E6*$D$20)</f>
        <v/>
      </c>
      <c r="F6">
        <f>IF(E6="","",IF(E6&gt;=0.7,3,IF(E6&gt;=0.6,2,IF(E6&gt;=0.5,1,0))))</f>
        <v/>
      </c>
      <c r="H6">
        <f>IF(OR(F6="",G6=""),F6,ROUND(0.8*F6+0.2*G6,0))</f>
        <v/>
      </c>
      <c r="I6">
        <f>'Assignment-wise Attainment'!E6</f>
        <v/>
      </c>
      <c r="J6">
        <f>'Assignment-wise Attainment'!F6</f>
        <v/>
      </c>
    </row>
    <row r="19">
      <c r="A19" s="6" t="inlineStr">
        <is>
          <t>Weights (Editable; sum=1.0)</t>
        </is>
      </c>
    </row>
    <row r="20">
      <c r="B20" t="n">
        <v>0.2</v>
      </c>
      <c r="C20" t="n">
        <v>0.3</v>
      </c>
      <c r="D20" t="n">
        <v>0.5</v>
      </c>
    </row>
    <row r="23">
      <c r="A23" s="3" t="inlineStr">
        <is>
          <t>Note: This summary auto-pulls Assignment attainment. Add UT-wise and Mid-Term-wise attainment sheets to complete linkage. Update weights in row 20.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32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6" t="inlineStr">
        <is>
          <t>Unit Test-wise CO Attainment (Based on UT Mapping + Marks)</t>
        </is>
      </c>
    </row>
    <row r="2">
      <c r="A2" s="1" t="inlineStr">
        <is>
          <t>CO</t>
        </is>
      </c>
      <c r="B2" s="1" t="inlineStr">
        <is>
          <t>Unit Test Questions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",TRUE,IF('Unit Test Mapping'!G$2:G$1000=A3,'Unit Test Mapping'!D$2:D$1000,""))</f>
        <v/>
      </c>
      <c r="C3">
        <f>IFERROR(AVERAGEIFS('Continuous Assessment Records'!L:L,'Continuous Assessment Records'!F:F,A3,'Continuous Assessment Records'!C:C,"Unit Test"),"")</f>
        <v/>
      </c>
      <c r="D3">
        <f>IF(C3="","",IF(C3&gt;=0.7,3,IF(C3&gt;=0.6,2,IF(C3&gt;=0.5,1,0))))</f>
        <v/>
      </c>
      <c r="E3">
        <f>TEXTJOIN(", ",TRUE,IF('Unit Test Mapping'!G$2:G$1000=A3,'Unit Test Mapping'!H$2:H$1000,""))</f>
        <v/>
      </c>
      <c r="F3">
        <f>TEXTJOIN(", ",TRUE,IF('Unit Test Mapping'!G$2:G$1000=A3,'Unit Test Mapping'!I$2:I$1000,""))</f>
        <v/>
      </c>
    </row>
    <row r="4">
      <c r="A4" t="inlineStr">
        <is>
          <t>CO2</t>
        </is>
      </c>
      <c r="B4">
        <f>TEXTJOIN(", ",TRUE,IF('Unit Test Mapping'!G$2:G$1000=A4,'Unit Test Mapping'!D$2:D$1000,""))</f>
        <v/>
      </c>
      <c r="C4">
        <f>IFERROR(AVERAGEIFS('Continuous Assessment Records'!L:L,'Continuous Assessment Records'!F:F,A4,'Continuous Assessment Records'!C:C,"Unit Test"),"")</f>
        <v/>
      </c>
      <c r="D4">
        <f>IF(C4="","",IF(C4&gt;=0.7,3,IF(C4&gt;=0.6,2,IF(C4&gt;=0.5,1,0))))</f>
        <v/>
      </c>
      <c r="E4">
        <f>TEXTJOIN(", ",TRUE,IF('Unit Test Mapping'!G$2:G$1000=A4,'Unit Test Mapping'!H$2:H$1000,""))</f>
        <v/>
      </c>
      <c r="F4">
        <f>TEXTJOIN(", ",TRUE,IF('Unit Test Mapping'!G$2:G$1000=A4,'Unit Test Mapping'!I$2:I$1000,""))</f>
        <v/>
      </c>
    </row>
    <row r="5">
      <c r="A5" t="inlineStr">
        <is>
          <t>CO3</t>
        </is>
      </c>
      <c r="B5">
        <f>TEXTJOIN(", ",TRUE,IF('Unit Test Mapping'!G$2:G$1000=A5,'Unit Test Mapping'!D$2:D$1000,""))</f>
        <v/>
      </c>
      <c r="C5">
        <f>IFERROR(AVERAGEIFS('Continuous Assessment Records'!L:L,'Continuous Assessment Records'!F:F,A5,'Continuous Assessment Records'!C:C,"Unit Test"),"")</f>
        <v/>
      </c>
      <c r="D5">
        <f>IF(C5="","",IF(C5&gt;=0.7,3,IF(C5&gt;=0.6,2,IF(C5&gt;=0.5,1,0))))</f>
        <v/>
      </c>
      <c r="E5">
        <f>TEXTJOIN(", ",TRUE,IF('Unit Test Mapping'!G$2:G$1000=A5,'Unit Test Mapping'!H$2:H$1000,""))</f>
        <v/>
      </c>
      <c r="F5">
        <f>TEXTJOIN(", ",TRUE,IF('Unit Test Mapping'!G$2:G$1000=A5,'Unit Test Mapping'!I$2:I$1000,""))</f>
        <v/>
      </c>
    </row>
    <row r="6">
      <c r="A6" t="inlineStr">
        <is>
          <t>CO4</t>
        </is>
      </c>
      <c r="B6">
        <f>TEXTJOIN(", ",TRUE,IF('Unit Test Mapping'!G$2:G$1000=A6,'Unit Test Mapping'!D$2:D$1000,""))</f>
        <v/>
      </c>
      <c r="C6">
        <f>IFERROR(AVERAGEIFS('Continuous Assessment Records'!L:L,'Continuous Assessment Records'!F:F,A6,'Continuous Assessment Records'!C:C,"Unit Test"),"")</f>
        <v/>
      </c>
      <c r="D6">
        <f>IF(C6="","",IF(C6&gt;=0.7,3,IF(C6&gt;=0.6,2,IF(C6&gt;=0.5,1,0))))</f>
        <v/>
      </c>
      <c r="E6">
        <f>TEXTJOIN(", ",TRUE,IF('Unit Test Mapping'!G$2:G$1000=A6,'Unit Test Mapping'!H$2:H$1000,""))</f>
        <v/>
      </c>
      <c r="F6">
        <f>TEXTJOIN(", ",TRUE,IF('Unit Test Mapping'!G$2:G$1000=A6,'Unit Test Mapping'!I$2:I$1000,""))</f>
        <v/>
      </c>
    </row>
    <row r="8">
      <c r="A8" s="3" t="inlineStr">
        <is>
          <t>Note: Enter Unit Test-to-CO mappings in 'Unit Test Mapping' sheet and marks in 'Continuous Assessment Records'. This sheet auto-computes CO attainment for Unit Tests.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36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6" t="inlineStr">
        <is>
          <t>Mid-Term-wise CO Attainment (Based on Mid-Term Mapping + Marks)</t>
        </is>
      </c>
    </row>
    <row r="2">
      <c r="A2" s="1" t="inlineStr">
        <is>
          <t>CO</t>
        </is>
      </c>
      <c r="B2" s="1" t="inlineStr">
        <is>
          <t>Mid-Term Questions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",TRUE,IF('Mid-Term Mapping'!G$2:G$1000=A3,'Mid-Term Mapping'!D$2:D$1000,""))</f>
        <v/>
      </c>
      <c r="C3">
        <f>IFERROR(AVERAGEIFS('Continuous Assessment Records'!L:L,'Continuous Assessment Records'!F:F,A3,'Continuous Assessment Records'!C:C,"Mid-Term"),"")</f>
        <v/>
      </c>
      <c r="D3">
        <f>IF(C3="","",IF(C3&gt;=0.7,3,IF(C3&gt;=0.6,2,IF(C3&gt;=0.5,1,0))))</f>
        <v/>
      </c>
      <c r="E3">
        <f>TEXTJOIN(", ",TRUE,IF('Mid-Term Mapping'!G$2:G$1000=A3,'Mid-Term Mapping'!H$2:H$1000,""))</f>
        <v/>
      </c>
      <c r="F3">
        <f>TEXTJOIN(", ",TRUE,IF('Mid-Term Mapping'!G$2:G$1000=A3,'Mid-Term Mapping'!I$2:I$1000,""))</f>
        <v/>
      </c>
    </row>
    <row r="4">
      <c r="A4" t="inlineStr">
        <is>
          <t>CO2</t>
        </is>
      </c>
      <c r="B4">
        <f>TEXTJOIN(", ",TRUE,IF('Mid-Term Mapping'!G$2:G$1000=A4,'Mid-Term Mapping'!D$2:D$1000,""))</f>
        <v/>
      </c>
      <c r="C4">
        <f>IFERROR(AVERAGEIFS('Continuous Assessment Records'!L:L,'Continuous Assessment Records'!F:F,A4,'Continuous Assessment Records'!C:C,"Mid-Term"),"")</f>
        <v/>
      </c>
      <c r="D4">
        <f>IF(C4="","",IF(C4&gt;=0.7,3,IF(C4&gt;=0.6,2,IF(C4&gt;=0.5,1,0))))</f>
        <v/>
      </c>
      <c r="E4">
        <f>TEXTJOIN(", ",TRUE,IF('Mid-Term Mapping'!G$2:G$1000=A4,'Mid-Term Mapping'!H$2:H$1000,""))</f>
        <v/>
      </c>
      <c r="F4">
        <f>TEXTJOIN(", ",TRUE,IF('Mid-Term Mapping'!G$2:G$1000=A4,'Mid-Term Mapping'!I$2:I$1000,""))</f>
        <v/>
      </c>
    </row>
    <row r="5">
      <c r="A5" t="inlineStr">
        <is>
          <t>CO3</t>
        </is>
      </c>
      <c r="B5">
        <f>TEXTJOIN(", ",TRUE,IF('Mid-Term Mapping'!G$2:G$1000=A5,'Mid-Term Mapping'!D$2:D$1000,""))</f>
        <v/>
      </c>
      <c r="C5">
        <f>IFERROR(AVERAGEIFS('Continuous Assessment Records'!L:L,'Continuous Assessment Records'!F:F,A5,'Continuous Assessment Records'!C:C,"Mid-Term"),"")</f>
        <v/>
      </c>
      <c r="D5">
        <f>IF(C5="","",IF(C5&gt;=0.7,3,IF(C5&gt;=0.6,2,IF(C5&gt;=0.5,1,0))))</f>
        <v/>
      </c>
      <c r="E5">
        <f>TEXTJOIN(", ",TRUE,IF('Mid-Term Mapping'!G$2:G$1000=A5,'Mid-Term Mapping'!H$2:H$1000,""))</f>
        <v/>
      </c>
      <c r="F5">
        <f>TEXTJOIN(", ",TRUE,IF('Mid-Term Mapping'!G$2:G$1000=A5,'Mid-Term Mapping'!I$2:I$1000,""))</f>
        <v/>
      </c>
    </row>
    <row r="6">
      <c r="A6" t="inlineStr">
        <is>
          <t>CO4</t>
        </is>
      </c>
      <c r="B6">
        <f>TEXTJOIN(", ",TRUE,IF('Mid-Term Mapping'!G$2:G$1000=A6,'Mid-Term Mapping'!D$2:D$1000,""))</f>
        <v/>
      </c>
      <c r="C6">
        <f>IFERROR(AVERAGEIFS('Continuous Assessment Records'!L:L,'Continuous Assessment Records'!F:F,A6,'Continuous Assessment Records'!C:C,"Mid-Term"),"")</f>
        <v/>
      </c>
      <c r="D6">
        <f>IF(C6="","",IF(C6&gt;=0.7,3,IF(C6&gt;=0.6,2,IF(C6&gt;=0.5,1,0))))</f>
        <v/>
      </c>
      <c r="E6">
        <f>TEXTJOIN(", ",TRUE,IF('Mid-Term Mapping'!G$2:G$1000=A6,'Mid-Term Mapping'!H$2:H$1000,""))</f>
        <v/>
      </c>
      <c r="F6">
        <f>TEXTJOIN(", ",TRUE,IF('Mid-Term Mapping'!G$2:G$1000=A6,'Mid-Term Mapping'!I$2:I$1000,""))</f>
        <v/>
      </c>
    </row>
    <row r="8">
      <c r="A8" s="3" t="inlineStr">
        <is>
          <t>Note: Enter Mid-Term-to-CO mappings in 'Mid-Term Mapping' sheet and marks in 'Continuous Assessment Records'. This sheet auto-computes CO attainment for Mid-Terms.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