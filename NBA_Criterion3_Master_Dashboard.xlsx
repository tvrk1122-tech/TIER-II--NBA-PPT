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Evaluation" sheetId="2" state="visible" r:id="rId2"/>
    <sheet xmlns:r="http://schemas.openxmlformats.org/officeDocument/2006/relationships" name="Lab_Workshop" sheetId="3" state="visible" r:id="rId3"/>
    <sheet xmlns:r="http://schemas.openxmlformats.org/officeDocument/2006/relationships" name="Internship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SDG Evidence" sheetId="6" state="visible" r:id="rId6"/>
    <sheet xmlns:r="http://schemas.openxmlformats.org/officeDocument/2006/relationships" name="CO Attainment" sheetId="7" state="visible" r:id="rId7"/>
    <sheet xmlns:r="http://schemas.openxmlformats.org/officeDocument/2006/relationships" name="PO_PSO Attainment" sheetId="8" state="visible" r:id="rId8"/>
    <sheet xmlns:r="http://schemas.openxmlformats.org/officeDocument/2006/relationships" name="Gap Analysis + CQI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Max Marks</t>
        </is>
      </c>
      <c r="D1" s="1" t="inlineStr">
        <is>
          <t>Avg Marks</t>
        </is>
      </c>
      <c r="E1" s="1" t="inlineStr">
        <is>
          <t>CO Mapped</t>
        </is>
      </c>
      <c r="F1" s="1" t="inlineStr">
        <is>
          <t>Attainment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Course Code</t>
        </is>
      </c>
      <c r="B1" s="1" t="inlineStr">
        <is>
          <t>Question No.</t>
        </is>
      </c>
      <c r="C1" s="1" t="inlineStr">
        <is>
          <t>Bloom’s Level</t>
        </is>
      </c>
      <c r="D1" s="1" t="inlineStr">
        <is>
          <t>CO Mapped</t>
        </is>
      </c>
      <c r="E1" s="1" t="inlineStr">
        <is>
          <t>Avg Marks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Course Code</t>
        </is>
      </c>
      <c r="B1" s="1" t="inlineStr">
        <is>
          <t>Lab Activity</t>
        </is>
      </c>
      <c r="C1" s="1" t="inlineStr">
        <is>
          <t>Rubric Criteria</t>
        </is>
      </c>
      <c r="D1" s="1" t="inlineStr">
        <is>
          <t>Max Marks</t>
        </is>
      </c>
      <c r="E1" s="1" t="inlineStr">
        <is>
          <t>Avg Marks</t>
        </is>
      </c>
      <c r="F1" s="1" t="inlineStr">
        <is>
          <t>Attainment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Student Name</t>
        </is>
      </c>
      <c r="B1" s="1" t="inlineStr">
        <is>
          <t>Industry</t>
        </is>
      </c>
      <c r="C1" s="1" t="inlineStr">
        <is>
          <t>Mentor Feedback (%)</t>
        </is>
      </c>
      <c r="D1" s="1" t="inlineStr">
        <is>
          <t>Faculty Evaluation (%)</t>
        </is>
      </c>
      <c r="E1" s="1" t="inlineStr">
        <is>
          <t>Final Attainment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Project Title</t>
        </is>
      </c>
      <c r="B1" s="1" t="inlineStr">
        <is>
          <t>Criteria (Problem ID, Design, Innovation, Teamwork, Societal Impact)</t>
        </is>
      </c>
      <c r="C1" s="1" t="inlineStr">
        <is>
          <t>Max Marks</t>
        </is>
      </c>
      <c r="D1" s="1" t="inlineStr">
        <is>
          <t>Avg Marks</t>
        </is>
      </c>
      <c r="E1" s="1" t="inlineStr">
        <is>
          <t>Attainment 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Activity/Project</t>
        </is>
      </c>
      <c r="B1" s="1" t="inlineStr">
        <is>
          <t>Related SDG</t>
        </is>
      </c>
      <c r="C1" s="1" t="inlineStr">
        <is>
          <t>Evidence Type</t>
        </is>
      </c>
      <c r="D1" s="1" t="inlineStr">
        <is>
          <t>Reference (File/Link)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Target (%)</t>
        </is>
      </c>
      <c r="D1" s="1" t="inlineStr">
        <is>
          <t>Direct Attainment (%)</t>
        </is>
      </c>
      <c r="E1" s="1" t="inlineStr">
        <is>
          <t>Indirect Attainment (%)</t>
        </is>
      </c>
      <c r="F1" s="1" t="inlineStr">
        <is>
          <t>Overall Attainment 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Assessment</t>
        </is>
      </c>
      <c r="B1" s="2" t="inlineStr">
        <is>
          <t>PO1</t>
        </is>
      </c>
      <c r="C1" s="2" t="inlineStr">
        <is>
          <t>PO2</t>
        </is>
      </c>
      <c r="D1" s="2" t="inlineStr">
        <is>
          <t>PO3</t>
        </is>
      </c>
      <c r="E1" s="2" t="inlineStr">
        <is>
          <t>PO4</t>
        </is>
      </c>
      <c r="F1" s="2" t="inlineStr">
        <is>
          <t>PO5</t>
        </is>
      </c>
      <c r="G1" s="2" t="inlineStr">
        <is>
          <t>PSO1</t>
        </is>
      </c>
    </row>
    <row r="2">
      <c r="A2" t="inlineStr">
        <is>
          <t>Direct Attainment</t>
        </is>
      </c>
      <c r="B2" t="n">
        <v>72</v>
      </c>
      <c r="C2" t="n">
        <v>65</v>
      </c>
      <c r="D2" t="n">
        <v>58</v>
      </c>
      <c r="E2" t="n">
        <v>66</v>
      </c>
      <c r="F2" t="n">
        <v>70</v>
      </c>
      <c r="G2" t="n">
        <v>73</v>
      </c>
    </row>
    <row r="3">
      <c r="A3" t="inlineStr">
        <is>
          <t>Indirect Attainment</t>
        </is>
      </c>
      <c r="B3" t="n">
        <v>70</v>
      </c>
      <c r="C3" t="n">
        <v>68</v>
      </c>
      <c r="D3" t="n">
        <v>69</v>
      </c>
      <c r="E3" t="n">
        <v>66</v>
      </c>
      <c r="F3" t="n">
        <v>65</v>
      </c>
      <c r="G3" t="n">
        <v>72</v>
      </c>
    </row>
    <row r="4">
      <c r="A4" t="inlineStr">
        <is>
          <t>Overall Attainment</t>
        </is>
      </c>
      <c r="B4">
        <f>0.8*B2+0.2*B3</f>
        <v/>
      </c>
      <c r="C4">
        <f>0.8*C2+0.2*C3</f>
        <v/>
      </c>
      <c r="D4">
        <f>0.8*D2+0.2*D3</f>
        <v/>
      </c>
      <c r="E4">
        <f>0.8*E2+0.2*E3</f>
        <v/>
      </c>
      <c r="F4">
        <f>0.8*F2+0.2*F3</f>
        <v/>
      </c>
      <c r="G4">
        <f>0.8*G2+0.2*G3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PO/PSO</t>
        </is>
      </c>
      <c r="B1" s="1" t="inlineStr">
        <is>
          <t>Target (%)</t>
        </is>
      </c>
      <c r="C1" s="1" t="inlineStr">
        <is>
          <t>Overall Attainment (%)</t>
        </is>
      </c>
      <c r="D1" s="1" t="inlineStr">
        <is>
          <t>Gap</t>
        </is>
      </c>
      <c r="E1" s="1" t="inlineStr">
        <is>
          <t>Status</t>
        </is>
      </c>
      <c r="F1" s="1" t="inlineStr">
        <is>
          <t>Action Taken (CQI)</t>
        </is>
      </c>
      <c r="G1" s="1" t="inlineStr">
        <is>
          <t>Responsible Person/Committee</t>
        </is>
      </c>
      <c r="H1" s="1" t="inlineStr">
        <is>
          <t>Evidence / Reference</t>
        </is>
      </c>
    </row>
    <row r="2">
      <c r="A2" t="inlineStr">
        <is>
          <t>PO1</t>
        </is>
      </c>
      <c r="B2" t="n">
        <v>70</v>
      </c>
      <c r="C2" t="n">
        <v>72</v>
      </c>
      <c r="D2">
        <f>C2-B2</f>
        <v/>
      </c>
      <c r="E2">
        <f>IF(C2&gt;=B2,"Met","Not Met")</f>
        <v/>
      </c>
      <c r="F2" t="inlineStr">
        <is>
          <t>Maintain strategy</t>
        </is>
      </c>
      <c r="G2" t="inlineStr">
        <is>
          <t>Course Faculty</t>
        </is>
      </c>
      <c r="H2" t="inlineStr">
        <is>
          <t>DAC Minutes</t>
        </is>
      </c>
    </row>
    <row r="3">
      <c r="A3" t="inlineStr">
        <is>
          <t>PO2</t>
        </is>
      </c>
      <c r="B3" t="n">
        <v>70</v>
      </c>
      <c r="C3" t="n">
        <v>66</v>
      </c>
      <c r="D3">
        <f>C3-B3</f>
        <v/>
      </c>
      <c r="E3">
        <f>IF(C3&gt;=B3,"Met","Not Met")</f>
        <v/>
      </c>
      <c r="F3" t="inlineStr">
        <is>
          <t>Extra tutorials</t>
        </is>
      </c>
      <c r="G3" t="inlineStr">
        <is>
          <t>Course Faculty + NBA Coordinator</t>
        </is>
      </c>
      <c r="H3" t="inlineStr">
        <is>
          <t>Tutorial Records</t>
        </is>
      </c>
    </row>
    <row r="4">
      <c r="A4" t="inlineStr">
        <is>
          <t>PO3</t>
        </is>
      </c>
      <c r="B4" t="n">
        <v>70</v>
      </c>
      <c r="C4" t="n">
        <v>60</v>
      </c>
      <c r="D4">
        <f>C4-B4</f>
        <v/>
      </c>
      <c r="E4">
        <f>IF(C4&gt;=B4,"Met","Not Met")</f>
        <v/>
      </c>
      <c r="F4" t="inlineStr">
        <is>
          <t>Mini-projects</t>
        </is>
      </c>
      <c r="G4" t="inlineStr">
        <is>
          <t>HoD + DAC</t>
        </is>
      </c>
      <c r="H4" t="inlineStr">
        <is>
          <t>Project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Instructions - NBA Criterion 3 Master Dashboard</t>
        </is>
      </c>
    </row>
    <row r="3">
      <c r="A3" t="inlineStr">
        <is>
          <t>This workbook consolidates all evidence for Criterion 3 (Outcome-Based Assessment).
Sheets included:
1. Continuous Assessment (Assignments, Unit Tests, Midterms)
2. SEE Evaluation (Semester End Exam)
3. Lab/Workshop Evaluation
4. Internship Evaluation
5. Project Evaluation
6. SDG Evidence (linking student activities/projects to UN SDGs)
7. CO Attainment (Direct, Indirect, Overall)
8. PO/PSO Attainment (Direct, Indirect, Overall with auto formulas)
9. Gap Analysis + CQI (Targets, Gaps, Status, Action Taken, Responsible, Evidence)
This file can be presented directly to NBA auditors as consolidated Criterion 3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