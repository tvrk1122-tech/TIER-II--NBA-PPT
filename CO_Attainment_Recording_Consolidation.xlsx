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 Data" sheetId="1" state="visible" r:id="rId1"/>
    <sheet xmlns:r="http://schemas.openxmlformats.org/officeDocument/2006/relationships" name="CO Consolidate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S.No</t>
        </is>
      </c>
      <c r="B1" s="1" t="inlineStr">
        <is>
          <t>Academic Year</t>
        </is>
      </c>
      <c r="C1" s="1" t="inlineStr">
        <is>
          <t>Semester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Student Roll No</t>
        </is>
      </c>
      <c r="G1" s="1" t="inlineStr">
        <is>
          <t>Student Name</t>
        </is>
      </c>
      <c r="H1" s="1" t="inlineStr">
        <is>
          <t>Assessment Type (CIE/SEE)</t>
        </is>
      </c>
      <c r="I1" s="1" t="inlineStr">
        <is>
          <t>Instrument (MST1/MST2/Assign/Lab/SEE)</t>
        </is>
      </c>
      <c r="J1" s="1" t="inlineStr">
        <is>
          <t>Question/Item</t>
        </is>
      </c>
      <c r="K1" s="1" t="inlineStr">
        <is>
          <t>Mapped CO</t>
        </is>
      </c>
      <c r="L1" s="1" t="inlineStr">
        <is>
          <t>Bloom Level</t>
        </is>
      </c>
      <c r="M1" s="1" t="inlineStr">
        <is>
          <t>Max Marks</t>
        </is>
      </c>
      <c r="N1" s="1" t="inlineStr">
        <is>
          <t>Marks Obtained</t>
        </is>
      </c>
      <c r="O1" s="1" t="inlineStr">
        <is>
          <t>Target (%)</t>
        </is>
      </c>
      <c r="P1" s="1" t="inlineStr">
        <is>
          <t>Attainment (%)</t>
        </is>
      </c>
      <c r="Q1" s="1" t="inlineStr">
        <is>
          <t>Attained (Y/N)</t>
        </is>
      </c>
    </row>
    <row r="2">
      <c r="A2" t="n">
        <v>1</v>
      </c>
      <c r="B2" t="inlineStr">
        <is>
          <t>2025-26</t>
        </is>
      </c>
      <c r="C2" t="inlineStr">
        <is>
          <t>Sem 1</t>
        </is>
      </c>
      <c r="D2" t="inlineStr">
        <is>
          <t>AI101</t>
        </is>
      </c>
      <c r="E2" t="inlineStr">
        <is>
          <t>Intro to AI</t>
        </is>
      </c>
      <c r="F2" t="inlineStr">
        <is>
          <t>23AI001</t>
        </is>
      </c>
      <c r="G2" t="inlineStr">
        <is>
          <t>A. Kumar</t>
        </is>
      </c>
      <c r="H2" t="inlineStr">
        <is>
          <t>CIE</t>
        </is>
      </c>
      <c r="I2" t="inlineStr">
        <is>
          <t>MST1</t>
        </is>
      </c>
      <c r="J2" t="inlineStr">
        <is>
          <t>Q1</t>
        </is>
      </c>
      <c r="K2" t="inlineStr">
        <is>
          <t>CO1</t>
        </is>
      </c>
      <c r="L2" t="inlineStr">
        <is>
          <t>Understand</t>
        </is>
      </c>
      <c r="M2" t="n">
        <v>10</v>
      </c>
      <c r="N2" t="n">
        <v>7</v>
      </c>
      <c r="O2" t="n">
        <v>50</v>
      </c>
      <c r="P2">
        <f>IF(N2&gt;0, M2/N2*100, 0)</f>
        <v/>
      </c>
      <c r="Q2">
        <f>IF(P2&gt;=O2,"Y","N")</f>
        <v/>
      </c>
    </row>
    <row r="3">
      <c r="A3" t="n">
        <v>2</v>
      </c>
      <c r="B3" t="inlineStr">
        <is>
          <t>2025-26</t>
        </is>
      </c>
      <c r="C3" t="inlineStr">
        <is>
          <t>Sem 1</t>
        </is>
      </c>
      <c r="D3" t="inlineStr">
        <is>
          <t>AI101</t>
        </is>
      </c>
      <c r="E3" t="inlineStr">
        <is>
          <t>Intro to AI</t>
        </is>
      </c>
      <c r="F3" t="inlineStr">
        <is>
          <t>23AI002</t>
        </is>
      </c>
      <c r="G3" t="inlineStr">
        <is>
          <t>B. Singh</t>
        </is>
      </c>
      <c r="H3" t="inlineStr">
        <is>
          <t>CIE</t>
        </is>
      </c>
      <c r="I3" t="inlineStr">
        <is>
          <t>MST1</t>
        </is>
      </c>
      <c r="J3" t="inlineStr">
        <is>
          <t>Q1</t>
        </is>
      </c>
      <c r="K3" t="inlineStr">
        <is>
          <t>CO1</t>
        </is>
      </c>
      <c r="L3" t="inlineStr">
        <is>
          <t>Understand</t>
        </is>
      </c>
      <c r="M3" t="n">
        <v>10</v>
      </c>
      <c r="N3" t="n">
        <v>6</v>
      </c>
      <c r="O3" t="n">
        <v>50</v>
      </c>
      <c r="P3">
        <f>IF(N3&gt;0, M3/N3*100, 0)</f>
        <v/>
      </c>
      <c r="Q3">
        <f>IF(P3&gt;=O3,"Y","N")</f>
        <v/>
      </c>
    </row>
    <row r="4">
      <c r="A4" t="n">
        <v>3</v>
      </c>
      <c r="B4" t="inlineStr">
        <is>
          <t>2025-26</t>
        </is>
      </c>
      <c r="C4" t="inlineStr">
        <is>
          <t>Sem 1</t>
        </is>
      </c>
      <c r="D4" t="inlineStr">
        <is>
          <t>AI101</t>
        </is>
      </c>
      <c r="E4" t="inlineStr">
        <is>
          <t>Intro to AI</t>
        </is>
      </c>
      <c r="F4" t="inlineStr">
        <is>
          <t>23AI001</t>
        </is>
      </c>
      <c r="G4" t="inlineStr">
        <is>
          <t>A. Kumar</t>
        </is>
      </c>
      <c r="H4" t="inlineStr">
        <is>
          <t>CIE</t>
        </is>
      </c>
      <c r="I4" t="inlineStr">
        <is>
          <t>Assignment</t>
        </is>
      </c>
      <c r="J4" t="inlineStr">
        <is>
          <t>A1</t>
        </is>
      </c>
      <c r="K4" t="inlineStr">
        <is>
          <t>CO2</t>
        </is>
      </c>
      <c r="L4" t="inlineStr">
        <is>
          <t>Apply</t>
        </is>
      </c>
      <c r="M4" t="n">
        <v>20</v>
      </c>
      <c r="N4" t="n">
        <v>18</v>
      </c>
      <c r="O4" t="n">
        <v>50</v>
      </c>
      <c r="P4">
        <f>IF(N4&gt;0, M4/N4*100, 0)</f>
        <v/>
      </c>
      <c r="Q4">
        <f>IF(P4&gt;=O4,"Y","N")</f>
        <v/>
      </c>
    </row>
    <row r="5">
      <c r="A5" t="n">
        <v>4</v>
      </c>
      <c r="B5" t="inlineStr">
        <is>
          <t>2025-26</t>
        </is>
      </c>
      <c r="C5" t="inlineStr">
        <is>
          <t>Sem 1</t>
        </is>
      </c>
      <c r="D5" t="inlineStr">
        <is>
          <t>AI101</t>
        </is>
      </c>
      <c r="E5" t="inlineStr">
        <is>
          <t>Intro to AI</t>
        </is>
      </c>
      <c r="F5" t="inlineStr">
        <is>
          <t>23AI002</t>
        </is>
      </c>
      <c r="G5" t="inlineStr">
        <is>
          <t>B. Singh</t>
        </is>
      </c>
      <c r="H5" t="inlineStr">
        <is>
          <t>CIE</t>
        </is>
      </c>
      <c r="I5" t="inlineStr">
        <is>
          <t>Assignment</t>
        </is>
      </c>
      <c r="J5" t="inlineStr">
        <is>
          <t>A1</t>
        </is>
      </c>
      <c r="K5" t="inlineStr">
        <is>
          <t>CO2</t>
        </is>
      </c>
      <c r="L5" t="inlineStr">
        <is>
          <t>Apply</t>
        </is>
      </c>
      <c r="M5" t="n">
        <v>20</v>
      </c>
      <c r="N5" t="n">
        <v>9</v>
      </c>
      <c r="O5" t="n">
        <v>50</v>
      </c>
      <c r="P5">
        <f>IF(N5&gt;0, M5/N5*100, 0)</f>
        <v/>
      </c>
      <c r="Q5">
        <f>IF(P5&gt;=O5,"Y","N")</f>
        <v/>
      </c>
    </row>
    <row r="6">
      <c r="A6" t="n">
        <v>5</v>
      </c>
      <c r="B6" t="inlineStr">
        <is>
          <t>2025-26</t>
        </is>
      </c>
      <c r="C6" t="inlineStr">
        <is>
          <t>Sem 1</t>
        </is>
      </c>
      <c r="D6" t="inlineStr">
        <is>
          <t>AI101</t>
        </is>
      </c>
      <c r="E6" t="inlineStr">
        <is>
          <t>Intro to AI</t>
        </is>
      </c>
      <c r="F6" t="inlineStr">
        <is>
          <t>23AI001</t>
        </is>
      </c>
      <c r="G6" t="inlineStr">
        <is>
          <t>A. Kumar</t>
        </is>
      </c>
      <c r="H6" t="inlineStr">
        <is>
          <t>SEE</t>
        </is>
      </c>
      <c r="I6" t="inlineStr">
        <is>
          <t>SEE</t>
        </is>
      </c>
      <c r="J6" t="inlineStr">
        <is>
          <t>Q3</t>
        </is>
      </c>
      <c r="K6" t="inlineStr">
        <is>
          <t>CO1</t>
        </is>
      </c>
      <c r="L6" t="inlineStr">
        <is>
          <t>Analyze</t>
        </is>
      </c>
      <c r="M6" t="n">
        <v>10</v>
      </c>
      <c r="N6" t="n">
        <v>9</v>
      </c>
      <c r="O6" t="n">
        <v>50</v>
      </c>
      <c r="P6">
        <f>IF(N6&gt;0, M6/N6*100, 0)</f>
        <v/>
      </c>
      <c r="Q6">
        <f>IF(P6&gt;=O6,"Y","N")</f>
        <v/>
      </c>
    </row>
    <row r="7">
      <c r="A7" t="n">
        <v>6</v>
      </c>
      <c r="B7" t="inlineStr">
        <is>
          <t>2025-26</t>
        </is>
      </c>
      <c r="C7" t="inlineStr">
        <is>
          <t>Sem 1</t>
        </is>
      </c>
      <c r="D7" t="inlineStr">
        <is>
          <t>AI101</t>
        </is>
      </c>
      <c r="E7" t="inlineStr">
        <is>
          <t>Intro to AI</t>
        </is>
      </c>
      <c r="F7" t="inlineStr">
        <is>
          <t>23AI002</t>
        </is>
      </c>
      <c r="G7" t="inlineStr">
        <is>
          <t>B. Singh</t>
        </is>
      </c>
      <c r="H7" t="inlineStr">
        <is>
          <t>SEE</t>
        </is>
      </c>
      <c r="I7" t="inlineStr">
        <is>
          <t>SEE</t>
        </is>
      </c>
      <c r="J7" t="inlineStr">
        <is>
          <t>Q3</t>
        </is>
      </c>
      <c r="K7" t="inlineStr">
        <is>
          <t>CO1</t>
        </is>
      </c>
      <c r="L7" t="inlineStr">
        <is>
          <t>Analyze</t>
        </is>
      </c>
      <c r="M7" t="n">
        <v>10</v>
      </c>
      <c r="N7" t="n">
        <v>4</v>
      </c>
      <c r="O7" t="n">
        <v>50</v>
      </c>
      <c r="P7">
        <f>IF(N7&gt;0, M7/N7*100, 0)</f>
        <v/>
      </c>
      <c r="Q7">
        <f>IF(P7&gt;=O7,"Y","N")</f>
        <v/>
      </c>
    </row>
    <row r="8">
      <c r="A8" t="n">
        <v>7</v>
      </c>
      <c r="B8" t="inlineStr">
        <is>
          <t>2025-26</t>
        </is>
      </c>
      <c r="C8" t="inlineStr">
        <is>
          <t>Sem 1</t>
        </is>
      </c>
      <c r="D8" t="inlineStr">
        <is>
          <t>DS102</t>
        </is>
      </c>
      <c r="E8" t="inlineStr">
        <is>
          <t>Data Structures</t>
        </is>
      </c>
      <c r="F8" t="inlineStr">
        <is>
          <t>23AI001</t>
        </is>
      </c>
      <c r="G8" t="inlineStr">
        <is>
          <t>A. Kumar</t>
        </is>
      </c>
      <c r="H8" t="inlineStr">
        <is>
          <t>CIE</t>
        </is>
      </c>
      <c r="I8" t="inlineStr">
        <is>
          <t>MST1</t>
        </is>
      </c>
      <c r="J8" t="inlineStr">
        <is>
          <t>Q2</t>
        </is>
      </c>
      <c r="K8" t="inlineStr">
        <is>
          <t>CO1</t>
        </is>
      </c>
      <c r="L8" t="inlineStr">
        <is>
          <t>Remember</t>
        </is>
      </c>
      <c r="M8" t="n">
        <v>10</v>
      </c>
      <c r="N8" t="n">
        <v>8</v>
      </c>
      <c r="O8" t="n">
        <v>50</v>
      </c>
      <c r="P8">
        <f>IF(N8&gt;0, M8/N8*100, 0)</f>
        <v/>
      </c>
      <c r="Q8">
        <f>IF(P8&gt;=O8,"Y","N")</f>
        <v/>
      </c>
    </row>
    <row r="9">
      <c r="A9" t="n">
        <v>8</v>
      </c>
      <c r="B9" t="inlineStr">
        <is>
          <t>2025-26</t>
        </is>
      </c>
      <c r="C9" t="inlineStr">
        <is>
          <t>Sem 1</t>
        </is>
      </c>
      <c r="D9" t="inlineStr">
        <is>
          <t>DS102</t>
        </is>
      </c>
      <c r="E9" t="inlineStr">
        <is>
          <t>Data Structures</t>
        </is>
      </c>
      <c r="F9" t="inlineStr">
        <is>
          <t>23AI002</t>
        </is>
      </c>
      <c r="G9" t="inlineStr">
        <is>
          <t>B. Singh</t>
        </is>
      </c>
      <c r="H9" t="inlineStr">
        <is>
          <t>CIE</t>
        </is>
      </c>
      <c r="I9" t="inlineStr">
        <is>
          <t>MST1</t>
        </is>
      </c>
      <c r="J9" t="inlineStr">
        <is>
          <t>Q2</t>
        </is>
      </c>
      <c r="K9" t="inlineStr">
        <is>
          <t>CO1</t>
        </is>
      </c>
      <c r="L9" t="inlineStr">
        <is>
          <t>Remember</t>
        </is>
      </c>
      <c r="M9" t="n">
        <v>10</v>
      </c>
      <c r="N9" t="n">
        <v>3</v>
      </c>
      <c r="O9" t="n">
        <v>50</v>
      </c>
      <c r="P9">
        <f>IF(N9&gt;0, M9/N9*100, 0)</f>
        <v/>
      </c>
      <c r="Q9">
        <f>IF(P9&gt;=O9,"Y","N")</f>
        <v/>
      </c>
    </row>
    <row r="10">
      <c r="A10" t="n">
        <v>9</v>
      </c>
      <c r="B10" t="inlineStr">
        <is>
          <t>2025-26</t>
        </is>
      </c>
      <c r="C10" t="inlineStr">
        <is>
          <t>Sem 1</t>
        </is>
      </c>
      <c r="D10" t="inlineStr">
        <is>
          <t>DS102</t>
        </is>
      </c>
      <c r="E10" t="inlineStr">
        <is>
          <t>Data Structures</t>
        </is>
      </c>
      <c r="F10" t="inlineStr">
        <is>
          <t>23AI001</t>
        </is>
      </c>
      <c r="G10" t="inlineStr">
        <is>
          <t>A. Kumar</t>
        </is>
      </c>
      <c r="H10" t="inlineStr">
        <is>
          <t>SEE</t>
        </is>
      </c>
      <c r="I10" t="inlineStr">
        <is>
          <t>SEE</t>
        </is>
      </c>
      <c r="J10" t="inlineStr">
        <is>
          <t>Q5</t>
        </is>
      </c>
      <c r="K10" t="inlineStr">
        <is>
          <t>CO2</t>
        </is>
      </c>
      <c r="L10" t="inlineStr">
        <is>
          <t>Apply</t>
        </is>
      </c>
      <c r="M10" t="n">
        <v>20</v>
      </c>
      <c r="N10" t="n">
        <v>14</v>
      </c>
      <c r="O10" t="n">
        <v>50</v>
      </c>
      <c r="P10">
        <f>IF(N10&gt;0, M10/N10*100, 0)</f>
        <v/>
      </c>
      <c r="Q10">
        <f>IF(P10&gt;=O10,"Y","N")</f>
        <v/>
      </c>
    </row>
    <row r="11">
      <c r="A11" t="n">
        <v>10</v>
      </c>
      <c r="B11" t="inlineStr">
        <is>
          <t>2025-26</t>
        </is>
      </c>
      <c r="C11" t="inlineStr">
        <is>
          <t>Sem 1</t>
        </is>
      </c>
      <c r="D11" t="inlineStr">
        <is>
          <t>DS102</t>
        </is>
      </c>
      <c r="E11" t="inlineStr">
        <is>
          <t>Data Structures</t>
        </is>
      </c>
      <c r="F11" t="inlineStr">
        <is>
          <t>23AI002</t>
        </is>
      </c>
      <c r="G11" t="inlineStr">
        <is>
          <t>B. Singh</t>
        </is>
      </c>
      <c r="H11" t="inlineStr">
        <is>
          <t>SEE</t>
        </is>
      </c>
      <c r="I11" t="inlineStr">
        <is>
          <t>SEE</t>
        </is>
      </c>
      <c r="J11" t="inlineStr">
        <is>
          <t>Q5</t>
        </is>
      </c>
      <c r="K11" t="inlineStr">
        <is>
          <t>CO2</t>
        </is>
      </c>
      <c r="L11" t="inlineStr">
        <is>
          <t>Apply</t>
        </is>
      </c>
      <c r="M11" t="n">
        <v>20</v>
      </c>
      <c r="N11" t="n">
        <v>6</v>
      </c>
      <c r="O11" t="n">
        <v>50</v>
      </c>
      <c r="P11">
        <f>IF(N11&gt;0, M11/N11*100, 0)</f>
        <v/>
      </c>
      <c r="Q11">
        <f>IF(P11&gt;=O11,"Y","N")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2" t="inlineStr">
        <is>
          <t>Configuration (Edit as needed)</t>
        </is>
      </c>
    </row>
    <row r="2">
      <c r="A2" t="inlineStr">
        <is>
          <t>CIE Weight (%)</t>
        </is>
      </c>
      <c r="B2" t="n">
        <v>40</v>
      </c>
    </row>
    <row r="3">
      <c r="A3" t="inlineStr">
        <is>
          <t>SEE Weight (%)</t>
        </is>
      </c>
      <c r="B3" t="n">
        <v>50</v>
      </c>
    </row>
    <row r="4">
      <c r="A4" t="inlineStr">
        <is>
          <t>Indirect Weight (%)</t>
        </is>
      </c>
      <c r="B4" t="n">
        <v>10</v>
      </c>
    </row>
    <row r="5">
      <c r="A5" t="inlineStr">
        <is>
          <t>Level 3 Threshold (%)</t>
        </is>
      </c>
      <c r="B5" t="n">
        <v>70</v>
      </c>
    </row>
    <row r="6">
      <c r="A6" t="inlineStr">
        <is>
          <t>Level 2 Threshold (%)</t>
        </is>
      </c>
      <c r="B6" t="n">
        <v>60</v>
      </c>
    </row>
    <row r="7">
      <c r="A7" t="inlineStr">
        <is>
          <t>Level 1 Threshold (%)</t>
        </is>
      </c>
      <c r="B7" t="n">
        <v>40</v>
      </c>
    </row>
    <row r="10">
      <c r="A10" s="3" t="inlineStr">
        <is>
          <t>Course Code</t>
        </is>
      </c>
      <c r="B10" s="3" t="inlineStr">
        <is>
          <t>Course Title</t>
        </is>
      </c>
      <c r="C10" s="3" t="inlineStr">
        <is>
          <t>CO</t>
        </is>
      </c>
      <c r="D10" s="3" t="inlineStr">
        <is>
          <t>Target (%)</t>
        </is>
      </c>
      <c r="E10" s="3" t="inlineStr">
        <is>
          <t>CIE Attainment (%)</t>
        </is>
      </c>
      <c r="F10" s="3" t="inlineStr">
        <is>
          <t>SEE Attainment (%)</t>
        </is>
      </c>
      <c r="G10" s="3" t="inlineStr">
        <is>
          <t>Indirect Attainment (%)</t>
        </is>
      </c>
      <c r="H10" s="3" t="inlineStr">
        <is>
          <t>Final Attainment (%)</t>
        </is>
      </c>
      <c r="I10" s="3" t="inlineStr">
        <is>
          <t>Attainment Level</t>
        </is>
      </c>
      <c r="J10" s="3" t="inlineStr">
        <is>
          <t>Gap (Final - Target)</t>
        </is>
      </c>
      <c r="K10" s="3" t="inlineStr">
        <is>
          <t>Status (Met/Not Met)</t>
        </is>
      </c>
      <c r="L10" s="3" t="inlineStr">
        <is>
          <t>Suggested Action (Editable)</t>
        </is>
      </c>
    </row>
    <row r="11">
      <c r="A11" s="4" t="inlineStr">
        <is>
          <t>AI101</t>
        </is>
      </c>
      <c r="B11" s="4" t="inlineStr">
        <is>
          <t>Intro to AI</t>
        </is>
      </c>
      <c r="C11" s="4" t="inlineStr">
        <is>
          <t>CO1</t>
        </is>
      </c>
      <c r="D11" s="4" t="n">
        <v>60</v>
      </c>
      <c r="E11" s="4">
        <f>IFERROR(COUNTIFS('Course CO Data'!$D:$D,$A11,'Course CO Data'!$K:$K,$C11,'Course CO Data'!$H:$H,"CIE",'Course CO Data'!$Q:$Q,"Y")/COUNTIFS('Course CO Data'!$D:$D,$A11,'Course CO Data'!$K:$K,$C11,'Course CO Data'!$H:$H,"CIE")*100,0)</f>
        <v/>
      </c>
      <c r="F11" s="4">
        <f>IFERROR(COUNTIFS('Course CO Data'!$D:$D,$A11,'Course CO Data'!$K:$K,$C11,'Course CO Data'!$H:$H,"SEE",'Course CO Data'!$Q:$Q,"Y")/COUNTIFS('Course CO Data'!$D:$D,$A11,'Course CO Data'!$K:$K,$C11,'Course CO Data'!$H:$H,"SEE")*100,0)</f>
        <v/>
      </c>
      <c r="G11" s="4" t="n">
        <v>0</v>
      </c>
      <c r="H11" s="4">
        <f>ROUND((E11*$B$2 + F11*$B$3 + G11*$B$4)/100,2)</f>
        <v/>
      </c>
      <c r="I11" s="4">
        <f>IF(H11&gt;=$B$5,"L3",IF(H11&gt;=$B$6,"L2",IF(H11&gt;=$B$7,"L1","L0")))</f>
        <v/>
      </c>
      <c r="J11" s="4">
        <f>H11-D11</f>
        <v/>
      </c>
      <c r="K11" s="4">
        <f>IF(H11&gt;=D11,"Met","Not Met")</f>
        <v/>
      </c>
      <c r="L11" s="4" t="inlineStr">
        <is>
          <t>(Auto-note: If Not Met, plan remedials / tutorial hours / question bank revision)</t>
        </is>
      </c>
    </row>
    <row r="12">
      <c r="A12" s="4" t="inlineStr">
        <is>
          <t>AI101</t>
        </is>
      </c>
      <c r="B12" s="4" t="inlineStr">
        <is>
          <t>Intro to AI</t>
        </is>
      </c>
      <c r="C12" s="4" t="inlineStr">
        <is>
          <t>CO2</t>
        </is>
      </c>
      <c r="D12" s="4" t="n">
        <v>60</v>
      </c>
      <c r="E12" s="4">
        <f>IFERROR(COUNTIFS('Course CO Data'!$D:$D,$A12,'Course CO Data'!$K:$K,$C12,'Course CO Data'!$H:$H,"CIE",'Course CO Data'!$Q:$Q,"Y")/COUNTIFS('Course CO Data'!$D:$D,$A12,'Course CO Data'!$K:$K,$C12,'Course CO Data'!$H:$H,"CIE")*100,0)</f>
        <v/>
      </c>
      <c r="F12" s="4">
        <f>IFERROR(COUNTIFS('Course CO Data'!$D:$D,$A12,'Course CO Data'!$K:$K,$C12,'Course CO Data'!$H:$H,"SEE",'Course CO Data'!$Q:$Q,"Y")/COUNTIFS('Course CO Data'!$D:$D,$A12,'Course CO Data'!$K:$K,$C12,'Course CO Data'!$H:$H,"SEE")*100,0)</f>
        <v/>
      </c>
      <c r="G12" s="4" t="n">
        <v>0</v>
      </c>
      <c r="H12" s="4">
        <f>ROUND((E12*$B$2 + F12*$B$3 + G12*$B$4)/100,2)</f>
        <v/>
      </c>
      <c r="I12" s="4">
        <f>IF(H12&gt;=$B$5,"L3",IF(H12&gt;=$B$6,"L2",IF(H12&gt;=$B$7,"L1","L0")))</f>
        <v/>
      </c>
      <c r="J12" s="4">
        <f>H12-D12</f>
        <v/>
      </c>
      <c r="K12" s="4">
        <f>IF(H12&gt;=D12,"Met","Not Met")</f>
        <v/>
      </c>
      <c r="L12" s="4" t="inlineStr">
        <is>
          <t>(Auto-note: If Not Met, plan remedials / tutorial hours / question bank revision)</t>
        </is>
      </c>
    </row>
    <row r="13">
      <c r="A13" s="4" t="inlineStr">
        <is>
          <t>DS102</t>
        </is>
      </c>
      <c r="B13" s="4" t="inlineStr">
        <is>
          <t>Data Structures</t>
        </is>
      </c>
      <c r="C13" s="4" t="inlineStr">
        <is>
          <t>CO1</t>
        </is>
      </c>
      <c r="D13" s="4" t="n">
        <v>60</v>
      </c>
      <c r="E13" s="4">
        <f>IFERROR(COUNTIFS('Course CO Data'!$D:$D,$A13,'Course CO Data'!$K:$K,$C13,'Course CO Data'!$H:$H,"CIE",'Course CO Data'!$Q:$Q,"Y")/COUNTIFS('Course CO Data'!$D:$D,$A13,'Course CO Data'!$K:$K,$C13,'Course CO Data'!$H:$H,"CIE")*100,0)</f>
        <v/>
      </c>
      <c r="F13" s="4">
        <f>IFERROR(COUNTIFS('Course CO Data'!$D:$D,$A13,'Course CO Data'!$K:$K,$C13,'Course CO Data'!$H:$H,"SEE",'Course CO Data'!$Q:$Q,"Y")/COUNTIFS('Course CO Data'!$D:$D,$A13,'Course CO Data'!$K:$K,$C13,'Course CO Data'!$H:$H,"SEE")*100,0)</f>
        <v/>
      </c>
      <c r="G13" s="4" t="n">
        <v>0</v>
      </c>
      <c r="H13" s="4">
        <f>ROUND((E13*$B$2 + F13*$B$3 + G13*$B$4)/100,2)</f>
        <v/>
      </c>
      <c r="I13" s="4">
        <f>IF(H13&gt;=$B$5,"L3",IF(H13&gt;=$B$6,"L2",IF(H13&gt;=$B$7,"L1","L0")))</f>
        <v/>
      </c>
      <c r="J13" s="4">
        <f>H13-D13</f>
        <v/>
      </c>
      <c r="K13" s="4">
        <f>IF(H13&gt;=D13,"Met","Not Met")</f>
        <v/>
      </c>
      <c r="L13" s="4" t="inlineStr">
        <is>
          <t>(Auto-note: If Not Met, plan remedials / tutorial hours / question bank revision)</t>
        </is>
      </c>
    </row>
    <row r="14">
      <c r="A14" s="4" t="inlineStr">
        <is>
          <t>DS102</t>
        </is>
      </c>
      <c r="B14" s="4" t="inlineStr">
        <is>
          <t>Data Structures</t>
        </is>
      </c>
      <c r="C14" s="4" t="inlineStr">
        <is>
          <t>CO2</t>
        </is>
      </c>
      <c r="D14" s="4" t="n">
        <v>60</v>
      </c>
      <c r="E14" s="4">
        <f>IFERROR(COUNTIFS('Course CO Data'!$D:$D,$A14,'Course CO Data'!$K:$K,$C14,'Course CO Data'!$H:$H,"CIE",'Course CO Data'!$Q:$Q,"Y")/COUNTIFS('Course CO Data'!$D:$D,$A14,'Course CO Data'!$K:$K,$C14,'Course CO Data'!$H:$H,"CIE")*100,0)</f>
        <v/>
      </c>
      <c r="F14" s="4">
        <f>IFERROR(COUNTIFS('Course CO Data'!$D:$D,$A14,'Course CO Data'!$K:$K,$C14,'Course CO Data'!$H:$H,"SEE",'Course CO Data'!$Q:$Q,"Y")/COUNTIFS('Course CO Data'!$D:$D,$A14,'Course CO Data'!$K:$K,$C14,'Course CO Data'!$H:$H,"SEE")*100,0)</f>
        <v/>
      </c>
      <c r="G14" s="4" t="n">
        <v>0</v>
      </c>
      <c r="H14" s="4">
        <f>ROUND((E14*$B$2 + F14*$B$3 + G14*$B$4)/100,2)</f>
        <v/>
      </c>
      <c r="I14" s="4">
        <f>IF(H14&gt;=$B$5,"L3",IF(H14&gt;=$B$6,"L2",IF(H14&gt;=$B$7,"L1","L0")))</f>
        <v/>
      </c>
      <c r="J14" s="4">
        <f>H14-D14</f>
        <v/>
      </c>
      <c r="K14" s="4">
        <f>IF(H14&gt;=D14,"Met","Not Met")</f>
        <v/>
      </c>
      <c r="L14" s="4" t="inlineStr">
        <is>
          <t>(Auto-note: If Not Met, plan remedials / tutorial hours / question bank revision)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