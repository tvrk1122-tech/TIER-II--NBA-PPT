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R_Input" sheetId="1" r:id="rId1"/>
    <sheet name="SR_Summary" sheetId="2" r:id="rId2"/>
    <sheet name="Docs_Log" sheetId="3" r:id="rId3"/>
    <sheet name="ReadMe" sheetId="4" r:id="rId4"/>
  </sheets>
  <calcPr calcId="124519" fullCalcOnLoad="1"/>
</workbook>
</file>

<file path=xl/sharedStrings.xml><?xml version="1.0" encoding="utf-8"?>
<sst xmlns="http://schemas.openxmlformats.org/spreadsheetml/2006/main" count="65" uniqueCount="40">
  <si>
    <t>Batch</t>
  </si>
  <si>
    <t>Academic Year of Entry (e.g., 2020-21)</t>
  </si>
  <si>
    <t>N1 (1st year admissions, migration-adjusted)</t>
  </si>
  <si>
    <t>N2 (Lateral entry admissions)</t>
  </si>
  <si>
    <t>N3 (Separate division admissions)</t>
  </si>
  <si>
    <t>N5 (MEES Multiple Entries)</t>
  </si>
  <si>
    <t>N6 (MEES Multiple Exits)</t>
  </si>
  <si>
    <t>Total Base (Auto: N1+N2+N3+N5−N6)</t>
  </si>
  <si>
    <t>Graduated On-Time (within stipulated duration)</t>
  </si>
  <si>
    <t>Success Rate (SR %) (Auto)</t>
  </si>
  <si>
    <t>LYG (Current Batch)</t>
  </si>
  <si>
    <t>LYGm1 (Batch -1)</t>
  </si>
  <si>
    <t>LYGm2 (Batch -2)</t>
  </si>
  <si>
    <t>Metric</t>
  </si>
  <si>
    <t>Value (Auto)</t>
  </si>
  <si>
    <t>Average Success Rate (3 batches)</t>
  </si>
  <si>
    <t>SR Points = 1.5 * (Average SR / 10)</t>
  </si>
  <si>
    <t>Document Type (Admission Register / Gazette / Degree Award List / Backlog Clearance)</t>
  </si>
  <si>
    <t>File Path or Link</t>
  </si>
  <si>
    <t>Verified By</t>
  </si>
  <si>
    <t>Verification Date (YYYY-MM-DD)</t>
  </si>
  <si>
    <t>Remarks</t>
  </si>
  <si>
    <t>Instructions</t>
  </si>
  <si>
    <t>NBA Criterion 4 – Success Rate (SR) Calculator</t>
  </si>
  <si>
    <t>How to use:</t>
  </si>
  <si>
    <t>1) In 'SR_Input', enter:</t>
  </si>
  <si>
    <t xml:space="preserve">   - N1 (1st year admissions, adjusted for migrations).</t>
  </si>
  <si>
    <t xml:space="preserve">   - N2 (Lateral entry admissions).</t>
  </si>
  <si>
    <t xml:space="preserve">   - N3 (Separate division admissions).</t>
  </si>
  <si>
    <t xml:space="preserve">   - N5 (MEES Multiple Entries).</t>
  </si>
  <si>
    <t xml:space="preserve">   - N6 (MEES Multiple Exits).</t>
  </si>
  <si>
    <t xml:space="preserve">   - Graduated On-Time (students who completed program within stipulated period).</t>
  </si>
  <si>
    <t>2) Total Base auto-calculates = N1+N2+N3+N5−N6.</t>
  </si>
  <si>
    <t>3) SR % auto = Graduated On-Time ÷ Total Base.</t>
  </si>
  <si>
    <t>4) 'SR_Summary' auto-computes Average SR across 3 batches and SR Points (out of 15).</t>
  </si>
  <si>
    <t>5) Log proof documents in 'Docs_Log'.</t>
  </si>
  <si>
    <t>Notes:</t>
  </si>
  <si>
    <t>- Only count 'on-time' graduates (ignore those who finished late due to backlogs).</t>
  </si>
  <si>
    <t>- Cross-verify admissions (N1..N6) with Admission Register &amp; MEES records.</t>
  </si>
  <si>
    <t>- Cross-verify graduates with University Gazette &amp; Degree Award Lists.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</si>
</sst>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" fontId="1" fillId="3" borderId="1" xfId="0" applyNumberFormat="1" applyFont="1" applyFill="1" applyBorder="1"/>
    <xf numFmtId="164" fontId="0" fillId="0" borderId="1" xfId="0" applyNumberFormat="1" applyBorder="1"/>
    <xf numFmtId="0" fontId="1" fillId="0" borderId="0" xfId="0" applyFont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3" max="7" width="34.7109375" customWidth="1"/>
    <col min="8" max="8" width="36.7109375" customWidth="1"/>
    <col min="9" max="9" width="42.7109375" customWidth="1"/>
    <col min="10" max="10" width="3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H2" s="2">
        <f>SUM(C2:E2,F2)-G2</f>
        <v>0</v>
      </c>
      <c r="J2" s="3">
        <f>IFERROR(I2/H2,"")</f>
        <v>0</v>
      </c>
    </row>
    <row r="3" spans="1:10">
      <c r="A3" t="s">
        <v>11</v>
      </c>
      <c r="H3" s="2">
        <f>SUM(C3:E3,F3)-G3</f>
        <v>0</v>
      </c>
      <c r="J3" s="3">
        <f>IFERROR(I3/H3,"")</f>
        <v>0</v>
      </c>
    </row>
    <row r="4" spans="1:10">
      <c r="A4" t="s">
        <v>12</v>
      </c>
      <c r="H4" s="2">
        <f>SUM(C4:E4,F4)-G4</f>
        <v>0</v>
      </c>
      <c r="J4" s="3">
        <f>IFERROR(I4/H4,"")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2.7109375" customWidth="1"/>
    <col min="2" max="2" width="32.7109375" customWidth="1"/>
  </cols>
  <sheetData>
    <row r="1" spans="1:2">
      <c r="A1" s="1" t="s">
        <v>13</v>
      </c>
      <c r="B1" s="1" t="s">
        <v>14</v>
      </c>
    </row>
    <row r="2" spans="1:2">
      <c r="A2" s="4" t="s">
        <v>15</v>
      </c>
      <c r="B2" s="3">
        <f>IFERROR(AVERAGE(SR_Input!$J$2:$J$4),"")</f>
        <v>0</v>
      </c>
    </row>
    <row r="3" spans="1:2">
      <c r="A3" s="4" t="s">
        <v>16</v>
      </c>
      <c r="B3" s="5">
        <f>IFERROR(1.5*(B2*100/10),"")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80.7109375" customWidth="1"/>
    <col min="3" max="5" width="28.7109375" customWidth="1"/>
    <col min="6" max="6" width="40.7109375" customWidth="1"/>
  </cols>
  <sheetData>
    <row r="1" spans="1: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t="s">
        <v>10</v>
      </c>
    </row>
    <row r="3" spans="1:6">
      <c r="A3" t="s">
        <v>11</v>
      </c>
    </row>
    <row r="4" spans="1:6">
      <c r="A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22</v>
      </c>
    </row>
    <row r="2" spans="1:1">
      <c r="A2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7" spans="1:1">
      <c r="A17" t="s">
        <v>36</v>
      </c>
    </row>
    <row r="18" spans="1:1">
      <c r="A18" t="s">
        <v>37</v>
      </c>
    </row>
    <row r="19" spans="1:1">
      <c r="A19" t="s">
        <v>38</v>
      </c>
    </row>
    <row r="20" spans="1:1">
      <c r="A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SR_Input</vt:lpstr>
      <vt:lpstr>SR_Summary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2025-08-26T06:17:23Z</dcterms:created>
  <dcterms:modified xsi:type="dcterms:W3CDTF">2025-08-26T06:17:23Z</dcterms:modified>
</cp:coreProperties>
</file>