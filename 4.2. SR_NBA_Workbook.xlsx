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tabRatio="500" firstSheet="2" activeTab="5"/>
  </bookViews>
  <sheets>
    <sheet name="SR_Calculator" sheetId="1" r:id="rId1"/>
    <sheet name="Floor_Rule_Explainer" sheetId="2" r:id="rId2"/>
    <sheet name="Marks_Band_Table" sheetId="3" r:id="rId3"/>
    <sheet name="SR_Trend_Chart" sheetId="4" r:id="rId4"/>
    <sheet name="Documentation_Checklist" sheetId="5" r:id="rId5"/>
    <sheet name="Pitfalls_and_Fix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<sst xmlns="http://schemas.openxmlformats.org/spreadsheetml/2006/main" count="302" uniqueCount="249">
  <si>
    <t>NBA ACCREDITATION — SUCCESS RATE (SR) IN STIPULATED PERIOD</t>
  </si>
  <si>
    <t>Criterion 5 — Student Performance  |  Maximum Marks: 15  |  Based on last 3 graduating batches: LYG, LYGm1, LYGm2</t>
  </si>
  <si>
    <t>SECTION A — VARIABLE DEFINITIONS</t>
  </si>
  <si>
    <t>Symbol</t>
  </si>
  <si>
    <t>Term</t>
  </si>
  <si>
    <t>Explanation</t>
  </si>
  <si>
    <t>N</t>
  </si>
  <si>
    <t>Sanctioned Intake</t>
  </si>
  <si>
    <t>AICTE/University-approved seats for 1st year of that batch</t>
  </si>
  <si>
    <t>N1</t>
  </si>
  <si>
    <t>1st-Year Admissions</t>
  </si>
  <si>
    <t>Regular 1st-year admits adjusted for migration in/out</t>
  </si>
  <si>
    <t>N2</t>
  </si>
  <si>
    <t>Lateral Entry (2nd yr)</t>
  </si>
  <si>
    <t>Lateral entry + leftover seats admitted to 2nd year</t>
  </si>
  <si>
    <t>N3</t>
  </si>
  <si>
    <t>Separate Division</t>
  </si>
  <si>
    <t>Separate division admissions (if formally approved)</t>
  </si>
  <si>
    <t>N5</t>
  </si>
  <si>
    <t>MEES Entries</t>
  </si>
  <si>
    <t>Multiple-entry students joining via MEES into 2nd/3rd/4th year</t>
  </si>
  <si>
    <t>N6</t>
  </si>
  <si>
    <t>MEES Exits</t>
  </si>
  <si>
    <t>Multiple-exit students leaving via MEES after 1st/2nd/3rd year</t>
  </si>
  <si>
    <t>A*</t>
  </si>
  <si>
    <t>Adjusted Admitted Base</t>
  </si>
  <si>
    <t>A* = N1+N2+N3+N5−N6 ; subject to floor rule A* ≥ N+N2</t>
  </si>
  <si>
    <t>B</t>
  </si>
  <si>
    <t>On-Time Graduates</t>
  </si>
  <si>
    <t>Students from the batch who graduated within stipulated duration (4 yrs UG / 2 yrs PG)</t>
  </si>
  <si>
    <t>SECTION B — BATCH-WISE INPUT DATA  (Blue = editable inputs, Black = auto-calculated)</t>
  </si>
  <si>
    <t>#</t>
  </si>
  <si>
    <t>Input / Item</t>
  </si>
  <si>
    <t>LYG
(Batch 2020–21)</t>
  </si>
  <si>
    <t>LYGm1
(Batch 2019–20)</t>
  </si>
  <si>
    <t>LYGm2
(Batch 2018–19)</t>
  </si>
  <si>
    <t>Notes</t>
  </si>
  <si>
    <t>Sanctioned Intake  (N)</t>
  </si>
  <si>
    <t>From AICTE approval / intake letter</t>
  </si>
  <si>
    <t>1st-Yr Admissions (adj. migration)  (N1)</t>
  </si>
  <si>
    <t>Regular admits ± migration in/out</t>
  </si>
  <si>
    <t>Lateral Entry (2nd yr)  (N2)</t>
  </si>
  <si>
    <t>Lateral entry + leftover seat admits</t>
  </si>
  <si>
    <t>Separate Division  (N3)</t>
  </si>
  <si>
    <t>0 if not applicable</t>
  </si>
  <si>
    <t>MEES Entries  (N5)</t>
  </si>
  <si>
    <t>Multiple-entry via MEES; 0 if not applicable</t>
  </si>
  <si>
    <t>MEES Exits  (N6)</t>
  </si>
  <si>
    <t>Multiple-exit via MEES; 0 if not applicable</t>
  </si>
  <si>
    <t>A* raw  =  N1+N2+N3+N5−N6</t>
  </si>
  <si>
    <t>Intermediate: before floor rule</t>
  </si>
  <si>
    <t>—</t>
  </si>
  <si>
    <t>Floor = N + N2  (minimum allowed A*)</t>
  </si>
  <si>
    <t>If A* raw &lt; floor → A* = floor</t>
  </si>
  <si>
    <t>★</t>
  </si>
  <si>
    <t>A*  (final, after floor rule applied)</t>
  </si>
  <si>
    <t>MAX(A* raw, Floor) — denominator for SR</t>
  </si>
  <si>
    <t>B  — On-Time Graduates</t>
  </si>
  <si>
    <t>Graduated within 4 yrs UG / 2 yrs PG — from Gazette/Degree Award list</t>
  </si>
  <si>
    <t>SR</t>
  </si>
  <si>
    <t>SR  =  (B / A*) × 100  (%)</t>
  </si>
  <si>
    <t>SR per batch (%)</t>
  </si>
  <si>
    <t>SECTION C — AVERAGE SR &amp; NBA MARKS CALCULATION</t>
  </si>
  <si>
    <t>Average SR  =  (SR₁ + SR₂ + SR₃) ÷ 3</t>
  </si>
  <si>
    <t>← Average SR (%)  used for marks formula</t>
  </si>
  <si>
    <t>SR Points  =  1.5 × Average SR ÷ 10</t>
  </si>
  <si>
    <t>← SR Points out of 15  (max = 15)</t>
  </si>
  <si>
    <t>NBA Grade Band (based on Average SR)</t>
  </si>
  <si>
    <t>← Grade band label</t>
  </si>
  <si>
    <t>NOTES:  (1) Blue cells are editable inputs.  (2) A* uses MAX(raw, floor) to prevent artificially high SR from low intake.  (3) B must be validated against Gazette cutoff date — delayed graduates are excluded.  (4) N5 and N6 are ONLY for MEES; do not mix with N1–N3.</t>
  </si>
  <si>
    <t>A* FLOOR RULE — DETAILED EXPLANATION WITH WORKED EXAMPLES</t>
  </si>
  <si>
    <t>PURPOSE OF THE FLOOR RULE</t>
  </si>
  <si>
    <t>The floor rule prevents the admitted-base denominator (A*) from being understated due to recording gaps or unusual situations where net migration leaves A* below the expected intake. Rule: if A* (computed) &lt; N + N2, then set A* = N + N2. This ensures SR is not artificially inflated.</t>
  </si>
  <si>
    <t>WORKED EXAMPLE — THREE BATCHES (same as SR_Calculator defaults)</t>
  </si>
  <si>
    <t>Item</t>
  </si>
  <si>
    <t>LYG (2020–21)</t>
  </si>
  <si>
    <t>LYGm1 (2019–20)</t>
  </si>
  <si>
    <t>LYGm2 (2018–19)</t>
  </si>
  <si>
    <t>Formula / Rule</t>
  </si>
  <si>
    <t>N (Sanctioned Intake)</t>
  </si>
  <si>
    <t>From AICTE/Univ. letter</t>
  </si>
  <si>
    <t>N1 (1st-yr admits, adj.)</t>
  </si>
  <si>
    <t>Admission register ± migration</t>
  </si>
  <si>
    <t>N2 (Lateral entry)</t>
  </si>
  <si>
    <t>Lateral entry register</t>
  </si>
  <si>
    <t>N3 (Sep. division)</t>
  </si>
  <si>
    <t>0 — not applicable</t>
  </si>
  <si>
    <t>N5 (MEES entries)</t>
  </si>
  <si>
    <t>MEES / ABC register</t>
  </si>
  <si>
    <t>N6 (MEES exits)</t>
  </si>
  <si>
    <t>MEES register</t>
  </si>
  <si>
    <t>A* raw = N1+N2+N3+N5−N6</t>
  </si>
  <si>
    <t>N1 + N2 + N3 + N5 − N6</t>
  </si>
  <si>
    <t>Floor = N + N2</t>
  </si>
  <si>
    <t>N + N2</t>
  </si>
  <si>
    <t>A* &lt; Floor?</t>
  </si>
  <si>
    <t>YES (120&lt;130)</t>
  </si>
  <si>
    <t>YES (120&lt;128)</t>
  </si>
  <si>
    <t>YES (121&lt;132)</t>
  </si>
  <si>
    <t>Check condition</t>
  </si>
  <si>
    <t>A* final = MAX(raw, floor)</t>
  </si>
  <si>
    <t>Floor rule APPLIED (all 3 batches)</t>
  </si>
  <si>
    <t>B (On-time graduates)</t>
  </si>
  <si>
    <t>University Gazette / Degree Award</t>
  </si>
  <si>
    <t>SR = B / A* × 100 (%)</t>
  </si>
  <si>
    <t>88.46%</t>
  </si>
  <si>
    <t>87.50%</t>
  </si>
  <si>
    <t>87.88%</t>
  </si>
  <si>
    <t>(B / A*) × 100</t>
  </si>
  <si>
    <t>Average SR = (88.46 + 87.50 + 87.88) / 3  =  87.95%</t>
  </si>
  <si>
    <t>87.95%</t>
  </si>
  <si>
    <t>SR Points = 1.5 × 87.95 / 10  =  13.19 / 15</t>
  </si>
  <si>
    <t>13.19 / 15</t>
  </si>
  <si>
    <t>SUCCESS RATE — MARKS BAND REFERENCE  (Max: 15 Marks)</t>
  </si>
  <si>
    <t>Marks Formula:  SR Points = 1.5 × Average SR / 10   |   Based on Average SR across LYG, LYGm1, LYGm2</t>
  </si>
  <si>
    <t>Band</t>
  </si>
  <si>
    <t>Average SR Range</t>
  </si>
  <si>
    <t>SR Points
(out of 15)</t>
  </si>
  <si>
    <t>% of Max</t>
  </si>
  <si>
    <t>Equivalent
Graduating%</t>
  </si>
  <si>
    <t>Interpretation</t>
  </si>
  <si>
    <t>Recommended Action</t>
  </si>
  <si>
    <t>A+</t>
  </si>
  <si>
    <t>≥ 95%</t>
  </si>
  <si>
    <t>≥ 14.25</t>
  </si>
  <si>
    <t>≥ 95 of 100</t>
  </si>
  <si>
    <t>Exceptional — near-full on-time graduation</t>
  </si>
  <si>
    <t>Maintain; document evidence</t>
  </si>
  <si>
    <t>A</t>
  </si>
  <si>
    <t>≥ 90% and &lt; 95%</t>
  </si>
  <si>
    <t>≥ 13.5</t>
  </si>
  <si>
    <t>90%</t>
  </si>
  <si>
    <t>≥ 90 of 100</t>
  </si>
  <si>
    <t>Excellent — robust progression system</t>
  </si>
  <si>
    <t>Document interventions that work</t>
  </si>
  <si>
    <t>B+</t>
  </si>
  <si>
    <t>≥ 85% and &lt; 90%</t>
  </si>
  <si>
    <t>≥ 12.75</t>
  </si>
  <si>
    <t>85%</t>
  </si>
  <si>
    <t>≥ 85 of 100</t>
  </si>
  <si>
    <t>Very Good — minor backlog issues</t>
  </si>
  <si>
    <t>Address subject-level bottlenecks</t>
  </si>
  <si>
    <t>≥ 80% and &lt; 85%</t>
  </si>
  <si>
    <t>≥ 12.0</t>
  </si>
  <si>
    <t>80%</t>
  </si>
  <si>
    <t>≥ 80 of 100</t>
  </si>
  <si>
    <t>Good — some delayed graduations</t>
  </si>
  <si>
    <t>Review remedial/tutorial support</t>
  </si>
  <si>
    <t>C+</t>
  </si>
  <si>
    <t>≥ 75% and &lt; 80%</t>
  </si>
  <si>
    <t>≥ 11.25</t>
  </si>
  <si>
    <t>75%</t>
  </si>
  <si>
    <t>≥ 75 of 100</t>
  </si>
  <si>
    <t>Acceptable — NBAassessors may question</t>
  </si>
  <si>
    <t>Improve slow-learner tracking</t>
  </si>
  <si>
    <t>C</t>
  </si>
  <si>
    <t>≥ 70% and &lt; 75%</t>
  </si>
  <si>
    <t>≥ 10.5</t>
  </si>
  <si>
    <t>70%</t>
  </si>
  <si>
    <t>≥ 70 of 100</t>
  </si>
  <si>
    <t>Moderate — visible attrition / failure rates</t>
  </si>
  <si>
    <t>Root-cause analysis required</t>
  </si>
  <si>
    <t>D</t>
  </si>
  <si>
    <t>≥ 60% and &lt; 70%</t>
  </si>
  <si>
    <t>≥ 9.0</t>
  </si>
  <si>
    <t>60%</t>
  </si>
  <si>
    <t>≥ 60 of 100</t>
  </si>
  <si>
    <t>Below par — significant dropout concerns</t>
  </si>
  <si>
    <t>Urgent academic support plan</t>
  </si>
  <si>
    <t>E</t>
  </si>
  <si>
    <t>&lt; 60%</t>
  </si>
  <si>
    <t>&lt; 9.0</t>
  </si>
  <si>
    <t>&lt; 60 of 100</t>
  </si>
  <si>
    <t>Poor — programme viability at risk</t>
  </si>
  <si>
    <t>Immediate corrective action + NBA flag</t>
  </si>
  <si>
    <t>FORMULA QUICK REFERENCE:   SR (%) = (B / A*) × 100   |   A* = MAX(N1+N2+N3+N5−N6 ,  N+N2)   |   Average SR = (SR₁+SR₂+SR₃)/3   |   SR Points = 1.5 × Average SR / 10</t>
  </si>
  <si>
    <t>SUCCESS RATE — 3-YEAR TREND TABLE WITH CHART</t>
  </si>
  <si>
    <t>Batch</t>
  </si>
  <si>
    <t>A* (final)</t>
  </si>
  <si>
    <t>B
(On-time Grads)</t>
  </si>
  <si>
    <t>SR (%)</t>
  </si>
  <si>
    <t>Avg SR
(%)</t>
  </si>
  <si>
    <t>Avg SR Points</t>
  </si>
  <si>
    <t>Average SR (3 batches)</t>
  </si>
  <si>
    <t>← Marks out of 15</t>
  </si>
  <si>
    <t>SR SUPPORTING DOCUMENTS CHECKLIST — ALL THREE BATCHES</t>
  </si>
  <si>
    <t>Tick Available / NA for each batch. All must be ready before NBA peer-team visit.</t>
  </si>
  <si>
    <t>Document / Evidence Required</t>
  </si>
  <si>
    <t>Notes / Source</t>
  </si>
  <si>
    <t>AICTE EOA / Approval Letter</t>
  </si>
  <si>
    <t>☐ Available</t>
  </si>
  <si>
    <t>Shows N (sanctioned intake) for each batch's 1st year</t>
  </si>
  <si>
    <t>Admission Register — 1st Year (N1)</t>
  </si>
  <si>
    <t>Shows all admitted students; migration adjustments noted</t>
  </si>
  <si>
    <t>Lateral Entry Admission Register (N2)</t>
  </si>
  <si>
    <t>2nd-year lateral entry students including leftover seat admits</t>
  </si>
  <si>
    <t>Separate Division Admissions (N3)</t>
  </si>
  <si>
    <t>Only if formally approved; else mark NA</t>
  </si>
  <si>
    <t>MEES Entry Records (N5)</t>
  </si>
  <si>
    <t>Students entering via MEES into 2nd/3rd/4th year</t>
  </si>
  <si>
    <t>MEES Exit Records (N6)</t>
  </si>
  <si>
    <t>Students exiting via MEES after 1st/2nd/3rd year</t>
  </si>
  <si>
    <t>Migration Approval Orders (IN/OUT)</t>
  </si>
  <si>
    <t>Used to adjust N1 for students who moved in or out</t>
  </si>
  <si>
    <t>University Result Gazette — Final Year</t>
  </si>
  <si>
    <t>Primary source for on-time graduation (B)</t>
  </si>
  <si>
    <t>Degree Award / Convocation List</t>
  </si>
  <si>
    <t>Confirms degrees conferred within stipulated period</t>
  </si>
  <si>
    <t>Passing Board Report (semester-wise)</t>
  </si>
  <si>
    <t>Validates on-time passage through each year</t>
  </si>
  <si>
    <t>Backlog Clearance Cutoff Records</t>
  </si>
  <si>
    <t>Confirms graduated students cleared all backlogs within time</t>
  </si>
  <si>
    <t>SR Computation Sheet (this workbook)</t>
  </si>
  <si>
    <t>Tabulated A*, B, SR per batch + Average SR + marks</t>
  </si>
  <si>
    <t>Cross-Verification / Gap Log</t>
  </si>
  <si>
    <t>Explains drop-outs, failures, transfer-outs vs. B</t>
  </si>
  <si>
    <t>IMPORTANT:  B (on-time graduates) must be validated against the Gazette/Degree Award cutoff date. Students who cleared backlogs AFTER the stipulated period must NOT be counted in B. N5 and N6 apply only to MEES — do not mix with regular N1–N3 admits.</t>
  </si>
  <si>
    <t>COMMON PITFALLS IN SR COMPUTATION — AND HOW TO FIX THEM</t>
  </si>
  <si>
    <t>Pitfall / Error</t>
  </si>
  <si>
    <t>Fix / Correct Approach</t>
  </si>
  <si>
    <t>Impact on SR</t>
  </si>
  <si>
    <t>Evidence to Check</t>
  </si>
  <si>
    <t>Understating A* (missing N2 or N3)</t>
  </si>
  <si>
    <t>Apply floor rule: A* = MAX(raw, N+N2). Reconcile admission and lateral entry registers.</t>
  </si>
  <si>
    <t>SR artificially inflated (denominator too small)</t>
  </si>
  <si>
    <t>Admission reg + Lateral entry reg</t>
  </si>
  <si>
    <t>Mixing MEES entries/exits (N5/N6) with regular admits</t>
  </si>
  <si>
    <t>Keep MEES records separate. N5/N6 are ONLY for MEES scheme. Do not add MEES to N1.</t>
  </si>
  <si>
    <t>A* becomes incorrect — SR distorted</t>
  </si>
  <si>
    <t>Including delayed graduates in B</t>
  </si>
  <si>
    <t>Use Gazette cutoff dates. Only count graduates who finished within 4 yrs UG / 2 yrs PG.</t>
  </si>
  <si>
    <t>SR overstated (numerator inflated)</t>
  </si>
  <si>
    <t>Gazette / Passing Board dates</t>
  </si>
  <si>
    <t>Omitting Separate Division (N3)</t>
  </si>
  <si>
    <t>Formally approved separate-division admissions must be added to A*.</t>
  </si>
  <si>
    <t>SR slightly overstated if N3 omitted</t>
  </si>
  <si>
    <t>University separate division approval letter</t>
  </si>
  <si>
    <t>Ignoring migration adjustments in N1</t>
  </si>
  <si>
    <t>N1 = Admitted − Migrated out + Migrated in. Verify with migration orders.</t>
  </si>
  <si>
    <t>A* wrong if migration not accounted</t>
  </si>
  <si>
    <t>Migration approval orders</t>
  </si>
  <si>
    <t>Using total students ever enrolled instead of batch cohort</t>
  </si>
  <si>
    <t>SR is computed per batch — only students admitted in that entry year.</t>
  </si>
  <si>
    <t>SR becomes meaningless (wrong cohort)</t>
  </si>
  <si>
    <t>Batch-specific admission register</t>
  </si>
  <si>
    <t>Not applying floor rule when A* &lt; N+N2</t>
  </si>
  <si>
    <t>Mandatory per NBA SAR manual: always set A* = MAX(raw, N+N2).</t>
  </si>
  <si>
    <t>SR inflated → NBA may downgrade on audit</t>
  </si>
  <si>
    <t>Cross-verification sheet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</si>
</sst>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47">
    <font>
      <sz val="11"/>
      <color theme="1"/>
      <name val="Calibri"/>
      <charset val="1"/>
    </font>
    <font>
      <b/>
      <sz val="12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9"/>
      <color rgb="FF000000"/>
      <name val="Arial"/>
      <charset val="1"/>
    </font>
    <font>
      <i/>
      <sz val="9"/>
      <color rgb="FF000000"/>
      <name val="Arial"/>
      <charset val="1"/>
    </font>
    <font>
      <b/>
      <sz val="10"/>
      <color rgb="FFFFFFFF"/>
      <name val="Arial"/>
      <charset val="1"/>
    </font>
    <font>
      <sz val="9"/>
      <color rgb="FF555555"/>
      <name val="Arial"/>
      <charset val="1"/>
    </font>
    <font>
      <i/>
      <sz val="9"/>
      <color rgb="FF1F3864"/>
      <name val="Arial"/>
      <charset val="1"/>
    </font>
    <font>
      <b/>
      <sz val="10"/>
      <color rgb="FF0000FF"/>
      <name val="Arial"/>
      <charset val="1"/>
    </font>
    <font>
      <b/>
      <sz val="11"/>
      <color rgb="FF375623"/>
      <name val="Arial"/>
      <charset val="1"/>
    </font>
    <font>
      <b/>
      <sz val="12"/>
      <color rgb="FFC9A227"/>
      <name val="Arial"/>
      <charset val="1"/>
    </font>
    <font>
      <i/>
      <sz val="10"/>
      <color rgb="FF000000"/>
      <name val="Arial"/>
      <charset val="1"/>
    </font>
    <font>
      <b/>
      <sz val="10"/>
      <color rgb="FF1F3864"/>
      <name val="Arial"/>
      <charset val="1"/>
    </font>
    <font>
      <i/>
      <sz val="9"/>
      <name val="Arial"/>
      <charset val="1"/>
    </font>
    <font>
      <b/>
      <sz val="9"/>
      <color rgb="FF000000"/>
      <name val="Arial"/>
      <charset val="1"/>
    </font>
    <font>
      <b/>
      <sz val="11"/>
      <color rgb="FFFFFFFF"/>
      <name val="Arial"/>
      <charset val="1"/>
    </font>
    <font>
      <b/>
      <sz val="11"/>
      <color rgb="FFC9A227"/>
      <name val="Arial"/>
      <charset val="1"/>
    </font>
    <font>
      <b/>
      <sz val="14"/>
      <color rgb="FFFFFFFF"/>
      <name val="Arial"/>
      <charset val="1"/>
    </font>
    <font>
      <i/>
      <sz val="10"/>
      <color rgb="FF1F3864"/>
      <name val="Arial"/>
      <charset val="1"/>
    </font>
    <font>
      <b/>
      <sz val="10"/>
      <color rgb="FFC9A227"/>
      <name val="Arial"/>
      <charset val="1"/>
    </font>
    <font>
      <sz val="9"/>
      <color rgb="FFFFFFFF"/>
      <name val="Arial"/>
      <charset val="1"/>
    </font>
    <font>
      <b/>
      <sz val="10"/>
      <color rgb="FF375623"/>
      <name val="Arial"/>
      <charset val="1"/>
    </font>
    <font>
      <b/>
      <sz val="11"/>
      <color rgb="FF000000"/>
      <name val="Arial"/>
      <charset val="1"/>
    </font>
    <font>
      <i/>
      <sz val="10"/>
      <color rgb="FF375623"/>
      <name val="Arial"/>
      <charset val="1"/>
    </font>
    <font>
      <i/>
      <sz val="9"/>
      <color rgb="FF555555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9A227"/>
        <bgColor rgb="FF99CC00"/>
      </patternFill>
    </fill>
    <fill>
      <patternFill patternType="solid">
        <fgColor rgb="FFFFF2CC"/>
        <bgColor rgb="FFFCE4D6"/>
      </patternFill>
    </fill>
    <fill>
      <patternFill patternType="solid">
        <fgColor rgb="FFDEEAF1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9F9F9"/>
      </patternFill>
    </fill>
    <fill>
      <patternFill patternType="solid">
        <fgColor rgb="FF375623"/>
        <bgColor rgb="FF555555"/>
      </patternFill>
    </fill>
    <fill>
      <patternFill patternType="solid">
        <fgColor rgb="FFF2F2F2"/>
        <bgColor rgb="FFF9F9F9"/>
      </patternFill>
    </fill>
    <fill>
      <patternFill patternType="solid">
        <fgColor rgb="FFE2EFDA"/>
        <bgColor rgb="FFDEEAF1"/>
      </patternFill>
    </fill>
    <fill>
      <patternFill patternType="solid">
        <fgColor rgb="FFD6E4F0"/>
        <bgColor rgb="FFDEEA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6" fillId="0" borderId="0" applyBorder="0" applyAlignment="0" applyProtection="0"/>
    <xf numFmtId="177" fontId="26" fillId="0" borderId="0" applyBorder="0" applyAlignment="0" applyProtection="0"/>
    <xf numFmtId="9" fontId="26" fillId="0" borderId="0" applyBorder="0" applyAlignment="0" applyProtection="0"/>
    <xf numFmtId="178" fontId="26" fillId="0" borderId="0" applyBorder="0" applyAlignment="0" applyProtection="0"/>
    <xf numFmtId="179" fontId="26" fillId="0" borderId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2" borderId="5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3" borderId="8" applyNumberFormat="0" applyAlignment="0" applyProtection="0">
      <alignment vertical="center"/>
    </xf>
    <xf numFmtId="0" fontId="37" fillId="14" borderId="9" applyNumberFormat="0" applyAlignment="0" applyProtection="0">
      <alignment vertical="center"/>
    </xf>
    <xf numFmtId="0" fontId="38" fillId="14" borderId="8" applyNumberFormat="0" applyAlignment="0" applyProtection="0">
      <alignment vertical="center"/>
    </xf>
    <xf numFmtId="0" fontId="39" fillId="15" borderId="10" applyNumberFormat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</cellStyleXfs>
  <cellXfs count="111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left" vertical="center"/>
    </xf>
    <xf numFmtId="3" fontId="9" fillId="9" borderId="3" xfId="0" applyNumberFormat="1" applyFont="1" applyFill="1" applyBorder="1" applyAlignment="1">
      <alignment horizontal="center" vertical="center"/>
    </xf>
    <xf numFmtId="2" fontId="10" fillId="10" borderId="3" xfId="0" applyNumberFormat="1" applyFont="1" applyFill="1" applyBorder="1" applyAlignment="1">
      <alignment horizontal="center" vertical="center"/>
    </xf>
    <xf numFmtId="2" fontId="3" fillId="7" borderId="3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center"/>
    </xf>
    <xf numFmtId="2" fontId="3" fillId="5" borderId="3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2" fontId="11" fillId="2" borderId="2" xfId="0" applyNumberFormat="1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left" vertical="center" wrapText="1"/>
    </xf>
    <xf numFmtId="0" fontId="12" fillId="10" borderId="3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center" wrapText="1"/>
    </xf>
    <xf numFmtId="0" fontId="12" fillId="5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left" vertical="center" wrapText="1"/>
    </xf>
    <xf numFmtId="0" fontId="12" fillId="6" borderId="3" xfId="0" applyFont="1" applyFill="1" applyBorder="1" applyAlignment="1">
      <alignment horizontal="left" vertical="center" wrapText="1"/>
    </xf>
    <xf numFmtId="0" fontId="13" fillId="5" borderId="4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4" fillId="9" borderId="3" xfId="0" applyFont="1" applyFill="1" applyBorder="1" applyAlignment="1">
      <alignment horizontal="left" vertical="center" wrapText="1"/>
    </xf>
    <xf numFmtId="0" fontId="4" fillId="9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left" vertical="center"/>
    </xf>
    <xf numFmtId="0" fontId="4" fillId="11" borderId="3" xfId="0" applyFont="1" applyFill="1" applyBorder="1" applyAlignment="1">
      <alignment horizontal="left" vertical="center" wrapText="1"/>
    </xf>
    <xf numFmtId="0" fontId="4" fillId="11" borderId="3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left" vertical="center"/>
    </xf>
    <xf numFmtId="0" fontId="3" fillId="11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15" fillId="4" borderId="3" xfId="0" applyFont="1" applyFill="1" applyBorder="1" applyAlignment="1">
      <alignment horizontal="left" vertical="center" wrapText="1"/>
    </xf>
    <xf numFmtId="0" fontId="15" fillId="4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15" fillId="10" borderId="3" xfId="0" applyFont="1" applyFill="1" applyBorder="1" applyAlignment="1">
      <alignment horizontal="left" vertical="center" wrapText="1"/>
    </xf>
    <xf numFmtId="0" fontId="15" fillId="10" borderId="3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left" vertical="center"/>
    </xf>
    <xf numFmtId="0" fontId="10" fillId="10" borderId="4" xfId="0" applyFont="1" applyFill="1" applyBorder="1" applyAlignment="1">
      <alignment horizontal="left" vertical="center"/>
    </xf>
    <xf numFmtId="0" fontId="10" fillId="10" borderId="3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left" vertical="center"/>
    </xf>
    <xf numFmtId="0" fontId="17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13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left" vertical="center" wrapText="1"/>
    </xf>
    <xf numFmtId="0" fontId="13" fillId="9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left" vertical="center"/>
    </xf>
    <xf numFmtId="0" fontId="5" fillId="9" borderId="4" xfId="0" applyFont="1" applyFill="1" applyBorder="1" applyAlignment="1">
      <alignment horizontal="left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left" vertical="center"/>
    </xf>
    <xf numFmtId="3" fontId="2" fillId="11" borderId="3" xfId="0" applyNumberFormat="1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left" vertical="center"/>
    </xf>
    <xf numFmtId="0" fontId="12" fillId="4" borderId="3" xfId="0" applyFont="1" applyFill="1" applyBorder="1" applyAlignment="1">
      <alignment horizontal="left" vertical="center"/>
    </xf>
    <xf numFmtId="3" fontId="12" fillId="4" borderId="3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left" vertical="center"/>
    </xf>
    <xf numFmtId="0" fontId="20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3" fontId="17" fillId="2" borderId="2" xfId="0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left" vertical="center"/>
    </xf>
    <xf numFmtId="0" fontId="13" fillId="5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0" fontId="22" fillId="10" borderId="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left" vertical="center"/>
    </xf>
    <xf numFmtId="2" fontId="10" fillId="10" borderId="2" xfId="0" applyNumberFormat="1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left" vertical="center"/>
    </xf>
    <xf numFmtId="0" fontId="13" fillId="5" borderId="4" xfId="0" applyFont="1" applyFill="1" applyBorder="1" applyAlignment="1">
      <alignment horizontal="left" vertical="center"/>
    </xf>
    <xf numFmtId="2" fontId="23" fillId="3" borderId="2" xfId="0" applyNumberFormat="1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left" vertical="center"/>
    </xf>
    <xf numFmtId="2" fontId="1" fillId="2" borderId="2" xfId="0" applyNumberFormat="1" applyFont="1" applyFill="1" applyBorder="1" applyAlignment="1">
      <alignment horizontal="center" vertical="center"/>
    </xf>
    <xf numFmtId="0" fontId="19" fillId="9" borderId="4" xfId="0" applyFont="1" applyFill="1" applyBorder="1" applyAlignment="1">
      <alignment horizontal="left" vertical="center"/>
    </xf>
    <xf numFmtId="0" fontId="22" fillId="10" borderId="2" xfId="0" applyFont="1" applyFill="1" applyBorder="1" applyAlignment="1">
      <alignment horizontal="center" vertical="center"/>
    </xf>
    <xf numFmtId="0" fontId="24" fillId="10" borderId="4" xfId="0" applyFont="1" applyFill="1" applyBorder="1" applyAlignment="1">
      <alignment horizontal="left" vertical="center"/>
    </xf>
    <xf numFmtId="0" fontId="25" fillId="9" borderId="4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9F9F9"/>
      <rgbColor rgb="00878787"/>
      <rgbColor rgb="009999FF"/>
      <rgbColor rgb="00993366"/>
      <rgbColor rgb="00FFF2CC"/>
      <rgbColor rgb="00DEEAF1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6E4F0"/>
      <rgbColor rgb="00E2EFDA"/>
      <rgbColor rgb="00F2F2F2"/>
      <rgbColor rgb="0099CCFF"/>
      <rgbColor rgb="00FF99CC"/>
      <rgbColor rgb="00CC99FF"/>
      <rgbColor rgb="00FCE4D6"/>
      <rgbColor rgb="003366FF"/>
      <rgbColor rgb="0033CCCC"/>
      <rgbColor rgb="0099CC00"/>
      <rgbColor rgb="00FFCC00"/>
      <rgbColor rgb="00C9A227"/>
      <rgbColor rgb="00FF6600"/>
      <rgbColor rgb="00555555"/>
      <rgbColor rgb="00AAAAAA"/>
      <rgbColor rgb="001F3864"/>
      <rgbColor rgb="00339966"/>
      <rgbColor rgb="00003300"/>
      <rgbColor rgb="00333300"/>
      <rgbColor rgb="00993300"/>
      <rgbColor rgb="00993366"/>
      <rgbColor rgb="00333399"/>
      <rgbColor rgb="00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Success Rate (%) — Batch-wise Trend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SR_Trend_Chart!$E$2</c:f>
              <c:strCache>
                <c:ptCount val="1"/>
                <c:pt idx="0">
                  <c:v>SR (%)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SR_Trend_Chart!$B$3:$B$5</c:f>
              <c:strCache>
                <c:ptCount val="3"/>
                <c:pt idx="0">
                  <c:v>LYG (2020–21)</c:v>
                </c:pt>
                <c:pt idx="1">
                  <c:v>LYGm1 (2019–20)</c:v>
                </c:pt>
                <c:pt idx="2">
                  <c:v>LYGm2 (2018–19)</c:v>
                </c:pt>
              </c:strCache>
            </c:strRef>
          </c:cat>
          <c:val>
            <c:numRef>
              <c:f>SR_Trend_Chart!$E$3:$E$5</c:f>
              <c:numCache>
                <c:formatCode>0.00</c:formatCode>
                <c:ptCount val="3"/>
                <c:pt idx="0">
                  <c:v>88.4615384615385</c:v>
                </c:pt>
                <c:pt idx="1">
                  <c:v>87.5</c:v>
                </c:pt>
                <c:pt idx="2">
                  <c:v>87.8787878787879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57991742"/>
        <c:axId val="90754060"/>
      </c:barChart>
      <c:catAx>
        <c:axId val="5799174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Batch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90754060"/>
        <c:crosses val="autoZero"/>
        <c:auto val="1"/>
        <c:lblAlgn val="ctr"/>
        <c:lblOffset val="100"/>
        <c:noMultiLvlLbl val="0"/>
      </c:catAx>
      <c:valAx>
        <c:axId val="90754060"/>
        <c:scaling>
          <c:orientation val="minMax"/>
          <c:max val="11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SR (%)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79917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d961ad4-195e-4301-9b16-c34ef64a27ac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6</xdr:col>
      <xdr:colOff>628560</xdr:colOff>
      <xdr:row>30</xdr:row>
      <xdr:rowOff>127800</xdr:rowOff>
    </xdr:to>
    <xdr:graphicFrame>
      <xdr:nvGraphicFramePr>
        <xdr:cNvPr id="2" name="Chart 1"/>
        <xdr:cNvGraphicFramePr/>
      </xdr:nvGraphicFramePr>
      <xdr:xfrm>
        <a:off x="0" y="2308860"/>
        <a:ext cx="6320155" cy="41509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showGridLines="0" workbookViewId="0">
      <pane ySplit="8" topLeftCell="A28" activePane="bottomLeft" state="frozen"/>
      <selection/>
      <selection pane="bottomLeft" activeCell="K24" sqref="K24"/>
    </sheetView>
  </sheetViews>
  <sheetFormatPr defaultColWidth="8.67592592592593" defaultRowHeight="14.4" outlineLevelCol="6"/>
  <cols>
    <col min="1" max="1" width="3" style="1" customWidth="1"/>
    <col min="2" max="2" width="36" style="1" customWidth="1"/>
    <col min="3" max="3" width="21.8888888888889" style="1" customWidth="1"/>
    <col min="4" max="5" width="16" style="1" customWidth="1"/>
    <col min="6" max="7" width="20" style="1" customWidth="1"/>
  </cols>
  <sheetData>
    <row r="1" ht="33.75" customHeight="1" spans="1:7">
      <c r="A1" s="74" t="s">
        <v>0</v>
      </c>
      <c r="B1" s="74"/>
      <c r="C1" s="74"/>
      <c r="D1" s="74"/>
      <c r="E1" s="74"/>
      <c r="F1" s="74"/>
      <c r="G1" s="74"/>
    </row>
    <row r="2" ht="18" customHeight="1" spans="1:7">
      <c r="A2" s="75" t="s">
        <v>1</v>
      </c>
      <c r="B2" s="75"/>
      <c r="C2" s="75"/>
      <c r="D2" s="75"/>
      <c r="E2" s="75"/>
      <c r="F2" s="75"/>
      <c r="G2" s="75"/>
    </row>
    <row r="3" ht="24" customHeight="1" spans="1:7">
      <c r="A3" s="20" t="s">
        <v>2</v>
      </c>
      <c r="B3" s="20"/>
      <c r="C3" s="20"/>
      <c r="D3" s="20"/>
      <c r="E3" s="20"/>
      <c r="F3" s="20"/>
      <c r="G3" s="20"/>
    </row>
    <row r="4" ht="21.75" customHeight="1" spans="1:7">
      <c r="B4" s="76" t="s">
        <v>3</v>
      </c>
      <c r="C4" s="76" t="s">
        <v>4</v>
      </c>
      <c r="D4" s="77" t="s">
        <v>5</v>
      </c>
      <c r="E4" s="77"/>
      <c r="F4" s="77"/>
      <c r="G4" s="77"/>
    </row>
    <row r="5" ht="19.5" customHeight="1" spans="1:7">
      <c r="B5" s="78" t="s">
        <v>6</v>
      </c>
      <c r="C5" s="27" t="s">
        <v>7</v>
      </c>
      <c r="D5" s="79" t="s">
        <v>8</v>
      </c>
      <c r="E5" s="79"/>
      <c r="F5" s="79"/>
      <c r="G5" s="79"/>
    </row>
    <row r="6" ht="19.5" customHeight="1" spans="1:7">
      <c r="B6" s="80" t="s">
        <v>9</v>
      </c>
      <c r="C6" s="81" t="s">
        <v>10</v>
      </c>
      <c r="D6" s="82" t="s">
        <v>11</v>
      </c>
      <c r="E6" s="82"/>
      <c r="F6" s="82"/>
      <c r="G6" s="82"/>
    </row>
    <row r="7" ht="19.5" customHeight="1" spans="1:7">
      <c r="B7" s="78" t="s">
        <v>12</v>
      </c>
      <c r="C7" s="27" t="s">
        <v>13</v>
      </c>
      <c r="D7" s="79" t="s">
        <v>14</v>
      </c>
      <c r="E7" s="79"/>
      <c r="F7" s="79"/>
      <c r="G7" s="79"/>
    </row>
    <row r="8" ht="19.5" customHeight="1" spans="1:7">
      <c r="B8" s="80" t="s">
        <v>15</v>
      </c>
      <c r="C8" s="81" t="s">
        <v>16</v>
      </c>
      <c r="D8" s="82" t="s">
        <v>17</v>
      </c>
      <c r="E8" s="82"/>
      <c r="F8" s="82"/>
      <c r="G8" s="82"/>
    </row>
    <row r="9" ht="19.5" customHeight="1" spans="1:7">
      <c r="B9" s="78" t="s">
        <v>18</v>
      </c>
      <c r="C9" s="27" t="s">
        <v>19</v>
      </c>
      <c r="D9" s="79" t="s">
        <v>20</v>
      </c>
      <c r="E9" s="79"/>
      <c r="F9" s="79"/>
      <c r="G9" s="79"/>
    </row>
    <row r="10" ht="19.5" customHeight="1" spans="1:7">
      <c r="B10" s="80" t="s">
        <v>21</v>
      </c>
      <c r="C10" s="81" t="s">
        <v>22</v>
      </c>
      <c r="D10" s="82" t="s">
        <v>23</v>
      </c>
      <c r="E10" s="82"/>
      <c r="F10" s="82"/>
      <c r="G10" s="82"/>
    </row>
    <row r="11" ht="19.5" customHeight="1" spans="1:7">
      <c r="B11" s="78" t="s">
        <v>24</v>
      </c>
      <c r="C11" s="27" t="s">
        <v>25</v>
      </c>
      <c r="D11" s="79" t="s">
        <v>26</v>
      </c>
      <c r="E11" s="79"/>
      <c r="F11" s="79"/>
      <c r="G11" s="79"/>
    </row>
    <row r="12" ht="19.5" customHeight="1" spans="1:7">
      <c r="B12" s="80" t="s">
        <v>27</v>
      </c>
      <c r="C12" s="81" t="s">
        <v>28</v>
      </c>
      <c r="D12" s="82" t="s">
        <v>29</v>
      </c>
      <c r="E12" s="82"/>
      <c r="F12" s="82"/>
      <c r="G12" s="82"/>
    </row>
    <row r="13" ht="15.15"/>
    <row r="14" ht="24" customHeight="1" spans="1:7">
      <c r="A14" s="20" t="s">
        <v>30</v>
      </c>
      <c r="B14" s="20"/>
      <c r="C14" s="20"/>
      <c r="D14" s="20"/>
      <c r="E14" s="20"/>
      <c r="F14" s="20"/>
      <c r="G14" s="20"/>
    </row>
    <row r="15" ht="36" customHeight="1" spans="1:7">
      <c r="A15" s="3" t="s">
        <v>31</v>
      </c>
      <c r="B15" s="3" t="s">
        <v>32</v>
      </c>
      <c r="C15" s="3" t="s">
        <v>33</v>
      </c>
      <c r="D15" s="3" t="s">
        <v>34</v>
      </c>
      <c r="E15" s="3" t="s">
        <v>35</v>
      </c>
      <c r="F15" s="3" t="s">
        <v>36</v>
      </c>
      <c r="G15" s="3"/>
    </row>
    <row r="16" ht="21.75" customHeight="1" spans="1:7">
      <c r="A16" s="16">
        <v>1</v>
      </c>
      <c r="B16" s="27" t="s">
        <v>37</v>
      </c>
      <c r="C16" s="28">
        <v>120</v>
      </c>
      <c r="D16" s="28">
        <v>120</v>
      </c>
      <c r="E16" s="28">
        <v>120</v>
      </c>
      <c r="F16" s="83" t="s">
        <v>38</v>
      </c>
      <c r="G16" s="83"/>
    </row>
    <row r="17" ht="21.75" customHeight="1" spans="1:7">
      <c r="A17" s="22">
        <v>2</v>
      </c>
      <c r="B17" s="81" t="s">
        <v>39</v>
      </c>
      <c r="C17" s="28">
        <v>110</v>
      </c>
      <c r="D17" s="28">
        <v>112</v>
      </c>
      <c r="E17" s="28">
        <v>108</v>
      </c>
      <c r="F17" s="84" t="s">
        <v>40</v>
      </c>
      <c r="G17" s="84"/>
    </row>
    <row r="18" ht="21.75" customHeight="1" spans="1:7">
      <c r="A18" s="16">
        <v>3</v>
      </c>
      <c r="B18" s="27" t="s">
        <v>41</v>
      </c>
      <c r="C18" s="28">
        <v>10</v>
      </c>
      <c r="D18" s="28">
        <v>8</v>
      </c>
      <c r="E18" s="28">
        <v>12</v>
      </c>
      <c r="F18" s="83" t="s">
        <v>42</v>
      </c>
      <c r="G18" s="83"/>
    </row>
    <row r="19" ht="21.75" customHeight="1" spans="1:7">
      <c r="A19" s="22">
        <v>4</v>
      </c>
      <c r="B19" s="81" t="s">
        <v>43</v>
      </c>
      <c r="C19" s="28">
        <v>0</v>
      </c>
      <c r="D19" s="28">
        <v>0</v>
      </c>
      <c r="E19" s="28">
        <v>0</v>
      </c>
      <c r="F19" s="84" t="s">
        <v>44</v>
      </c>
      <c r="G19" s="84"/>
    </row>
    <row r="20" ht="21.75" customHeight="1" spans="1:7">
      <c r="A20" s="16">
        <v>5</v>
      </c>
      <c r="B20" s="27" t="s">
        <v>45</v>
      </c>
      <c r="C20" s="28">
        <v>2</v>
      </c>
      <c r="D20" s="28">
        <v>1</v>
      </c>
      <c r="E20" s="28">
        <v>2</v>
      </c>
      <c r="F20" s="83" t="s">
        <v>46</v>
      </c>
      <c r="G20" s="83"/>
    </row>
    <row r="21" ht="21.75" customHeight="1" spans="1:7">
      <c r="A21" s="22">
        <v>6</v>
      </c>
      <c r="B21" s="81" t="s">
        <v>47</v>
      </c>
      <c r="C21" s="28">
        <v>2</v>
      </c>
      <c r="D21" s="28">
        <v>1</v>
      </c>
      <c r="E21" s="28">
        <v>1</v>
      </c>
      <c r="F21" s="84" t="s">
        <v>48</v>
      </c>
      <c r="G21" s="84"/>
    </row>
    <row r="22" ht="21.75" customHeight="1" spans="1:7">
      <c r="A22" s="85">
        <v>7</v>
      </c>
      <c r="B22" s="86" t="s">
        <v>49</v>
      </c>
      <c r="C22" s="87">
        <f>C17+C18+C19+C20-C21</f>
        <v>120</v>
      </c>
      <c r="D22" s="87">
        <f>D17+D18+D19+D20-D21</f>
        <v>120</v>
      </c>
      <c r="E22" s="87">
        <f>E17+E18+E19+E20-E21</f>
        <v>121</v>
      </c>
      <c r="F22" s="88" t="s">
        <v>50</v>
      </c>
      <c r="G22" s="88"/>
    </row>
    <row r="23" ht="21.75" customHeight="1" spans="1:7">
      <c r="A23" s="4" t="s">
        <v>51</v>
      </c>
      <c r="B23" s="89" t="s">
        <v>52</v>
      </c>
      <c r="C23" s="90">
        <f>C16+C18</f>
        <v>130</v>
      </c>
      <c r="D23" s="90">
        <f>D16+D18</f>
        <v>128</v>
      </c>
      <c r="E23" s="90">
        <f>E16+E18</f>
        <v>132</v>
      </c>
      <c r="F23" s="91" t="s">
        <v>53</v>
      </c>
      <c r="G23" s="91"/>
    </row>
    <row r="24" ht="25.5" customHeight="1" spans="1:7">
      <c r="A24" s="92" t="s">
        <v>54</v>
      </c>
      <c r="B24" s="93" t="s">
        <v>55</v>
      </c>
      <c r="C24" s="94">
        <f>MAX(C22,C23)</f>
        <v>130</v>
      </c>
      <c r="D24" s="94">
        <f>MAX(D22,D23)</f>
        <v>128</v>
      </c>
      <c r="E24" s="94">
        <f>MAX(E22,E23)</f>
        <v>132</v>
      </c>
      <c r="F24" s="95" t="s">
        <v>56</v>
      </c>
      <c r="G24" s="95"/>
    </row>
    <row r="25" ht="21.75" customHeight="1" spans="1:7">
      <c r="A25" s="96" t="s">
        <v>27</v>
      </c>
      <c r="B25" s="97" t="s">
        <v>57</v>
      </c>
      <c r="C25" s="28">
        <v>115</v>
      </c>
      <c r="D25" s="28">
        <v>112</v>
      </c>
      <c r="E25" s="28">
        <v>116</v>
      </c>
      <c r="F25" s="98" t="s">
        <v>58</v>
      </c>
      <c r="G25" s="98"/>
    </row>
    <row r="26" ht="25.5" customHeight="1" spans="1:7">
      <c r="A26" s="99" t="s">
        <v>59</v>
      </c>
      <c r="B26" s="100" t="s">
        <v>60</v>
      </c>
      <c r="C26" s="101">
        <f>C25/C24*100</f>
        <v>88.4615384615385</v>
      </c>
      <c r="D26" s="101">
        <f>D25/D24*100</f>
        <v>87.5</v>
      </c>
      <c r="E26" s="101">
        <f>E25/E24*100</f>
        <v>87.8787878787879</v>
      </c>
      <c r="F26" s="102" t="s">
        <v>61</v>
      </c>
      <c r="G26" s="102"/>
    </row>
    <row r="27" ht="15.15"/>
    <row r="28" ht="24" customHeight="1" spans="1:7">
      <c r="A28" s="20" t="s">
        <v>62</v>
      </c>
      <c r="B28" s="20"/>
      <c r="C28" s="20"/>
      <c r="D28" s="20"/>
      <c r="E28" s="20"/>
      <c r="F28" s="20"/>
      <c r="G28" s="20"/>
    </row>
    <row r="29" ht="27.75" customHeight="1" spans="1:7">
      <c r="A29" s="103" t="s">
        <v>63</v>
      </c>
      <c r="B29" s="103"/>
      <c r="C29" s="104">
        <f>AVERAGE(C26:E26)</f>
        <v>87.9467754467754</v>
      </c>
      <c r="D29" s="105" t="s">
        <v>64</v>
      </c>
      <c r="E29" s="105"/>
      <c r="F29" s="105"/>
      <c r="G29" s="105"/>
    </row>
    <row r="30" ht="30" customHeight="1" spans="1:7">
      <c r="A30" s="33" t="s">
        <v>65</v>
      </c>
      <c r="B30" s="33"/>
      <c r="C30" s="106">
        <f>1.5*C29/10</f>
        <v>13.1920163170163</v>
      </c>
      <c r="D30" s="33" t="s">
        <v>66</v>
      </c>
      <c r="E30" s="33"/>
      <c r="F30" s="33"/>
      <c r="G30" s="33"/>
    </row>
    <row r="31" ht="21.75" customHeight="1" spans="1:7">
      <c r="A31" s="107" t="s">
        <v>67</v>
      </c>
      <c r="B31" s="107"/>
      <c r="C31" s="108" t="str">
        <f>IF(C29&gt;=90,"≥90% → Full 15 marks",IF(C29&gt;=80,"≥80% → ~12 marks",IF(C29&gt;=70,"≥70% → ~10.5 marks",IF(C29&gt;=60,"≥60% → ~9 marks","&lt;60% → below 9 marks"))))</f>
        <v>≥80% → ~12 marks</v>
      </c>
      <c r="D31" s="109" t="s">
        <v>68</v>
      </c>
      <c r="E31" s="109"/>
      <c r="F31" s="109"/>
      <c r="G31" s="109"/>
    </row>
    <row r="33" ht="30" customHeight="1" spans="1:7">
      <c r="A33" s="110" t="s">
        <v>69</v>
      </c>
      <c r="B33" s="110"/>
      <c r="C33" s="110"/>
      <c r="D33" s="110"/>
      <c r="E33" s="110"/>
      <c r="F33" s="110"/>
      <c r="G33" s="110"/>
    </row>
  </sheetData>
  <mergeCells count="32">
    <mergeCell ref="A1:G1"/>
    <mergeCell ref="A2:G2"/>
    <mergeCell ref="A3:G3"/>
    <mergeCell ref="D4:G4"/>
    <mergeCell ref="D5:G5"/>
    <mergeCell ref="D6:G6"/>
    <mergeCell ref="D7:G7"/>
    <mergeCell ref="D8:G8"/>
    <mergeCell ref="D9:G9"/>
    <mergeCell ref="D10:G10"/>
    <mergeCell ref="D11:G11"/>
    <mergeCell ref="D12:G12"/>
    <mergeCell ref="A14:G14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A28:G28"/>
    <mergeCell ref="A29:B29"/>
    <mergeCell ref="D29:G29"/>
    <mergeCell ref="A30:B30"/>
    <mergeCell ref="D30:G30"/>
    <mergeCell ref="A31:B31"/>
    <mergeCell ref="D31:G31"/>
    <mergeCell ref="A33:G3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showGridLines="0" topLeftCell="A6" workbookViewId="0">
      <selection activeCell="H14" sqref="H14"/>
    </sheetView>
  </sheetViews>
  <sheetFormatPr defaultColWidth="8.67592592592593" defaultRowHeight="14.4" outlineLevelCol="5"/>
  <cols>
    <col min="1" max="1" width="23.6666666666667" style="1" customWidth="1"/>
    <col min="2" max="2" width="32" style="1" customWidth="1"/>
    <col min="3" max="5" width="16" style="1" customWidth="1"/>
    <col min="6" max="6" width="20" style="1" customWidth="1"/>
  </cols>
  <sheetData>
    <row r="1" ht="24" customHeight="1" spans="1:6">
      <c r="A1" s="2" t="s">
        <v>70</v>
      </c>
      <c r="B1" s="2"/>
      <c r="C1" s="2"/>
      <c r="D1" s="2"/>
      <c r="E1" s="2"/>
      <c r="F1" s="2"/>
    </row>
    <row r="2" ht="24" customHeight="1" spans="1:6">
      <c r="A2" s="20" t="s">
        <v>71</v>
      </c>
      <c r="B2" s="20"/>
      <c r="C2" s="20"/>
      <c r="D2" s="20"/>
      <c r="E2" s="20"/>
      <c r="F2" s="20"/>
    </row>
    <row r="3" ht="42" customHeight="1" spans="1:6">
      <c r="A3" s="49" t="s">
        <v>72</v>
      </c>
      <c r="B3" s="49"/>
      <c r="C3" s="49"/>
      <c r="D3" s="49"/>
      <c r="E3" s="49"/>
      <c r="F3" s="49"/>
    </row>
    <row r="4" ht="24" customHeight="1" spans="1:6">
      <c r="A4" s="20" t="s">
        <v>73</v>
      </c>
      <c r="B4" s="20"/>
      <c r="C4" s="20"/>
      <c r="D4" s="20"/>
      <c r="E4" s="20"/>
      <c r="F4" s="20"/>
    </row>
    <row r="5" ht="27.75" customHeight="1" spans="1:6">
      <c r="A5" s="3" t="s">
        <v>74</v>
      </c>
      <c r="B5" s="3" t="s">
        <v>75</v>
      </c>
      <c r="C5" s="3" t="s">
        <v>76</v>
      </c>
      <c r="D5" s="3" t="s">
        <v>77</v>
      </c>
      <c r="E5" s="3" t="s">
        <v>78</v>
      </c>
      <c r="F5" s="3"/>
    </row>
    <row r="6" ht="21.75" customHeight="1" spans="1:6">
      <c r="A6" s="50" t="s">
        <v>79</v>
      </c>
      <c r="B6" s="51">
        <v>120</v>
      </c>
      <c r="C6" s="51">
        <v>120</v>
      </c>
      <c r="D6" s="51">
        <v>120</v>
      </c>
      <c r="E6" s="52" t="s">
        <v>80</v>
      </c>
      <c r="F6" s="22"/>
    </row>
    <row r="7" ht="21.75" customHeight="1" spans="1:6">
      <c r="A7" s="18" t="s">
        <v>81</v>
      </c>
      <c r="B7" s="53">
        <v>110</v>
      </c>
      <c r="C7" s="53">
        <v>112</v>
      </c>
      <c r="D7" s="53">
        <v>108</v>
      </c>
      <c r="E7" s="54" t="s">
        <v>82</v>
      </c>
      <c r="F7" s="16"/>
    </row>
    <row r="8" ht="21.75" customHeight="1" spans="1:6">
      <c r="A8" s="50" t="s">
        <v>83</v>
      </c>
      <c r="B8" s="51">
        <v>10</v>
      </c>
      <c r="C8" s="51">
        <v>8</v>
      </c>
      <c r="D8" s="51">
        <v>12</v>
      </c>
      <c r="E8" s="52" t="s">
        <v>84</v>
      </c>
      <c r="F8" s="22"/>
    </row>
    <row r="9" ht="21.75" customHeight="1" spans="1:6">
      <c r="A9" s="18" t="s">
        <v>85</v>
      </c>
      <c r="B9" s="53">
        <v>0</v>
      </c>
      <c r="C9" s="53">
        <v>0</v>
      </c>
      <c r="D9" s="53">
        <v>0</v>
      </c>
      <c r="E9" s="54" t="s">
        <v>86</v>
      </c>
      <c r="F9" s="16"/>
    </row>
    <row r="10" ht="21.75" customHeight="1" spans="1:6">
      <c r="A10" s="50" t="s">
        <v>87</v>
      </c>
      <c r="B10" s="51">
        <v>2</v>
      </c>
      <c r="C10" s="51">
        <v>1</v>
      </c>
      <c r="D10" s="51">
        <v>2</v>
      </c>
      <c r="E10" s="52" t="s">
        <v>88</v>
      </c>
      <c r="F10" s="22"/>
    </row>
    <row r="11" ht="21.75" customHeight="1" spans="1:6">
      <c r="A11" s="18" t="s">
        <v>89</v>
      </c>
      <c r="B11" s="53">
        <v>2</v>
      </c>
      <c r="C11" s="53">
        <v>1</v>
      </c>
      <c r="D11" s="53">
        <v>1</v>
      </c>
      <c r="E11" s="54" t="s">
        <v>90</v>
      </c>
      <c r="F11" s="16"/>
    </row>
    <row r="12" ht="21.75" customHeight="1" spans="1:6">
      <c r="A12" s="55" t="s">
        <v>91</v>
      </c>
      <c r="B12" s="56">
        <v>120</v>
      </c>
      <c r="C12" s="56">
        <v>120</v>
      </c>
      <c r="D12" s="56">
        <v>121</v>
      </c>
      <c r="E12" s="57" t="s">
        <v>92</v>
      </c>
      <c r="F12" s="58"/>
    </row>
    <row r="13" ht="21.75" customHeight="1" spans="1:6">
      <c r="A13" s="6" t="s">
        <v>93</v>
      </c>
      <c r="B13" s="59">
        <v>130</v>
      </c>
      <c r="C13" s="59">
        <v>128</v>
      </c>
      <c r="D13" s="59">
        <v>132</v>
      </c>
      <c r="E13" s="60" t="s">
        <v>94</v>
      </c>
      <c r="F13" s="4"/>
    </row>
    <row r="14" ht="21.75" customHeight="1" spans="1:6">
      <c r="A14" s="6" t="s">
        <v>95</v>
      </c>
      <c r="B14" s="59" t="s">
        <v>96</v>
      </c>
      <c r="C14" s="59" t="s">
        <v>97</v>
      </c>
      <c r="D14" s="59" t="s">
        <v>98</v>
      </c>
      <c r="E14" s="61" t="s">
        <v>99</v>
      </c>
      <c r="F14" s="4"/>
    </row>
    <row r="15" ht="21.75" customHeight="1" spans="1:6">
      <c r="A15" s="62" t="s">
        <v>100</v>
      </c>
      <c r="B15" s="63">
        <v>130</v>
      </c>
      <c r="C15" s="63">
        <v>128</v>
      </c>
      <c r="D15" s="63">
        <v>132</v>
      </c>
      <c r="E15" s="61" t="s">
        <v>101</v>
      </c>
      <c r="F15" s="4"/>
    </row>
    <row r="16" ht="21.75" customHeight="1" spans="1:6">
      <c r="A16" s="10" t="s">
        <v>102</v>
      </c>
      <c r="B16" s="64">
        <v>115</v>
      </c>
      <c r="C16" s="64">
        <v>112</v>
      </c>
      <c r="D16" s="64">
        <v>116</v>
      </c>
      <c r="E16" s="65" t="s">
        <v>103</v>
      </c>
      <c r="F16" s="8"/>
    </row>
    <row r="17" ht="21.75" customHeight="1" spans="1:6">
      <c r="A17" s="66" t="s">
        <v>104</v>
      </c>
      <c r="B17" s="67" t="s">
        <v>105</v>
      </c>
      <c r="C17" s="67" t="s">
        <v>106</v>
      </c>
      <c r="D17" s="67" t="s">
        <v>107</v>
      </c>
      <c r="E17" s="68" t="s">
        <v>108</v>
      </c>
      <c r="F17" s="36"/>
    </row>
    <row r="19" ht="25.5" customHeight="1" spans="1:6">
      <c r="A19" s="69" t="s">
        <v>109</v>
      </c>
      <c r="B19" s="69"/>
      <c r="C19" s="69"/>
      <c r="D19" s="69"/>
      <c r="E19" s="70" t="s">
        <v>110</v>
      </c>
      <c r="F19" s="36"/>
    </row>
    <row r="20" ht="25.5" customHeight="1" spans="1:6">
      <c r="A20" s="71" t="s">
        <v>111</v>
      </c>
      <c r="B20" s="71"/>
      <c r="C20" s="71"/>
      <c r="D20" s="71"/>
      <c r="E20" s="72" t="s">
        <v>112</v>
      </c>
      <c r="F20" s="73"/>
    </row>
  </sheetData>
  <mergeCells count="6">
    <mergeCell ref="A1:F1"/>
    <mergeCell ref="A2:F2"/>
    <mergeCell ref="A3:F3"/>
    <mergeCell ref="A4:F4"/>
    <mergeCell ref="A19:D19"/>
    <mergeCell ref="A20:D20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workbookViewId="0">
      <selection activeCell="A1" sqref="A1:G1"/>
    </sheetView>
  </sheetViews>
  <sheetFormatPr defaultColWidth="8.67592592592593" defaultRowHeight="14.4" outlineLevelCol="6"/>
  <cols>
    <col min="1" max="1" width="4" style="1" customWidth="1"/>
    <col min="2" max="2" width="26" style="1" customWidth="1"/>
    <col min="3" max="3" width="14" style="1" customWidth="1"/>
    <col min="4" max="4" width="16" style="1" customWidth="1"/>
    <col min="5" max="5" width="20" style="1" customWidth="1"/>
    <col min="6" max="6" width="28" style="1" customWidth="1"/>
    <col min="7" max="7" width="18" style="1" customWidth="1"/>
  </cols>
  <sheetData>
    <row r="1" ht="24" customHeight="1" spans="1:7">
      <c r="A1" s="2" t="s">
        <v>113</v>
      </c>
      <c r="B1" s="2"/>
      <c r="C1" s="2"/>
      <c r="D1" s="2"/>
      <c r="E1" s="2"/>
      <c r="F1" s="2"/>
      <c r="G1" s="2"/>
    </row>
    <row r="2" ht="24" customHeight="1" spans="1:7">
      <c r="A2" s="20" t="s">
        <v>114</v>
      </c>
      <c r="B2" s="20"/>
      <c r="C2" s="20"/>
      <c r="D2" s="20"/>
      <c r="E2" s="20"/>
      <c r="F2" s="20"/>
      <c r="G2" s="20"/>
    </row>
    <row r="3" ht="36" customHeight="1" spans="1:7">
      <c r="A3" s="3" t="s">
        <v>115</v>
      </c>
      <c r="B3" s="3" t="s">
        <v>116</v>
      </c>
      <c r="C3" s="3" t="s">
        <v>117</v>
      </c>
      <c r="D3" s="3" t="s">
        <v>118</v>
      </c>
      <c r="E3" s="3" t="s">
        <v>119</v>
      </c>
      <c r="F3" s="3" t="s">
        <v>120</v>
      </c>
      <c r="G3" s="3" t="s">
        <v>121</v>
      </c>
    </row>
    <row r="4" ht="27.75" customHeight="1" spans="1:7">
      <c r="A4" s="35" t="s">
        <v>122</v>
      </c>
      <c r="B4" s="35" t="s">
        <v>123</v>
      </c>
      <c r="C4" s="35" t="s">
        <v>124</v>
      </c>
      <c r="D4" s="36" t="s">
        <v>123</v>
      </c>
      <c r="E4" s="36" t="s">
        <v>125</v>
      </c>
      <c r="F4" s="37" t="s">
        <v>126</v>
      </c>
      <c r="G4" s="38" t="s">
        <v>127</v>
      </c>
    </row>
    <row r="5" ht="27.75" customHeight="1" spans="1:7">
      <c r="A5" s="35" t="s">
        <v>128</v>
      </c>
      <c r="B5" s="35" t="s">
        <v>129</v>
      </c>
      <c r="C5" s="35" t="s">
        <v>130</v>
      </c>
      <c r="D5" s="36" t="s">
        <v>131</v>
      </c>
      <c r="E5" s="36" t="s">
        <v>132</v>
      </c>
      <c r="F5" s="37" t="s">
        <v>133</v>
      </c>
      <c r="G5" s="38" t="s">
        <v>134</v>
      </c>
    </row>
    <row r="6" ht="27.75" customHeight="1" spans="1:7">
      <c r="A6" s="39" t="s">
        <v>135</v>
      </c>
      <c r="B6" s="39" t="s">
        <v>136</v>
      </c>
      <c r="C6" s="39" t="s">
        <v>137</v>
      </c>
      <c r="D6" s="8" t="s">
        <v>138</v>
      </c>
      <c r="E6" s="8" t="s">
        <v>139</v>
      </c>
      <c r="F6" s="40" t="s">
        <v>140</v>
      </c>
      <c r="G6" s="41" t="s">
        <v>141</v>
      </c>
    </row>
    <row r="7" ht="27.75" customHeight="1" spans="1:7">
      <c r="A7" s="39" t="s">
        <v>27</v>
      </c>
      <c r="B7" s="39" t="s">
        <v>142</v>
      </c>
      <c r="C7" s="39" t="s">
        <v>143</v>
      </c>
      <c r="D7" s="8" t="s">
        <v>144</v>
      </c>
      <c r="E7" s="8" t="s">
        <v>145</v>
      </c>
      <c r="F7" s="40" t="s">
        <v>146</v>
      </c>
      <c r="G7" s="41" t="s">
        <v>147</v>
      </c>
    </row>
    <row r="8" ht="27.75" customHeight="1" spans="1:7">
      <c r="A8" s="42" t="s">
        <v>148</v>
      </c>
      <c r="B8" s="42" t="s">
        <v>149</v>
      </c>
      <c r="C8" s="42" t="s">
        <v>150</v>
      </c>
      <c r="D8" s="4" t="s">
        <v>151</v>
      </c>
      <c r="E8" s="4" t="s">
        <v>152</v>
      </c>
      <c r="F8" s="43" t="s">
        <v>153</v>
      </c>
      <c r="G8" s="44" t="s">
        <v>154</v>
      </c>
    </row>
    <row r="9" ht="27.75" customHeight="1" spans="1:7">
      <c r="A9" s="42" t="s">
        <v>155</v>
      </c>
      <c r="B9" s="42" t="s">
        <v>156</v>
      </c>
      <c r="C9" s="42" t="s">
        <v>157</v>
      </c>
      <c r="D9" s="4" t="s">
        <v>158</v>
      </c>
      <c r="E9" s="4" t="s">
        <v>159</v>
      </c>
      <c r="F9" s="43" t="s">
        <v>160</v>
      </c>
      <c r="G9" s="44" t="s">
        <v>161</v>
      </c>
    </row>
    <row r="10" ht="27.75" customHeight="1" spans="1:7">
      <c r="A10" s="45" t="s">
        <v>162</v>
      </c>
      <c r="B10" s="45" t="s">
        <v>163</v>
      </c>
      <c r="C10" s="45" t="s">
        <v>164</v>
      </c>
      <c r="D10" s="12" t="s">
        <v>165</v>
      </c>
      <c r="E10" s="12" t="s">
        <v>166</v>
      </c>
      <c r="F10" s="46" t="s">
        <v>167</v>
      </c>
      <c r="G10" s="47" t="s">
        <v>168</v>
      </c>
    </row>
    <row r="11" ht="27.75" customHeight="1" spans="1:7">
      <c r="A11" s="45" t="s">
        <v>169</v>
      </c>
      <c r="B11" s="45" t="s">
        <v>170</v>
      </c>
      <c r="C11" s="45" t="s">
        <v>171</v>
      </c>
      <c r="D11" s="12" t="s">
        <v>170</v>
      </c>
      <c r="E11" s="12" t="s">
        <v>172</v>
      </c>
      <c r="F11" s="46" t="s">
        <v>173</v>
      </c>
      <c r="G11" s="47" t="s">
        <v>174</v>
      </c>
    </row>
    <row r="13" ht="27.75" customHeight="1" spans="1:7">
      <c r="A13" s="48" t="s">
        <v>175</v>
      </c>
      <c r="B13" s="48"/>
      <c r="C13" s="48"/>
      <c r="D13" s="48"/>
      <c r="E13" s="48"/>
      <c r="F13" s="48"/>
      <c r="G13" s="48"/>
    </row>
  </sheetData>
  <mergeCells count="3">
    <mergeCell ref="A1:G1"/>
    <mergeCell ref="A2:G2"/>
    <mergeCell ref="A13:G1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showGridLines="0" workbookViewId="0">
      <selection activeCell="A1" sqref="A1:H1"/>
    </sheetView>
  </sheetViews>
  <sheetFormatPr defaultColWidth="8.67592592592593" defaultRowHeight="14.4" outlineLevelRow="5" outlineLevelCol="7"/>
  <cols>
    <col min="1" max="1" width="3" style="1" customWidth="1"/>
    <col min="2" max="2" width="22" style="1" customWidth="1"/>
    <col min="3" max="5" width="14" style="1" customWidth="1"/>
    <col min="6" max="6" width="16" style="1" customWidth="1"/>
    <col min="7" max="7" width="14" style="1" customWidth="1"/>
    <col min="8" max="8" width="16" style="1" customWidth="1"/>
  </cols>
  <sheetData>
    <row r="1" ht="24" customHeight="1" spans="1:8">
      <c r="A1" s="2" t="s">
        <v>176</v>
      </c>
      <c r="B1" s="2"/>
      <c r="C1" s="2"/>
      <c r="D1" s="2"/>
      <c r="E1" s="2"/>
      <c r="F1" s="2"/>
      <c r="G1" s="2"/>
      <c r="H1" s="2"/>
    </row>
    <row r="2" ht="36" customHeight="1" spans="1:8">
      <c r="A2" s="3" t="s">
        <v>31</v>
      </c>
      <c r="B2" s="3" t="s">
        <v>177</v>
      </c>
      <c r="C2" s="3" t="s">
        <v>178</v>
      </c>
      <c r="D2" s="3" t="s">
        <v>179</v>
      </c>
      <c r="E2" s="3" t="s">
        <v>180</v>
      </c>
      <c r="F2" s="3" t="s">
        <v>117</v>
      </c>
      <c r="G2" s="3" t="s">
        <v>181</v>
      </c>
      <c r="H2" s="3" t="s">
        <v>182</v>
      </c>
    </row>
    <row r="3" ht="21.75" customHeight="1" spans="1:8">
      <c r="A3" s="16">
        <v>1</v>
      </c>
      <c r="B3" s="27" t="s">
        <v>75</v>
      </c>
      <c r="C3" s="28">
        <v>130</v>
      </c>
      <c r="D3" s="28">
        <v>115</v>
      </c>
      <c r="E3" s="29">
        <f>D3/C3*100</f>
        <v>88.4615384615385</v>
      </c>
      <c r="F3" s="30">
        <f>1.5*E3/10</f>
        <v>13.2692307692308</v>
      </c>
      <c r="G3" s="16"/>
      <c r="H3" s="16"/>
    </row>
    <row r="4" ht="21.75" customHeight="1" spans="1:8">
      <c r="A4" s="8">
        <v>2</v>
      </c>
      <c r="B4" s="31" t="s">
        <v>76</v>
      </c>
      <c r="C4" s="28">
        <v>128</v>
      </c>
      <c r="D4" s="28">
        <v>112</v>
      </c>
      <c r="E4" s="29">
        <f>D4/C4*100</f>
        <v>87.5</v>
      </c>
      <c r="F4" s="32">
        <f>1.5*E4/10</f>
        <v>13.125</v>
      </c>
      <c r="G4" s="8"/>
      <c r="H4" s="8"/>
    </row>
    <row r="5" ht="21.75" customHeight="1" spans="1:8">
      <c r="A5" s="16">
        <v>3</v>
      </c>
      <c r="B5" s="27" t="s">
        <v>77</v>
      </c>
      <c r="C5" s="28">
        <v>132</v>
      </c>
      <c r="D5" s="28">
        <v>116</v>
      </c>
      <c r="E5" s="29">
        <f>D5/C5*100</f>
        <v>87.8787878787879</v>
      </c>
      <c r="F5" s="30">
        <f>1.5*E5/10</f>
        <v>13.1818181818182</v>
      </c>
      <c r="G5" s="16"/>
      <c r="H5" s="16"/>
    </row>
    <row r="6" ht="27.75" customHeight="1" spans="1:8">
      <c r="A6" s="33" t="s">
        <v>183</v>
      </c>
      <c r="B6" s="33"/>
      <c r="C6" s="33"/>
      <c r="D6" s="33"/>
      <c r="E6" s="34">
        <f>AVERAGE(E3:E5)</f>
        <v>87.9467754467754</v>
      </c>
      <c r="F6" s="34">
        <f>1.5*E6/10</f>
        <v>13.1920163170163</v>
      </c>
      <c r="G6" s="33" t="s">
        <v>184</v>
      </c>
      <c r="H6" s="33"/>
    </row>
  </sheetData>
  <mergeCells count="3">
    <mergeCell ref="A1:H1"/>
    <mergeCell ref="A6:D6"/>
    <mergeCell ref="G6:H6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showGridLines="0" workbookViewId="0">
      <selection activeCell="A1" sqref="A1:F1"/>
    </sheetView>
  </sheetViews>
  <sheetFormatPr defaultColWidth="8.67592592592593" defaultRowHeight="14.4" outlineLevelCol="5"/>
  <cols>
    <col min="1" max="1" width="4" style="1" customWidth="1"/>
    <col min="2" max="2" width="42" style="1" customWidth="1"/>
    <col min="3" max="5" width="14" style="1" customWidth="1"/>
    <col min="6" max="6" width="20" style="1" customWidth="1"/>
  </cols>
  <sheetData>
    <row r="1" ht="24" customHeight="1" spans="1:6">
      <c r="A1" s="2" t="s">
        <v>185</v>
      </c>
      <c r="B1" s="2"/>
      <c r="C1" s="2"/>
      <c r="D1" s="2"/>
      <c r="E1" s="2"/>
      <c r="F1" s="2"/>
    </row>
    <row r="2" ht="24" customHeight="1" spans="1:6">
      <c r="A2" s="20" t="s">
        <v>186</v>
      </c>
      <c r="B2" s="20"/>
      <c r="C2" s="20"/>
      <c r="D2" s="20"/>
      <c r="E2" s="20"/>
      <c r="F2" s="20"/>
    </row>
    <row r="3" ht="36" customHeight="1" spans="1:6">
      <c r="A3" s="3" t="s">
        <v>31</v>
      </c>
      <c r="B3" s="3" t="s">
        <v>187</v>
      </c>
      <c r="C3" s="3" t="s">
        <v>35</v>
      </c>
      <c r="D3" s="3" t="s">
        <v>34</v>
      </c>
      <c r="E3" s="3" t="s">
        <v>33</v>
      </c>
      <c r="F3" s="3" t="s">
        <v>188</v>
      </c>
    </row>
    <row r="4" ht="25.5" customHeight="1" spans="1:6">
      <c r="A4" s="16">
        <v>1</v>
      </c>
      <c r="B4" s="17" t="s">
        <v>189</v>
      </c>
      <c r="C4" s="21" t="s">
        <v>190</v>
      </c>
      <c r="D4" s="21" t="s">
        <v>190</v>
      </c>
      <c r="E4" s="21" t="s">
        <v>190</v>
      </c>
      <c r="F4" s="19" t="s">
        <v>191</v>
      </c>
    </row>
    <row r="5" ht="25.5" customHeight="1" spans="1:6">
      <c r="A5" s="22">
        <v>2</v>
      </c>
      <c r="B5" s="23" t="s">
        <v>192</v>
      </c>
      <c r="C5" s="24" t="s">
        <v>190</v>
      </c>
      <c r="D5" s="24" t="s">
        <v>190</v>
      </c>
      <c r="E5" s="24" t="s">
        <v>190</v>
      </c>
      <c r="F5" s="25" t="s">
        <v>193</v>
      </c>
    </row>
    <row r="6" ht="25.5" customHeight="1" spans="1:6">
      <c r="A6" s="16">
        <v>3</v>
      </c>
      <c r="B6" s="17" t="s">
        <v>194</v>
      </c>
      <c r="C6" s="21" t="s">
        <v>190</v>
      </c>
      <c r="D6" s="21" t="s">
        <v>190</v>
      </c>
      <c r="E6" s="21" t="s">
        <v>190</v>
      </c>
      <c r="F6" s="19" t="s">
        <v>195</v>
      </c>
    </row>
    <row r="7" ht="25.5" customHeight="1" spans="1:6">
      <c r="A7" s="22">
        <v>4</v>
      </c>
      <c r="B7" s="23" t="s">
        <v>196</v>
      </c>
      <c r="C7" s="24" t="s">
        <v>190</v>
      </c>
      <c r="D7" s="24" t="s">
        <v>190</v>
      </c>
      <c r="E7" s="24" t="s">
        <v>190</v>
      </c>
      <c r="F7" s="25" t="s">
        <v>197</v>
      </c>
    </row>
    <row r="8" ht="25.5" customHeight="1" spans="1:6">
      <c r="A8" s="16">
        <v>5</v>
      </c>
      <c r="B8" s="17" t="s">
        <v>198</v>
      </c>
      <c r="C8" s="21" t="s">
        <v>190</v>
      </c>
      <c r="D8" s="21" t="s">
        <v>190</v>
      </c>
      <c r="E8" s="21" t="s">
        <v>190</v>
      </c>
      <c r="F8" s="19" t="s">
        <v>199</v>
      </c>
    </row>
    <row r="9" ht="25.5" customHeight="1" spans="1:6">
      <c r="A9" s="22">
        <v>6</v>
      </c>
      <c r="B9" s="23" t="s">
        <v>200</v>
      </c>
      <c r="C9" s="24" t="s">
        <v>190</v>
      </c>
      <c r="D9" s="24" t="s">
        <v>190</v>
      </c>
      <c r="E9" s="24" t="s">
        <v>190</v>
      </c>
      <c r="F9" s="25" t="s">
        <v>201</v>
      </c>
    </row>
    <row r="10" ht="25.5" customHeight="1" spans="1:6">
      <c r="A10" s="16">
        <v>7</v>
      </c>
      <c r="B10" s="17" t="s">
        <v>202</v>
      </c>
      <c r="C10" s="21" t="s">
        <v>190</v>
      </c>
      <c r="D10" s="21" t="s">
        <v>190</v>
      </c>
      <c r="E10" s="21" t="s">
        <v>190</v>
      </c>
      <c r="F10" s="19" t="s">
        <v>203</v>
      </c>
    </row>
    <row r="11" ht="25.5" customHeight="1" spans="1:6">
      <c r="A11" s="22">
        <v>8</v>
      </c>
      <c r="B11" s="23" t="s">
        <v>204</v>
      </c>
      <c r="C11" s="24" t="s">
        <v>190</v>
      </c>
      <c r="D11" s="24" t="s">
        <v>190</v>
      </c>
      <c r="E11" s="24" t="s">
        <v>190</v>
      </c>
      <c r="F11" s="25" t="s">
        <v>205</v>
      </c>
    </row>
    <row r="12" ht="25.5" customHeight="1" spans="1:6">
      <c r="A12" s="16">
        <v>9</v>
      </c>
      <c r="B12" s="17" t="s">
        <v>206</v>
      </c>
      <c r="C12" s="21" t="s">
        <v>190</v>
      </c>
      <c r="D12" s="21" t="s">
        <v>190</v>
      </c>
      <c r="E12" s="21" t="s">
        <v>190</v>
      </c>
      <c r="F12" s="19" t="s">
        <v>207</v>
      </c>
    </row>
    <row r="13" ht="25.5" customHeight="1" spans="1:6">
      <c r="A13" s="22">
        <v>10</v>
      </c>
      <c r="B13" s="23" t="s">
        <v>208</v>
      </c>
      <c r="C13" s="24" t="s">
        <v>190</v>
      </c>
      <c r="D13" s="24" t="s">
        <v>190</v>
      </c>
      <c r="E13" s="24" t="s">
        <v>190</v>
      </c>
      <c r="F13" s="25" t="s">
        <v>209</v>
      </c>
    </row>
    <row r="14" ht="25.5" customHeight="1" spans="1:6">
      <c r="A14" s="16">
        <v>11</v>
      </c>
      <c r="B14" s="17" t="s">
        <v>210</v>
      </c>
      <c r="C14" s="21" t="s">
        <v>190</v>
      </c>
      <c r="D14" s="21" t="s">
        <v>190</v>
      </c>
      <c r="E14" s="21" t="s">
        <v>190</v>
      </c>
      <c r="F14" s="19" t="s">
        <v>211</v>
      </c>
    </row>
    <row r="15" ht="25.5" customHeight="1" spans="1:6">
      <c r="A15" s="22">
        <v>12</v>
      </c>
      <c r="B15" s="23" t="s">
        <v>212</v>
      </c>
      <c r="C15" s="24" t="s">
        <v>190</v>
      </c>
      <c r="D15" s="24" t="s">
        <v>190</v>
      </c>
      <c r="E15" s="24" t="s">
        <v>190</v>
      </c>
      <c r="F15" s="25" t="s">
        <v>213</v>
      </c>
    </row>
    <row r="16" ht="25.5" customHeight="1" spans="1:6">
      <c r="A16" s="16">
        <v>13</v>
      </c>
      <c r="B16" s="17" t="s">
        <v>214</v>
      </c>
      <c r="C16" s="21" t="s">
        <v>190</v>
      </c>
      <c r="D16" s="21" t="s">
        <v>190</v>
      </c>
      <c r="E16" s="21" t="s">
        <v>190</v>
      </c>
      <c r="F16" s="19" t="s">
        <v>215</v>
      </c>
    </row>
    <row r="18" ht="36" customHeight="1" spans="1:6">
      <c r="A18" s="26" t="s">
        <v>216</v>
      </c>
      <c r="B18" s="26"/>
      <c r="C18" s="26"/>
      <c r="D18" s="26"/>
      <c r="E18" s="26"/>
      <c r="F18" s="26"/>
    </row>
  </sheetData>
  <mergeCells count="3">
    <mergeCell ref="A1:F1"/>
    <mergeCell ref="A2:F2"/>
    <mergeCell ref="A18:F18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showGridLines="0" tabSelected="1" workbookViewId="0">
      <selection activeCell="H8" sqref="H8"/>
    </sheetView>
  </sheetViews>
  <sheetFormatPr defaultColWidth="8.67592592592593" defaultRowHeight="14.4" outlineLevelCol="4"/>
  <cols>
    <col min="1" max="1" width="4" style="1" customWidth="1"/>
    <col min="2" max="2" width="34" style="1" customWidth="1"/>
    <col min="3" max="3" width="28" style="1" customWidth="1"/>
    <col min="4" max="4" width="20" style="1" customWidth="1"/>
    <col min="5" max="5" width="18" style="1" customWidth="1"/>
  </cols>
  <sheetData>
    <row r="1" ht="24" customHeight="1" spans="1:5">
      <c r="A1" s="2" t="s">
        <v>217</v>
      </c>
      <c r="B1" s="2"/>
      <c r="C1" s="2"/>
      <c r="D1" s="2"/>
      <c r="E1" s="2"/>
    </row>
    <row r="2" ht="27.75" customHeight="1" spans="1:5">
      <c r="A2" s="3" t="s">
        <v>31</v>
      </c>
      <c r="B2" s="3" t="s">
        <v>218</v>
      </c>
      <c r="C2" s="3" t="s">
        <v>219</v>
      </c>
      <c r="D2" s="3" t="s">
        <v>220</v>
      </c>
      <c r="E2" s="3" t="s">
        <v>221</v>
      </c>
    </row>
    <row r="3" ht="37.5" customHeight="1" spans="1:5">
      <c r="A3" s="4">
        <v>1</v>
      </c>
      <c r="B3" s="5" t="s">
        <v>222</v>
      </c>
      <c r="C3" s="6" t="s">
        <v>223</v>
      </c>
      <c r="D3" s="7" t="s">
        <v>224</v>
      </c>
      <c r="E3" s="6" t="s">
        <v>225</v>
      </c>
    </row>
    <row r="4" ht="37.5" customHeight="1" spans="1:5">
      <c r="A4" s="8">
        <v>2</v>
      </c>
      <c r="B4" s="9" t="s">
        <v>226</v>
      </c>
      <c r="C4" s="10" t="s">
        <v>227</v>
      </c>
      <c r="D4" s="11" t="s">
        <v>228</v>
      </c>
      <c r="E4" s="10" t="s">
        <v>88</v>
      </c>
    </row>
    <row r="5" ht="37.5" customHeight="1" spans="1:5">
      <c r="A5" s="12">
        <v>3</v>
      </c>
      <c r="B5" s="13" t="s">
        <v>229</v>
      </c>
      <c r="C5" s="14" t="s">
        <v>230</v>
      </c>
      <c r="D5" s="15" t="s">
        <v>231</v>
      </c>
      <c r="E5" s="14" t="s">
        <v>232</v>
      </c>
    </row>
    <row r="6" ht="37.5" customHeight="1" spans="1:5">
      <c r="A6" s="4">
        <v>4</v>
      </c>
      <c r="B6" s="5" t="s">
        <v>233</v>
      </c>
      <c r="C6" s="6" t="s">
        <v>234</v>
      </c>
      <c r="D6" s="7" t="s">
        <v>235</v>
      </c>
      <c r="E6" s="6" t="s">
        <v>236</v>
      </c>
    </row>
    <row r="7" ht="37.5" customHeight="1" spans="1:5">
      <c r="A7" s="16">
        <v>5</v>
      </c>
      <c r="B7" s="17" t="s">
        <v>237</v>
      </c>
      <c r="C7" s="18" t="s">
        <v>238</v>
      </c>
      <c r="D7" s="19" t="s">
        <v>239</v>
      </c>
      <c r="E7" s="18" t="s">
        <v>240</v>
      </c>
    </row>
    <row r="8" ht="37.5" customHeight="1" spans="1:5">
      <c r="A8" s="8">
        <v>6</v>
      </c>
      <c r="B8" s="9" t="s">
        <v>241</v>
      </c>
      <c r="C8" s="10" t="s">
        <v>242</v>
      </c>
      <c r="D8" s="11" t="s">
        <v>243</v>
      </c>
      <c r="E8" s="10" t="s">
        <v>244</v>
      </c>
    </row>
    <row r="9" ht="37.5" customHeight="1" spans="1:5">
      <c r="A9" s="12">
        <v>7</v>
      </c>
      <c r="B9" s="13" t="s">
        <v>245</v>
      </c>
      <c r="C9" s="14" t="s">
        <v>246</v>
      </c>
      <c r="D9" s="15" t="s">
        <v>247</v>
      </c>
      <c r="E9" s="14" t="s">
        <v>248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SR_Calculator</vt:lpstr>
      <vt:lpstr>Floor_Rule_Explainer</vt:lpstr>
      <vt:lpstr>Marks_Band_Table</vt:lpstr>
      <vt:lpstr>SR_Trend_Chart</vt:lpstr>
      <vt:lpstr>Documentation_Checklist</vt:lpstr>
      <vt:lpstr>Pitfalls_and_Fixes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totte</cp:lastModifiedBy>
  <cp:revision>3</cp:revision>
  <dcterms:created xsi:type="dcterms:W3CDTF">2026-06-29T05:48:00Z</dcterms:created>
  <dcterms:modified xsi:type="dcterms:W3CDTF">2026-07-20T11:43:47Z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5B588EBB03B948A4904C79F184C07A23_12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