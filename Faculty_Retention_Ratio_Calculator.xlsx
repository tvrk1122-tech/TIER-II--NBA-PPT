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Item</t>
        </is>
      </c>
      <c r="B1" s="2" t="inlineStr">
        <is>
          <t>CAYm1</t>
        </is>
      </c>
      <c r="C1" s="2" t="inlineStr">
        <is>
          <t>CAYm2</t>
        </is>
      </c>
      <c r="D1" s="2" t="inlineStr">
        <is>
          <t>CAYm3</t>
        </is>
      </c>
    </row>
    <row r="2">
      <c r="A2" s="3" t="inlineStr">
        <is>
          <t>RF = S/20 (Required Faculty)</t>
        </is>
      </c>
      <c r="B2" s="4" t="inlineStr"/>
      <c r="C2" s="4" t="inlineStr"/>
      <c r="D2" s="4" t="inlineStr"/>
    </row>
    <row r="3">
      <c r="A3" s="3" t="inlineStr">
        <is>
          <t>AF = Available Faculty (Dept + Allied)</t>
        </is>
      </c>
      <c r="B3" s="4" t="inlineStr"/>
      <c r="C3" s="4" t="inlineStr"/>
      <c r="D3" s="4" t="inlineStr"/>
    </row>
    <row r="4">
      <c r="A4" s="3" t="inlineStr">
        <is>
          <t>A (&lt;1 yr)</t>
        </is>
      </c>
      <c r="B4" s="4" t="inlineStr"/>
      <c r="C4" s="4" t="inlineStr"/>
      <c r="D4" s="4" t="inlineStr"/>
    </row>
    <row r="5">
      <c r="A5" s="3" t="inlineStr">
        <is>
          <t>B (≥1 &amp; &lt;2 yrs)</t>
        </is>
      </c>
      <c r="B5" s="4" t="inlineStr"/>
      <c r="C5" s="4" t="inlineStr"/>
      <c r="D5" s="4" t="inlineStr"/>
    </row>
    <row r="6">
      <c r="A6" s="3" t="inlineStr">
        <is>
          <t>C (≥2 &amp; &lt;3 yrs)</t>
        </is>
      </c>
      <c r="B6" s="4" t="inlineStr"/>
      <c r="C6" s="4" t="inlineStr"/>
      <c r="D6" s="4" t="inlineStr"/>
    </row>
    <row r="7">
      <c r="A7" s="3" t="inlineStr">
        <is>
          <t>D (≥3 &amp; &lt;4 yrs)</t>
        </is>
      </c>
      <c r="B7" s="4" t="inlineStr"/>
      <c r="C7" s="4" t="inlineStr"/>
      <c r="D7" s="4" t="inlineStr"/>
    </row>
    <row r="8">
      <c r="A8" s="3" t="inlineStr">
        <is>
          <t>E (≥4 yrs)</t>
        </is>
      </c>
      <c r="B8" s="4" t="inlineStr"/>
      <c r="C8" s="4" t="inlineStr"/>
      <c r="D8" s="4" t="inlineStr"/>
    </row>
    <row r="9">
      <c r="A9" s="3" t="inlineStr">
        <is>
          <t>Check: A+B+C+D+E (auto)</t>
        </is>
      </c>
      <c r="B9" s="4">
        <f>SUM(B4:B8)</f>
        <v/>
      </c>
      <c r="C9" s="4">
        <f>SUM(C4:C8)</f>
        <v/>
      </c>
      <c r="D9" s="4">
        <f>SUM(D4:D8)</f>
        <v/>
      </c>
    </row>
    <row r="10">
      <c r="A10" s="3" t="inlineStr">
        <is>
          <t>Mismatch? (AF - SumABC...)</t>
        </is>
      </c>
      <c r="B10" s="4">
        <f>IF(AND(B3&lt;&gt;"",B9&lt;&gt;""),B3-B9,"")</f>
        <v/>
      </c>
      <c r="C10" s="4">
        <f>IF(AND(C3&lt;&gt;"",C9&lt;&gt;""),C3-C9,"")</f>
        <v/>
      </c>
      <c r="D10" s="4">
        <f>IF(AND(D3&lt;&gt;"",D9&lt;&gt;""),D3-D9,"")</f>
        <v/>
      </c>
    </row>
    <row r="11">
      <c r="A11" s="3" t="inlineStr">
        <is>
          <t>Weighted Points = 0*A + 1*B + 2*C + 3*D + 4*E (auto)</t>
        </is>
      </c>
      <c r="B11" s="4">
        <f>0*B4 + 1*B5 + 2*B6 + 3*B7 + 4*B8</f>
        <v/>
      </c>
      <c r="C11" s="4">
        <f>0*C4 + 1*C5 + 2*C6 + 3*C7 + 4*C8</f>
        <v/>
      </c>
      <c r="D11" s="4">
        <f>0*D4 + 1*D5 + 2*D6 + 3*D7 + 4*D8</f>
        <v/>
      </c>
    </row>
    <row r="12">
      <c r="A12" s="3" t="inlineStr">
        <is>
          <t>FR (per year) = ((Weighted/RF)*2.5), capped at 10</t>
        </is>
      </c>
      <c r="B12" s="4">
        <f>IF(B2&gt;0, MIN((B11/B2)*2.5, 10), "")</f>
        <v/>
      </c>
      <c r="C12" s="4">
        <f>IF(C2&gt;0, MIN((C11/C2)*2.5, 10), "")</f>
        <v/>
      </c>
      <c r="D12" s="4">
        <f>IF(D2&gt;0, MIN((D11/D2)*2.5, 10), "")</f>
        <v/>
      </c>
    </row>
    <row r="13">
      <c r="A13" s="3" t="inlineStr">
        <is>
          <t>Average FR (3 years), capped at 10</t>
        </is>
      </c>
      <c r="B13" s="4">
        <f>MIN(AVERAGE(B12:D12),10)</f>
        <v/>
      </c>
      <c r="C13" s="4" t="n"/>
      <c r="D13" s="4" t="n"/>
    </row>
  </sheetData>
  <mergeCells count="1">
    <mergeCell ref="B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Faculty Retention Ratio (FR) — NBA (Max 10 marks)</t>
        </is>
      </c>
    </row>
    <row r="3">
      <c r="A3" t="inlineStr">
        <is>
          <t>Inputs required per year (CAYm1, CAYm2, CAYm3):</t>
        </is>
      </c>
    </row>
    <row r="4">
      <c r="A4" t="inlineStr">
        <is>
          <t xml:space="preserve">  - RF = S/20 (Required Faculty) — use S from SFR 5.1 (Dept + Allied; engineering only; exclude SNQ/EWS/TFWS).</t>
        </is>
      </c>
    </row>
    <row r="5">
      <c r="A5" t="inlineStr">
        <is>
          <t xml:space="preserve">  - AF = Available full-time faculty (Dept + Allied) counted in SFR.</t>
        </is>
      </c>
    </row>
    <row r="6">
      <c r="A6" t="inlineStr">
        <is>
          <t xml:space="preserve">  - A..E = Faculty counts by years of service at current institute:</t>
        </is>
      </c>
    </row>
    <row r="7">
      <c r="A7" t="inlineStr">
        <is>
          <t xml:space="preserve">      A: &lt;1 year | B: ≥1 &amp; &lt;2 | C: ≥2 &amp; &lt;3 | D: ≥3 &amp; &lt;4 | E: ≥4 years.</t>
        </is>
      </c>
    </row>
    <row r="8">
      <c r="A8" t="inlineStr">
        <is>
          <t>Diagnostics:</t>
        </is>
      </c>
    </row>
    <row r="9">
      <c r="A9" t="inlineStr">
        <is>
          <t xml:space="preserve">  - 'Check: A+B+…+E' auto-sums A..E.</t>
        </is>
      </c>
    </row>
    <row r="10">
      <c r="A10" t="inlineStr">
        <is>
          <t xml:space="preserve">  - 'Mismatch? (AF - SumABC...)' shows discrepancy; keep it at 0 (or blank).</t>
        </is>
      </c>
    </row>
    <row r="11">
      <c r="A11" t="inlineStr">
        <is>
          <t>Scoring:</t>
        </is>
      </c>
    </row>
    <row r="12">
      <c r="A12" t="inlineStr">
        <is>
          <t xml:space="preserve">  - Weighted = 0*A + 1*B + 2*C + 3*D + 4*E.</t>
        </is>
      </c>
    </row>
    <row r="13">
      <c r="A13" t="inlineStr">
        <is>
          <t xml:space="preserve">  - FR (per year) = MIN( (Weighted / RF) * 2.5 , 10 ).</t>
        </is>
      </c>
    </row>
    <row r="14">
      <c r="A14" t="inlineStr">
        <is>
          <t xml:space="preserve">  - Average FR = MIN( AVERAGE(FR_1, FR_2, FR_3), 10 ).</t>
        </is>
      </c>
    </row>
    <row r="15">
      <c r="A15" t="inlineStr">
        <is>
          <t>Inclusions/Exclusions:</t>
        </is>
      </c>
    </row>
    <row r="16">
      <c r="A16" t="inlineStr">
        <is>
          <t xml:space="preserve">  - Include allied engineering faculty/students when those students are counted in S.</t>
        </is>
      </c>
    </row>
    <row r="17">
      <c r="A17" t="inlineStr">
        <is>
          <t xml:space="preserve">  - Exclude non-engineering programs (MCA/BCA/MBA) and their faculty.</t>
        </is>
      </c>
    </row>
    <row r="18">
      <c r="A18" t="inlineStr">
        <is>
          <t xml:space="preserve">  - Count only regular/contractual full-time faculty; exclude visiting/adjunct/part-time and 100% first-year-only.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2025-08-29T02:30:26Z</dcterms:created>
  <dcterms:modified xmlns:dcterms="http://purl.org/dc/terms/" xmlns:xsi="http://www.w3.org/2001/XMLSchema-instance" xsi:type="dcterms:W3CDTF">2025-08-29T02:30:26Z</dcterms:modified>
</cp:coreProperties>
</file>