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s_Details" sheetId="1" state="visible" r:id="rId1"/>
    <sheet xmlns:r="http://schemas.openxmlformats.org/officeDocument/2006/relationships" name="Yearly_Summary" sheetId="2" state="visible" r:id="rId2"/>
    <sheet xmlns:r="http://schemas.openxmlformats.org/officeDocument/2006/relationships" name="Marks_Calculator" sheetId="3" state="visible" r:id="rId3"/>
    <sheet xmlns:r="http://schemas.openxmlformats.org/officeDocument/2006/relationships" name="Evidence_Tracker" sheetId="4" state="visible" r:id="rId4"/>
    <sheet xmlns:r="http://schemas.openxmlformats.org/officeDocument/2006/relationships" name="ReadMe" sheetId="5" state="visible" r:id="rId5"/>
    <sheet xmlns:r="http://schemas.openxmlformats.org/officeDocument/2006/relationships" name="MoU_CSR_Tracker" sheetId="6" state="visible" r:id="rId6"/>
    <sheet xmlns:r="http://schemas.openxmlformats.org/officeDocument/2006/relationships" name="UC_Tracker" sheetId="7" state="visible" r:id="rId7"/>
    <sheet xmlns:r="http://schemas.openxmlformats.org/officeDocument/2006/relationships" name="Financial_Evidence_Tracker" sheetId="8" state="visible" r:id="rId8"/>
    <sheet xmlns:r="http://schemas.openxmlformats.org/officeDocument/2006/relationships" name="RD_Tracker" sheetId="9" state="visible" r:id="rId9"/>
    <sheet xmlns:r="http://schemas.openxmlformats.org/officeDocument/2006/relationships" name="NBA_Marks_Dashboard" sheetId="10" state="visible" r:id="rId10"/>
    <sheet xmlns:r="http://schemas.openxmlformats.org/officeDocument/2006/relationships" name="Consultancy_Tracker" sheetId="11" state="visible" r:id="rId11"/>
    <sheet xmlns:r="http://schemas.openxmlformats.org/officeDocument/2006/relationships" name="Faculty_Consultancy_Report" sheetId="12" state="visible" r:id="rId12"/>
    <sheet xmlns:r="http://schemas.openxmlformats.org/officeDocument/2006/relationships" name="Consultancy_Title_Repository" sheetId="13" state="visible" r:id="rId13"/>
    <sheet xmlns:r="http://schemas.openxmlformats.org/officeDocument/2006/relationships" name="Institution_SeedMoney_Tracker"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wrapText="1"/>
    </xf>
    <xf numFmtId="0" fontId="1" fillId="0" borderId="0" pivotButton="0" quotePrefix="0" xfId="0"/>
    <xf numFmtId="0" fontId="0" fillId="0" borderId="0" applyAlignment="1" pivotButton="0" quotePrefix="0" xfId="0">
      <alignment horizontal="left"/>
    </xf>
    <xf numFmtId="0" fontId="2" fillId="0" borderId="0" pivotButton="0" quotePrefix="0" xfId="0"/>
    <xf numFmtId="0" fontId="1" fillId="0" borderId="0" applyAlignment="1" pivotButton="0" quotePrefix="0" xfId="0">
      <alignment horizontal="left"/>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ables/table1.xml><?xml version="1.0" encoding="utf-8"?>
<table xmlns="http://schemas.openxmlformats.org/spreadsheetml/2006/main" id="1" name="ProjectsTable" displayName="ProjectsTable" ref="A1:J500" headerRowCount="1">
  <autoFilter ref="A1:J500"/>
  <tableColumns count="10">
    <tableColumn id="1" name="S. No."/>
    <tableColumn id="2" name="PI Name"/>
    <tableColumn id="3" name="Co-PI Name"/>
    <tableColumn id="4" name="Department"/>
    <tableColumn id="5" name="Project Title"/>
    <tableColumn id="6" name="Funding Agency"/>
    <tableColumn id="7" name="Sanctioned Amount (INR)"/>
    <tableColumn id="8" name="Duration (Years)"/>
    <tableColumn id="9" name="Sanctioned Year"/>
    <tableColumn id="10" name="CAY (CAYm1/CAYm2/CAYm3)"/>
  </tableColumns>
  <tableStyleInfo name="TableStyleMedium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S. No.</t>
        </is>
      </c>
      <c r="B1" s="1" t="inlineStr">
        <is>
          <t>PI Name</t>
        </is>
      </c>
      <c r="C1" s="1" t="inlineStr">
        <is>
          <t>Co-PI Name</t>
        </is>
      </c>
      <c r="D1" s="1" t="inlineStr">
        <is>
          <t>Department</t>
        </is>
      </c>
      <c r="E1" s="1" t="inlineStr">
        <is>
          <t>Project Title</t>
        </is>
      </c>
      <c r="F1" s="1" t="inlineStr">
        <is>
          <t>Funding Agency</t>
        </is>
      </c>
      <c r="G1" s="1" t="inlineStr">
        <is>
          <t>Sanctioned Amount (INR)</t>
        </is>
      </c>
      <c r="H1" s="1" t="inlineStr">
        <is>
          <t>Duration (Years)</t>
        </is>
      </c>
      <c r="I1" s="1" t="inlineStr">
        <is>
          <t>Sanctioned Year</t>
        </is>
      </c>
      <c r="J1" s="1" t="inlineStr">
        <is>
          <t>CAY (CAYm1/CAYm2/CAYm3)</t>
        </is>
      </c>
    </row>
    <row r="2">
      <c r="A2" t="n">
        <v>1</v>
      </c>
      <c r="B2" t="inlineStr">
        <is>
          <t>Prof. A</t>
        </is>
      </c>
      <c r="C2" t="inlineStr">
        <is>
          <t>Dr. B</t>
        </is>
      </c>
      <c r="D2" t="inlineStr">
        <is>
          <t>ECE</t>
        </is>
      </c>
      <c r="E2" t="inlineStr">
        <is>
          <t>IoT for Smart Health</t>
        </is>
      </c>
      <c r="F2" t="inlineStr">
        <is>
          <t>DST</t>
        </is>
      </c>
      <c r="G2" t="n">
        <v>2200000</v>
      </c>
      <c r="H2" t="n">
        <v>3</v>
      </c>
      <c r="I2" t="n">
        <v>2023</v>
      </c>
      <c r="J2" t="inlineStr">
        <is>
          <t>CAYm1</t>
        </is>
      </c>
    </row>
    <row r="3">
      <c r="A3" t="n">
        <v>2</v>
      </c>
      <c r="B3" t="inlineStr">
        <is>
          <t>Dr. C</t>
        </is>
      </c>
      <c r="D3" t="inlineStr">
        <is>
          <t>CSE</t>
        </is>
      </c>
      <c r="E3" t="inlineStr">
        <is>
          <t>AI in Agriculture</t>
        </is>
      </c>
      <c r="F3" t="inlineStr">
        <is>
          <t>Infosys CSR</t>
        </is>
      </c>
      <c r="G3" t="n">
        <v>1850000</v>
      </c>
      <c r="H3" t="n">
        <v>2</v>
      </c>
      <c r="I3" t="n">
        <v>2022</v>
      </c>
      <c r="J3" t="inlineStr">
        <is>
          <t>CAYm2</t>
        </is>
      </c>
    </row>
    <row r="4">
      <c r="A4" t="n">
        <v>3</v>
      </c>
      <c r="B4" t="inlineStr">
        <is>
          <t>Prof. D</t>
        </is>
      </c>
      <c r="C4" t="inlineStr">
        <is>
          <t>Dr. E</t>
        </is>
      </c>
      <c r="D4" t="inlineStr">
        <is>
          <t>ME</t>
        </is>
      </c>
      <c r="E4" t="inlineStr">
        <is>
          <t>Sustainable Energy</t>
        </is>
      </c>
      <c r="F4" t="inlineStr">
        <is>
          <t>UGC</t>
        </is>
      </c>
      <c r="G4" t="n">
        <v>900000</v>
      </c>
      <c r="H4" t="n">
        <v>2</v>
      </c>
      <c r="I4" t="n">
        <v>2021</v>
      </c>
      <c r="J4" t="inlineStr">
        <is>
          <t>CAYm3</t>
        </is>
      </c>
    </row>
  </sheetData>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showErrorMessage="1" showDropDown="1" showInputMessage="1" allowBlank="1" type="list">
      <formula1>"CAYm1,CAYm2,CAYm3"</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2" t="inlineStr">
        <is>
          <t>Academic Year</t>
        </is>
      </c>
      <c r="B1" s="2" t="inlineStr">
        <is>
          <t>Total Funding (INR)</t>
        </is>
      </c>
      <c r="C1" s="2" t="inlineStr">
        <is>
          <t>No. of Projects</t>
        </is>
      </c>
      <c r="D1" s="2" t="inlineStr">
        <is>
          <t>Highest Value Project (INR)</t>
        </is>
      </c>
      <c r="E1" s="2" t="inlineStr">
        <is>
          <t>NBA Marks (Auto)</t>
        </is>
      </c>
    </row>
    <row r="2">
      <c r="A2" s="3" t="inlineStr">
        <is>
          <t>CAYm1</t>
        </is>
      </c>
      <c r="B2">
        <f>SUMIF(Projects_Details!J2:J500,"CAYm1",Projects_Details!G2:G500)</f>
        <v/>
      </c>
      <c r="C2">
        <f>COUNTIF(Projects_Details!J2:J500,"CAYm1")</f>
        <v/>
      </c>
      <c r="D2">
        <f>IF(C2=0,0,MAXIFS(Projects_Details!G2:G500,Projects_Details!J2:J500,"CAYm1"))</f>
        <v/>
      </c>
      <c r="E2">
        <f>IF(B2&gt;2000000,15,
IF(B2&gt;1600000,12,
IF(B2&gt;1200000,9,
IF(B2&gt;800000,6,
IF(B2&gt;400000,3,
IF(B2&gt;100000,1,0))))))</f>
        <v/>
      </c>
    </row>
    <row r="3">
      <c r="A3" s="3" t="inlineStr">
        <is>
          <t>CAYm2</t>
        </is>
      </c>
      <c r="B3">
        <f>SUMIF(Projects_Details!J2:J500,"CAYm2",Projects_Details!G2:G500)</f>
        <v/>
      </c>
      <c r="C3">
        <f>COUNTIF(Projects_Details!J2:J500,"CAYm2")</f>
        <v/>
      </c>
      <c r="D3">
        <f>IF(C3=0,0,MAXIFS(Projects_Details!G2:G500,Projects_Details!J2:J500,"CAYm2"))</f>
        <v/>
      </c>
      <c r="E3">
        <f>IF(B3&gt;2000000,15,
IF(B3&gt;1600000,12,
IF(B3&gt;1200000,9,
IF(B3&gt;800000,6,
IF(B3&gt;400000,3,
IF(B3&gt;100000,1,0))))))</f>
        <v/>
      </c>
    </row>
    <row r="4">
      <c r="A4" s="3" t="inlineStr">
        <is>
          <t>CAYm3</t>
        </is>
      </c>
      <c r="B4">
        <f>SUMIF(Projects_Details!J2:J500,"CAYm3",Projects_Details!G2:G500)</f>
        <v/>
      </c>
      <c r="C4">
        <f>COUNTIF(Projects_Details!J2:J500,"CAYm3")</f>
        <v/>
      </c>
      <c r="D4">
        <f>IF(C4=0,0,MAXIFS(Projects_Details!G2:G500,Projects_Details!J2:J500,"CAYm3"))</f>
        <v/>
      </c>
      <c r="E4">
        <f>IF(B4&gt;2000000,15,
IF(B4&gt;1600000,12,
IF(B4&gt;1200000,9,
IF(B4&gt;800000,6,
IF(B4&gt;400000,3,
IF(B4&gt;100000,1,0))))))</f>
        <v/>
      </c>
    </row>
    <row r="5">
      <c r="A5" s="3" t="inlineStr">
        <is>
          <t>Cumulative</t>
        </is>
      </c>
      <c r="B5">
        <f>SUM(B2:B4)</f>
        <v/>
      </c>
      <c r="C5">
        <f>SUM(C2:C4)</f>
        <v/>
      </c>
      <c r="D5">
        <f>MAX(D2:D4)</f>
        <v/>
      </c>
      <c r="E5">
        <f>IF(B5&gt;2000000,15,
IF(B5&gt;1600000,12,
IF(B5&gt;1200000,9,
IF(B5&gt;800000,6,
IF(B5&gt;400000,3,
IF(B5&gt;100000,1,0))))))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42" customWidth="1" min="1" max="1"/>
    <col width="24" customWidth="1" min="2" max="2"/>
    <col width="22" customWidth="1" min="3" max="3"/>
  </cols>
  <sheetData>
    <row r="1">
      <c r="A1" s="2" t="inlineStr">
        <is>
          <t>Description</t>
        </is>
      </c>
      <c r="B1" s="2" t="inlineStr">
        <is>
          <t>Amount (INR)</t>
        </is>
      </c>
      <c r="C1" s="2" t="inlineStr">
        <is>
          <t>NBA Marks (Auto)</t>
        </is>
      </c>
    </row>
    <row r="2">
      <c r="A2" t="inlineStr">
        <is>
          <t>Enter cumulative sanctioned amount here</t>
        </is>
      </c>
      <c r="C2">
        <f>IF(B2&gt;2000000,15,
IF(B2&gt;1600000,12,
IF(B2&gt;1200000,9,
IF(B2&gt;800000,6,
IF(B2&gt;400000,3,
IF(B2&gt;100000,1,0))))))</f>
        <v/>
      </c>
    </row>
    <row r="3">
      <c r="A3" t="inlineStr">
        <is>
          <t>Note:</t>
        </is>
      </c>
      <c r="B3" t="inlineStr">
        <is>
          <t>Thresholds (INR): &gt;20L=15, &gt;16L=12, &gt;12L=9, &gt;8L=6, &gt;4L=3, &gt;1L=1, else=0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s>
  <sheetData>
    <row r="1">
      <c r="A1" s="2" t="inlineStr">
        <is>
          <t>Project Title</t>
        </is>
      </c>
      <c r="B1" s="2" t="inlineStr">
        <is>
          <t>Funding Agency</t>
        </is>
      </c>
      <c r="C1" s="2" t="inlineStr">
        <is>
          <t>Sanction Letter (Link/Ref No.)</t>
        </is>
      </c>
      <c r="D1" s="2" t="inlineStr">
        <is>
          <t>Utilization Certificate (Y/N)</t>
        </is>
      </c>
      <c r="E1" s="2" t="inlineStr">
        <is>
          <t>MoU/Agreement (Y/N)</t>
        </is>
      </c>
      <c r="F1" s="2" t="inlineStr">
        <is>
          <t>Progress/Final Report (Y/N)</t>
        </is>
      </c>
      <c r="G1" s="2" t="inlineStr">
        <is>
          <t>Remarks</t>
        </is>
      </c>
    </row>
    <row r="2">
      <c r="A2" t="inlineStr">
        <is>
          <t>IoT for Smart Health</t>
        </is>
      </c>
      <c r="B2" t="inlineStr">
        <is>
          <t>DST</t>
        </is>
      </c>
      <c r="C2" t="inlineStr">
        <is>
          <t>Doc123.pdf</t>
        </is>
      </c>
      <c r="D2" t="inlineStr">
        <is>
          <t>Yes</t>
        </is>
      </c>
      <c r="E2" t="inlineStr">
        <is>
          <t>Yes</t>
        </is>
      </c>
      <c r="F2" t="inlineStr">
        <is>
          <t>Yes</t>
        </is>
      </c>
      <c r="G2" t="inlineStr">
        <is>
          <t>Completed</t>
        </is>
      </c>
    </row>
    <row r="3">
      <c r="A3" t="inlineStr">
        <is>
          <t>AI in Agriculture</t>
        </is>
      </c>
      <c r="B3" t="inlineStr">
        <is>
          <t>Infosys CSR</t>
        </is>
      </c>
      <c r="C3" t="inlineStr">
        <is>
          <t>Doc456.pdf</t>
        </is>
      </c>
      <c r="D3" t="inlineStr">
        <is>
          <t>Yes</t>
        </is>
      </c>
      <c r="E3" t="inlineStr">
        <is>
          <t>Yes</t>
        </is>
      </c>
      <c r="F3" t="inlineStr">
        <is>
          <t>Ongoing</t>
        </is>
      </c>
      <c r="G3" t="inlineStr">
        <is>
          <t>Mid-term report submitted</t>
        </is>
      </c>
    </row>
    <row r="4">
      <c r="A4" t="inlineStr">
        <is>
          <t>Sustainable Energy</t>
        </is>
      </c>
      <c r="B4" t="inlineStr">
        <is>
          <t>UGC</t>
        </is>
      </c>
      <c r="C4" t="inlineStr">
        <is>
          <t>Doc789.pdf</t>
        </is>
      </c>
      <c r="D4" t="inlineStr">
        <is>
          <t>Yes</t>
        </is>
      </c>
      <c r="F4" t="inlineStr">
        <is>
          <t>Yes</t>
        </is>
      </c>
      <c r="G4" t="inlineStr">
        <is>
          <t>Completed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t="inlineStr">
        <is>
          <t>How to use this template:</t>
        </is>
      </c>
    </row>
    <row r="2">
      <c r="A2" t="inlineStr">
        <is>
          <t>1) Fill 'Projects_Details' with one row per sponsored research project. Use the dropdown in column J to select CAYm1/CAYm2/CAYm3.</t>
        </is>
      </c>
    </row>
    <row r="3">
      <c r="A3" t="inlineStr">
        <is>
          <t>2) 'Yearly_Summary' auto-calculates Year-wise totals, counts, highest-value project, and NBA marks.</t>
        </is>
      </c>
    </row>
    <row r="4">
      <c r="A4" t="inlineStr">
        <is>
          <t>3) 'Marks_Calculator' lets you manually test marks for any cumulative amount you enter in cell B2.</t>
        </is>
      </c>
    </row>
    <row r="5">
      <c r="A5" t="inlineStr">
        <is>
          <t>4) 'Evidence_Tracker' helps you keep links/refs to sanction letters, UCs, MoUs, and reports for NBA verification.</t>
        </is>
      </c>
    </row>
    <row r="6">
      <c r="A6" t="inlineStr">
        <is>
          <t>Notes: Amount thresholds are in INR (1 Lakh = 100,000). Ensure sanctioned amounts exclude consultancy or in-house R&amp;D to avoid duplication with 6.2.5 and 6.2.6.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2" t="inlineStr">
        <is>
          <t>Project Title</t>
        </is>
      </c>
      <c r="B1" s="2" t="inlineStr">
        <is>
          <t>Industry/CSR Partner</t>
        </is>
      </c>
      <c r="C1" s="2" t="inlineStr">
        <is>
          <t>MoU/Agreement Ref. No.</t>
        </is>
      </c>
      <c r="D1" s="2" t="inlineStr">
        <is>
          <t>Date Signed</t>
        </is>
      </c>
      <c r="E1" s="2" t="inlineStr">
        <is>
          <t>Funding Amount (Lakhs)</t>
        </is>
      </c>
      <c r="F1" s="2" t="inlineStr">
        <is>
          <t>Duration (Years)</t>
        </is>
      </c>
      <c r="G1" s="2" t="inlineStr">
        <is>
          <t>Link to Copy (PDF/Doc)</t>
        </is>
      </c>
      <c r="H1" s="2" t="inlineStr">
        <is>
          <t>Remarks</t>
        </is>
      </c>
    </row>
    <row r="2">
      <c r="A2" t="inlineStr">
        <is>
          <t>AI in Agriculture</t>
        </is>
      </c>
      <c r="B2" t="inlineStr">
        <is>
          <t>Infosys CSR</t>
        </is>
      </c>
      <c r="C2" t="inlineStr">
        <is>
          <t>MoU-CSR-2022-01</t>
        </is>
      </c>
      <c r="D2" t="inlineStr">
        <is>
          <t>2022-06-15</t>
        </is>
      </c>
      <c r="E2" t="n">
        <v>18.5</v>
      </c>
      <c r="F2" t="n">
        <v>2</v>
      </c>
      <c r="G2" t="inlineStr">
        <is>
          <t>MoU_AI_Agri.pdf</t>
        </is>
      </c>
      <c r="H2" t="inlineStr">
        <is>
          <t>Ongoing</t>
        </is>
      </c>
    </row>
    <row r="3">
      <c r="A3" t="inlineStr">
        <is>
          <t>Green Energy Research</t>
        </is>
      </c>
      <c r="B3" t="inlineStr">
        <is>
          <t>Reliance Foundation</t>
        </is>
      </c>
      <c r="C3" t="inlineStr">
        <is>
          <t>MoU-CSR-2021-05</t>
        </is>
      </c>
      <c r="D3" t="inlineStr">
        <is>
          <t>2021-09-10</t>
        </is>
      </c>
      <c r="E3" t="n">
        <v>12</v>
      </c>
      <c r="F3" t="n">
        <v>3</v>
      </c>
      <c r="G3" t="inlineStr">
        <is>
          <t>MoU_GreenEnergy.pdf</t>
        </is>
      </c>
      <c r="H3" t="inlineStr">
        <is>
          <t>Prototype Developed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s>
  <sheetData>
    <row r="1">
      <c r="A1" s="2" t="inlineStr">
        <is>
          <t>Project Title</t>
        </is>
      </c>
      <c r="B1" s="2" t="inlineStr">
        <is>
          <t>Funding Agency</t>
        </is>
      </c>
      <c r="C1" s="2" t="inlineStr">
        <is>
          <t>UC Reference No.</t>
        </is>
      </c>
      <c r="D1" s="2" t="inlineStr">
        <is>
          <t>Period Covered</t>
        </is>
      </c>
      <c r="E1" s="2" t="inlineStr">
        <is>
          <t>Amount Utilized (₹)</t>
        </is>
      </c>
      <c r="F1" s="2" t="inlineStr">
        <is>
          <t>Date of Submission</t>
        </is>
      </c>
      <c r="G1" s="2" t="inlineStr">
        <is>
          <t>Verified By (Head/Finance Officer)</t>
        </is>
      </c>
      <c r="H1" s="2" t="inlineStr">
        <is>
          <t>Link to UC (PDF/Doc)</t>
        </is>
      </c>
      <c r="I1" s="2" t="inlineStr">
        <is>
          <t>Remarks</t>
        </is>
      </c>
    </row>
    <row r="2">
      <c r="A2" t="inlineStr">
        <is>
          <t>IoT for Smart Health</t>
        </is>
      </c>
      <c r="B2" t="inlineStr">
        <is>
          <t>DST</t>
        </is>
      </c>
      <c r="C2" t="inlineStr">
        <is>
          <t>UC-DST-2023-01</t>
        </is>
      </c>
      <c r="D2" t="inlineStr">
        <is>
          <t>2022-23</t>
        </is>
      </c>
      <c r="E2" t="n">
        <v>1200000</v>
      </c>
      <c r="F2" t="inlineStr">
        <is>
          <t>2023-03-31</t>
        </is>
      </c>
      <c r="G2" t="inlineStr">
        <is>
          <t>Finance Officer</t>
        </is>
      </c>
      <c r="H2" t="inlineStr">
        <is>
          <t>UC_IoT_DST.pdf</t>
        </is>
      </c>
      <c r="I2" t="inlineStr">
        <is>
          <t>Acknowledged by DST</t>
        </is>
      </c>
    </row>
    <row r="3">
      <c r="A3" t="inlineStr">
        <is>
          <t>AI in Agriculture</t>
        </is>
      </c>
      <c r="B3" t="inlineStr">
        <is>
          <t>Infosys CSR</t>
        </is>
      </c>
      <c r="C3" t="inlineStr">
        <is>
          <t>UC-CSR-2022-04</t>
        </is>
      </c>
      <c r="D3" t="inlineStr">
        <is>
          <t>2021-22</t>
        </is>
      </c>
      <c r="E3" t="n">
        <v>1000000</v>
      </c>
      <c r="F3" t="inlineStr">
        <is>
          <t>2022-03-20</t>
        </is>
      </c>
      <c r="G3" t="inlineStr">
        <is>
          <t>Director</t>
        </is>
      </c>
      <c r="H3" t="inlineStr">
        <is>
          <t>UC_AI_CSR.pdf</t>
        </is>
      </c>
      <c r="I3" t="inlineStr">
        <is>
          <t>Second installment released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c r="A1" s="2" t="inlineStr">
        <is>
          <t>Project Title</t>
        </is>
      </c>
      <c r="B1" s="2" t="inlineStr">
        <is>
          <t>Funding Agency</t>
        </is>
      </c>
      <c r="C1" s="2" t="inlineStr">
        <is>
          <t>Amount Sanctioned (₹ Lakhs)</t>
        </is>
      </c>
      <c r="D1" s="2" t="inlineStr">
        <is>
          <t>Amount Received (₹ Lakhs)</t>
        </is>
      </c>
      <c r="E1" s="2" t="inlineStr">
        <is>
          <t>Amount Utilized (₹ Lakhs)</t>
        </is>
      </c>
      <c r="F1" s="2" t="inlineStr">
        <is>
          <t>Bank Statement Ref/Date</t>
        </is>
      </c>
      <c r="G1" s="2" t="inlineStr">
        <is>
          <t>Audit Report Ref/Date</t>
        </is>
      </c>
      <c r="H1" s="2" t="inlineStr">
        <is>
          <t>Link to Document (PDF/Doc)</t>
        </is>
      </c>
      <c r="I1" s="2" t="inlineStr">
        <is>
          <t>Remarks</t>
        </is>
      </c>
    </row>
    <row r="2">
      <c r="A2" t="inlineStr">
        <is>
          <t>IoT for Smart Health</t>
        </is>
      </c>
      <c r="B2" t="inlineStr">
        <is>
          <t>DST</t>
        </is>
      </c>
      <c r="C2" t="n">
        <v>22</v>
      </c>
      <c r="D2" t="n">
        <v>22</v>
      </c>
      <c r="E2" t="n">
        <v>21.5</v>
      </c>
      <c r="F2" t="inlineStr">
        <is>
          <t>BankStmt_DST_2023.pdf</t>
        </is>
      </c>
      <c r="G2" t="inlineStr">
        <is>
          <t>Audit_DST_2023.pdf</t>
        </is>
      </c>
      <c r="H2" t="inlineStr">
        <is>
          <t>Link_DST_Fin.pdf</t>
        </is>
      </c>
      <c r="I2" t="inlineStr">
        <is>
          <t>Utilized fully, minor balance carried forward</t>
        </is>
      </c>
    </row>
    <row r="3">
      <c r="A3" t="inlineStr">
        <is>
          <t>AI in Agriculture</t>
        </is>
      </c>
      <c r="B3" t="inlineStr">
        <is>
          <t>Infosys CSR</t>
        </is>
      </c>
      <c r="C3" t="n">
        <v>18.5</v>
      </c>
      <c r="D3" t="n">
        <v>18.5</v>
      </c>
      <c r="E3" t="n">
        <v>18</v>
      </c>
      <c r="F3" t="inlineStr">
        <is>
          <t>BankStmt_CSR_2022.pdf</t>
        </is>
      </c>
      <c r="G3" t="inlineStr">
        <is>
          <t>Audit_CSR_2022.pdf</t>
        </is>
      </c>
      <c r="H3" t="inlineStr">
        <is>
          <t>Link_CSR_Fin.pdf</t>
        </is>
      </c>
      <c r="I3" t="inlineStr">
        <is>
          <t>Second installment pending at audit time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s>
  <sheetData>
    <row r="1">
      <c r="A1" s="2" t="inlineStr">
        <is>
          <t>S. No.</t>
        </is>
      </c>
      <c r="B1" s="2" t="inlineStr">
        <is>
          <t>PI Name</t>
        </is>
      </c>
      <c r="C1" s="2" t="inlineStr">
        <is>
          <t>Co-PI Name</t>
        </is>
      </c>
      <c r="D1" s="2" t="inlineStr">
        <is>
          <t>Department</t>
        </is>
      </c>
      <c r="E1" s="2" t="inlineStr">
        <is>
          <t>Project Title</t>
        </is>
      </c>
      <c r="F1" s="2" t="inlineStr">
        <is>
          <t>Funding Type (Seed/Internal)</t>
        </is>
      </c>
      <c r="G1" s="2" t="inlineStr">
        <is>
          <t>Sanctioned Amount (₹ Lakhs)</t>
        </is>
      </c>
      <c r="H1" s="2" t="inlineStr">
        <is>
          <t>Duration</t>
        </is>
      </c>
      <c r="I1" s="2" t="inlineStr">
        <is>
          <t>Sanctioned Year</t>
        </is>
      </c>
      <c r="J1" s="2" t="inlineStr">
        <is>
          <t>CAY (CAYm1/CAYm2/CAYm3)</t>
        </is>
      </c>
      <c r="K1" s="2" t="inlineStr">
        <is>
          <t>Amount Released (₹)</t>
        </is>
      </c>
      <c r="L1" s="2" t="inlineStr">
        <is>
          <t>Amount Utilized (₹)</t>
        </is>
      </c>
    </row>
    <row r="2">
      <c r="A2" t="n">
        <v>1</v>
      </c>
      <c r="B2" t="inlineStr">
        <is>
          <t>Prof. X</t>
        </is>
      </c>
      <c r="D2" t="inlineStr">
        <is>
          <t>CSE</t>
        </is>
      </c>
      <c r="E2" t="inlineStr">
        <is>
          <t>Dept. Seed Grant on Edge AI</t>
        </is>
      </c>
      <c r="F2" t="inlineStr">
        <is>
          <t>Seed</t>
        </is>
      </c>
      <c r="G2" t="n">
        <v>3</v>
      </c>
      <c r="H2" t="inlineStr">
        <is>
          <t>1 year</t>
        </is>
      </c>
      <c r="I2" t="n">
        <v>2023</v>
      </c>
      <c r="J2" t="inlineStr">
        <is>
          <t>CAYm1</t>
        </is>
      </c>
      <c r="K2" t="n">
        <v>300000</v>
      </c>
      <c r="L2" t="n">
        <v>250000</v>
      </c>
    </row>
    <row r="3">
      <c r="A3" t="n">
        <v>2</v>
      </c>
      <c r="B3" t="inlineStr">
        <is>
          <t>Dr. Y</t>
        </is>
      </c>
      <c r="C3" t="inlineStr">
        <is>
          <t>Dr. Z</t>
        </is>
      </c>
      <c r="D3" t="inlineStr">
        <is>
          <t>EEE</t>
        </is>
      </c>
      <c r="E3" t="inlineStr">
        <is>
          <t>Prototype Fund - Smart Inverter</t>
        </is>
      </c>
      <c r="F3" t="inlineStr">
        <is>
          <t>Internal</t>
        </is>
      </c>
      <c r="G3" t="n">
        <v>2</v>
      </c>
      <c r="H3" t="inlineStr">
        <is>
          <t>1 year</t>
        </is>
      </c>
      <c r="I3" t="n">
        <v>2022</v>
      </c>
      <c r="J3" t="inlineStr">
        <is>
          <t>CAYm2</t>
        </is>
      </c>
      <c r="K3" t="n">
        <v>200000</v>
      </c>
      <c r="L3" t="n">
        <v>180000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s>
  <sheetData>
    <row r="1">
      <c r="A1" s="4" t="inlineStr">
        <is>
          <t>NBA Marks Dashboard – Consolidated View (Sponsored Research + Consultancy + R&amp;D)</t>
        </is>
      </c>
    </row>
    <row r="3">
      <c r="A3" s="5" t="inlineStr">
        <is>
          <t>Category</t>
        </is>
      </c>
      <c r="B3" s="2" t="inlineStr">
        <is>
          <t>CAYm1 Total (₹)</t>
        </is>
      </c>
      <c r="C3" s="2" t="inlineStr">
        <is>
          <t>CAYm2 Total (₹)</t>
        </is>
      </c>
      <c r="D3" s="2" t="inlineStr">
        <is>
          <t>CAYm3 Total (₹)</t>
        </is>
      </c>
      <c r="E3" s="2" t="inlineStr">
        <is>
          <t>Cumulative (₹)</t>
        </is>
      </c>
      <c r="F3" s="2" t="inlineStr">
        <is>
          <t>NBA Marks (Auto)</t>
        </is>
      </c>
      <c r="G3" s="2" t="inlineStr">
        <is>
          <t>Notes</t>
        </is>
      </c>
    </row>
    <row r="4">
      <c r="A4" s="3" t="inlineStr">
        <is>
          <t>Sponsored Research</t>
        </is>
      </c>
      <c r="B4">
        <f>IFERROR(Yearly_Summary!B2, SUMIF(Projects_Details!J2:J500,"CAYm1",Projects_Details!G2:G500))</f>
        <v/>
      </c>
      <c r="C4">
        <f>IFERROR(Yearly_Summary!B3, SUMIF(Projects_Details!J2:J500,"CAYm2",Projects_Details!G2:G500))</f>
        <v/>
      </c>
      <c r="D4">
        <f>IFERROR(Yearly_Summary!B4, SUMIF(Projects_Details!J2:J500,"CAYm3",Projects_Details!G2:G500))</f>
        <v/>
      </c>
      <c r="E4">
        <f>SUM(B4:D4)</f>
        <v/>
      </c>
      <c r="F4">
        <f>IF(E4&gt;2000000,15,IF(E4&gt;1600000,12,IF(E4&gt;1200000,9,IF(E4&gt;800000,6,IF(E4&gt;400000,3,IF(E4&gt;100000,1,0))))))</f>
        <v/>
      </c>
      <c r="G4" t="inlineStr">
        <is>
          <t>Externally funded research only (exclude consultancy &amp; in-house R&amp;D)</t>
        </is>
      </c>
    </row>
    <row r="5">
      <c r="A5" s="3" t="inlineStr">
        <is>
          <t>Consultancy</t>
        </is>
      </c>
      <c r="B5">
        <f>SUMIF(Consultancy_Tracker!J2:J500,"CAYm1",Consultancy_Tracker!K2:K500)</f>
        <v/>
      </c>
      <c r="C5">
        <f>SUMIF(Consultancy_Tracker!J2:J500,"CAYm2",Consultancy_Tracker!K2:K500)</f>
        <v/>
      </c>
      <c r="D5">
        <f>SUMIF(Consultancy_Tracker!J2:J500,"CAYm3",Consultancy_Tracker!K2:K500)</f>
        <v/>
      </c>
      <c r="E5">
        <f>SUM(B5:D5)</f>
        <v/>
      </c>
      <c r="F5">
        <f>IF(E5&gt;2000000,15,IF(E5&gt;1600000,12,IF(E5&gt;1200000,9,IF(E5&gt;800000,6,IF(E5&gt;400000,3,IF(E5&gt;100000,1,0))))))</f>
        <v/>
      </c>
      <c r="G5" t="inlineStr">
        <is>
          <t>Exclude funded research &amp; in-house R&amp;D (no duplication with 6.2.4/6.2.6)</t>
        </is>
      </c>
    </row>
    <row r="6">
      <c r="A6" s="3" t="inlineStr">
        <is>
          <t>R&amp;D / Seed Money (Internal)</t>
        </is>
      </c>
      <c r="B6">
        <f>SUMIF(RD_Tracker!J2:J500,"CAYm1",RD_Tracker!K2:K500)</f>
        <v/>
      </c>
      <c r="C6">
        <f>SUMIF(RD_Tracker!J2:J500,"CAYm2",RD_Tracker!K2:K500)</f>
        <v/>
      </c>
      <c r="D6">
        <f>SUMIF(RD_Tracker!J2:J500,"CAYm3",RD_Tracker!K2:K500)</f>
        <v/>
      </c>
      <c r="E6">
        <f>SUM(B6:D6)</f>
        <v/>
      </c>
      <c r="F6" t="inlineStr">
        <is>
          <t>—</t>
        </is>
      </c>
      <c r="G6" t="inlineStr">
        <is>
          <t>Internal funding; scored under a different sub-criterion (6.2.6).</t>
        </is>
      </c>
    </row>
    <row r="8">
      <c r="A8" s="2" t="inlineStr">
        <is>
          <t>Grand Total (Sponsored + Consultancy + R&amp;D)</t>
        </is>
      </c>
      <c r="B8" s="2">
        <f>SUM(B4:B6)</f>
        <v/>
      </c>
      <c r="C8" s="2">
        <f>SUM(C4:C6)</f>
        <v/>
      </c>
      <c r="D8" s="2">
        <f>SUM(D4:D6)</f>
        <v/>
      </c>
      <c r="E8" s="2">
        <f>SUM(E4:E6)</f>
        <v/>
      </c>
    </row>
    <row r="10">
      <c r="A10" t="inlineStr">
        <is>
          <t>Notes:</t>
        </is>
      </c>
    </row>
    <row r="11">
      <c r="A11" t="inlineStr">
        <is>
          <t>1) Sponsored Research and Consultancy are each scored out of 15 marks based on cumulative receipts over CAYm1–CAYm3.</t>
        </is>
      </c>
    </row>
    <row r="12">
      <c r="A12" t="inlineStr">
        <is>
          <t>2) R&amp;D/Seed Money (internal) is shown for completeness but is evaluated under a separate NBA sub-criterion (6.2.6).</t>
        </is>
      </c>
    </row>
    <row r="13">
      <c r="A13" t="inlineStr">
        <is>
          <t>3) Ensure no duplication across categories; a project must appear in only one bucket.</t>
        </is>
      </c>
    </row>
    <row r="14">
      <c r="A14" t="inlineStr">
        <is>
          <t>4) Amount thresholds assume INR; 1 Lakh = 100,000.</t>
        </is>
      </c>
    </row>
  </sheetData>
  <mergeCells count="1">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500"/>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18" customWidth="1" min="7" max="7"/>
    <col width="28" customWidth="1" min="8" max="8"/>
    <col width="28" customWidth="1" min="9" max="9"/>
    <col width="28" customWidth="1" min="10" max="10"/>
    <col width="28" customWidth="1" min="11" max="11"/>
    <col width="28" customWidth="1" min="12" max="12"/>
    <col width="28" customWidth="1" min="13" max="13"/>
  </cols>
  <sheetData>
    <row r="1">
      <c r="A1" s="2" t="inlineStr">
        <is>
          <t>S. No.</t>
        </is>
      </c>
      <c r="B1" s="2" t="inlineStr">
        <is>
          <t>PI Name</t>
        </is>
      </c>
      <c r="C1" s="2" t="inlineStr">
        <is>
          <t>Co-PI Name</t>
        </is>
      </c>
      <c r="D1" s="2" t="inlineStr">
        <is>
          <t>Department</t>
        </is>
      </c>
      <c r="E1" s="2" t="inlineStr">
        <is>
          <t>Project Title</t>
        </is>
      </c>
      <c r="F1" s="2" t="inlineStr">
        <is>
          <t>Client/Funding Agency</t>
        </is>
      </c>
      <c r="G1" s="2" t="inlineStr">
        <is>
          <t>Agency Type</t>
        </is>
      </c>
      <c r="H1" s="2" t="inlineStr">
        <is>
          <t>Sanctioned Amount (₹ Lakhs)</t>
        </is>
      </c>
      <c r="I1" s="2" t="inlineStr">
        <is>
          <t>Duration</t>
        </is>
      </c>
      <c r="J1" s="2" t="inlineStr">
        <is>
          <t>Sanctioned Year</t>
        </is>
      </c>
      <c r="K1" s="2" t="inlineStr">
        <is>
          <t>CAYm1 Amount Received (₹)</t>
        </is>
      </c>
      <c r="L1" s="2" t="inlineStr">
        <is>
          <t>CAYm1 Amount Received (₹)</t>
        </is>
      </c>
      <c r="M1" s="2" t="inlineStr">
        <is>
          <t>CAYm2 Amount Received (₹)</t>
        </is>
      </c>
      <c r="N1" s="2" t="inlineStr">
        <is>
          <t>CAYm3 Amount Received (₹)</t>
        </is>
      </c>
      <c r="O1" s="2" t="inlineStr">
        <is>
          <t>Total Amount Received (₹)</t>
        </is>
      </c>
      <c r="P1" s="2" t="inlineStr">
        <is>
          <t>Total Amount (₹ Lakhs)</t>
        </is>
      </c>
      <c r="Q1" s="2" t="inlineStr">
        <is>
          <t>CAYm2 Amount Received (₹)</t>
        </is>
      </c>
      <c r="R1" s="2" t="inlineStr">
        <is>
          <t>CAYm3 Amount Received (₹)</t>
        </is>
      </c>
      <c r="S1" s="2" t="inlineStr">
        <is>
          <t>Total Amount Received (₹ Lakhs)</t>
        </is>
      </c>
    </row>
    <row r="2">
      <c r="A2" t="n">
        <v>1</v>
      </c>
      <c r="B2" t="inlineStr">
        <is>
          <t>Prof. A</t>
        </is>
      </c>
      <c r="C2" t="inlineStr">
        <is>
          <t>Dr. B</t>
        </is>
      </c>
      <c r="D2" t="inlineStr">
        <is>
          <t>Civil</t>
        </is>
      </c>
      <c r="E2" t="inlineStr">
        <is>
          <t>Structural Audit of XYZ</t>
        </is>
      </c>
      <c r="F2" t="inlineStr">
        <is>
          <t>XYZ Constructions Pvt. Ltd.</t>
        </is>
      </c>
      <c r="G2" t="inlineStr">
        <is>
          <t>Industry</t>
        </is>
      </c>
      <c r="H2" t="n">
        <v>5</v>
      </c>
      <c r="I2" t="inlineStr">
        <is>
          <t>1 year</t>
        </is>
      </c>
      <c r="J2" t="n">
        <v>2023</v>
      </c>
      <c r="K2" t="n">
        <v>300000</v>
      </c>
      <c r="O2">
        <f>SUM(K2:M2)</f>
        <v/>
      </c>
      <c r="P2">
        <f>N2/100000</f>
        <v/>
      </c>
      <c r="Q2" t="n">
        <v>200000</v>
      </c>
      <c r="R2" t="n">
        <v>0</v>
      </c>
      <c r="S2">
        <f>ROUND(SUM(J2:L2)/100000,2)</f>
        <v/>
      </c>
    </row>
    <row r="3">
      <c r="A3" t="n">
        <v>2</v>
      </c>
      <c r="B3" t="inlineStr">
        <is>
          <t>Dr. C</t>
        </is>
      </c>
      <c r="D3" t="inlineStr">
        <is>
          <t>Mechanical</t>
        </is>
      </c>
      <c r="E3" t="inlineStr">
        <is>
          <t>Material Testing for ABC</t>
        </is>
      </c>
      <c r="F3" t="inlineStr">
        <is>
          <t>ABC Industries</t>
        </is>
      </c>
      <c r="G3" t="inlineStr">
        <is>
          <t>Industry</t>
        </is>
      </c>
      <c r="H3" t="n">
        <v>3.5</v>
      </c>
      <c r="I3" t="inlineStr">
        <is>
          <t>6 months</t>
        </is>
      </c>
      <c r="J3" t="n">
        <v>2022</v>
      </c>
      <c r="K3" t="n">
        <v>0</v>
      </c>
      <c r="O3">
        <f>SUM(K3:M3)</f>
        <v/>
      </c>
      <c r="P3">
        <f>N3/100000</f>
        <v/>
      </c>
      <c r="Q3" t="n">
        <v>250000</v>
      </c>
      <c r="R3" t="n">
        <v>100000</v>
      </c>
      <c r="S3">
        <f>ROUND(SUM(J3:L3)/100000,2)</f>
        <v/>
      </c>
    </row>
    <row r="4">
      <c r="A4" t="n">
        <v>3</v>
      </c>
      <c r="B4" t="inlineStr">
        <is>
          <t>Prof. D</t>
        </is>
      </c>
      <c r="C4" t="inlineStr">
        <is>
          <t>Dr. E</t>
        </is>
      </c>
      <c r="D4" t="inlineStr">
        <is>
          <t>IT</t>
        </is>
      </c>
      <c r="E4" t="inlineStr">
        <is>
          <t>Software Audit for PQR Ltd.</t>
        </is>
      </c>
      <c r="F4" t="inlineStr">
        <is>
          <t>PQR Ltd.</t>
        </is>
      </c>
      <c r="G4" t="inlineStr">
        <is>
          <t>Industry</t>
        </is>
      </c>
      <c r="H4" t="n">
        <v>12</v>
      </c>
      <c r="I4" t="inlineStr">
        <is>
          <t>1.5 years</t>
        </is>
      </c>
      <c r="J4" t="n">
        <v>2021</v>
      </c>
      <c r="K4" t="n">
        <v>600000</v>
      </c>
      <c r="O4">
        <f>SUM(K4:M4)</f>
        <v/>
      </c>
      <c r="P4">
        <f>N4/100000</f>
        <v/>
      </c>
      <c r="Q4" t="n">
        <v>400000</v>
      </c>
      <c r="R4" t="n">
        <v>200000</v>
      </c>
      <c r="S4">
        <f>ROUND(SUM(J4:L4)/100000,2)</f>
        <v/>
      </c>
    </row>
    <row r="5">
      <c r="A5" t="inlineStr">
        <is>
          <t>Summary (Consultancy Revenue)</t>
        </is>
      </c>
      <c r="O5">
        <f>SUM(K5:M5)</f>
        <v/>
      </c>
      <c r="P5">
        <f>N5/100000</f>
        <v/>
      </c>
    </row>
    <row r="6">
      <c r="A6" s="2" t="inlineStr">
        <is>
          <t>Academic Year</t>
        </is>
      </c>
      <c r="B6" s="2" t="inlineStr">
        <is>
          <t>Total Consultancy Revenue (₹)</t>
        </is>
      </c>
      <c r="C6" s="2" t="inlineStr">
        <is>
          <t>NBA Marks (Auto)</t>
        </is>
      </c>
      <c r="O6">
        <f>SUM(K6:M6)</f>
        <v/>
      </c>
      <c r="P6">
        <f>N6/100000</f>
        <v/>
      </c>
    </row>
    <row r="7">
      <c r="A7" t="inlineStr">
        <is>
          <t>CAYm1</t>
        </is>
      </c>
      <c r="B7">
        <f>SUM(K2:K500)</f>
        <v/>
      </c>
      <c r="C7">
        <f>IF(B7&gt;2000000,15,
IF(B7&gt;1600000,12,
IF(B7&gt;1200000,9,
IF(B7&gt;800000,6,
IF(B7&gt;400000,3,
IF(B7&gt;100000,1,0))))))</f>
        <v/>
      </c>
      <c r="O7">
        <f>SUM(K7:M7)</f>
        <v/>
      </c>
      <c r="P7">
        <f>N7/100000</f>
        <v/>
      </c>
    </row>
    <row r="8">
      <c r="A8" t="inlineStr">
        <is>
          <t>CAYm2</t>
        </is>
      </c>
      <c r="B8">
        <f>SUM(L2:L500)</f>
        <v/>
      </c>
      <c r="C8">
        <f>IF(B8&gt;2000000,15,
IF(B8&gt;1600000,12,
IF(B8&gt;1200000,9,
IF(B8&gt;800000,6,
IF(B8&gt;400000,3,
IF(B8&gt;100000,1,0))))))</f>
        <v/>
      </c>
      <c r="O8">
        <f>SUM(K8:M8)</f>
        <v/>
      </c>
      <c r="P8">
        <f>N8/100000</f>
        <v/>
      </c>
    </row>
    <row r="9">
      <c r="A9" t="inlineStr">
        <is>
          <t>CAYm3</t>
        </is>
      </c>
      <c r="B9">
        <f>SUM(M2:M500)</f>
        <v/>
      </c>
      <c r="C9">
        <f>IF(B9&gt;2000000,15,
IF(B9&gt;1600000,12,
IF(B9&gt;1200000,9,
IF(B9&gt;800000,6,
IF(B9&gt;400000,3,
IF(B9&gt;100000,1,0))))))</f>
        <v/>
      </c>
      <c r="O9">
        <f>SUM(K9:M9)</f>
        <v/>
      </c>
      <c r="P9">
        <f>N9/100000</f>
        <v/>
      </c>
    </row>
    <row r="10">
      <c r="A10" t="inlineStr">
        <is>
          <t>Cumulative</t>
        </is>
      </c>
      <c r="B10">
        <f>SUM(B7:B9)</f>
        <v/>
      </c>
      <c r="C10">
        <f>IF(B10&gt;2000000,15,
IF(B10&gt;1600000,12,
IF(B10&gt;1200000,9,
IF(B10&gt;800000,6,
IF(B10&gt;400000,3,
IF(B10&gt;100000,1,0))))))</f>
        <v/>
      </c>
      <c r="O10">
        <f>SUM(K10:M10)</f>
        <v/>
      </c>
      <c r="P10">
        <f>N10/100000</f>
        <v/>
      </c>
    </row>
    <row r="11">
      <c r="O11">
        <f>SUM(K11:M11)</f>
        <v/>
      </c>
      <c r="P11">
        <f>N11/100000</f>
        <v/>
      </c>
    </row>
    <row r="12">
      <c r="O12">
        <f>SUM(K12:M12)</f>
        <v/>
      </c>
      <c r="P12">
        <f>N12/100000</f>
        <v/>
      </c>
    </row>
    <row r="13">
      <c r="O13">
        <f>SUM(K13:M13)</f>
        <v/>
      </c>
      <c r="P13">
        <f>N13/100000</f>
        <v/>
      </c>
    </row>
    <row r="14">
      <c r="O14">
        <f>SUM(K14:M14)</f>
        <v/>
      </c>
      <c r="P14">
        <f>N14/100000</f>
        <v/>
      </c>
    </row>
    <row r="15">
      <c r="O15">
        <f>SUM(K15:M15)</f>
        <v/>
      </c>
      <c r="P15">
        <f>N15/100000</f>
        <v/>
      </c>
    </row>
    <row r="16">
      <c r="O16">
        <f>SUM(K16:M16)</f>
        <v/>
      </c>
      <c r="P16">
        <f>N16/100000</f>
        <v/>
      </c>
    </row>
    <row r="17">
      <c r="O17">
        <f>SUM(K17:M17)</f>
        <v/>
      </c>
      <c r="P17">
        <f>N17/100000</f>
        <v/>
      </c>
    </row>
    <row r="18">
      <c r="O18">
        <f>SUM(K18:M18)</f>
        <v/>
      </c>
      <c r="P18">
        <f>N18/100000</f>
        <v/>
      </c>
    </row>
    <row r="19">
      <c r="O19">
        <f>SUM(K19:M19)</f>
        <v/>
      </c>
      <c r="P19">
        <f>N19/100000</f>
        <v/>
      </c>
    </row>
    <row r="20">
      <c r="O20">
        <f>SUM(K20:M20)</f>
        <v/>
      </c>
      <c r="P20">
        <f>N20/100000</f>
        <v/>
      </c>
    </row>
    <row r="21">
      <c r="O21">
        <f>SUM(K21:M21)</f>
        <v/>
      </c>
      <c r="P21">
        <f>N21/100000</f>
        <v/>
      </c>
    </row>
    <row r="22">
      <c r="O22">
        <f>SUM(K22:M22)</f>
        <v/>
      </c>
      <c r="P22">
        <f>N22/100000</f>
        <v/>
      </c>
    </row>
    <row r="23">
      <c r="O23">
        <f>SUM(K23:M23)</f>
        <v/>
      </c>
      <c r="P23">
        <f>N23/100000</f>
        <v/>
      </c>
    </row>
    <row r="24">
      <c r="O24">
        <f>SUM(K24:M24)</f>
        <v/>
      </c>
      <c r="P24">
        <f>N24/100000</f>
        <v/>
      </c>
    </row>
    <row r="25">
      <c r="O25">
        <f>SUM(K25:M25)</f>
        <v/>
      </c>
      <c r="P25">
        <f>N25/100000</f>
        <v/>
      </c>
    </row>
    <row r="26">
      <c r="O26">
        <f>SUM(K26:M26)</f>
        <v/>
      </c>
      <c r="P26">
        <f>N26/100000</f>
        <v/>
      </c>
    </row>
    <row r="27">
      <c r="O27">
        <f>SUM(K27:M27)</f>
        <v/>
      </c>
      <c r="P27">
        <f>N27/100000</f>
        <v/>
      </c>
    </row>
    <row r="28">
      <c r="O28">
        <f>SUM(K28:M28)</f>
        <v/>
      </c>
      <c r="P28">
        <f>N28/100000</f>
        <v/>
      </c>
    </row>
    <row r="29">
      <c r="O29">
        <f>SUM(K29:M29)</f>
        <v/>
      </c>
      <c r="P29">
        <f>N29/100000</f>
        <v/>
      </c>
    </row>
    <row r="30">
      <c r="O30">
        <f>SUM(K30:M30)</f>
        <v/>
      </c>
      <c r="P30">
        <f>N30/100000</f>
        <v/>
      </c>
    </row>
    <row r="31">
      <c r="O31">
        <f>SUM(K31:M31)</f>
        <v/>
      </c>
      <c r="P31">
        <f>N31/100000</f>
        <v/>
      </c>
    </row>
    <row r="32">
      <c r="O32">
        <f>SUM(K32:M32)</f>
        <v/>
      </c>
      <c r="P32">
        <f>N32/100000</f>
        <v/>
      </c>
    </row>
    <row r="33">
      <c r="O33">
        <f>SUM(K33:M33)</f>
        <v/>
      </c>
      <c r="P33">
        <f>N33/100000</f>
        <v/>
      </c>
    </row>
    <row r="34">
      <c r="O34">
        <f>SUM(K34:M34)</f>
        <v/>
      </c>
      <c r="P34">
        <f>N34/100000</f>
        <v/>
      </c>
    </row>
    <row r="35">
      <c r="O35">
        <f>SUM(K35:M35)</f>
        <v/>
      </c>
      <c r="P35">
        <f>N35/100000</f>
        <v/>
      </c>
    </row>
    <row r="36">
      <c r="O36">
        <f>SUM(K36:M36)</f>
        <v/>
      </c>
      <c r="P36">
        <f>N36/100000</f>
        <v/>
      </c>
    </row>
    <row r="37">
      <c r="O37">
        <f>SUM(K37:M37)</f>
        <v/>
      </c>
      <c r="P37">
        <f>N37/100000</f>
        <v/>
      </c>
    </row>
    <row r="38">
      <c r="O38">
        <f>SUM(K38:M38)</f>
        <v/>
      </c>
      <c r="P38">
        <f>N38/100000</f>
        <v/>
      </c>
    </row>
    <row r="39">
      <c r="O39">
        <f>SUM(K39:M39)</f>
        <v/>
      </c>
      <c r="P39">
        <f>N39/100000</f>
        <v/>
      </c>
    </row>
    <row r="40">
      <c r="O40">
        <f>SUM(K40:M40)</f>
        <v/>
      </c>
      <c r="P40">
        <f>N40/100000</f>
        <v/>
      </c>
    </row>
    <row r="41">
      <c r="O41">
        <f>SUM(K41:M41)</f>
        <v/>
      </c>
      <c r="P41">
        <f>N41/100000</f>
        <v/>
      </c>
    </row>
    <row r="42">
      <c r="O42">
        <f>SUM(K42:M42)</f>
        <v/>
      </c>
      <c r="P42">
        <f>N42/100000</f>
        <v/>
      </c>
    </row>
    <row r="43">
      <c r="O43">
        <f>SUM(K43:M43)</f>
        <v/>
      </c>
      <c r="P43">
        <f>N43/100000</f>
        <v/>
      </c>
    </row>
    <row r="44">
      <c r="O44">
        <f>SUM(K44:M44)</f>
        <v/>
      </c>
      <c r="P44">
        <f>N44/100000</f>
        <v/>
      </c>
    </row>
    <row r="45">
      <c r="O45">
        <f>SUM(K45:M45)</f>
        <v/>
      </c>
      <c r="P45">
        <f>N45/100000</f>
        <v/>
      </c>
    </row>
    <row r="46">
      <c r="O46">
        <f>SUM(K46:M46)</f>
        <v/>
      </c>
      <c r="P46">
        <f>N46/100000</f>
        <v/>
      </c>
    </row>
    <row r="47">
      <c r="O47">
        <f>SUM(K47:M47)</f>
        <v/>
      </c>
      <c r="P47">
        <f>N47/100000</f>
        <v/>
      </c>
    </row>
    <row r="48">
      <c r="O48">
        <f>SUM(K48:M48)</f>
        <v/>
      </c>
      <c r="P48">
        <f>N48/100000</f>
        <v/>
      </c>
    </row>
    <row r="49">
      <c r="O49">
        <f>SUM(K49:M49)</f>
        <v/>
      </c>
      <c r="P49">
        <f>N49/100000</f>
        <v/>
      </c>
    </row>
    <row r="50">
      <c r="O50">
        <f>SUM(K50:M50)</f>
        <v/>
      </c>
      <c r="P50">
        <f>N50/100000</f>
        <v/>
      </c>
    </row>
    <row r="51">
      <c r="O51">
        <f>SUM(K51:M51)</f>
        <v/>
      </c>
      <c r="P51">
        <f>N51/100000</f>
        <v/>
      </c>
    </row>
    <row r="52">
      <c r="O52">
        <f>SUM(K52:M52)</f>
        <v/>
      </c>
      <c r="P52">
        <f>N52/100000</f>
        <v/>
      </c>
    </row>
    <row r="53">
      <c r="O53">
        <f>SUM(K53:M53)</f>
        <v/>
      </c>
      <c r="P53">
        <f>N53/100000</f>
        <v/>
      </c>
    </row>
    <row r="54">
      <c r="O54">
        <f>SUM(K54:M54)</f>
        <v/>
      </c>
      <c r="P54">
        <f>N54/100000</f>
        <v/>
      </c>
    </row>
    <row r="55">
      <c r="O55">
        <f>SUM(K55:M55)</f>
        <v/>
      </c>
      <c r="P55">
        <f>N55/100000</f>
        <v/>
      </c>
    </row>
    <row r="56">
      <c r="O56">
        <f>SUM(K56:M56)</f>
        <v/>
      </c>
      <c r="P56">
        <f>N56/100000</f>
        <v/>
      </c>
    </row>
    <row r="57">
      <c r="O57">
        <f>SUM(K57:M57)</f>
        <v/>
      </c>
      <c r="P57">
        <f>N57/100000</f>
        <v/>
      </c>
    </row>
    <row r="58">
      <c r="O58">
        <f>SUM(K58:M58)</f>
        <v/>
      </c>
      <c r="P58">
        <f>N58/100000</f>
        <v/>
      </c>
    </row>
    <row r="59">
      <c r="O59">
        <f>SUM(K59:M59)</f>
        <v/>
      </c>
      <c r="P59">
        <f>N59/100000</f>
        <v/>
      </c>
    </row>
    <row r="60">
      <c r="O60">
        <f>SUM(K60:M60)</f>
        <v/>
      </c>
      <c r="P60">
        <f>N60/100000</f>
        <v/>
      </c>
    </row>
    <row r="61">
      <c r="O61">
        <f>SUM(K61:M61)</f>
        <v/>
      </c>
      <c r="P61">
        <f>N61/100000</f>
        <v/>
      </c>
    </row>
    <row r="62">
      <c r="O62">
        <f>SUM(K62:M62)</f>
        <v/>
      </c>
      <c r="P62">
        <f>N62/100000</f>
        <v/>
      </c>
    </row>
    <row r="63">
      <c r="O63">
        <f>SUM(K63:M63)</f>
        <v/>
      </c>
      <c r="P63">
        <f>N63/100000</f>
        <v/>
      </c>
    </row>
    <row r="64">
      <c r="O64">
        <f>SUM(K64:M64)</f>
        <v/>
      </c>
      <c r="P64">
        <f>N64/100000</f>
        <v/>
      </c>
    </row>
    <row r="65">
      <c r="O65">
        <f>SUM(K65:M65)</f>
        <v/>
      </c>
      <c r="P65">
        <f>N65/100000</f>
        <v/>
      </c>
    </row>
    <row r="66">
      <c r="O66">
        <f>SUM(K66:M66)</f>
        <v/>
      </c>
      <c r="P66">
        <f>N66/100000</f>
        <v/>
      </c>
    </row>
    <row r="67">
      <c r="O67">
        <f>SUM(K67:M67)</f>
        <v/>
      </c>
      <c r="P67">
        <f>N67/100000</f>
        <v/>
      </c>
    </row>
    <row r="68">
      <c r="O68">
        <f>SUM(K68:M68)</f>
        <v/>
      </c>
      <c r="P68">
        <f>N68/100000</f>
        <v/>
      </c>
    </row>
    <row r="69">
      <c r="O69">
        <f>SUM(K69:M69)</f>
        <v/>
      </c>
      <c r="P69">
        <f>N69/100000</f>
        <v/>
      </c>
    </row>
    <row r="70">
      <c r="O70">
        <f>SUM(K70:M70)</f>
        <v/>
      </c>
      <c r="P70">
        <f>N70/100000</f>
        <v/>
      </c>
    </row>
    <row r="71">
      <c r="O71">
        <f>SUM(K71:M71)</f>
        <v/>
      </c>
      <c r="P71">
        <f>N71/100000</f>
        <v/>
      </c>
    </row>
    <row r="72">
      <c r="O72">
        <f>SUM(K72:M72)</f>
        <v/>
      </c>
      <c r="P72">
        <f>N72/100000</f>
        <v/>
      </c>
    </row>
    <row r="73">
      <c r="O73">
        <f>SUM(K73:M73)</f>
        <v/>
      </c>
      <c r="P73">
        <f>N73/100000</f>
        <v/>
      </c>
    </row>
    <row r="74">
      <c r="O74">
        <f>SUM(K74:M74)</f>
        <v/>
      </c>
      <c r="P74">
        <f>N74/100000</f>
        <v/>
      </c>
    </row>
    <row r="75">
      <c r="O75">
        <f>SUM(K75:M75)</f>
        <v/>
      </c>
      <c r="P75">
        <f>N75/100000</f>
        <v/>
      </c>
    </row>
    <row r="76">
      <c r="O76">
        <f>SUM(K76:M76)</f>
        <v/>
      </c>
      <c r="P76">
        <f>N76/100000</f>
        <v/>
      </c>
    </row>
    <row r="77">
      <c r="O77">
        <f>SUM(K77:M77)</f>
        <v/>
      </c>
      <c r="P77">
        <f>N77/100000</f>
        <v/>
      </c>
    </row>
    <row r="78">
      <c r="O78">
        <f>SUM(K78:M78)</f>
        <v/>
      </c>
      <c r="P78">
        <f>N78/100000</f>
        <v/>
      </c>
    </row>
    <row r="79">
      <c r="O79">
        <f>SUM(K79:M79)</f>
        <v/>
      </c>
      <c r="P79">
        <f>N79/100000</f>
        <v/>
      </c>
    </row>
    <row r="80">
      <c r="O80">
        <f>SUM(K80:M80)</f>
        <v/>
      </c>
      <c r="P80">
        <f>N80/100000</f>
        <v/>
      </c>
    </row>
    <row r="81">
      <c r="O81">
        <f>SUM(K81:M81)</f>
        <v/>
      </c>
      <c r="P81">
        <f>N81/100000</f>
        <v/>
      </c>
    </row>
    <row r="82">
      <c r="O82">
        <f>SUM(K82:M82)</f>
        <v/>
      </c>
      <c r="P82">
        <f>N82/100000</f>
        <v/>
      </c>
    </row>
    <row r="83">
      <c r="O83">
        <f>SUM(K83:M83)</f>
        <v/>
      </c>
      <c r="P83">
        <f>N83/100000</f>
        <v/>
      </c>
    </row>
    <row r="84">
      <c r="O84">
        <f>SUM(K84:M84)</f>
        <v/>
      </c>
      <c r="P84">
        <f>N84/100000</f>
        <v/>
      </c>
    </row>
    <row r="85">
      <c r="O85">
        <f>SUM(K85:M85)</f>
        <v/>
      </c>
      <c r="P85">
        <f>N85/100000</f>
        <v/>
      </c>
    </row>
    <row r="86">
      <c r="O86">
        <f>SUM(K86:M86)</f>
        <v/>
      </c>
      <c r="P86">
        <f>N86/100000</f>
        <v/>
      </c>
    </row>
    <row r="87">
      <c r="O87">
        <f>SUM(K87:M87)</f>
        <v/>
      </c>
      <c r="P87">
        <f>N87/100000</f>
        <v/>
      </c>
    </row>
    <row r="88">
      <c r="O88">
        <f>SUM(K88:M88)</f>
        <v/>
      </c>
      <c r="P88">
        <f>N88/100000</f>
        <v/>
      </c>
    </row>
    <row r="89">
      <c r="O89">
        <f>SUM(K89:M89)</f>
        <v/>
      </c>
      <c r="P89">
        <f>N89/100000</f>
        <v/>
      </c>
    </row>
    <row r="90">
      <c r="O90">
        <f>SUM(K90:M90)</f>
        <v/>
      </c>
      <c r="P90">
        <f>N90/100000</f>
        <v/>
      </c>
    </row>
    <row r="91">
      <c r="O91">
        <f>SUM(K91:M91)</f>
        <v/>
      </c>
      <c r="P91">
        <f>N91/100000</f>
        <v/>
      </c>
    </row>
    <row r="92">
      <c r="O92">
        <f>SUM(K92:M92)</f>
        <v/>
      </c>
      <c r="P92">
        <f>N92/100000</f>
        <v/>
      </c>
    </row>
    <row r="93">
      <c r="O93">
        <f>SUM(K93:M93)</f>
        <v/>
      </c>
      <c r="P93">
        <f>N93/100000</f>
        <v/>
      </c>
    </row>
    <row r="94">
      <c r="O94">
        <f>SUM(K94:M94)</f>
        <v/>
      </c>
      <c r="P94">
        <f>N94/100000</f>
        <v/>
      </c>
    </row>
    <row r="95">
      <c r="O95">
        <f>SUM(K95:M95)</f>
        <v/>
      </c>
      <c r="P95">
        <f>N95/100000</f>
        <v/>
      </c>
    </row>
    <row r="96">
      <c r="O96">
        <f>SUM(K96:M96)</f>
        <v/>
      </c>
      <c r="P96">
        <f>N96/100000</f>
        <v/>
      </c>
    </row>
    <row r="97">
      <c r="O97">
        <f>SUM(K97:M97)</f>
        <v/>
      </c>
      <c r="P97">
        <f>N97/100000</f>
        <v/>
      </c>
    </row>
    <row r="98">
      <c r="O98">
        <f>SUM(K98:M98)</f>
        <v/>
      </c>
      <c r="P98">
        <f>N98/100000</f>
        <v/>
      </c>
    </row>
    <row r="99">
      <c r="O99">
        <f>SUM(K99:M99)</f>
        <v/>
      </c>
      <c r="P99">
        <f>N99/100000</f>
        <v/>
      </c>
    </row>
    <row r="100">
      <c r="O100">
        <f>SUM(K100:M100)</f>
        <v/>
      </c>
      <c r="P100">
        <f>N100/100000</f>
        <v/>
      </c>
    </row>
    <row r="101">
      <c r="O101">
        <f>SUM(K101:M101)</f>
        <v/>
      </c>
      <c r="P101">
        <f>N101/100000</f>
        <v/>
      </c>
    </row>
    <row r="102">
      <c r="O102">
        <f>SUM(K102:M102)</f>
        <v/>
      </c>
      <c r="P102">
        <f>N102/100000</f>
        <v/>
      </c>
    </row>
    <row r="103">
      <c r="O103">
        <f>SUM(K103:M103)</f>
        <v/>
      </c>
      <c r="P103">
        <f>N103/100000</f>
        <v/>
      </c>
    </row>
    <row r="104">
      <c r="O104">
        <f>SUM(K104:M104)</f>
        <v/>
      </c>
      <c r="P104">
        <f>N104/100000</f>
        <v/>
      </c>
    </row>
    <row r="105">
      <c r="O105">
        <f>SUM(K105:M105)</f>
        <v/>
      </c>
      <c r="P105">
        <f>N105/100000</f>
        <v/>
      </c>
    </row>
    <row r="106">
      <c r="O106">
        <f>SUM(K106:M106)</f>
        <v/>
      </c>
      <c r="P106">
        <f>N106/100000</f>
        <v/>
      </c>
    </row>
    <row r="107">
      <c r="O107">
        <f>SUM(K107:M107)</f>
        <v/>
      </c>
      <c r="P107">
        <f>N107/100000</f>
        <v/>
      </c>
    </row>
    <row r="108">
      <c r="O108">
        <f>SUM(K108:M108)</f>
        <v/>
      </c>
      <c r="P108">
        <f>N108/100000</f>
        <v/>
      </c>
    </row>
    <row r="109">
      <c r="O109">
        <f>SUM(K109:M109)</f>
        <v/>
      </c>
      <c r="P109">
        <f>N109/100000</f>
        <v/>
      </c>
    </row>
    <row r="110">
      <c r="O110">
        <f>SUM(K110:M110)</f>
        <v/>
      </c>
      <c r="P110">
        <f>N110/100000</f>
        <v/>
      </c>
    </row>
    <row r="111">
      <c r="O111">
        <f>SUM(K111:M111)</f>
        <v/>
      </c>
      <c r="P111">
        <f>N111/100000</f>
        <v/>
      </c>
    </row>
    <row r="112">
      <c r="O112">
        <f>SUM(K112:M112)</f>
        <v/>
      </c>
      <c r="P112">
        <f>N112/100000</f>
        <v/>
      </c>
    </row>
    <row r="113">
      <c r="O113">
        <f>SUM(K113:M113)</f>
        <v/>
      </c>
      <c r="P113">
        <f>N113/100000</f>
        <v/>
      </c>
    </row>
    <row r="114">
      <c r="O114">
        <f>SUM(K114:M114)</f>
        <v/>
      </c>
      <c r="P114">
        <f>N114/100000</f>
        <v/>
      </c>
    </row>
    <row r="115">
      <c r="O115">
        <f>SUM(K115:M115)</f>
        <v/>
      </c>
      <c r="P115">
        <f>N115/100000</f>
        <v/>
      </c>
    </row>
    <row r="116">
      <c r="O116">
        <f>SUM(K116:M116)</f>
        <v/>
      </c>
      <c r="P116">
        <f>N116/100000</f>
        <v/>
      </c>
    </row>
    <row r="117">
      <c r="O117">
        <f>SUM(K117:M117)</f>
        <v/>
      </c>
      <c r="P117">
        <f>N117/100000</f>
        <v/>
      </c>
    </row>
    <row r="118">
      <c r="O118">
        <f>SUM(K118:M118)</f>
        <v/>
      </c>
      <c r="P118">
        <f>N118/100000</f>
        <v/>
      </c>
    </row>
    <row r="119">
      <c r="O119">
        <f>SUM(K119:M119)</f>
        <v/>
      </c>
      <c r="P119">
        <f>N119/100000</f>
        <v/>
      </c>
    </row>
    <row r="120">
      <c r="O120">
        <f>SUM(K120:M120)</f>
        <v/>
      </c>
      <c r="P120">
        <f>N120/100000</f>
        <v/>
      </c>
    </row>
    <row r="121">
      <c r="O121">
        <f>SUM(K121:M121)</f>
        <v/>
      </c>
      <c r="P121">
        <f>N121/100000</f>
        <v/>
      </c>
    </row>
    <row r="122">
      <c r="O122">
        <f>SUM(K122:M122)</f>
        <v/>
      </c>
      <c r="P122">
        <f>N122/100000</f>
        <v/>
      </c>
    </row>
    <row r="123">
      <c r="O123">
        <f>SUM(K123:M123)</f>
        <v/>
      </c>
      <c r="P123">
        <f>N123/100000</f>
        <v/>
      </c>
    </row>
    <row r="124">
      <c r="O124">
        <f>SUM(K124:M124)</f>
        <v/>
      </c>
      <c r="P124">
        <f>N124/100000</f>
        <v/>
      </c>
    </row>
    <row r="125">
      <c r="O125">
        <f>SUM(K125:M125)</f>
        <v/>
      </c>
      <c r="P125">
        <f>N125/100000</f>
        <v/>
      </c>
    </row>
    <row r="126">
      <c r="O126">
        <f>SUM(K126:M126)</f>
        <v/>
      </c>
      <c r="P126">
        <f>N126/100000</f>
        <v/>
      </c>
    </row>
    <row r="127">
      <c r="O127">
        <f>SUM(K127:M127)</f>
        <v/>
      </c>
      <c r="P127">
        <f>N127/100000</f>
        <v/>
      </c>
    </row>
    <row r="128">
      <c r="O128">
        <f>SUM(K128:M128)</f>
        <v/>
      </c>
      <c r="P128">
        <f>N128/100000</f>
        <v/>
      </c>
    </row>
    <row r="129">
      <c r="O129">
        <f>SUM(K129:M129)</f>
        <v/>
      </c>
      <c r="P129">
        <f>N129/100000</f>
        <v/>
      </c>
    </row>
    <row r="130">
      <c r="O130">
        <f>SUM(K130:M130)</f>
        <v/>
      </c>
      <c r="P130">
        <f>N130/100000</f>
        <v/>
      </c>
    </row>
    <row r="131">
      <c r="O131">
        <f>SUM(K131:M131)</f>
        <v/>
      </c>
      <c r="P131">
        <f>N131/100000</f>
        <v/>
      </c>
    </row>
    <row r="132">
      <c r="O132">
        <f>SUM(K132:M132)</f>
        <v/>
      </c>
      <c r="P132">
        <f>N132/100000</f>
        <v/>
      </c>
    </row>
    <row r="133">
      <c r="O133">
        <f>SUM(K133:M133)</f>
        <v/>
      </c>
      <c r="P133">
        <f>N133/100000</f>
        <v/>
      </c>
    </row>
    <row r="134">
      <c r="O134">
        <f>SUM(K134:M134)</f>
        <v/>
      </c>
      <c r="P134">
        <f>N134/100000</f>
        <v/>
      </c>
    </row>
    <row r="135">
      <c r="O135">
        <f>SUM(K135:M135)</f>
        <v/>
      </c>
      <c r="P135">
        <f>N135/100000</f>
        <v/>
      </c>
    </row>
    <row r="136">
      <c r="O136">
        <f>SUM(K136:M136)</f>
        <v/>
      </c>
      <c r="P136">
        <f>N136/100000</f>
        <v/>
      </c>
    </row>
    <row r="137">
      <c r="O137">
        <f>SUM(K137:M137)</f>
        <v/>
      </c>
      <c r="P137">
        <f>N137/100000</f>
        <v/>
      </c>
    </row>
    <row r="138">
      <c r="O138">
        <f>SUM(K138:M138)</f>
        <v/>
      </c>
      <c r="P138">
        <f>N138/100000</f>
        <v/>
      </c>
    </row>
    <row r="139">
      <c r="O139">
        <f>SUM(K139:M139)</f>
        <v/>
      </c>
      <c r="P139">
        <f>N139/100000</f>
        <v/>
      </c>
    </row>
    <row r="140">
      <c r="O140">
        <f>SUM(K140:M140)</f>
        <v/>
      </c>
      <c r="P140">
        <f>N140/100000</f>
        <v/>
      </c>
    </row>
    <row r="141">
      <c r="O141">
        <f>SUM(K141:M141)</f>
        <v/>
      </c>
      <c r="P141">
        <f>N141/100000</f>
        <v/>
      </c>
    </row>
    <row r="142">
      <c r="O142">
        <f>SUM(K142:M142)</f>
        <v/>
      </c>
      <c r="P142">
        <f>N142/100000</f>
        <v/>
      </c>
    </row>
    <row r="143">
      <c r="O143">
        <f>SUM(K143:M143)</f>
        <v/>
      </c>
      <c r="P143">
        <f>N143/100000</f>
        <v/>
      </c>
    </row>
    <row r="144">
      <c r="O144">
        <f>SUM(K144:M144)</f>
        <v/>
      </c>
      <c r="P144">
        <f>N144/100000</f>
        <v/>
      </c>
    </row>
    <row r="145">
      <c r="O145">
        <f>SUM(K145:M145)</f>
        <v/>
      </c>
      <c r="P145">
        <f>N145/100000</f>
        <v/>
      </c>
    </row>
    <row r="146">
      <c r="O146">
        <f>SUM(K146:M146)</f>
        <v/>
      </c>
      <c r="P146">
        <f>N146/100000</f>
        <v/>
      </c>
    </row>
    <row r="147">
      <c r="O147">
        <f>SUM(K147:M147)</f>
        <v/>
      </c>
      <c r="P147">
        <f>N147/100000</f>
        <v/>
      </c>
    </row>
    <row r="148">
      <c r="O148">
        <f>SUM(K148:M148)</f>
        <v/>
      </c>
      <c r="P148">
        <f>N148/100000</f>
        <v/>
      </c>
    </row>
    <row r="149">
      <c r="O149">
        <f>SUM(K149:M149)</f>
        <v/>
      </c>
      <c r="P149">
        <f>N149/100000</f>
        <v/>
      </c>
    </row>
    <row r="150">
      <c r="O150">
        <f>SUM(K150:M150)</f>
        <v/>
      </c>
      <c r="P150">
        <f>N150/100000</f>
        <v/>
      </c>
    </row>
    <row r="151">
      <c r="O151">
        <f>SUM(K151:M151)</f>
        <v/>
      </c>
      <c r="P151">
        <f>N151/100000</f>
        <v/>
      </c>
    </row>
    <row r="152">
      <c r="O152">
        <f>SUM(K152:M152)</f>
        <v/>
      </c>
      <c r="P152">
        <f>N152/100000</f>
        <v/>
      </c>
    </row>
    <row r="153">
      <c r="O153">
        <f>SUM(K153:M153)</f>
        <v/>
      </c>
      <c r="P153">
        <f>N153/100000</f>
        <v/>
      </c>
    </row>
    <row r="154">
      <c r="O154">
        <f>SUM(K154:M154)</f>
        <v/>
      </c>
      <c r="P154">
        <f>N154/100000</f>
        <v/>
      </c>
    </row>
    <row r="155">
      <c r="O155">
        <f>SUM(K155:M155)</f>
        <v/>
      </c>
      <c r="P155">
        <f>N155/100000</f>
        <v/>
      </c>
    </row>
    <row r="156">
      <c r="O156">
        <f>SUM(K156:M156)</f>
        <v/>
      </c>
      <c r="P156">
        <f>N156/100000</f>
        <v/>
      </c>
    </row>
    <row r="157">
      <c r="O157">
        <f>SUM(K157:M157)</f>
        <v/>
      </c>
      <c r="P157">
        <f>N157/100000</f>
        <v/>
      </c>
    </row>
    <row r="158">
      <c r="O158">
        <f>SUM(K158:M158)</f>
        <v/>
      </c>
      <c r="P158">
        <f>N158/100000</f>
        <v/>
      </c>
    </row>
    <row r="159">
      <c r="O159">
        <f>SUM(K159:M159)</f>
        <v/>
      </c>
      <c r="P159">
        <f>N159/100000</f>
        <v/>
      </c>
    </row>
    <row r="160">
      <c r="O160">
        <f>SUM(K160:M160)</f>
        <v/>
      </c>
      <c r="P160">
        <f>N160/100000</f>
        <v/>
      </c>
    </row>
    <row r="161">
      <c r="O161">
        <f>SUM(K161:M161)</f>
        <v/>
      </c>
      <c r="P161">
        <f>N161/100000</f>
        <v/>
      </c>
    </row>
    <row r="162">
      <c r="O162">
        <f>SUM(K162:M162)</f>
        <v/>
      </c>
      <c r="P162">
        <f>N162/100000</f>
        <v/>
      </c>
    </row>
    <row r="163">
      <c r="O163">
        <f>SUM(K163:M163)</f>
        <v/>
      </c>
      <c r="P163">
        <f>N163/100000</f>
        <v/>
      </c>
    </row>
    <row r="164">
      <c r="O164">
        <f>SUM(K164:M164)</f>
        <v/>
      </c>
      <c r="P164">
        <f>N164/100000</f>
        <v/>
      </c>
    </row>
    <row r="165">
      <c r="O165">
        <f>SUM(K165:M165)</f>
        <v/>
      </c>
      <c r="P165">
        <f>N165/100000</f>
        <v/>
      </c>
    </row>
    <row r="166">
      <c r="O166">
        <f>SUM(K166:M166)</f>
        <v/>
      </c>
      <c r="P166">
        <f>N166/100000</f>
        <v/>
      </c>
    </row>
    <row r="167">
      <c r="O167">
        <f>SUM(K167:M167)</f>
        <v/>
      </c>
      <c r="P167">
        <f>N167/100000</f>
        <v/>
      </c>
    </row>
    <row r="168">
      <c r="O168">
        <f>SUM(K168:M168)</f>
        <v/>
      </c>
      <c r="P168">
        <f>N168/100000</f>
        <v/>
      </c>
    </row>
    <row r="169">
      <c r="O169">
        <f>SUM(K169:M169)</f>
        <v/>
      </c>
      <c r="P169">
        <f>N169/100000</f>
        <v/>
      </c>
    </row>
    <row r="170">
      <c r="O170">
        <f>SUM(K170:M170)</f>
        <v/>
      </c>
      <c r="P170">
        <f>N170/100000</f>
        <v/>
      </c>
    </row>
    <row r="171">
      <c r="O171">
        <f>SUM(K171:M171)</f>
        <v/>
      </c>
      <c r="P171">
        <f>N171/100000</f>
        <v/>
      </c>
    </row>
    <row r="172">
      <c r="O172">
        <f>SUM(K172:M172)</f>
        <v/>
      </c>
      <c r="P172">
        <f>N172/100000</f>
        <v/>
      </c>
    </row>
    <row r="173">
      <c r="O173">
        <f>SUM(K173:M173)</f>
        <v/>
      </c>
      <c r="P173">
        <f>N173/100000</f>
        <v/>
      </c>
    </row>
    <row r="174">
      <c r="O174">
        <f>SUM(K174:M174)</f>
        <v/>
      </c>
      <c r="P174">
        <f>N174/100000</f>
        <v/>
      </c>
    </row>
    <row r="175">
      <c r="O175">
        <f>SUM(K175:M175)</f>
        <v/>
      </c>
      <c r="P175">
        <f>N175/100000</f>
        <v/>
      </c>
    </row>
    <row r="176">
      <c r="O176">
        <f>SUM(K176:M176)</f>
        <v/>
      </c>
      <c r="P176">
        <f>N176/100000</f>
        <v/>
      </c>
    </row>
    <row r="177">
      <c r="O177">
        <f>SUM(K177:M177)</f>
        <v/>
      </c>
      <c r="P177">
        <f>N177/100000</f>
        <v/>
      </c>
    </row>
    <row r="178">
      <c r="O178">
        <f>SUM(K178:M178)</f>
        <v/>
      </c>
      <c r="P178">
        <f>N178/100000</f>
        <v/>
      </c>
    </row>
    <row r="179">
      <c r="O179">
        <f>SUM(K179:M179)</f>
        <v/>
      </c>
      <c r="P179">
        <f>N179/100000</f>
        <v/>
      </c>
    </row>
    <row r="180">
      <c r="O180">
        <f>SUM(K180:M180)</f>
        <v/>
      </c>
      <c r="P180">
        <f>N180/100000</f>
        <v/>
      </c>
    </row>
    <row r="181">
      <c r="O181">
        <f>SUM(K181:M181)</f>
        <v/>
      </c>
      <c r="P181">
        <f>N181/100000</f>
        <v/>
      </c>
    </row>
    <row r="182">
      <c r="O182">
        <f>SUM(K182:M182)</f>
        <v/>
      </c>
      <c r="P182">
        <f>N182/100000</f>
        <v/>
      </c>
    </row>
    <row r="183">
      <c r="O183">
        <f>SUM(K183:M183)</f>
        <v/>
      </c>
      <c r="P183">
        <f>N183/100000</f>
        <v/>
      </c>
    </row>
    <row r="184">
      <c r="O184">
        <f>SUM(K184:M184)</f>
        <v/>
      </c>
      <c r="P184">
        <f>N184/100000</f>
        <v/>
      </c>
    </row>
    <row r="185">
      <c r="O185">
        <f>SUM(K185:M185)</f>
        <v/>
      </c>
      <c r="P185">
        <f>N185/100000</f>
        <v/>
      </c>
    </row>
    <row r="186">
      <c r="O186">
        <f>SUM(K186:M186)</f>
        <v/>
      </c>
      <c r="P186">
        <f>N186/100000</f>
        <v/>
      </c>
    </row>
    <row r="187">
      <c r="O187">
        <f>SUM(K187:M187)</f>
        <v/>
      </c>
      <c r="P187">
        <f>N187/100000</f>
        <v/>
      </c>
    </row>
    <row r="188">
      <c r="O188">
        <f>SUM(K188:M188)</f>
        <v/>
      </c>
      <c r="P188">
        <f>N188/100000</f>
        <v/>
      </c>
    </row>
    <row r="189">
      <c r="O189">
        <f>SUM(K189:M189)</f>
        <v/>
      </c>
      <c r="P189">
        <f>N189/100000</f>
        <v/>
      </c>
    </row>
    <row r="190">
      <c r="O190">
        <f>SUM(K190:M190)</f>
        <v/>
      </c>
      <c r="P190">
        <f>N190/100000</f>
        <v/>
      </c>
    </row>
    <row r="191">
      <c r="O191">
        <f>SUM(K191:M191)</f>
        <v/>
      </c>
      <c r="P191">
        <f>N191/100000</f>
        <v/>
      </c>
    </row>
    <row r="192">
      <c r="O192">
        <f>SUM(K192:M192)</f>
        <v/>
      </c>
      <c r="P192">
        <f>N192/100000</f>
        <v/>
      </c>
    </row>
    <row r="193">
      <c r="O193">
        <f>SUM(K193:M193)</f>
        <v/>
      </c>
      <c r="P193">
        <f>N193/100000</f>
        <v/>
      </c>
    </row>
    <row r="194">
      <c r="O194">
        <f>SUM(K194:M194)</f>
        <v/>
      </c>
      <c r="P194">
        <f>N194/100000</f>
        <v/>
      </c>
    </row>
    <row r="195">
      <c r="O195">
        <f>SUM(K195:M195)</f>
        <v/>
      </c>
      <c r="P195">
        <f>N195/100000</f>
        <v/>
      </c>
    </row>
    <row r="196">
      <c r="O196">
        <f>SUM(K196:M196)</f>
        <v/>
      </c>
      <c r="P196">
        <f>N196/100000</f>
        <v/>
      </c>
    </row>
    <row r="197">
      <c r="O197">
        <f>SUM(K197:M197)</f>
        <v/>
      </c>
      <c r="P197">
        <f>N197/100000</f>
        <v/>
      </c>
    </row>
    <row r="198">
      <c r="O198">
        <f>SUM(K198:M198)</f>
        <v/>
      </c>
      <c r="P198">
        <f>N198/100000</f>
        <v/>
      </c>
    </row>
    <row r="199">
      <c r="O199">
        <f>SUM(K199:M199)</f>
        <v/>
      </c>
      <c r="P199">
        <f>N199/100000</f>
        <v/>
      </c>
    </row>
    <row r="200">
      <c r="O200">
        <f>SUM(K200:M200)</f>
        <v/>
      </c>
      <c r="P200">
        <f>N200/100000</f>
        <v/>
      </c>
    </row>
    <row r="201">
      <c r="O201">
        <f>SUM(K201:M201)</f>
        <v/>
      </c>
      <c r="P201">
        <f>N201/100000</f>
        <v/>
      </c>
    </row>
    <row r="202">
      <c r="O202">
        <f>SUM(K202:M202)</f>
        <v/>
      </c>
      <c r="P202">
        <f>N202/100000</f>
        <v/>
      </c>
    </row>
    <row r="203">
      <c r="O203">
        <f>SUM(K203:M203)</f>
        <v/>
      </c>
      <c r="P203">
        <f>N203/100000</f>
        <v/>
      </c>
    </row>
    <row r="204">
      <c r="O204">
        <f>SUM(K204:M204)</f>
        <v/>
      </c>
      <c r="P204">
        <f>N204/100000</f>
        <v/>
      </c>
    </row>
    <row r="205">
      <c r="O205">
        <f>SUM(K205:M205)</f>
        <v/>
      </c>
      <c r="P205">
        <f>N205/100000</f>
        <v/>
      </c>
    </row>
    <row r="206">
      <c r="O206">
        <f>SUM(K206:M206)</f>
        <v/>
      </c>
      <c r="P206">
        <f>N206/100000</f>
        <v/>
      </c>
    </row>
    <row r="207">
      <c r="O207">
        <f>SUM(K207:M207)</f>
        <v/>
      </c>
      <c r="P207">
        <f>N207/100000</f>
        <v/>
      </c>
    </row>
    <row r="208">
      <c r="O208">
        <f>SUM(K208:M208)</f>
        <v/>
      </c>
      <c r="P208">
        <f>N208/100000</f>
        <v/>
      </c>
    </row>
    <row r="209">
      <c r="O209">
        <f>SUM(K209:M209)</f>
        <v/>
      </c>
      <c r="P209">
        <f>N209/100000</f>
        <v/>
      </c>
    </row>
    <row r="210">
      <c r="O210">
        <f>SUM(K210:M210)</f>
        <v/>
      </c>
      <c r="P210">
        <f>N210/100000</f>
        <v/>
      </c>
    </row>
    <row r="211">
      <c r="O211">
        <f>SUM(K211:M211)</f>
        <v/>
      </c>
      <c r="P211">
        <f>N211/100000</f>
        <v/>
      </c>
    </row>
    <row r="212">
      <c r="O212">
        <f>SUM(K212:M212)</f>
        <v/>
      </c>
      <c r="P212">
        <f>N212/100000</f>
        <v/>
      </c>
    </row>
    <row r="213">
      <c r="O213">
        <f>SUM(K213:M213)</f>
        <v/>
      </c>
      <c r="P213">
        <f>N213/100000</f>
        <v/>
      </c>
    </row>
    <row r="214">
      <c r="O214">
        <f>SUM(K214:M214)</f>
        <v/>
      </c>
      <c r="P214">
        <f>N214/100000</f>
        <v/>
      </c>
    </row>
    <row r="215">
      <c r="O215">
        <f>SUM(K215:M215)</f>
        <v/>
      </c>
      <c r="P215">
        <f>N215/100000</f>
        <v/>
      </c>
    </row>
    <row r="216">
      <c r="O216">
        <f>SUM(K216:M216)</f>
        <v/>
      </c>
      <c r="P216">
        <f>N216/100000</f>
        <v/>
      </c>
    </row>
    <row r="217">
      <c r="O217">
        <f>SUM(K217:M217)</f>
        <v/>
      </c>
      <c r="P217">
        <f>N217/100000</f>
        <v/>
      </c>
    </row>
    <row r="218">
      <c r="O218">
        <f>SUM(K218:M218)</f>
        <v/>
      </c>
      <c r="P218">
        <f>N218/100000</f>
        <v/>
      </c>
    </row>
    <row r="219">
      <c r="O219">
        <f>SUM(K219:M219)</f>
        <v/>
      </c>
      <c r="P219">
        <f>N219/100000</f>
        <v/>
      </c>
    </row>
    <row r="220">
      <c r="O220">
        <f>SUM(K220:M220)</f>
        <v/>
      </c>
      <c r="P220">
        <f>N220/100000</f>
        <v/>
      </c>
    </row>
    <row r="221">
      <c r="O221">
        <f>SUM(K221:M221)</f>
        <v/>
      </c>
      <c r="P221">
        <f>N221/100000</f>
        <v/>
      </c>
    </row>
    <row r="222">
      <c r="O222">
        <f>SUM(K222:M222)</f>
        <v/>
      </c>
      <c r="P222">
        <f>N222/100000</f>
        <v/>
      </c>
    </row>
    <row r="223">
      <c r="O223">
        <f>SUM(K223:M223)</f>
        <v/>
      </c>
      <c r="P223">
        <f>N223/100000</f>
        <v/>
      </c>
    </row>
    <row r="224">
      <c r="O224">
        <f>SUM(K224:M224)</f>
        <v/>
      </c>
      <c r="P224">
        <f>N224/100000</f>
        <v/>
      </c>
    </row>
    <row r="225">
      <c r="O225">
        <f>SUM(K225:M225)</f>
        <v/>
      </c>
      <c r="P225">
        <f>N225/100000</f>
        <v/>
      </c>
    </row>
    <row r="226">
      <c r="O226">
        <f>SUM(K226:M226)</f>
        <v/>
      </c>
      <c r="P226">
        <f>N226/100000</f>
        <v/>
      </c>
    </row>
    <row r="227">
      <c r="O227">
        <f>SUM(K227:M227)</f>
        <v/>
      </c>
      <c r="P227">
        <f>N227/100000</f>
        <v/>
      </c>
    </row>
    <row r="228">
      <c r="O228">
        <f>SUM(K228:M228)</f>
        <v/>
      </c>
      <c r="P228">
        <f>N228/100000</f>
        <v/>
      </c>
    </row>
    <row r="229">
      <c r="O229">
        <f>SUM(K229:M229)</f>
        <v/>
      </c>
      <c r="P229">
        <f>N229/100000</f>
        <v/>
      </c>
    </row>
    <row r="230">
      <c r="O230">
        <f>SUM(K230:M230)</f>
        <v/>
      </c>
      <c r="P230">
        <f>N230/100000</f>
        <v/>
      </c>
    </row>
    <row r="231">
      <c r="O231">
        <f>SUM(K231:M231)</f>
        <v/>
      </c>
      <c r="P231">
        <f>N231/100000</f>
        <v/>
      </c>
    </row>
    <row r="232">
      <c r="O232">
        <f>SUM(K232:M232)</f>
        <v/>
      </c>
      <c r="P232">
        <f>N232/100000</f>
        <v/>
      </c>
    </row>
    <row r="233">
      <c r="O233">
        <f>SUM(K233:M233)</f>
        <v/>
      </c>
      <c r="P233">
        <f>N233/100000</f>
        <v/>
      </c>
    </row>
    <row r="234">
      <c r="O234">
        <f>SUM(K234:M234)</f>
        <v/>
      </c>
      <c r="P234">
        <f>N234/100000</f>
        <v/>
      </c>
    </row>
    <row r="235">
      <c r="O235">
        <f>SUM(K235:M235)</f>
        <v/>
      </c>
      <c r="P235">
        <f>N235/100000</f>
        <v/>
      </c>
    </row>
    <row r="236">
      <c r="O236">
        <f>SUM(K236:M236)</f>
        <v/>
      </c>
      <c r="P236">
        <f>N236/100000</f>
        <v/>
      </c>
    </row>
    <row r="237">
      <c r="O237">
        <f>SUM(K237:M237)</f>
        <v/>
      </c>
      <c r="P237">
        <f>N237/100000</f>
        <v/>
      </c>
    </row>
    <row r="238">
      <c r="O238">
        <f>SUM(K238:M238)</f>
        <v/>
      </c>
      <c r="P238">
        <f>N238/100000</f>
        <v/>
      </c>
    </row>
    <row r="239">
      <c r="O239">
        <f>SUM(K239:M239)</f>
        <v/>
      </c>
      <c r="P239">
        <f>N239/100000</f>
        <v/>
      </c>
    </row>
    <row r="240">
      <c r="O240">
        <f>SUM(K240:M240)</f>
        <v/>
      </c>
      <c r="P240">
        <f>N240/100000</f>
        <v/>
      </c>
    </row>
    <row r="241">
      <c r="O241">
        <f>SUM(K241:M241)</f>
        <v/>
      </c>
      <c r="P241">
        <f>N241/100000</f>
        <v/>
      </c>
    </row>
    <row r="242">
      <c r="O242">
        <f>SUM(K242:M242)</f>
        <v/>
      </c>
      <c r="P242">
        <f>N242/100000</f>
        <v/>
      </c>
    </row>
    <row r="243">
      <c r="O243">
        <f>SUM(K243:M243)</f>
        <v/>
      </c>
      <c r="P243">
        <f>N243/100000</f>
        <v/>
      </c>
    </row>
    <row r="244">
      <c r="O244">
        <f>SUM(K244:M244)</f>
        <v/>
      </c>
      <c r="P244">
        <f>N244/100000</f>
        <v/>
      </c>
    </row>
    <row r="245">
      <c r="O245">
        <f>SUM(K245:M245)</f>
        <v/>
      </c>
      <c r="P245">
        <f>N245/100000</f>
        <v/>
      </c>
    </row>
    <row r="246">
      <c r="O246">
        <f>SUM(K246:M246)</f>
        <v/>
      </c>
      <c r="P246">
        <f>N246/100000</f>
        <v/>
      </c>
    </row>
    <row r="247">
      <c r="O247">
        <f>SUM(K247:M247)</f>
        <v/>
      </c>
      <c r="P247">
        <f>N247/100000</f>
        <v/>
      </c>
    </row>
    <row r="248">
      <c r="O248">
        <f>SUM(K248:M248)</f>
        <v/>
      </c>
      <c r="P248">
        <f>N248/100000</f>
        <v/>
      </c>
    </row>
    <row r="249">
      <c r="O249">
        <f>SUM(K249:M249)</f>
        <v/>
      </c>
      <c r="P249">
        <f>N249/100000</f>
        <v/>
      </c>
    </row>
    <row r="250">
      <c r="O250">
        <f>SUM(K250:M250)</f>
        <v/>
      </c>
      <c r="P250">
        <f>N250/100000</f>
        <v/>
      </c>
    </row>
    <row r="251">
      <c r="O251">
        <f>SUM(K251:M251)</f>
        <v/>
      </c>
      <c r="P251">
        <f>N251/100000</f>
        <v/>
      </c>
    </row>
    <row r="252">
      <c r="O252">
        <f>SUM(K252:M252)</f>
        <v/>
      </c>
      <c r="P252">
        <f>N252/100000</f>
        <v/>
      </c>
    </row>
    <row r="253">
      <c r="O253">
        <f>SUM(K253:M253)</f>
        <v/>
      </c>
      <c r="P253">
        <f>N253/100000</f>
        <v/>
      </c>
    </row>
    <row r="254">
      <c r="O254">
        <f>SUM(K254:M254)</f>
        <v/>
      </c>
      <c r="P254">
        <f>N254/100000</f>
        <v/>
      </c>
    </row>
    <row r="255">
      <c r="O255">
        <f>SUM(K255:M255)</f>
        <v/>
      </c>
      <c r="P255">
        <f>N255/100000</f>
        <v/>
      </c>
    </row>
    <row r="256">
      <c r="O256">
        <f>SUM(K256:M256)</f>
        <v/>
      </c>
      <c r="P256">
        <f>N256/100000</f>
        <v/>
      </c>
    </row>
    <row r="257">
      <c r="O257">
        <f>SUM(K257:M257)</f>
        <v/>
      </c>
      <c r="P257">
        <f>N257/100000</f>
        <v/>
      </c>
    </row>
    <row r="258">
      <c r="O258">
        <f>SUM(K258:M258)</f>
        <v/>
      </c>
      <c r="P258">
        <f>N258/100000</f>
        <v/>
      </c>
    </row>
    <row r="259">
      <c r="O259">
        <f>SUM(K259:M259)</f>
        <v/>
      </c>
      <c r="P259">
        <f>N259/100000</f>
        <v/>
      </c>
    </row>
    <row r="260">
      <c r="O260">
        <f>SUM(K260:M260)</f>
        <v/>
      </c>
      <c r="P260">
        <f>N260/100000</f>
        <v/>
      </c>
    </row>
    <row r="261">
      <c r="O261">
        <f>SUM(K261:M261)</f>
        <v/>
      </c>
      <c r="P261">
        <f>N261/100000</f>
        <v/>
      </c>
    </row>
    <row r="262">
      <c r="O262">
        <f>SUM(K262:M262)</f>
        <v/>
      </c>
      <c r="P262">
        <f>N262/100000</f>
        <v/>
      </c>
    </row>
    <row r="263">
      <c r="O263">
        <f>SUM(K263:M263)</f>
        <v/>
      </c>
      <c r="P263">
        <f>N263/100000</f>
        <v/>
      </c>
    </row>
    <row r="264">
      <c r="O264">
        <f>SUM(K264:M264)</f>
        <v/>
      </c>
      <c r="P264">
        <f>N264/100000</f>
        <v/>
      </c>
    </row>
    <row r="265">
      <c r="O265">
        <f>SUM(K265:M265)</f>
        <v/>
      </c>
      <c r="P265">
        <f>N265/100000</f>
        <v/>
      </c>
    </row>
    <row r="266">
      <c r="O266">
        <f>SUM(K266:M266)</f>
        <v/>
      </c>
      <c r="P266">
        <f>N266/100000</f>
        <v/>
      </c>
    </row>
    <row r="267">
      <c r="O267">
        <f>SUM(K267:M267)</f>
        <v/>
      </c>
      <c r="P267">
        <f>N267/100000</f>
        <v/>
      </c>
    </row>
    <row r="268">
      <c r="O268">
        <f>SUM(K268:M268)</f>
        <v/>
      </c>
      <c r="P268">
        <f>N268/100000</f>
        <v/>
      </c>
    </row>
    <row r="269">
      <c r="O269">
        <f>SUM(K269:M269)</f>
        <v/>
      </c>
      <c r="P269">
        <f>N269/100000</f>
        <v/>
      </c>
    </row>
    <row r="270">
      <c r="O270">
        <f>SUM(K270:M270)</f>
        <v/>
      </c>
      <c r="P270">
        <f>N270/100000</f>
        <v/>
      </c>
    </row>
    <row r="271">
      <c r="O271">
        <f>SUM(K271:M271)</f>
        <v/>
      </c>
      <c r="P271">
        <f>N271/100000</f>
        <v/>
      </c>
    </row>
    <row r="272">
      <c r="O272">
        <f>SUM(K272:M272)</f>
        <v/>
      </c>
      <c r="P272">
        <f>N272/100000</f>
        <v/>
      </c>
    </row>
    <row r="273">
      <c r="O273">
        <f>SUM(K273:M273)</f>
        <v/>
      </c>
      <c r="P273">
        <f>N273/100000</f>
        <v/>
      </c>
    </row>
    <row r="274">
      <c r="O274">
        <f>SUM(K274:M274)</f>
        <v/>
      </c>
      <c r="P274">
        <f>N274/100000</f>
        <v/>
      </c>
    </row>
    <row r="275">
      <c r="O275">
        <f>SUM(K275:M275)</f>
        <v/>
      </c>
      <c r="P275">
        <f>N275/100000</f>
        <v/>
      </c>
    </row>
    <row r="276">
      <c r="O276">
        <f>SUM(K276:M276)</f>
        <v/>
      </c>
      <c r="P276">
        <f>N276/100000</f>
        <v/>
      </c>
    </row>
    <row r="277">
      <c r="O277">
        <f>SUM(K277:M277)</f>
        <v/>
      </c>
      <c r="P277">
        <f>N277/100000</f>
        <v/>
      </c>
    </row>
    <row r="278">
      <c r="O278">
        <f>SUM(K278:M278)</f>
        <v/>
      </c>
      <c r="P278">
        <f>N278/100000</f>
        <v/>
      </c>
    </row>
    <row r="279">
      <c r="O279">
        <f>SUM(K279:M279)</f>
        <v/>
      </c>
      <c r="P279">
        <f>N279/100000</f>
        <v/>
      </c>
    </row>
    <row r="280">
      <c r="O280">
        <f>SUM(K280:M280)</f>
        <v/>
      </c>
      <c r="P280">
        <f>N280/100000</f>
        <v/>
      </c>
    </row>
    <row r="281">
      <c r="O281">
        <f>SUM(K281:M281)</f>
        <v/>
      </c>
      <c r="P281">
        <f>N281/100000</f>
        <v/>
      </c>
    </row>
    <row r="282">
      <c r="O282">
        <f>SUM(K282:M282)</f>
        <v/>
      </c>
      <c r="P282">
        <f>N282/100000</f>
        <v/>
      </c>
    </row>
    <row r="283">
      <c r="O283">
        <f>SUM(K283:M283)</f>
        <v/>
      </c>
      <c r="P283">
        <f>N283/100000</f>
        <v/>
      </c>
    </row>
    <row r="284">
      <c r="O284">
        <f>SUM(K284:M284)</f>
        <v/>
      </c>
      <c r="P284">
        <f>N284/100000</f>
        <v/>
      </c>
    </row>
    <row r="285">
      <c r="O285">
        <f>SUM(K285:M285)</f>
        <v/>
      </c>
      <c r="P285">
        <f>N285/100000</f>
        <v/>
      </c>
    </row>
    <row r="286">
      <c r="O286">
        <f>SUM(K286:M286)</f>
        <v/>
      </c>
      <c r="P286">
        <f>N286/100000</f>
        <v/>
      </c>
    </row>
    <row r="287">
      <c r="O287">
        <f>SUM(K287:M287)</f>
        <v/>
      </c>
      <c r="P287">
        <f>N287/100000</f>
        <v/>
      </c>
    </row>
    <row r="288">
      <c r="O288">
        <f>SUM(K288:M288)</f>
        <v/>
      </c>
      <c r="P288">
        <f>N288/100000</f>
        <v/>
      </c>
    </row>
    <row r="289">
      <c r="O289">
        <f>SUM(K289:M289)</f>
        <v/>
      </c>
      <c r="P289">
        <f>N289/100000</f>
        <v/>
      </c>
    </row>
    <row r="290">
      <c r="O290">
        <f>SUM(K290:M290)</f>
        <v/>
      </c>
      <c r="P290">
        <f>N290/100000</f>
        <v/>
      </c>
    </row>
    <row r="291">
      <c r="O291">
        <f>SUM(K291:M291)</f>
        <v/>
      </c>
      <c r="P291">
        <f>N291/100000</f>
        <v/>
      </c>
    </row>
    <row r="292">
      <c r="O292">
        <f>SUM(K292:M292)</f>
        <v/>
      </c>
      <c r="P292">
        <f>N292/100000</f>
        <v/>
      </c>
    </row>
    <row r="293">
      <c r="O293">
        <f>SUM(K293:M293)</f>
        <v/>
      </c>
      <c r="P293">
        <f>N293/100000</f>
        <v/>
      </c>
    </row>
    <row r="294">
      <c r="O294">
        <f>SUM(K294:M294)</f>
        <v/>
      </c>
      <c r="P294">
        <f>N294/100000</f>
        <v/>
      </c>
    </row>
    <row r="295">
      <c r="O295">
        <f>SUM(K295:M295)</f>
        <v/>
      </c>
      <c r="P295">
        <f>N295/100000</f>
        <v/>
      </c>
    </row>
    <row r="296">
      <c r="O296">
        <f>SUM(K296:M296)</f>
        <v/>
      </c>
      <c r="P296">
        <f>N296/100000</f>
        <v/>
      </c>
    </row>
    <row r="297">
      <c r="O297">
        <f>SUM(K297:M297)</f>
        <v/>
      </c>
      <c r="P297">
        <f>N297/100000</f>
        <v/>
      </c>
    </row>
    <row r="298">
      <c r="O298">
        <f>SUM(K298:M298)</f>
        <v/>
      </c>
      <c r="P298">
        <f>N298/100000</f>
        <v/>
      </c>
    </row>
    <row r="299">
      <c r="O299">
        <f>SUM(K299:M299)</f>
        <v/>
      </c>
      <c r="P299">
        <f>N299/100000</f>
        <v/>
      </c>
    </row>
    <row r="300">
      <c r="O300">
        <f>SUM(K300:M300)</f>
        <v/>
      </c>
      <c r="P300">
        <f>N300/100000</f>
        <v/>
      </c>
    </row>
    <row r="301">
      <c r="O301">
        <f>SUM(K301:M301)</f>
        <v/>
      </c>
      <c r="P301">
        <f>N301/100000</f>
        <v/>
      </c>
    </row>
    <row r="302">
      <c r="O302">
        <f>SUM(K302:M302)</f>
        <v/>
      </c>
      <c r="P302">
        <f>N302/100000</f>
        <v/>
      </c>
    </row>
    <row r="303">
      <c r="O303">
        <f>SUM(K303:M303)</f>
        <v/>
      </c>
      <c r="P303">
        <f>N303/100000</f>
        <v/>
      </c>
    </row>
    <row r="304">
      <c r="O304">
        <f>SUM(K304:M304)</f>
        <v/>
      </c>
      <c r="P304">
        <f>N304/100000</f>
        <v/>
      </c>
    </row>
    <row r="305">
      <c r="O305">
        <f>SUM(K305:M305)</f>
        <v/>
      </c>
      <c r="P305">
        <f>N305/100000</f>
        <v/>
      </c>
    </row>
    <row r="306">
      <c r="O306">
        <f>SUM(K306:M306)</f>
        <v/>
      </c>
      <c r="P306">
        <f>N306/100000</f>
        <v/>
      </c>
    </row>
    <row r="307">
      <c r="O307">
        <f>SUM(K307:M307)</f>
        <v/>
      </c>
      <c r="P307">
        <f>N307/100000</f>
        <v/>
      </c>
    </row>
    <row r="308">
      <c r="O308">
        <f>SUM(K308:M308)</f>
        <v/>
      </c>
      <c r="P308">
        <f>N308/100000</f>
        <v/>
      </c>
    </row>
    <row r="309">
      <c r="O309">
        <f>SUM(K309:M309)</f>
        <v/>
      </c>
      <c r="P309">
        <f>N309/100000</f>
        <v/>
      </c>
    </row>
    <row r="310">
      <c r="O310">
        <f>SUM(K310:M310)</f>
        <v/>
      </c>
      <c r="P310">
        <f>N310/100000</f>
        <v/>
      </c>
    </row>
    <row r="311">
      <c r="O311">
        <f>SUM(K311:M311)</f>
        <v/>
      </c>
      <c r="P311">
        <f>N311/100000</f>
        <v/>
      </c>
    </row>
    <row r="312">
      <c r="O312">
        <f>SUM(K312:M312)</f>
        <v/>
      </c>
      <c r="P312">
        <f>N312/100000</f>
        <v/>
      </c>
    </row>
    <row r="313">
      <c r="O313">
        <f>SUM(K313:M313)</f>
        <v/>
      </c>
      <c r="P313">
        <f>N313/100000</f>
        <v/>
      </c>
    </row>
    <row r="314">
      <c r="O314">
        <f>SUM(K314:M314)</f>
        <v/>
      </c>
      <c r="P314">
        <f>N314/100000</f>
        <v/>
      </c>
    </row>
    <row r="315">
      <c r="O315">
        <f>SUM(K315:M315)</f>
        <v/>
      </c>
      <c r="P315">
        <f>N315/100000</f>
        <v/>
      </c>
    </row>
    <row r="316">
      <c r="O316">
        <f>SUM(K316:M316)</f>
        <v/>
      </c>
      <c r="P316">
        <f>N316/100000</f>
        <v/>
      </c>
    </row>
    <row r="317">
      <c r="O317">
        <f>SUM(K317:M317)</f>
        <v/>
      </c>
      <c r="P317">
        <f>N317/100000</f>
        <v/>
      </c>
    </row>
    <row r="318">
      <c r="O318">
        <f>SUM(K318:M318)</f>
        <v/>
      </c>
      <c r="P318">
        <f>N318/100000</f>
        <v/>
      </c>
    </row>
    <row r="319">
      <c r="O319">
        <f>SUM(K319:M319)</f>
        <v/>
      </c>
      <c r="P319">
        <f>N319/100000</f>
        <v/>
      </c>
    </row>
    <row r="320">
      <c r="O320">
        <f>SUM(K320:M320)</f>
        <v/>
      </c>
      <c r="P320">
        <f>N320/100000</f>
        <v/>
      </c>
    </row>
    <row r="321">
      <c r="O321">
        <f>SUM(K321:M321)</f>
        <v/>
      </c>
      <c r="P321">
        <f>N321/100000</f>
        <v/>
      </c>
    </row>
    <row r="322">
      <c r="O322">
        <f>SUM(K322:M322)</f>
        <v/>
      </c>
      <c r="P322">
        <f>N322/100000</f>
        <v/>
      </c>
    </row>
    <row r="323">
      <c r="O323">
        <f>SUM(K323:M323)</f>
        <v/>
      </c>
      <c r="P323">
        <f>N323/100000</f>
        <v/>
      </c>
    </row>
    <row r="324">
      <c r="O324">
        <f>SUM(K324:M324)</f>
        <v/>
      </c>
      <c r="P324">
        <f>N324/100000</f>
        <v/>
      </c>
    </row>
    <row r="325">
      <c r="O325">
        <f>SUM(K325:M325)</f>
        <v/>
      </c>
      <c r="P325">
        <f>N325/100000</f>
        <v/>
      </c>
    </row>
    <row r="326">
      <c r="O326">
        <f>SUM(K326:M326)</f>
        <v/>
      </c>
      <c r="P326">
        <f>N326/100000</f>
        <v/>
      </c>
    </row>
    <row r="327">
      <c r="O327">
        <f>SUM(K327:M327)</f>
        <v/>
      </c>
      <c r="P327">
        <f>N327/100000</f>
        <v/>
      </c>
    </row>
    <row r="328">
      <c r="O328">
        <f>SUM(K328:M328)</f>
        <v/>
      </c>
      <c r="P328">
        <f>N328/100000</f>
        <v/>
      </c>
    </row>
    <row r="329">
      <c r="O329">
        <f>SUM(K329:M329)</f>
        <v/>
      </c>
      <c r="P329">
        <f>N329/100000</f>
        <v/>
      </c>
    </row>
    <row r="330">
      <c r="O330">
        <f>SUM(K330:M330)</f>
        <v/>
      </c>
      <c r="P330">
        <f>N330/100000</f>
        <v/>
      </c>
    </row>
    <row r="331">
      <c r="O331">
        <f>SUM(K331:M331)</f>
        <v/>
      </c>
      <c r="P331">
        <f>N331/100000</f>
        <v/>
      </c>
    </row>
    <row r="332">
      <c r="O332">
        <f>SUM(K332:M332)</f>
        <v/>
      </c>
      <c r="P332">
        <f>N332/100000</f>
        <v/>
      </c>
    </row>
    <row r="333">
      <c r="O333">
        <f>SUM(K333:M333)</f>
        <v/>
      </c>
      <c r="P333">
        <f>N333/100000</f>
        <v/>
      </c>
    </row>
    <row r="334">
      <c r="O334">
        <f>SUM(K334:M334)</f>
        <v/>
      </c>
      <c r="P334">
        <f>N334/100000</f>
        <v/>
      </c>
    </row>
    <row r="335">
      <c r="O335">
        <f>SUM(K335:M335)</f>
        <v/>
      </c>
      <c r="P335">
        <f>N335/100000</f>
        <v/>
      </c>
    </row>
    <row r="336">
      <c r="O336">
        <f>SUM(K336:M336)</f>
        <v/>
      </c>
      <c r="P336">
        <f>N336/100000</f>
        <v/>
      </c>
    </row>
    <row r="337">
      <c r="O337">
        <f>SUM(K337:M337)</f>
        <v/>
      </c>
      <c r="P337">
        <f>N337/100000</f>
        <v/>
      </c>
    </row>
    <row r="338">
      <c r="O338">
        <f>SUM(K338:M338)</f>
        <v/>
      </c>
      <c r="P338">
        <f>N338/100000</f>
        <v/>
      </c>
    </row>
    <row r="339">
      <c r="O339">
        <f>SUM(K339:M339)</f>
        <v/>
      </c>
      <c r="P339">
        <f>N339/100000</f>
        <v/>
      </c>
    </row>
    <row r="340">
      <c r="O340">
        <f>SUM(K340:M340)</f>
        <v/>
      </c>
      <c r="P340">
        <f>N340/100000</f>
        <v/>
      </c>
    </row>
    <row r="341">
      <c r="O341">
        <f>SUM(K341:M341)</f>
        <v/>
      </c>
      <c r="P341">
        <f>N341/100000</f>
        <v/>
      </c>
    </row>
    <row r="342">
      <c r="O342">
        <f>SUM(K342:M342)</f>
        <v/>
      </c>
      <c r="P342">
        <f>N342/100000</f>
        <v/>
      </c>
    </row>
    <row r="343">
      <c r="O343">
        <f>SUM(K343:M343)</f>
        <v/>
      </c>
      <c r="P343">
        <f>N343/100000</f>
        <v/>
      </c>
    </row>
    <row r="344">
      <c r="O344">
        <f>SUM(K344:M344)</f>
        <v/>
      </c>
      <c r="P344">
        <f>N344/100000</f>
        <v/>
      </c>
    </row>
    <row r="345">
      <c r="O345">
        <f>SUM(K345:M345)</f>
        <v/>
      </c>
      <c r="P345">
        <f>N345/100000</f>
        <v/>
      </c>
    </row>
    <row r="346">
      <c r="O346">
        <f>SUM(K346:M346)</f>
        <v/>
      </c>
      <c r="P346">
        <f>N346/100000</f>
        <v/>
      </c>
    </row>
    <row r="347">
      <c r="O347">
        <f>SUM(K347:M347)</f>
        <v/>
      </c>
      <c r="P347">
        <f>N347/100000</f>
        <v/>
      </c>
    </row>
    <row r="348">
      <c r="O348">
        <f>SUM(K348:M348)</f>
        <v/>
      </c>
      <c r="P348">
        <f>N348/100000</f>
        <v/>
      </c>
    </row>
    <row r="349">
      <c r="O349">
        <f>SUM(K349:M349)</f>
        <v/>
      </c>
      <c r="P349">
        <f>N349/100000</f>
        <v/>
      </c>
    </row>
    <row r="350">
      <c r="O350">
        <f>SUM(K350:M350)</f>
        <v/>
      </c>
      <c r="P350">
        <f>N350/100000</f>
        <v/>
      </c>
    </row>
    <row r="351">
      <c r="O351">
        <f>SUM(K351:M351)</f>
        <v/>
      </c>
      <c r="P351">
        <f>N351/100000</f>
        <v/>
      </c>
    </row>
    <row r="352">
      <c r="O352">
        <f>SUM(K352:M352)</f>
        <v/>
      </c>
      <c r="P352">
        <f>N352/100000</f>
        <v/>
      </c>
    </row>
    <row r="353">
      <c r="O353">
        <f>SUM(K353:M353)</f>
        <v/>
      </c>
      <c r="P353">
        <f>N353/100000</f>
        <v/>
      </c>
    </row>
    <row r="354">
      <c r="O354">
        <f>SUM(K354:M354)</f>
        <v/>
      </c>
      <c r="P354">
        <f>N354/100000</f>
        <v/>
      </c>
    </row>
    <row r="355">
      <c r="O355">
        <f>SUM(K355:M355)</f>
        <v/>
      </c>
      <c r="P355">
        <f>N355/100000</f>
        <v/>
      </c>
    </row>
    <row r="356">
      <c r="O356">
        <f>SUM(K356:M356)</f>
        <v/>
      </c>
      <c r="P356">
        <f>N356/100000</f>
        <v/>
      </c>
    </row>
    <row r="357">
      <c r="O357">
        <f>SUM(K357:M357)</f>
        <v/>
      </c>
      <c r="P357">
        <f>N357/100000</f>
        <v/>
      </c>
    </row>
    <row r="358">
      <c r="O358">
        <f>SUM(K358:M358)</f>
        <v/>
      </c>
      <c r="P358">
        <f>N358/100000</f>
        <v/>
      </c>
    </row>
    <row r="359">
      <c r="O359">
        <f>SUM(K359:M359)</f>
        <v/>
      </c>
      <c r="P359">
        <f>N359/100000</f>
        <v/>
      </c>
    </row>
    <row r="360">
      <c r="O360">
        <f>SUM(K360:M360)</f>
        <v/>
      </c>
      <c r="P360">
        <f>N360/100000</f>
        <v/>
      </c>
    </row>
    <row r="361">
      <c r="O361">
        <f>SUM(K361:M361)</f>
        <v/>
      </c>
      <c r="P361">
        <f>N361/100000</f>
        <v/>
      </c>
    </row>
    <row r="362">
      <c r="O362">
        <f>SUM(K362:M362)</f>
        <v/>
      </c>
      <c r="P362">
        <f>N362/100000</f>
        <v/>
      </c>
    </row>
    <row r="363">
      <c r="O363">
        <f>SUM(K363:M363)</f>
        <v/>
      </c>
      <c r="P363">
        <f>N363/100000</f>
        <v/>
      </c>
    </row>
    <row r="364">
      <c r="O364">
        <f>SUM(K364:M364)</f>
        <v/>
      </c>
      <c r="P364">
        <f>N364/100000</f>
        <v/>
      </c>
    </row>
    <row r="365">
      <c r="O365">
        <f>SUM(K365:M365)</f>
        <v/>
      </c>
      <c r="P365">
        <f>N365/100000</f>
        <v/>
      </c>
    </row>
    <row r="366">
      <c r="O366">
        <f>SUM(K366:M366)</f>
        <v/>
      </c>
      <c r="P366">
        <f>N366/100000</f>
        <v/>
      </c>
    </row>
    <row r="367">
      <c r="O367">
        <f>SUM(K367:M367)</f>
        <v/>
      </c>
      <c r="P367">
        <f>N367/100000</f>
        <v/>
      </c>
    </row>
    <row r="368">
      <c r="O368">
        <f>SUM(K368:M368)</f>
        <v/>
      </c>
      <c r="P368">
        <f>N368/100000</f>
        <v/>
      </c>
    </row>
    <row r="369">
      <c r="O369">
        <f>SUM(K369:M369)</f>
        <v/>
      </c>
      <c r="P369">
        <f>N369/100000</f>
        <v/>
      </c>
    </row>
    <row r="370">
      <c r="O370">
        <f>SUM(K370:M370)</f>
        <v/>
      </c>
      <c r="P370">
        <f>N370/100000</f>
        <v/>
      </c>
    </row>
    <row r="371">
      <c r="O371">
        <f>SUM(K371:M371)</f>
        <v/>
      </c>
      <c r="P371">
        <f>N371/100000</f>
        <v/>
      </c>
    </row>
    <row r="372">
      <c r="O372">
        <f>SUM(K372:M372)</f>
        <v/>
      </c>
      <c r="P372">
        <f>N372/100000</f>
        <v/>
      </c>
    </row>
    <row r="373">
      <c r="O373">
        <f>SUM(K373:M373)</f>
        <v/>
      </c>
      <c r="P373">
        <f>N373/100000</f>
        <v/>
      </c>
    </row>
    <row r="374">
      <c r="O374">
        <f>SUM(K374:M374)</f>
        <v/>
      </c>
      <c r="P374">
        <f>N374/100000</f>
        <v/>
      </c>
    </row>
    <row r="375">
      <c r="O375">
        <f>SUM(K375:M375)</f>
        <v/>
      </c>
      <c r="P375">
        <f>N375/100000</f>
        <v/>
      </c>
    </row>
    <row r="376">
      <c r="O376">
        <f>SUM(K376:M376)</f>
        <v/>
      </c>
      <c r="P376">
        <f>N376/100000</f>
        <v/>
      </c>
    </row>
    <row r="377">
      <c r="O377">
        <f>SUM(K377:M377)</f>
        <v/>
      </c>
      <c r="P377">
        <f>N377/100000</f>
        <v/>
      </c>
    </row>
    <row r="378">
      <c r="O378">
        <f>SUM(K378:M378)</f>
        <v/>
      </c>
      <c r="P378">
        <f>N378/100000</f>
        <v/>
      </c>
    </row>
    <row r="379">
      <c r="O379">
        <f>SUM(K379:M379)</f>
        <v/>
      </c>
      <c r="P379">
        <f>N379/100000</f>
        <v/>
      </c>
    </row>
    <row r="380">
      <c r="O380">
        <f>SUM(K380:M380)</f>
        <v/>
      </c>
      <c r="P380">
        <f>N380/100000</f>
        <v/>
      </c>
    </row>
    <row r="381">
      <c r="O381">
        <f>SUM(K381:M381)</f>
        <v/>
      </c>
      <c r="P381">
        <f>N381/100000</f>
        <v/>
      </c>
    </row>
    <row r="382">
      <c r="O382">
        <f>SUM(K382:M382)</f>
        <v/>
      </c>
      <c r="P382">
        <f>N382/100000</f>
        <v/>
      </c>
    </row>
    <row r="383">
      <c r="O383">
        <f>SUM(K383:M383)</f>
        <v/>
      </c>
      <c r="P383">
        <f>N383/100000</f>
        <v/>
      </c>
    </row>
    <row r="384">
      <c r="O384">
        <f>SUM(K384:M384)</f>
        <v/>
      </c>
      <c r="P384">
        <f>N384/100000</f>
        <v/>
      </c>
    </row>
    <row r="385">
      <c r="O385">
        <f>SUM(K385:M385)</f>
        <v/>
      </c>
      <c r="P385">
        <f>N385/100000</f>
        <v/>
      </c>
    </row>
    <row r="386">
      <c r="O386">
        <f>SUM(K386:M386)</f>
        <v/>
      </c>
      <c r="P386">
        <f>N386/100000</f>
        <v/>
      </c>
    </row>
    <row r="387">
      <c r="O387">
        <f>SUM(K387:M387)</f>
        <v/>
      </c>
      <c r="P387">
        <f>N387/100000</f>
        <v/>
      </c>
    </row>
    <row r="388">
      <c r="O388">
        <f>SUM(K388:M388)</f>
        <v/>
      </c>
      <c r="P388">
        <f>N388/100000</f>
        <v/>
      </c>
    </row>
    <row r="389">
      <c r="O389">
        <f>SUM(K389:M389)</f>
        <v/>
      </c>
      <c r="P389">
        <f>N389/100000</f>
        <v/>
      </c>
    </row>
    <row r="390">
      <c r="O390">
        <f>SUM(K390:M390)</f>
        <v/>
      </c>
      <c r="P390">
        <f>N390/100000</f>
        <v/>
      </c>
    </row>
    <row r="391">
      <c r="O391">
        <f>SUM(K391:M391)</f>
        <v/>
      </c>
      <c r="P391">
        <f>N391/100000</f>
        <v/>
      </c>
    </row>
    <row r="392">
      <c r="O392">
        <f>SUM(K392:M392)</f>
        <v/>
      </c>
      <c r="P392">
        <f>N392/100000</f>
        <v/>
      </c>
    </row>
    <row r="393">
      <c r="O393">
        <f>SUM(K393:M393)</f>
        <v/>
      </c>
      <c r="P393">
        <f>N393/100000</f>
        <v/>
      </c>
    </row>
    <row r="394">
      <c r="O394">
        <f>SUM(K394:M394)</f>
        <v/>
      </c>
      <c r="P394">
        <f>N394/100000</f>
        <v/>
      </c>
    </row>
    <row r="395">
      <c r="O395">
        <f>SUM(K395:M395)</f>
        <v/>
      </c>
      <c r="P395">
        <f>N395/100000</f>
        <v/>
      </c>
    </row>
    <row r="396">
      <c r="O396">
        <f>SUM(K396:M396)</f>
        <v/>
      </c>
      <c r="P396">
        <f>N396/100000</f>
        <v/>
      </c>
    </row>
    <row r="397">
      <c r="O397">
        <f>SUM(K397:M397)</f>
        <v/>
      </c>
      <c r="P397">
        <f>N397/100000</f>
        <v/>
      </c>
    </row>
    <row r="398">
      <c r="O398">
        <f>SUM(K398:M398)</f>
        <v/>
      </c>
      <c r="P398">
        <f>N398/100000</f>
        <v/>
      </c>
    </row>
    <row r="399">
      <c r="O399">
        <f>SUM(K399:M399)</f>
        <v/>
      </c>
      <c r="P399">
        <f>N399/100000</f>
        <v/>
      </c>
    </row>
    <row r="400">
      <c r="O400">
        <f>SUM(K400:M400)</f>
        <v/>
      </c>
      <c r="P400">
        <f>N400/100000</f>
        <v/>
      </c>
    </row>
    <row r="401">
      <c r="O401">
        <f>SUM(K401:M401)</f>
        <v/>
      </c>
      <c r="P401">
        <f>N401/100000</f>
        <v/>
      </c>
    </row>
    <row r="402">
      <c r="O402">
        <f>SUM(K402:M402)</f>
        <v/>
      </c>
      <c r="P402">
        <f>N402/100000</f>
        <v/>
      </c>
    </row>
    <row r="403">
      <c r="O403">
        <f>SUM(K403:M403)</f>
        <v/>
      </c>
      <c r="P403">
        <f>N403/100000</f>
        <v/>
      </c>
    </row>
    <row r="404">
      <c r="O404">
        <f>SUM(K404:M404)</f>
        <v/>
      </c>
      <c r="P404">
        <f>N404/100000</f>
        <v/>
      </c>
    </row>
    <row r="405">
      <c r="O405">
        <f>SUM(K405:M405)</f>
        <v/>
      </c>
      <c r="P405">
        <f>N405/100000</f>
        <v/>
      </c>
    </row>
    <row r="406">
      <c r="O406">
        <f>SUM(K406:M406)</f>
        <v/>
      </c>
      <c r="P406">
        <f>N406/100000</f>
        <v/>
      </c>
    </row>
    <row r="407">
      <c r="O407">
        <f>SUM(K407:M407)</f>
        <v/>
      </c>
      <c r="P407">
        <f>N407/100000</f>
        <v/>
      </c>
    </row>
    <row r="408">
      <c r="O408">
        <f>SUM(K408:M408)</f>
        <v/>
      </c>
      <c r="P408">
        <f>N408/100000</f>
        <v/>
      </c>
    </row>
    <row r="409">
      <c r="O409">
        <f>SUM(K409:M409)</f>
        <v/>
      </c>
      <c r="P409">
        <f>N409/100000</f>
        <v/>
      </c>
    </row>
    <row r="410">
      <c r="O410">
        <f>SUM(K410:M410)</f>
        <v/>
      </c>
      <c r="P410">
        <f>N410/100000</f>
        <v/>
      </c>
    </row>
    <row r="411">
      <c r="O411">
        <f>SUM(K411:M411)</f>
        <v/>
      </c>
      <c r="P411">
        <f>N411/100000</f>
        <v/>
      </c>
    </row>
    <row r="412">
      <c r="O412">
        <f>SUM(K412:M412)</f>
        <v/>
      </c>
      <c r="P412">
        <f>N412/100000</f>
        <v/>
      </c>
    </row>
    <row r="413">
      <c r="O413">
        <f>SUM(K413:M413)</f>
        <v/>
      </c>
      <c r="P413">
        <f>N413/100000</f>
        <v/>
      </c>
    </row>
    <row r="414">
      <c r="O414">
        <f>SUM(K414:M414)</f>
        <v/>
      </c>
      <c r="P414">
        <f>N414/100000</f>
        <v/>
      </c>
    </row>
    <row r="415">
      <c r="O415">
        <f>SUM(K415:M415)</f>
        <v/>
      </c>
      <c r="P415">
        <f>N415/100000</f>
        <v/>
      </c>
    </row>
    <row r="416">
      <c r="O416">
        <f>SUM(K416:M416)</f>
        <v/>
      </c>
      <c r="P416">
        <f>N416/100000</f>
        <v/>
      </c>
    </row>
    <row r="417">
      <c r="O417">
        <f>SUM(K417:M417)</f>
        <v/>
      </c>
      <c r="P417">
        <f>N417/100000</f>
        <v/>
      </c>
    </row>
    <row r="418">
      <c r="O418">
        <f>SUM(K418:M418)</f>
        <v/>
      </c>
      <c r="P418">
        <f>N418/100000</f>
        <v/>
      </c>
    </row>
    <row r="419">
      <c r="O419">
        <f>SUM(K419:M419)</f>
        <v/>
      </c>
      <c r="P419">
        <f>N419/100000</f>
        <v/>
      </c>
    </row>
    <row r="420">
      <c r="O420">
        <f>SUM(K420:M420)</f>
        <v/>
      </c>
      <c r="P420">
        <f>N420/100000</f>
        <v/>
      </c>
    </row>
    <row r="421">
      <c r="O421">
        <f>SUM(K421:M421)</f>
        <v/>
      </c>
      <c r="P421">
        <f>N421/100000</f>
        <v/>
      </c>
    </row>
    <row r="422">
      <c r="O422">
        <f>SUM(K422:M422)</f>
        <v/>
      </c>
      <c r="P422">
        <f>N422/100000</f>
        <v/>
      </c>
    </row>
    <row r="423">
      <c r="O423">
        <f>SUM(K423:M423)</f>
        <v/>
      </c>
      <c r="P423">
        <f>N423/100000</f>
        <v/>
      </c>
    </row>
    <row r="424">
      <c r="O424">
        <f>SUM(K424:M424)</f>
        <v/>
      </c>
      <c r="P424">
        <f>N424/100000</f>
        <v/>
      </c>
    </row>
    <row r="425">
      <c r="O425">
        <f>SUM(K425:M425)</f>
        <v/>
      </c>
      <c r="P425">
        <f>N425/100000</f>
        <v/>
      </c>
    </row>
    <row r="426">
      <c r="O426">
        <f>SUM(K426:M426)</f>
        <v/>
      </c>
      <c r="P426">
        <f>N426/100000</f>
        <v/>
      </c>
    </row>
    <row r="427">
      <c r="O427">
        <f>SUM(K427:M427)</f>
        <v/>
      </c>
      <c r="P427">
        <f>N427/100000</f>
        <v/>
      </c>
    </row>
    <row r="428">
      <c r="O428">
        <f>SUM(K428:M428)</f>
        <v/>
      </c>
      <c r="P428">
        <f>N428/100000</f>
        <v/>
      </c>
    </row>
    <row r="429">
      <c r="O429">
        <f>SUM(K429:M429)</f>
        <v/>
      </c>
      <c r="P429">
        <f>N429/100000</f>
        <v/>
      </c>
    </row>
    <row r="430">
      <c r="O430">
        <f>SUM(K430:M430)</f>
        <v/>
      </c>
      <c r="P430">
        <f>N430/100000</f>
        <v/>
      </c>
    </row>
    <row r="431">
      <c r="O431">
        <f>SUM(K431:M431)</f>
        <v/>
      </c>
      <c r="P431">
        <f>N431/100000</f>
        <v/>
      </c>
    </row>
    <row r="432">
      <c r="O432">
        <f>SUM(K432:M432)</f>
        <v/>
      </c>
      <c r="P432">
        <f>N432/100000</f>
        <v/>
      </c>
    </row>
    <row r="433">
      <c r="O433">
        <f>SUM(K433:M433)</f>
        <v/>
      </c>
      <c r="P433">
        <f>N433/100000</f>
        <v/>
      </c>
    </row>
    <row r="434">
      <c r="O434">
        <f>SUM(K434:M434)</f>
        <v/>
      </c>
      <c r="P434">
        <f>N434/100000</f>
        <v/>
      </c>
    </row>
    <row r="435">
      <c r="O435">
        <f>SUM(K435:M435)</f>
        <v/>
      </c>
      <c r="P435">
        <f>N435/100000</f>
        <v/>
      </c>
    </row>
    <row r="436">
      <c r="O436">
        <f>SUM(K436:M436)</f>
        <v/>
      </c>
      <c r="P436">
        <f>N436/100000</f>
        <v/>
      </c>
    </row>
    <row r="437">
      <c r="O437">
        <f>SUM(K437:M437)</f>
        <v/>
      </c>
      <c r="P437">
        <f>N437/100000</f>
        <v/>
      </c>
    </row>
    <row r="438">
      <c r="O438">
        <f>SUM(K438:M438)</f>
        <v/>
      </c>
      <c r="P438">
        <f>N438/100000</f>
        <v/>
      </c>
    </row>
    <row r="439">
      <c r="O439">
        <f>SUM(K439:M439)</f>
        <v/>
      </c>
      <c r="P439">
        <f>N439/100000</f>
        <v/>
      </c>
    </row>
    <row r="440">
      <c r="O440">
        <f>SUM(K440:M440)</f>
        <v/>
      </c>
      <c r="P440">
        <f>N440/100000</f>
        <v/>
      </c>
    </row>
    <row r="441">
      <c r="O441">
        <f>SUM(K441:M441)</f>
        <v/>
      </c>
      <c r="P441">
        <f>N441/100000</f>
        <v/>
      </c>
    </row>
    <row r="442">
      <c r="O442">
        <f>SUM(K442:M442)</f>
        <v/>
      </c>
      <c r="P442">
        <f>N442/100000</f>
        <v/>
      </c>
    </row>
    <row r="443">
      <c r="O443">
        <f>SUM(K443:M443)</f>
        <v/>
      </c>
      <c r="P443">
        <f>N443/100000</f>
        <v/>
      </c>
    </row>
    <row r="444">
      <c r="O444">
        <f>SUM(K444:M444)</f>
        <v/>
      </c>
      <c r="P444">
        <f>N444/100000</f>
        <v/>
      </c>
    </row>
    <row r="445">
      <c r="O445">
        <f>SUM(K445:M445)</f>
        <v/>
      </c>
      <c r="P445">
        <f>N445/100000</f>
        <v/>
      </c>
    </row>
    <row r="446">
      <c r="O446">
        <f>SUM(K446:M446)</f>
        <v/>
      </c>
      <c r="P446">
        <f>N446/100000</f>
        <v/>
      </c>
    </row>
    <row r="447">
      <c r="O447">
        <f>SUM(K447:M447)</f>
        <v/>
      </c>
      <c r="P447">
        <f>N447/100000</f>
        <v/>
      </c>
    </row>
    <row r="448">
      <c r="O448">
        <f>SUM(K448:M448)</f>
        <v/>
      </c>
      <c r="P448">
        <f>N448/100000</f>
        <v/>
      </c>
    </row>
    <row r="449">
      <c r="O449">
        <f>SUM(K449:M449)</f>
        <v/>
      </c>
      <c r="P449">
        <f>N449/100000</f>
        <v/>
      </c>
    </row>
    <row r="450">
      <c r="O450">
        <f>SUM(K450:M450)</f>
        <v/>
      </c>
      <c r="P450">
        <f>N450/100000</f>
        <v/>
      </c>
    </row>
    <row r="451">
      <c r="O451">
        <f>SUM(K451:M451)</f>
        <v/>
      </c>
      <c r="P451">
        <f>N451/100000</f>
        <v/>
      </c>
    </row>
    <row r="452">
      <c r="O452">
        <f>SUM(K452:M452)</f>
        <v/>
      </c>
      <c r="P452">
        <f>N452/100000</f>
        <v/>
      </c>
    </row>
    <row r="453">
      <c r="O453">
        <f>SUM(K453:M453)</f>
        <v/>
      </c>
      <c r="P453">
        <f>N453/100000</f>
        <v/>
      </c>
    </row>
    <row r="454">
      <c r="O454">
        <f>SUM(K454:M454)</f>
        <v/>
      </c>
      <c r="P454">
        <f>N454/100000</f>
        <v/>
      </c>
    </row>
    <row r="455">
      <c r="O455">
        <f>SUM(K455:M455)</f>
        <v/>
      </c>
      <c r="P455">
        <f>N455/100000</f>
        <v/>
      </c>
    </row>
    <row r="456">
      <c r="O456">
        <f>SUM(K456:M456)</f>
        <v/>
      </c>
      <c r="P456">
        <f>N456/100000</f>
        <v/>
      </c>
    </row>
    <row r="457">
      <c r="O457">
        <f>SUM(K457:M457)</f>
        <v/>
      </c>
      <c r="P457">
        <f>N457/100000</f>
        <v/>
      </c>
    </row>
    <row r="458">
      <c r="O458">
        <f>SUM(K458:M458)</f>
        <v/>
      </c>
      <c r="P458">
        <f>N458/100000</f>
        <v/>
      </c>
    </row>
    <row r="459">
      <c r="O459">
        <f>SUM(K459:M459)</f>
        <v/>
      </c>
      <c r="P459">
        <f>N459/100000</f>
        <v/>
      </c>
    </row>
    <row r="460">
      <c r="O460">
        <f>SUM(K460:M460)</f>
        <v/>
      </c>
      <c r="P460">
        <f>N460/100000</f>
        <v/>
      </c>
    </row>
    <row r="461">
      <c r="O461">
        <f>SUM(K461:M461)</f>
        <v/>
      </c>
      <c r="P461">
        <f>N461/100000</f>
        <v/>
      </c>
    </row>
    <row r="462">
      <c r="O462">
        <f>SUM(K462:M462)</f>
        <v/>
      </c>
      <c r="P462">
        <f>N462/100000</f>
        <v/>
      </c>
    </row>
    <row r="463">
      <c r="O463">
        <f>SUM(K463:M463)</f>
        <v/>
      </c>
      <c r="P463">
        <f>N463/100000</f>
        <v/>
      </c>
    </row>
    <row r="464">
      <c r="O464">
        <f>SUM(K464:M464)</f>
        <v/>
      </c>
      <c r="P464">
        <f>N464/100000</f>
        <v/>
      </c>
    </row>
    <row r="465">
      <c r="O465">
        <f>SUM(K465:M465)</f>
        <v/>
      </c>
      <c r="P465">
        <f>N465/100000</f>
        <v/>
      </c>
    </row>
    <row r="466">
      <c r="O466">
        <f>SUM(K466:M466)</f>
        <v/>
      </c>
      <c r="P466">
        <f>N466/100000</f>
        <v/>
      </c>
    </row>
    <row r="467">
      <c r="O467">
        <f>SUM(K467:M467)</f>
        <v/>
      </c>
      <c r="P467">
        <f>N467/100000</f>
        <v/>
      </c>
    </row>
    <row r="468">
      <c r="O468">
        <f>SUM(K468:M468)</f>
        <v/>
      </c>
      <c r="P468">
        <f>N468/100000</f>
        <v/>
      </c>
    </row>
    <row r="469">
      <c r="O469">
        <f>SUM(K469:M469)</f>
        <v/>
      </c>
      <c r="P469">
        <f>N469/100000</f>
        <v/>
      </c>
    </row>
    <row r="470">
      <c r="O470">
        <f>SUM(K470:M470)</f>
        <v/>
      </c>
      <c r="P470">
        <f>N470/100000</f>
        <v/>
      </c>
    </row>
    <row r="471">
      <c r="O471">
        <f>SUM(K471:M471)</f>
        <v/>
      </c>
      <c r="P471">
        <f>N471/100000</f>
        <v/>
      </c>
    </row>
    <row r="472">
      <c r="O472">
        <f>SUM(K472:M472)</f>
        <v/>
      </c>
      <c r="P472">
        <f>N472/100000</f>
        <v/>
      </c>
    </row>
    <row r="473">
      <c r="O473">
        <f>SUM(K473:M473)</f>
        <v/>
      </c>
      <c r="P473">
        <f>N473/100000</f>
        <v/>
      </c>
    </row>
    <row r="474">
      <c r="O474">
        <f>SUM(K474:M474)</f>
        <v/>
      </c>
      <c r="P474">
        <f>N474/100000</f>
        <v/>
      </c>
    </row>
    <row r="475">
      <c r="O475">
        <f>SUM(K475:M475)</f>
        <v/>
      </c>
      <c r="P475">
        <f>N475/100000</f>
        <v/>
      </c>
    </row>
    <row r="476">
      <c r="O476">
        <f>SUM(K476:M476)</f>
        <v/>
      </c>
      <c r="P476">
        <f>N476/100000</f>
        <v/>
      </c>
    </row>
    <row r="477">
      <c r="O477">
        <f>SUM(K477:M477)</f>
        <v/>
      </c>
      <c r="P477">
        <f>N477/100000</f>
        <v/>
      </c>
    </row>
    <row r="478">
      <c r="O478">
        <f>SUM(K478:M478)</f>
        <v/>
      </c>
      <c r="P478">
        <f>N478/100000</f>
        <v/>
      </c>
    </row>
    <row r="479">
      <c r="O479">
        <f>SUM(K479:M479)</f>
        <v/>
      </c>
      <c r="P479">
        <f>N479/100000</f>
        <v/>
      </c>
    </row>
    <row r="480">
      <c r="O480">
        <f>SUM(K480:M480)</f>
        <v/>
      </c>
      <c r="P480">
        <f>N480/100000</f>
        <v/>
      </c>
    </row>
    <row r="481">
      <c r="O481">
        <f>SUM(K481:M481)</f>
        <v/>
      </c>
      <c r="P481">
        <f>N481/100000</f>
        <v/>
      </c>
    </row>
    <row r="482">
      <c r="O482">
        <f>SUM(K482:M482)</f>
        <v/>
      </c>
      <c r="P482">
        <f>N482/100000</f>
        <v/>
      </c>
    </row>
    <row r="483">
      <c r="O483">
        <f>SUM(K483:M483)</f>
        <v/>
      </c>
      <c r="P483">
        <f>N483/100000</f>
        <v/>
      </c>
    </row>
    <row r="484">
      <c r="O484">
        <f>SUM(K484:M484)</f>
        <v/>
      </c>
      <c r="P484">
        <f>N484/100000</f>
        <v/>
      </c>
    </row>
    <row r="485">
      <c r="O485">
        <f>SUM(K485:M485)</f>
        <v/>
      </c>
      <c r="P485">
        <f>N485/100000</f>
        <v/>
      </c>
    </row>
    <row r="486">
      <c r="O486">
        <f>SUM(K486:M486)</f>
        <v/>
      </c>
      <c r="P486">
        <f>N486/100000</f>
        <v/>
      </c>
    </row>
    <row r="487">
      <c r="O487">
        <f>SUM(K487:M487)</f>
        <v/>
      </c>
      <c r="P487">
        <f>N487/100000</f>
        <v/>
      </c>
    </row>
    <row r="488">
      <c r="O488">
        <f>SUM(K488:M488)</f>
        <v/>
      </c>
      <c r="P488">
        <f>N488/100000</f>
        <v/>
      </c>
    </row>
    <row r="489">
      <c r="O489">
        <f>SUM(K489:M489)</f>
        <v/>
      </c>
      <c r="P489">
        <f>N489/100000</f>
        <v/>
      </c>
    </row>
    <row r="490">
      <c r="O490">
        <f>SUM(K490:M490)</f>
        <v/>
      </c>
      <c r="P490">
        <f>N490/100000</f>
        <v/>
      </c>
    </row>
    <row r="491">
      <c r="O491">
        <f>SUM(K491:M491)</f>
        <v/>
      </c>
      <c r="P491">
        <f>N491/100000</f>
        <v/>
      </c>
    </row>
    <row r="492">
      <c r="O492">
        <f>SUM(K492:M492)</f>
        <v/>
      </c>
      <c r="P492">
        <f>N492/100000</f>
        <v/>
      </c>
    </row>
    <row r="493">
      <c r="O493">
        <f>SUM(K493:M493)</f>
        <v/>
      </c>
      <c r="P493">
        <f>N493/100000</f>
        <v/>
      </c>
    </row>
    <row r="494">
      <c r="O494">
        <f>SUM(K494:M494)</f>
        <v/>
      </c>
      <c r="P494">
        <f>N494/100000</f>
        <v/>
      </c>
    </row>
    <row r="495">
      <c r="O495">
        <f>SUM(K495:M495)</f>
        <v/>
      </c>
      <c r="P495">
        <f>N495/100000</f>
        <v/>
      </c>
    </row>
    <row r="496">
      <c r="O496">
        <f>SUM(K496:M496)</f>
        <v/>
      </c>
      <c r="P496">
        <f>N496/100000</f>
        <v/>
      </c>
    </row>
    <row r="497">
      <c r="O497">
        <f>SUM(K497:M497)</f>
        <v/>
      </c>
      <c r="P497">
        <f>N497/100000</f>
        <v/>
      </c>
    </row>
    <row r="498">
      <c r="O498">
        <f>SUM(K498:M498)</f>
        <v/>
      </c>
      <c r="P498">
        <f>N498/100000</f>
        <v/>
      </c>
    </row>
    <row r="499">
      <c r="O499">
        <f>SUM(K499:M499)</f>
        <v/>
      </c>
      <c r="P499">
        <f>N499/100000</f>
        <v/>
      </c>
    </row>
    <row r="500">
      <c r="O500">
        <f>SUM(K500:M500)</f>
        <v/>
      </c>
      <c r="P500">
        <f>N500/100000</f>
        <v/>
      </c>
    </row>
  </sheetData>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showErrorMessage="1" showDropDown="1" showInputMessage="1" allowBlank="1" type="list">
      <formula1>"Industry,CSR,Govt.,PSU,NGO"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s>
  <sheetData>
    <row r="1">
      <c r="A1" s="2" t="inlineStr">
        <is>
          <t>PI Name</t>
        </is>
      </c>
      <c r="B1" s="2" t="inlineStr">
        <is>
          <t>CAYm1 Consultancy Revenue (₹)</t>
        </is>
      </c>
      <c r="C1" s="2" t="inlineStr">
        <is>
          <t>CAYm2 Consultancy Revenue (₹)</t>
        </is>
      </c>
      <c r="D1" s="2" t="inlineStr">
        <is>
          <t>CAYm3 Consultancy Revenue (₹)</t>
        </is>
      </c>
      <c r="E1" s="2" t="inlineStr">
        <is>
          <t>Total Consultancy Revenue (₹)</t>
        </is>
      </c>
      <c r="F1" s="2" t="inlineStr">
        <is>
          <t>Total Consultancy Revenue (₹ Lakhs)</t>
        </is>
      </c>
    </row>
    <row r="2">
      <c r="A2" t="inlineStr">
        <is>
          <t>Prof. A</t>
        </is>
      </c>
      <c r="B2" t="n">
        <v>0</v>
      </c>
      <c r="C2" t="n">
        <v>200000</v>
      </c>
      <c r="D2" t="n">
        <v>0</v>
      </c>
      <c r="E2" t="n">
        <v>200000</v>
      </c>
      <c r="F2" t="n">
        <v>2</v>
      </c>
    </row>
    <row r="3">
      <c r="A3" t="inlineStr">
        <is>
          <t>Dr. C</t>
        </is>
      </c>
      <c r="B3" t="n">
        <v>0</v>
      </c>
      <c r="C3" t="n">
        <v>250000</v>
      </c>
      <c r="D3" t="n">
        <v>100000</v>
      </c>
      <c r="E3" t="n">
        <v>350000</v>
      </c>
      <c r="F3" t="n">
        <v>3.5</v>
      </c>
    </row>
    <row r="4">
      <c r="A4" t="inlineStr">
        <is>
          <t>Prof. D</t>
        </is>
      </c>
      <c r="B4" t="n">
        <v>0</v>
      </c>
      <c r="C4" t="n">
        <v>400000</v>
      </c>
      <c r="D4" t="n">
        <v>200000</v>
      </c>
      <c r="E4" t="n">
        <v>600000</v>
      </c>
      <c r="F4" t="n">
        <v>6</v>
      </c>
    </row>
    <row r="5">
      <c r="A5" t="inlineStr">
        <is>
          <t>Total Consultancy Revenue (₹)</t>
        </is>
      </c>
      <c r="B5" t="n">
        <v>0</v>
      </c>
      <c r="C5" t="n">
        <v>0</v>
      </c>
      <c r="D5" t="n">
        <v>0</v>
      </c>
      <c r="E5" t="n">
        <v>0</v>
      </c>
      <c r="F5" t="n">
        <v>0</v>
      </c>
    </row>
    <row r="6">
      <c r="A6">
        <f>SUM(K2:K500)</f>
        <v/>
      </c>
      <c r="B6" t="n">
        <v>0</v>
      </c>
      <c r="C6" t="n">
        <v>0</v>
      </c>
      <c r="D6" t="n">
        <v>0</v>
      </c>
      <c r="E6" t="n">
        <v>0</v>
      </c>
      <c r="F6" t="n">
        <v>0</v>
      </c>
    </row>
    <row r="7">
      <c r="A7">
        <f>SUM(L2:L500)</f>
        <v/>
      </c>
      <c r="B7" t="n">
        <v>0</v>
      </c>
      <c r="C7" t="n">
        <v>0</v>
      </c>
      <c r="D7" t="n">
        <v>0</v>
      </c>
      <c r="E7" t="n">
        <v>0</v>
      </c>
      <c r="F7" t="n">
        <v>0</v>
      </c>
    </row>
    <row r="8">
      <c r="A8">
        <f>SUM(M2:M500)</f>
        <v/>
      </c>
      <c r="B8" t="n">
        <v>0</v>
      </c>
      <c r="C8" t="n">
        <v>0</v>
      </c>
      <c r="D8" t="n">
        <v>0</v>
      </c>
      <c r="E8" t="n">
        <v>0</v>
      </c>
      <c r="F8" t="n">
        <v>0</v>
      </c>
    </row>
    <row r="9">
      <c r="A9">
        <f>SUM(B7:B9)</f>
        <v/>
      </c>
      <c r="B9" t="n">
        <v>0</v>
      </c>
      <c r="C9" t="n">
        <v>0</v>
      </c>
      <c r="D9" t="n">
        <v>0</v>
      </c>
      <c r="E9" t="n">
        <v>0</v>
      </c>
      <c r="F9"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 width="32" customWidth="1" min="7" max="7"/>
    <col width="32" customWidth="1" min="8" max="8"/>
  </cols>
  <sheetData>
    <row r="1">
      <c r="A1" s="2" t="inlineStr">
        <is>
          <t>S. No.</t>
        </is>
      </c>
      <c r="B1" s="2" t="inlineStr">
        <is>
          <t>Project Title</t>
        </is>
      </c>
      <c r="C1" s="2" t="inlineStr">
        <is>
          <t>Department</t>
        </is>
      </c>
      <c r="D1" s="2" t="inlineStr">
        <is>
          <t>PI Name</t>
        </is>
      </c>
      <c r="E1" s="2" t="inlineStr">
        <is>
          <t>Client/Funding Agency</t>
        </is>
      </c>
      <c r="F1" s="2" t="inlineStr">
        <is>
          <t>Sanctioned Year</t>
        </is>
      </c>
      <c r="G1" s="2" t="inlineStr">
        <is>
          <t>Tags / Keywords (Testing, Audit, Training, Prototype, Software, etc.)</t>
        </is>
      </c>
      <c r="H1" s="2" t="inlineStr">
        <is>
          <t>Remarks</t>
        </is>
      </c>
    </row>
    <row r="2">
      <c r="A2" t="n">
        <v>1</v>
      </c>
      <c r="B2" t="inlineStr">
        <is>
          <t>Structural Audit of XYZ Commercial Complex</t>
        </is>
      </c>
      <c r="C2" t="inlineStr">
        <is>
          <t>Civil Engg</t>
        </is>
      </c>
      <c r="D2" t="inlineStr">
        <is>
          <t>Prof. A</t>
        </is>
      </c>
      <c r="E2" t="inlineStr">
        <is>
          <t>XYZ Constructions Pvt. Ltd.</t>
        </is>
      </c>
      <c r="F2" t="n">
        <v>2023</v>
      </c>
      <c r="G2" t="inlineStr">
        <is>
          <t>Structural Audit, Safety, Civil</t>
        </is>
      </c>
      <c r="H2" t="inlineStr">
        <is>
          <t>Completed</t>
        </is>
      </c>
    </row>
    <row r="3">
      <c r="A3" t="n">
        <v>2</v>
      </c>
      <c r="B3" t="inlineStr">
        <is>
          <t>Material Testing and Failure Analysis for Automotive Components</t>
        </is>
      </c>
      <c r="C3" t="inlineStr">
        <is>
          <t>Mechanical Engg</t>
        </is>
      </c>
      <c r="D3" t="inlineStr">
        <is>
          <t>Dr. C</t>
        </is>
      </c>
      <c r="E3" t="inlineStr">
        <is>
          <t>ABC Industries</t>
        </is>
      </c>
      <c r="F3" t="n">
        <v>2022</v>
      </c>
      <c r="G3" t="inlineStr">
        <is>
          <t>Testing, Materials, Automotive</t>
        </is>
      </c>
      <c r="H3" t="inlineStr">
        <is>
          <t>Ongoing</t>
        </is>
      </c>
    </row>
    <row r="4">
      <c r="A4" t="n">
        <v>3</v>
      </c>
      <c r="B4" t="inlineStr">
        <is>
          <t>Cybersecurity Penetration Testing for PQR Ltd.</t>
        </is>
      </c>
      <c r="C4" t="inlineStr">
        <is>
          <t>CSE</t>
        </is>
      </c>
      <c r="D4" t="inlineStr">
        <is>
          <t>Prof. D</t>
        </is>
      </c>
      <c r="E4" t="inlineStr">
        <is>
          <t>PQR Ltd.</t>
        </is>
      </c>
      <c r="F4" t="n">
        <v>2021</v>
      </c>
      <c r="G4" t="inlineStr">
        <is>
          <t>Cybersecurity, Software Audit, IT</t>
        </is>
      </c>
      <c r="H4" t="inlineStr">
        <is>
          <t>Completed</t>
        </is>
      </c>
    </row>
    <row r="5">
      <c r="A5" t="n">
        <v>4</v>
      </c>
      <c r="B5" t="inlineStr">
        <is>
          <t>Energy Audit and Efficiency Recommendations for DEF Manufacturing Unit</t>
        </is>
      </c>
      <c r="C5" t="inlineStr">
        <is>
          <t>Mechanical Engg</t>
        </is>
      </c>
      <c r="D5" t="inlineStr">
        <is>
          <t>Dr. E</t>
        </is>
      </c>
      <c r="E5" t="inlineStr">
        <is>
          <t>DEF Manufacturing Ltd.</t>
        </is>
      </c>
      <c r="F5" t="n">
        <v>2023</v>
      </c>
      <c r="G5" t="inlineStr">
        <is>
          <t>Energy Audit, Efficiency, Mechanical</t>
        </is>
      </c>
      <c r="H5" t="inlineStr">
        <is>
          <t>Report Submitted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51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22" max="22"/>
  </cols>
  <sheetData>
    <row r="1">
      <c r="A1" s="2" t="inlineStr">
        <is>
          <t>S. No.</t>
        </is>
      </c>
      <c r="B1" s="2" t="inlineStr">
        <is>
          <t>Faculty Name (PI)</t>
        </is>
      </c>
      <c r="C1" s="2" t="inlineStr">
        <is>
          <t>Department</t>
        </is>
      </c>
      <c r="D1" s="2" t="inlineStr">
        <is>
          <t>Project Title</t>
        </is>
      </c>
      <c r="E1" s="2" t="inlineStr">
        <is>
          <t>Support for Activity</t>
        </is>
      </c>
      <c r="F1" s="2" t="inlineStr">
        <is>
          <t>Duration (Months)</t>
        </is>
      </c>
      <c r="G1" s="2" t="inlineStr">
        <is>
          <t>Sanctioned Amount (₹ Lakhs)</t>
        </is>
      </c>
      <c r="H1" s="2" t="inlineStr">
        <is>
          <t>Utilized Amount (₹ Lakhs)</t>
        </is>
      </c>
      <c r="I1" s="2" t="inlineStr">
        <is>
          <t>CAYm1 Amount Received (₹)</t>
        </is>
      </c>
      <c r="J1" s="2" t="inlineStr">
        <is>
          <t>CAYm2 Amount Received (₹)</t>
        </is>
      </c>
      <c r="K1" s="2" t="inlineStr">
        <is>
          <t>CAYm3 Amount Received (₹)</t>
        </is>
      </c>
      <c r="L1" s="2" t="inlineStr">
        <is>
          <t>Total Amount Received (₹)</t>
        </is>
      </c>
      <c r="M1" s="2" t="inlineStr">
        <is>
          <t>Total Amount Received (₹ Lakhs)</t>
        </is>
      </c>
      <c r="N1" s="2" t="inlineStr">
        <is>
          <t>Sanctioned Year</t>
        </is>
      </c>
      <c r="O1" s="2" t="inlineStr">
        <is>
          <t>CAY (CAYm1/CAYm2/CAYm3)</t>
        </is>
      </c>
      <c r="P1" s="2" t="inlineStr">
        <is>
          <t>Publications (Count)</t>
        </is>
      </c>
      <c r="Q1" s="2" t="inlineStr">
        <is>
          <t>Prototypes (Count)</t>
        </is>
      </c>
      <c r="R1" s="2" t="inlineStr">
        <is>
          <t>Ph.D. Graduated (Count)</t>
        </is>
      </c>
      <c r="S1" s="2" t="inlineStr">
        <is>
          <t>M.E./M.Tech. Graduated (Count)</t>
        </is>
      </c>
      <c r="T1" s="2" t="inlineStr">
        <is>
          <t>Revenue Generated Later (₹)</t>
        </is>
      </c>
      <c r="U1" s="2" t="inlineStr">
        <is>
          <t>Remarks</t>
        </is>
      </c>
      <c r="V1" s="2" t="inlineStr">
        <is>
          <t>Outcomes (Summary)</t>
        </is>
      </c>
    </row>
    <row r="2">
      <c r="A2" t="n">
        <v>1</v>
      </c>
      <c r="B2" t="inlineStr">
        <is>
          <t>Prof. Alpha</t>
        </is>
      </c>
      <c r="C2" t="inlineStr">
        <is>
          <t>CSE</t>
        </is>
      </c>
      <c r="D2" t="inlineStr">
        <is>
          <t>Seed: Lightweight CNN for Edge Devices</t>
        </is>
      </c>
      <c r="G2" t="n">
        <v>3</v>
      </c>
      <c r="H2" t="n">
        <v>2.8</v>
      </c>
      <c r="L2">
        <f>SUM(I2:K2)</f>
        <v/>
      </c>
      <c r="M2">
        <f>L2/100000</f>
        <v/>
      </c>
      <c r="N2" t="n">
        <v>2023</v>
      </c>
      <c r="O2" t="inlineStr">
        <is>
          <t>CAYm1</t>
        </is>
      </c>
      <c r="P2" t="n">
        <v>2</v>
      </c>
      <c r="Q2" t="n">
        <v>1</v>
      </c>
      <c r="R2" t="n">
        <v>0</v>
      </c>
      <c r="S2" t="n">
        <v>1</v>
      </c>
      <c r="T2" t="n">
        <v>50000</v>
      </c>
      <c r="U2" t="inlineStr">
        <is>
          <t>On time</t>
        </is>
      </c>
    </row>
    <row r="3">
      <c r="A3" t="n">
        <v>2</v>
      </c>
      <c r="B3" t="inlineStr">
        <is>
          <t>Dr. Beta</t>
        </is>
      </c>
      <c r="C3" t="inlineStr">
        <is>
          <t>ECE</t>
        </is>
      </c>
      <c r="D3" t="inlineStr">
        <is>
          <t>Seed: IoT Health Monitor Prototype</t>
        </is>
      </c>
      <c r="G3" t="n">
        <v>2.5</v>
      </c>
      <c r="H3" t="n">
        <v>2.5</v>
      </c>
      <c r="L3">
        <f>SUM(I3:K3)</f>
        <v/>
      </c>
      <c r="M3">
        <f>L3/100000</f>
        <v/>
      </c>
      <c r="N3" t="n">
        <v>2022</v>
      </c>
      <c r="O3" t="inlineStr">
        <is>
          <t>CAYm2</t>
        </is>
      </c>
      <c r="P3" t="n">
        <v>1</v>
      </c>
      <c r="Q3" t="n">
        <v>1</v>
      </c>
      <c r="R3" t="n">
        <v>0</v>
      </c>
      <c r="S3" t="n">
        <v>2</v>
      </c>
      <c r="U3" t="inlineStr">
        <is>
          <t>Completed</t>
        </is>
      </c>
    </row>
    <row r="4">
      <c r="A4" t="n">
        <v>3</v>
      </c>
      <c r="B4" t="inlineStr">
        <is>
          <t>Prof. Gamma</t>
        </is>
      </c>
      <c r="C4" t="inlineStr">
        <is>
          <t>ME</t>
        </is>
      </c>
      <c r="D4" t="inlineStr">
        <is>
          <t>Seed: Micro Wind Turbine Prototype</t>
        </is>
      </c>
      <c r="G4" t="n">
        <v>1.2</v>
      </c>
      <c r="H4" t="n">
        <v>1</v>
      </c>
      <c r="L4">
        <f>SUM(I4:K4)</f>
        <v/>
      </c>
      <c r="M4">
        <f>L4/100000</f>
        <v/>
      </c>
      <c r="N4" t="n">
        <v>2021</v>
      </c>
      <c r="O4" t="inlineStr">
        <is>
          <t>CAYm3</t>
        </is>
      </c>
      <c r="P4" t="n">
        <v>0</v>
      </c>
      <c r="Q4" t="n">
        <v>1</v>
      </c>
      <c r="R4" t="n">
        <v>0</v>
      </c>
      <c r="S4" t="n">
        <v>0</v>
      </c>
      <c r="U4" t="inlineStr">
        <is>
          <t>Ongoing paper under review</t>
        </is>
      </c>
    </row>
    <row r="5">
      <c r="L5">
        <f>SUM(I5:K5)</f>
        <v/>
      </c>
      <c r="M5">
        <f>L5/100000</f>
        <v/>
      </c>
    </row>
    <row r="6">
      <c r="L6">
        <f>SUM(I6:K6)</f>
        <v/>
      </c>
      <c r="M6">
        <f>L6/100000</f>
        <v/>
      </c>
    </row>
    <row r="7">
      <c r="L7">
        <f>SUM(I7:K7)</f>
        <v/>
      </c>
      <c r="M7">
        <f>L7/100000</f>
        <v/>
      </c>
    </row>
    <row r="8">
      <c r="L8">
        <f>SUM(I8:K8)</f>
        <v/>
      </c>
      <c r="M8">
        <f>L8/100000</f>
        <v/>
      </c>
    </row>
    <row r="9">
      <c r="L9">
        <f>SUM(I9:K9)</f>
        <v/>
      </c>
      <c r="M9">
        <f>L9/100000</f>
        <v/>
      </c>
    </row>
    <row r="10">
      <c r="L10">
        <f>SUM(I10:K10)</f>
        <v/>
      </c>
      <c r="M10">
        <f>L10/100000</f>
        <v/>
      </c>
    </row>
    <row r="11">
      <c r="L11">
        <f>SUM(I11:K11)</f>
        <v/>
      </c>
      <c r="M11">
        <f>L11/100000</f>
        <v/>
      </c>
    </row>
    <row r="12">
      <c r="L12">
        <f>SUM(I12:K12)</f>
        <v/>
      </c>
      <c r="M12">
        <f>L12/100000</f>
        <v/>
      </c>
    </row>
    <row r="13">
      <c r="L13">
        <f>SUM(I13:K13)</f>
        <v/>
      </c>
      <c r="M13">
        <f>L13/100000</f>
        <v/>
      </c>
    </row>
    <row r="14">
      <c r="L14">
        <f>SUM(I14:K14)</f>
        <v/>
      </c>
      <c r="M14">
        <f>L14/100000</f>
        <v/>
      </c>
    </row>
    <row r="15">
      <c r="L15">
        <f>SUM(I15:K15)</f>
        <v/>
      </c>
      <c r="M15">
        <f>L15/100000</f>
        <v/>
      </c>
    </row>
    <row r="16">
      <c r="L16">
        <f>SUM(I16:K16)</f>
        <v/>
      </c>
      <c r="M16">
        <f>L16/100000</f>
        <v/>
      </c>
    </row>
    <row r="17">
      <c r="L17">
        <f>SUM(I17:K17)</f>
        <v/>
      </c>
      <c r="M17">
        <f>L17/100000</f>
        <v/>
      </c>
    </row>
    <row r="18">
      <c r="L18">
        <f>SUM(I18:K18)</f>
        <v/>
      </c>
      <c r="M18">
        <f>L18/100000</f>
        <v/>
      </c>
    </row>
    <row r="19">
      <c r="L19">
        <f>SUM(I19:K19)</f>
        <v/>
      </c>
      <c r="M19">
        <f>L19/100000</f>
        <v/>
      </c>
    </row>
    <row r="20">
      <c r="L20">
        <f>SUM(I20:K20)</f>
        <v/>
      </c>
      <c r="M20">
        <f>L20/100000</f>
        <v/>
      </c>
    </row>
    <row r="21">
      <c r="L21">
        <f>SUM(I21:K21)</f>
        <v/>
      </c>
      <c r="M21">
        <f>L21/100000</f>
        <v/>
      </c>
    </row>
    <row r="22">
      <c r="L22">
        <f>SUM(I22:K22)</f>
        <v/>
      </c>
      <c r="M22">
        <f>L22/100000</f>
        <v/>
      </c>
    </row>
    <row r="23">
      <c r="L23">
        <f>SUM(I23:K23)</f>
        <v/>
      </c>
      <c r="M23">
        <f>L23/100000</f>
        <v/>
      </c>
    </row>
    <row r="24">
      <c r="L24">
        <f>SUM(I24:K24)</f>
        <v/>
      </c>
      <c r="M24">
        <f>L24/100000</f>
        <v/>
      </c>
    </row>
    <row r="25">
      <c r="L25">
        <f>SUM(I25:K25)</f>
        <v/>
      </c>
      <c r="M25">
        <f>L25/100000</f>
        <v/>
      </c>
    </row>
    <row r="26">
      <c r="L26">
        <f>SUM(I26:K26)</f>
        <v/>
      </c>
      <c r="M26">
        <f>L26/100000</f>
        <v/>
      </c>
    </row>
    <row r="27">
      <c r="L27">
        <f>SUM(I27:K27)</f>
        <v/>
      </c>
      <c r="M27">
        <f>L27/100000</f>
        <v/>
      </c>
    </row>
    <row r="28">
      <c r="L28">
        <f>SUM(I28:K28)</f>
        <v/>
      </c>
      <c r="M28">
        <f>L28/100000</f>
        <v/>
      </c>
    </row>
    <row r="29">
      <c r="L29">
        <f>SUM(I29:K29)</f>
        <v/>
      </c>
      <c r="M29">
        <f>L29/100000</f>
        <v/>
      </c>
    </row>
    <row r="30">
      <c r="L30">
        <f>SUM(I30:K30)</f>
        <v/>
      </c>
      <c r="M30">
        <f>L30/100000</f>
        <v/>
      </c>
    </row>
    <row r="31">
      <c r="L31">
        <f>SUM(I31:K31)</f>
        <v/>
      </c>
      <c r="M31">
        <f>L31/100000</f>
        <v/>
      </c>
    </row>
    <row r="32">
      <c r="L32">
        <f>SUM(I32:K32)</f>
        <v/>
      </c>
      <c r="M32">
        <f>L32/100000</f>
        <v/>
      </c>
    </row>
    <row r="33">
      <c r="L33">
        <f>SUM(I33:K33)</f>
        <v/>
      </c>
      <c r="M33">
        <f>L33/100000</f>
        <v/>
      </c>
    </row>
    <row r="34">
      <c r="L34">
        <f>SUM(I34:K34)</f>
        <v/>
      </c>
      <c r="M34">
        <f>L34/100000</f>
        <v/>
      </c>
    </row>
    <row r="35">
      <c r="L35">
        <f>SUM(I35:K35)</f>
        <v/>
      </c>
      <c r="M35">
        <f>L35/100000</f>
        <v/>
      </c>
    </row>
    <row r="36">
      <c r="L36">
        <f>SUM(I36:K36)</f>
        <v/>
      </c>
      <c r="M36">
        <f>L36/100000</f>
        <v/>
      </c>
    </row>
    <row r="37">
      <c r="L37">
        <f>SUM(I37:K37)</f>
        <v/>
      </c>
      <c r="M37">
        <f>L37/100000</f>
        <v/>
      </c>
    </row>
    <row r="38">
      <c r="L38">
        <f>SUM(I38:K38)</f>
        <v/>
      </c>
      <c r="M38">
        <f>L38/100000</f>
        <v/>
      </c>
    </row>
    <row r="39">
      <c r="L39">
        <f>SUM(I39:K39)</f>
        <v/>
      </c>
      <c r="M39">
        <f>L39/100000</f>
        <v/>
      </c>
    </row>
    <row r="40">
      <c r="L40">
        <f>SUM(I40:K40)</f>
        <v/>
      </c>
      <c r="M40">
        <f>L40/100000</f>
        <v/>
      </c>
    </row>
    <row r="41">
      <c r="L41">
        <f>SUM(I41:K41)</f>
        <v/>
      </c>
      <c r="M41">
        <f>L41/100000</f>
        <v/>
      </c>
    </row>
    <row r="42">
      <c r="L42">
        <f>SUM(I42:K42)</f>
        <v/>
      </c>
      <c r="M42">
        <f>L42/100000</f>
        <v/>
      </c>
    </row>
    <row r="43">
      <c r="L43">
        <f>SUM(I43:K43)</f>
        <v/>
      </c>
      <c r="M43">
        <f>L43/100000</f>
        <v/>
      </c>
    </row>
    <row r="44">
      <c r="L44">
        <f>SUM(I44:K44)</f>
        <v/>
      </c>
      <c r="M44">
        <f>L44/100000</f>
        <v/>
      </c>
    </row>
    <row r="45">
      <c r="L45">
        <f>SUM(I45:K45)</f>
        <v/>
      </c>
      <c r="M45">
        <f>L45/100000</f>
        <v/>
      </c>
    </row>
    <row r="46">
      <c r="L46">
        <f>SUM(I46:K46)</f>
        <v/>
      </c>
      <c r="M46">
        <f>L46/100000</f>
        <v/>
      </c>
    </row>
    <row r="47">
      <c r="L47">
        <f>SUM(I47:K47)</f>
        <v/>
      </c>
      <c r="M47">
        <f>L47/100000</f>
        <v/>
      </c>
    </row>
    <row r="48">
      <c r="L48">
        <f>SUM(I48:K48)</f>
        <v/>
      </c>
      <c r="M48">
        <f>L48/100000</f>
        <v/>
      </c>
    </row>
    <row r="49">
      <c r="L49">
        <f>SUM(I49:K49)</f>
        <v/>
      </c>
      <c r="M49">
        <f>L49/100000</f>
        <v/>
      </c>
    </row>
    <row r="50">
      <c r="L50">
        <f>SUM(I50:K50)</f>
        <v/>
      </c>
      <c r="M50">
        <f>L50/100000</f>
        <v/>
      </c>
    </row>
    <row r="51">
      <c r="L51">
        <f>SUM(I51:K51)</f>
        <v/>
      </c>
      <c r="M51">
        <f>L51/100000</f>
        <v/>
      </c>
    </row>
    <row r="52">
      <c r="L52">
        <f>SUM(I52:K52)</f>
        <v/>
      </c>
      <c r="M52">
        <f>L52/100000</f>
        <v/>
      </c>
    </row>
    <row r="53">
      <c r="L53">
        <f>SUM(I53:K53)</f>
        <v/>
      </c>
      <c r="M53">
        <f>L53/100000</f>
        <v/>
      </c>
    </row>
    <row r="54">
      <c r="L54">
        <f>SUM(I54:K54)</f>
        <v/>
      </c>
      <c r="M54">
        <f>L54/100000</f>
        <v/>
      </c>
    </row>
    <row r="55">
      <c r="L55">
        <f>SUM(I55:K55)</f>
        <v/>
      </c>
      <c r="M55">
        <f>L55/100000</f>
        <v/>
      </c>
    </row>
    <row r="56">
      <c r="L56">
        <f>SUM(I56:K56)</f>
        <v/>
      </c>
      <c r="M56">
        <f>L56/100000</f>
        <v/>
      </c>
    </row>
    <row r="57">
      <c r="L57">
        <f>SUM(I57:K57)</f>
        <v/>
      </c>
      <c r="M57">
        <f>L57/100000</f>
        <v/>
      </c>
    </row>
    <row r="58">
      <c r="L58">
        <f>SUM(I58:K58)</f>
        <v/>
      </c>
      <c r="M58">
        <f>L58/100000</f>
        <v/>
      </c>
    </row>
    <row r="59">
      <c r="L59">
        <f>SUM(I59:K59)</f>
        <v/>
      </c>
      <c r="M59">
        <f>L59/100000</f>
        <v/>
      </c>
    </row>
    <row r="60">
      <c r="L60">
        <f>SUM(I60:K60)</f>
        <v/>
      </c>
      <c r="M60">
        <f>L60/100000</f>
        <v/>
      </c>
    </row>
    <row r="61">
      <c r="L61">
        <f>SUM(I61:K61)</f>
        <v/>
      </c>
      <c r="M61">
        <f>L61/100000</f>
        <v/>
      </c>
    </row>
    <row r="62">
      <c r="L62">
        <f>SUM(I62:K62)</f>
        <v/>
      </c>
      <c r="M62">
        <f>L62/100000</f>
        <v/>
      </c>
    </row>
    <row r="63">
      <c r="L63">
        <f>SUM(I63:K63)</f>
        <v/>
      </c>
      <c r="M63">
        <f>L63/100000</f>
        <v/>
      </c>
    </row>
    <row r="64">
      <c r="L64">
        <f>SUM(I64:K64)</f>
        <v/>
      </c>
      <c r="M64">
        <f>L64/100000</f>
        <v/>
      </c>
    </row>
    <row r="65">
      <c r="L65">
        <f>SUM(I65:K65)</f>
        <v/>
      </c>
      <c r="M65">
        <f>L65/100000</f>
        <v/>
      </c>
    </row>
    <row r="66">
      <c r="L66">
        <f>SUM(I66:K66)</f>
        <v/>
      </c>
      <c r="M66">
        <f>L66/100000</f>
        <v/>
      </c>
    </row>
    <row r="67">
      <c r="L67">
        <f>SUM(I67:K67)</f>
        <v/>
      </c>
      <c r="M67">
        <f>L67/100000</f>
        <v/>
      </c>
    </row>
    <row r="68">
      <c r="L68">
        <f>SUM(I68:K68)</f>
        <v/>
      </c>
      <c r="M68">
        <f>L68/100000</f>
        <v/>
      </c>
    </row>
    <row r="69">
      <c r="L69">
        <f>SUM(I69:K69)</f>
        <v/>
      </c>
      <c r="M69">
        <f>L69/100000</f>
        <v/>
      </c>
    </row>
    <row r="70">
      <c r="L70">
        <f>SUM(I70:K70)</f>
        <v/>
      </c>
      <c r="M70">
        <f>L70/100000</f>
        <v/>
      </c>
    </row>
    <row r="71">
      <c r="L71">
        <f>SUM(I71:K71)</f>
        <v/>
      </c>
      <c r="M71">
        <f>L71/100000</f>
        <v/>
      </c>
    </row>
    <row r="72">
      <c r="L72">
        <f>SUM(I72:K72)</f>
        <v/>
      </c>
      <c r="M72">
        <f>L72/100000</f>
        <v/>
      </c>
    </row>
    <row r="73">
      <c r="L73">
        <f>SUM(I73:K73)</f>
        <v/>
      </c>
      <c r="M73">
        <f>L73/100000</f>
        <v/>
      </c>
    </row>
    <row r="74">
      <c r="L74">
        <f>SUM(I74:K74)</f>
        <v/>
      </c>
      <c r="M74">
        <f>L74/100000</f>
        <v/>
      </c>
    </row>
    <row r="75">
      <c r="L75">
        <f>SUM(I75:K75)</f>
        <v/>
      </c>
      <c r="M75">
        <f>L75/100000</f>
        <v/>
      </c>
    </row>
    <row r="76">
      <c r="L76">
        <f>SUM(I76:K76)</f>
        <v/>
      </c>
      <c r="M76">
        <f>L76/100000</f>
        <v/>
      </c>
    </row>
    <row r="77">
      <c r="L77">
        <f>SUM(I77:K77)</f>
        <v/>
      </c>
      <c r="M77">
        <f>L77/100000</f>
        <v/>
      </c>
    </row>
    <row r="78">
      <c r="L78">
        <f>SUM(I78:K78)</f>
        <v/>
      </c>
      <c r="M78">
        <f>L78/100000</f>
        <v/>
      </c>
    </row>
    <row r="79">
      <c r="L79">
        <f>SUM(I79:K79)</f>
        <v/>
      </c>
      <c r="M79">
        <f>L79/100000</f>
        <v/>
      </c>
    </row>
    <row r="80">
      <c r="L80">
        <f>SUM(I80:K80)</f>
        <v/>
      </c>
      <c r="M80">
        <f>L80/100000</f>
        <v/>
      </c>
    </row>
    <row r="81">
      <c r="L81">
        <f>SUM(I81:K81)</f>
        <v/>
      </c>
      <c r="M81">
        <f>L81/100000</f>
        <v/>
      </c>
    </row>
    <row r="82">
      <c r="L82">
        <f>SUM(I82:K82)</f>
        <v/>
      </c>
      <c r="M82">
        <f>L82/100000</f>
        <v/>
      </c>
    </row>
    <row r="83">
      <c r="L83">
        <f>SUM(I83:K83)</f>
        <v/>
      </c>
      <c r="M83">
        <f>L83/100000</f>
        <v/>
      </c>
    </row>
    <row r="84">
      <c r="L84">
        <f>SUM(I84:K84)</f>
        <v/>
      </c>
      <c r="M84">
        <f>L84/100000</f>
        <v/>
      </c>
    </row>
    <row r="85">
      <c r="L85">
        <f>SUM(I85:K85)</f>
        <v/>
      </c>
      <c r="M85">
        <f>L85/100000</f>
        <v/>
      </c>
    </row>
    <row r="86">
      <c r="L86">
        <f>SUM(I86:K86)</f>
        <v/>
      </c>
      <c r="M86">
        <f>L86/100000</f>
        <v/>
      </c>
    </row>
    <row r="87">
      <c r="L87">
        <f>SUM(I87:K87)</f>
        <v/>
      </c>
      <c r="M87">
        <f>L87/100000</f>
        <v/>
      </c>
    </row>
    <row r="88">
      <c r="L88">
        <f>SUM(I88:K88)</f>
        <v/>
      </c>
      <c r="M88">
        <f>L88/100000</f>
        <v/>
      </c>
    </row>
    <row r="89">
      <c r="L89">
        <f>SUM(I89:K89)</f>
        <v/>
      </c>
      <c r="M89">
        <f>L89/100000</f>
        <v/>
      </c>
    </row>
    <row r="90">
      <c r="L90">
        <f>SUM(I90:K90)</f>
        <v/>
      </c>
      <c r="M90">
        <f>L90/100000</f>
        <v/>
      </c>
    </row>
    <row r="91">
      <c r="L91">
        <f>SUM(I91:K91)</f>
        <v/>
      </c>
      <c r="M91">
        <f>L91/100000</f>
        <v/>
      </c>
    </row>
    <row r="92">
      <c r="L92">
        <f>SUM(I92:K92)</f>
        <v/>
      </c>
      <c r="M92">
        <f>L92/100000</f>
        <v/>
      </c>
    </row>
    <row r="93">
      <c r="L93">
        <f>SUM(I93:K93)</f>
        <v/>
      </c>
      <c r="M93">
        <f>L93/100000</f>
        <v/>
      </c>
    </row>
    <row r="94">
      <c r="L94">
        <f>SUM(I94:K94)</f>
        <v/>
      </c>
      <c r="M94">
        <f>L94/100000</f>
        <v/>
      </c>
    </row>
    <row r="95">
      <c r="L95">
        <f>SUM(I95:K95)</f>
        <v/>
      </c>
      <c r="M95">
        <f>L95/100000</f>
        <v/>
      </c>
    </row>
    <row r="96">
      <c r="L96">
        <f>SUM(I96:K96)</f>
        <v/>
      </c>
      <c r="M96">
        <f>L96/100000</f>
        <v/>
      </c>
    </row>
    <row r="97">
      <c r="L97">
        <f>SUM(I97:K97)</f>
        <v/>
      </c>
      <c r="M97">
        <f>L97/100000</f>
        <v/>
      </c>
    </row>
    <row r="98">
      <c r="L98">
        <f>SUM(I98:K98)</f>
        <v/>
      </c>
      <c r="M98">
        <f>L98/100000</f>
        <v/>
      </c>
    </row>
    <row r="99">
      <c r="L99">
        <f>SUM(I99:K99)</f>
        <v/>
      </c>
      <c r="M99">
        <f>L99/100000</f>
        <v/>
      </c>
    </row>
    <row r="100">
      <c r="L100">
        <f>SUM(I100:K100)</f>
        <v/>
      </c>
      <c r="M100">
        <f>L100/100000</f>
        <v/>
      </c>
    </row>
    <row r="101">
      <c r="L101">
        <f>SUM(I101:K101)</f>
        <v/>
      </c>
      <c r="M101">
        <f>L101/100000</f>
        <v/>
      </c>
    </row>
    <row r="102">
      <c r="L102">
        <f>SUM(I102:K102)</f>
        <v/>
      </c>
      <c r="M102">
        <f>L102/100000</f>
        <v/>
      </c>
    </row>
    <row r="103">
      <c r="L103">
        <f>SUM(I103:K103)</f>
        <v/>
      </c>
      <c r="M103">
        <f>L103/100000</f>
        <v/>
      </c>
    </row>
    <row r="104">
      <c r="L104">
        <f>SUM(I104:K104)</f>
        <v/>
      </c>
      <c r="M104">
        <f>L104/100000</f>
        <v/>
      </c>
    </row>
    <row r="105">
      <c r="L105">
        <f>SUM(I105:K105)</f>
        <v/>
      </c>
      <c r="M105">
        <f>L105/100000</f>
        <v/>
      </c>
    </row>
    <row r="106">
      <c r="L106">
        <f>SUM(I106:K106)</f>
        <v/>
      </c>
      <c r="M106">
        <f>L106/100000</f>
        <v/>
      </c>
    </row>
    <row r="107">
      <c r="L107">
        <f>SUM(I107:K107)</f>
        <v/>
      </c>
      <c r="M107">
        <f>L107/100000</f>
        <v/>
      </c>
    </row>
    <row r="108">
      <c r="L108">
        <f>SUM(I108:K108)</f>
        <v/>
      </c>
      <c r="M108">
        <f>L108/100000</f>
        <v/>
      </c>
    </row>
    <row r="109">
      <c r="L109">
        <f>SUM(I109:K109)</f>
        <v/>
      </c>
      <c r="M109">
        <f>L109/100000</f>
        <v/>
      </c>
    </row>
    <row r="110">
      <c r="L110">
        <f>SUM(I110:K110)</f>
        <v/>
      </c>
      <c r="M110">
        <f>L110/100000</f>
        <v/>
      </c>
    </row>
    <row r="111">
      <c r="L111">
        <f>SUM(I111:K111)</f>
        <v/>
      </c>
      <c r="M111">
        <f>L111/100000</f>
        <v/>
      </c>
    </row>
    <row r="112">
      <c r="L112">
        <f>SUM(I112:K112)</f>
        <v/>
      </c>
      <c r="M112">
        <f>L112/100000</f>
        <v/>
      </c>
    </row>
    <row r="113">
      <c r="L113">
        <f>SUM(I113:K113)</f>
        <v/>
      </c>
      <c r="M113">
        <f>L113/100000</f>
        <v/>
      </c>
    </row>
    <row r="114">
      <c r="L114">
        <f>SUM(I114:K114)</f>
        <v/>
      </c>
      <c r="M114">
        <f>L114/100000</f>
        <v/>
      </c>
    </row>
    <row r="115">
      <c r="L115">
        <f>SUM(I115:K115)</f>
        <v/>
      </c>
      <c r="M115">
        <f>L115/100000</f>
        <v/>
      </c>
    </row>
    <row r="116">
      <c r="L116">
        <f>SUM(I116:K116)</f>
        <v/>
      </c>
      <c r="M116">
        <f>L116/100000</f>
        <v/>
      </c>
    </row>
    <row r="117">
      <c r="L117">
        <f>SUM(I117:K117)</f>
        <v/>
      </c>
      <c r="M117">
        <f>L117/100000</f>
        <v/>
      </c>
    </row>
    <row r="118">
      <c r="L118">
        <f>SUM(I118:K118)</f>
        <v/>
      </c>
      <c r="M118">
        <f>L118/100000</f>
        <v/>
      </c>
    </row>
    <row r="119">
      <c r="L119">
        <f>SUM(I119:K119)</f>
        <v/>
      </c>
      <c r="M119">
        <f>L119/100000</f>
        <v/>
      </c>
    </row>
    <row r="120">
      <c r="L120">
        <f>SUM(I120:K120)</f>
        <v/>
      </c>
      <c r="M120">
        <f>L120/100000</f>
        <v/>
      </c>
    </row>
    <row r="121">
      <c r="L121">
        <f>SUM(I121:K121)</f>
        <v/>
      </c>
      <c r="M121">
        <f>L121/100000</f>
        <v/>
      </c>
    </row>
    <row r="122">
      <c r="L122">
        <f>SUM(I122:K122)</f>
        <v/>
      </c>
      <c r="M122">
        <f>L122/100000</f>
        <v/>
      </c>
    </row>
    <row r="123">
      <c r="L123">
        <f>SUM(I123:K123)</f>
        <v/>
      </c>
      <c r="M123">
        <f>L123/100000</f>
        <v/>
      </c>
    </row>
    <row r="124">
      <c r="L124">
        <f>SUM(I124:K124)</f>
        <v/>
      </c>
      <c r="M124">
        <f>L124/100000</f>
        <v/>
      </c>
    </row>
    <row r="125">
      <c r="L125">
        <f>SUM(I125:K125)</f>
        <v/>
      </c>
      <c r="M125">
        <f>L125/100000</f>
        <v/>
      </c>
    </row>
    <row r="126">
      <c r="L126">
        <f>SUM(I126:K126)</f>
        <v/>
      </c>
      <c r="M126">
        <f>L126/100000</f>
        <v/>
      </c>
    </row>
    <row r="127">
      <c r="L127">
        <f>SUM(I127:K127)</f>
        <v/>
      </c>
      <c r="M127">
        <f>L127/100000</f>
        <v/>
      </c>
    </row>
    <row r="128">
      <c r="L128">
        <f>SUM(I128:K128)</f>
        <v/>
      </c>
      <c r="M128">
        <f>L128/100000</f>
        <v/>
      </c>
    </row>
    <row r="129">
      <c r="L129">
        <f>SUM(I129:K129)</f>
        <v/>
      </c>
      <c r="M129">
        <f>L129/100000</f>
        <v/>
      </c>
    </row>
    <row r="130">
      <c r="L130">
        <f>SUM(I130:K130)</f>
        <v/>
      </c>
      <c r="M130">
        <f>L130/100000</f>
        <v/>
      </c>
    </row>
    <row r="131">
      <c r="L131">
        <f>SUM(I131:K131)</f>
        <v/>
      </c>
      <c r="M131">
        <f>L131/100000</f>
        <v/>
      </c>
    </row>
    <row r="132">
      <c r="L132">
        <f>SUM(I132:K132)</f>
        <v/>
      </c>
      <c r="M132">
        <f>L132/100000</f>
        <v/>
      </c>
    </row>
    <row r="133">
      <c r="L133">
        <f>SUM(I133:K133)</f>
        <v/>
      </c>
      <c r="M133">
        <f>L133/100000</f>
        <v/>
      </c>
    </row>
    <row r="134">
      <c r="L134">
        <f>SUM(I134:K134)</f>
        <v/>
      </c>
      <c r="M134">
        <f>L134/100000</f>
        <v/>
      </c>
    </row>
    <row r="135">
      <c r="L135">
        <f>SUM(I135:K135)</f>
        <v/>
      </c>
      <c r="M135">
        <f>L135/100000</f>
        <v/>
      </c>
    </row>
    <row r="136">
      <c r="L136">
        <f>SUM(I136:K136)</f>
        <v/>
      </c>
      <c r="M136">
        <f>L136/100000</f>
        <v/>
      </c>
    </row>
    <row r="137">
      <c r="L137">
        <f>SUM(I137:K137)</f>
        <v/>
      </c>
      <c r="M137">
        <f>L137/100000</f>
        <v/>
      </c>
    </row>
    <row r="138">
      <c r="L138">
        <f>SUM(I138:K138)</f>
        <v/>
      </c>
      <c r="M138">
        <f>L138/100000</f>
        <v/>
      </c>
    </row>
    <row r="139">
      <c r="L139">
        <f>SUM(I139:K139)</f>
        <v/>
      </c>
      <c r="M139">
        <f>L139/100000</f>
        <v/>
      </c>
    </row>
    <row r="140">
      <c r="L140">
        <f>SUM(I140:K140)</f>
        <v/>
      </c>
      <c r="M140">
        <f>L140/100000</f>
        <v/>
      </c>
    </row>
    <row r="141">
      <c r="L141">
        <f>SUM(I141:K141)</f>
        <v/>
      </c>
      <c r="M141">
        <f>L141/100000</f>
        <v/>
      </c>
    </row>
    <row r="142">
      <c r="L142">
        <f>SUM(I142:K142)</f>
        <v/>
      </c>
      <c r="M142">
        <f>L142/100000</f>
        <v/>
      </c>
    </row>
    <row r="143">
      <c r="L143">
        <f>SUM(I143:K143)</f>
        <v/>
      </c>
      <c r="M143">
        <f>L143/100000</f>
        <v/>
      </c>
    </row>
    <row r="144">
      <c r="L144">
        <f>SUM(I144:K144)</f>
        <v/>
      </c>
      <c r="M144">
        <f>L144/100000</f>
        <v/>
      </c>
    </row>
    <row r="145">
      <c r="L145">
        <f>SUM(I145:K145)</f>
        <v/>
      </c>
      <c r="M145">
        <f>L145/100000</f>
        <v/>
      </c>
    </row>
    <row r="146">
      <c r="L146">
        <f>SUM(I146:K146)</f>
        <v/>
      </c>
      <c r="M146">
        <f>L146/100000</f>
        <v/>
      </c>
    </row>
    <row r="147">
      <c r="L147">
        <f>SUM(I147:K147)</f>
        <v/>
      </c>
      <c r="M147">
        <f>L147/100000</f>
        <v/>
      </c>
    </row>
    <row r="148">
      <c r="L148">
        <f>SUM(I148:K148)</f>
        <v/>
      </c>
      <c r="M148">
        <f>L148/100000</f>
        <v/>
      </c>
    </row>
    <row r="149">
      <c r="L149">
        <f>SUM(I149:K149)</f>
        <v/>
      </c>
      <c r="M149">
        <f>L149/100000</f>
        <v/>
      </c>
    </row>
    <row r="150">
      <c r="L150">
        <f>SUM(I150:K150)</f>
        <v/>
      </c>
      <c r="M150">
        <f>L150/100000</f>
        <v/>
      </c>
    </row>
    <row r="151">
      <c r="L151">
        <f>SUM(I151:K151)</f>
        <v/>
      </c>
      <c r="M151">
        <f>L151/100000</f>
        <v/>
      </c>
    </row>
    <row r="152">
      <c r="L152">
        <f>SUM(I152:K152)</f>
        <v/>
      </c>
      <c r="M152">
        <f>L152/100000</f>
        <v/>
      </c>
    </row>
    <row r="153">
      <c r="L153">
        <f>SUM(I153:K153)</f>
        <v/>
      </c>
      <c r="M153">
        <f>L153/100000</f>
        <v/>
      </c>
    </row>
    <row r="154">
      <c r="L154">
        <f>SUM(I154:K154)</f>
        <v/>
      </c>
      <c r="M154">
        <f>L154/100000</f>
        <v/>
      </c>
    </row>
    <row r="155">
      <c r="L155">
        <f>SUM(I155:K155)</f>
        <v/>
      </c>
      <c r="M155">
        <f>L155/100000</f>
        <v/>
      </c>
    </row>
    <row r="156">
      <c r="L156">
        <f>SUM(I156:K156)</f>
        <v/>
      </c>
      <c r="M156">
        <f>L156/100000</f>
        <v/>
      </c>
    </row>
    <row r="157">
      <c r="L157">
        <f>SUM(I157:K157)</f>
        <v/>
      </c>
      <c r="M157">
        <f>L157/100000</f>
        <v/>
      </c>
    </row>
    <row r="158">
      <c r="L158">
        <f>SUM(I158:K158)</f>
        <v/>
      </c>
      <c r="M158">
        <f>L158/100000</f>
        <v/>
      </c>
    </row>
    <row r="159">
      <c r="L159">
        <f>SUM(I159:K159)</f>
        <v/>
      </c>
      <c r="M159">
        <f>L159/100000</f>
        <v/>
      </c>
    </row>
    <row r="160">
      <c r="L160">
        <f>SUM(I160:K160)</f>
        <v/>
      </c>
      <c r="M160">
        <f>L160/100000</f>
        <v/>
      </c>
    </row>
    <row r="161">
      <c r="L161">
        <f>SUM(I161:K161)</f>
        <v/>
      </c>
      <c r="M161">
        <f>L161/100000</f>
        <v/>
      </c>
    </row>
    <row r="162">
      <c r="L162">
        <f>SUM(I162:K162)</f>
        <v/>
      </c>
      <c r="M162">
        <f>L162/100000</f>
        <v/>
      </c>
    </row>
    <row r="163">
      <c r="L163">
        <f>SUM(I163:K163)</f>
        <v/>
      </c>
      <c r="M163">
        <f>L163/100000</f>
        <v/>
      </c>
    </row>
    <row r="164">
      <c r="L164">
        <f>SUM(I164:K164)</f>
        <v/>
      </c>
      <c r="M164">
        <f>L164/100000</f>
        <v/>
      </c>
    </row>
    <row r="165">
      <c r="L165">
        <f>SUM(I165:K165)</f>
        <v/>
      </c>
      <c r="M165">
        <f>L165/100000</f>
        <v/>
      </c>
    </row>
    <row r="166">
      <c r="L166">
        <f>SUM(I166:K166)</f>
        <v/>
      </c>
      <c r="M166">
        <f>L166/100000</f>
        <v/>
      </c>
    </row>
    <row r="167">
      <c r="L167">
        <f>SUM(I167:K167)</f>
        <v/>
      </c>
      <c r="M167">
        <f>L167/100000</f>
        <v/>
      </c>
    </row>
    <row r="168">
      <c r="L168">
        <f>SUM(I168:K168)</f>
        <v/>
      </c>
      <c r="M168">
        <f>L168/100000</f>
        <v/>
      </c>
    </row>
    <row r="169">
      <c r="L169">
        <f>SUM(I169:K169)</f>
        <v/>
      </c>
      <c r="M169">
        <f>L169/100000</f>
        <v/>
      </c>
    </row>
    <row r="170">
      <c r="L170">
        <f>SUM(I170:K170)</f>
        <v/>
      </c>
      <c r="M170">
        <f>L170/100000</f>
        <v/>
      </c>
    </row>
    <row r="171">
      <c r="L171">
        <f>SUM(I171:K171)</f>
        <v/>
      </c>
      <c r="M171">
        <f>L171/100000</f>
        <v/>
      </c>
    </row>
    <row r="172">
      <c r="L172">
        <f>SUM(I172:K172)</f>
        <v/>
      </c>
      <c r="M172">
        <f>L172/100000</f>
        <v/>
      </c>
    </row>
    <row r="173">
      <c r="L173">
        <f>SUM(I173:K173)</f>
        <v/>
      </c>
      <c r="M173">
        <f>L173/100000</f>
        <v/>
      </c>
    </row>
    <row r="174">
      <c r="L174">
        <f>SUM(I174:K174)</f>
        <v/>
      </c>
      <c r="M174">
        <f>L174/100000</f>
        <v/>
      </c>
    </row>
    <row r="175">
      <c r="L175">
        <f>SUM(I175:K175)</f>
        <v/>
      </c>
      <c r="M175">
        <f>L175/100000</f>
        <v/>
      </c>
    </row>
    <row r="176">
      <c r="L176">
        <f>SUM(I176:K176)</f>
        <v/>
      </c>
      <c r="M176">
        <f>L176/100000</f>
        <v/>
      </c>
    </row>
    <row r="177">
      <c r="L177">
        <f>SUM(I177:K177)</f>
        <v/>
      </c>
      <c r="M177">
        <f>L177/100000</f>
        <v/>
      </c>
    </row>
    <row r="178">
      <c r="L178">
        <f>SUM(I178:K178)</f>
        <v/>
      </c>
      <c r="M178">
        <f>L178/100000</f>
        <v/>
      </c>
    </row>
    <row r="179">
      <c r="L179">
        <f>SUM(I179:K179)</f>
        <v/>
      </c>
      <c r="M179">
        <f>L179/100000</f>
        <v/>
      </c>
    </row>
    <row r="180">
      <c r="L180">
        <f>SUM(I180:K180)</f>
        <v/>
      </c>
      <c r="M180">
        <f>L180/100000</f>
        <v/>
      </c>
    </row>
    <row r="181">
      <c r="L181">
        <f>SUM(I181:K181)</f>
        <v/>
      </c>
      <c r="M181">
        <f>L181/100000</f>
        <v/>
      </c>
    </row>
    <row r="182">
      <c r="L182">
        <f>SUM(I182:K182)</f>
        <v/>
      </c>
      <c r="M182">
        <f>L182/100000</f>
        <v/>
      </c>
    </row>
    <row r="183">
      <c r="L183">
        <f>SUM(I183:K183)</f>
        <v/>
      </c>
      <c r="M183">
        <f>L183/100000</f>
        <v/>
      </c>
    </row>
    <row r="184">
      <c r="L184">
        <f>SUM(I184:K184)</f>
        <v/>
      </c>
      <c r="M184">
        <f>L184/100000</f>
        <v/>
      </c>
    </row>
    <row r="185">
      <c r="L185">
        <f>SUM(I185:K185)</f>
        <v/>
      </c>
      <c r="M185">
        <f>L185/100000</f>
        <v/>
      </c>
    </row>
    <row r="186">
      <c r="L186">
        <f>SUM(I186:K186)</f>
        <v/>
      </c>
      <c r="M186">
        <f>L186/100000</f>
        <v/>
      </c>
    </row>
    <row r="187">
      <c r="L187">
        <f>SUM(I187:K187)</f>
        <v/>
      </c>
      <c r="M187">
        <f>L187/100000</f>
        <v/>
      </c>
    </row>
    <row r="188">
      <c r="L188">
        <f>SUM(I188:K188)</f>
        <v/>
      </c>
      <c r="M188">
        <f>L188/100000</f>
        <v/>
      </c>
    </row>
    <row r="189">
      <c r="L189">
        <f>SUM(I189:K189)</f>
        <v/>
      </c>
      <c r="M189">
        <f>L189/100000</f>
        <v/>
      </c>
    </row>
    <row r="190">
      <c r="L190">
        <f>SUM(I190:K190)</f>
        <v/>
      </c>
      <c r="M190">
        <f>L190/100000</f>
        <v/>
      </c>
    </row>
    <row r="191">
      <c r="L191">
        <f>SUM(I191:K191)</f>
        <v/>
      </c>
      <c r="M191">
        <f>L191/100000</f>
        <v/>
      </c>
    </row>
    <row r="192">
      <c r="L192">
        <f>SUM(I192:K192)</f>
        <v/>
      </c>
      <c r="M192">
        <f>L192/100000</f>
        <v/>
      </c>
    </row>
    <row r="193">
      <c r="L193">
        <f>SUM(I193:K193)</f>
        <v/>
      </c>
      <c r="M193">
        <f>L193/100000</f>
        <v/>
      </c>
    </row>
    <row r="194">
      <c r="L194">
        <f>SUM(I194:K194)</f>
        <v/>
      </c>
      <c r="M194">
        <f>L194/100000</f>
        <v/>
      </c>
    </row>
    <row r="195">
      <c r="L195">
        <f>SUM(I195:K195)</f>
        <v/>
      </c>
      <c r="M195">
        <f>L195/100000</f>
        <v/>
      </c>
    </row>
    <row r="196">
      <c r="L196">
        <f>SUM(I196:K196)</f>
        <v/>
      </c>
      <c r="M196">
        <f>L196/100000</f>
        <v/>
      </c>
    </row>
    <row r="197">
      <c r="L197">
        <f>SUM(I197:K197)</f>
        <v/>
      </c>
      <c r="M197">
        <f>L197/100000</f>
        <v/>
      </c>
    </row>
    <row r="198">
      <c r="L198">
        <f>SUM(I198:K198)</f>
        <v/>
      </c>
      <c r="M198">
        <f>L198/100000</f>
        <v/>
      </c>
    </row>
    <row r="199">
      <c r="L199">
        <f>SUM(I199:K199)</f>
        <v/>
      </c>
      <c r="M199">
        <f>L199/100000</f>
        <v/>
      </c>
    </row>
    <row r="200">
      <c r="L200">
        <f>SUM(I200:K200)</f>
        <v/>
      </c>
      <c r="M200">
        <f>L200/100000</f>
        <v/>
      </c>
    </row>
    <row r="201">
      <c r="L201">
        <f>SUM(I201:K201)</f>
        <v/>
      </c>
      <c r="M201">
        <f>L201/100000</f>
        <v/>
      </c>
    </row>
    <row r="202">
      <c r="L202">
        <f>SUM(I202:K202)</f>
        <v/>
      </c>
      <c r="M202">
        <f>L202/100000</f>
        <v/>
      </c>
    </row>
    <row r="203">
      <c r="L203">
        <f>SUM(I203:K203)</f>
        <v/>
      </c>
      <c r="M203">
        <f>L203/100000</f>
        <v/>
      </c>
    </row>
    <row r="204">
      <c r="L204">
        <f>SUM(I204:K204)</f>
        <v/>
      </c>
      <c r="M204">
        <f>L204/100000</f>
        <v/>
      </c>
    </row>
    <row r="205">
      <c r="L205">
        <f>SUM(I205:K205)</f>
        <v/>
      </c>
      <c r="M205">
        <f>L205/100000</f>
        <v/>
      </c>
    </row>
    <row r="206">
      <c r="L206">
        <f>SUM(I206:K206)</f>
        <v/>
      </c>
      <c r="M206">
        <f>L206/100000</f>
        <v/>
      </c>
    </row>
    <row r="207">
      <c r="L207">
        <f>SUM(I207:K207)</f>
        <v/>
      </c>
      <c r="M207">
        <f>L207/100000</f>
        <v/>
      </c>
    </row>
    <row r="208">
      <c r="L208">
        <f>SUM(I208:K208)</f>
        <v/>
      </c>
      <c r="M208">
        <f>L208/100000</f>
        <v/>
      </c>
    </row>
    <row r="209">
      <c r="L209">
        <f>SUM(I209:K209)</f>
        <v/>
      </c>
      <c r="M209">
        <f>L209/100000</f>
        <v/>
      </c>
    </row>
    <row r="210">
      <c r="L210">
        <f>SUM(I210:K210)</f>
        <v/>
      </c>
      <c r="M210">
        <f>L210/100000</f>
        <v/>
      </c>
    </row>
    <row r="211">
      <c r="L211">
        <f>SUM(I211:K211)</f>
        <v/>
      </c>
      <c r="M211">
        <f>L211/100000</f>
        <v/>
      </c>
    </row>
    <row r="212">
      <c r="L212">
        <f>SUM(I212:K212)</f>
        <v/>
      </c>
      <c r="M212">
        <f>L212/100000</f>
        <v/>
      </c>
    </row>
    <row r="213">
      <c r="L213">
        <f>SUM(I213:K213)</f>
        <v/>
      </c>
      <c r="M213">
        <f>L213/100000</f>
        <v/>
      </c>
    </row>
    <row r="214">
      <c r="L214">
        <f>SUM(I214:K214)</f>
        <v/>
      </c>
      <c r="M214">
        <f>L214/100000</f>
        <v/>
      </c>
    </row>
    <row r="215">
      <c r="L215">
        <f>SUM(I215:K215)</f>
        <v/>
      </c>
      <c r="M215">
        <f>L215/100000</f>
        <v/>
      </c>
    </row>
    <row r="216">
      <c r="L216">
        <f>SUM(I216:K216)</f>
        <v/>
      </c>
      <c r="M216">
        <f>L216/100000</f>
        <v/>
      </c>
    </row>
    <row r="217">
      <c r="L217">
        <f>SUM(I217:K217)</f>
        <v/>
      </c>
      <c r="M217">
        <f>L217/100000</f>
        <v/>
      </c>
    </row>
    <row r="218">
      <c r="L218">
        <f>SUM(I218:K218)</f>
        <v/>
      </c>
      <c r="M218">
        <f>L218/100000</f>
        <v/>
      </c>
    </row>
    <row r="219">
      <c r="L219">
        <f>SUM(I219:K219)</f>
        <v/>
      </c>
      <c r="M219">
        <f>L219/100000</f>
        <v/>
      </c>
    </row>
    <row r="220">
      <c r="L220">
        <f>SUM(I220:K220)</f>
        <v/>
      </c>
      <c r="M220">
        <f>L220/100000</f>
        <v/>
      </c>
    </row>
    <row r="221">
      <c r="L221">
        <f>SUM(I221:K221)</f>
        <v/>
      </c>
      <c r="M221">
        <f>L221/100000</f>
        <v/>
      </c>
    </row>
    <row r="222">
      <c r="L222">
        <f>SUM(I222:K222)</f>
        <v/>
      </c>
      <c r="M222">
        <f>L222/100000</f>
        <v/>
      </c>
    </row>
    <row r="223">
      <c r="L223">
        <f>SUM(I223:K223)</f>
        <v/>
      </c>
      <c r="M223">
        <f>L223/100000</f>
        <v/>
      </c>
    </row>
    <row r="224">
      <c r="L224">
        <f>SUM(I224:K224)</f>
        <v/>
      </c>
      <c r="M224">
        <f>L224/100000</f>
        <v/>
      </c>
    </row>
    <row r="225">
      <c r="L225">
        <f>SUM(I225:K225)</f>
        <v/>
      </c>
      <c r="M225">
        <f>L225/100000</f>
        <v/>
      </c>
    </row>
    <row r="226">
      <c r="L226">
        <f>SUM(I226:K226)</f>
        <v/>
      </c>
      <c r="M226">
        <f>L226/100000</f>
        <v/>
      </c>
    </row>
    <row r="227">
      <c r="L227">
        <f>SUM(I227:K227)</f>
        <v/>
      </c>
      <c r="M227">
        <f>L227/100000</f>
        <v/>
      </c>
    </row>
    <row r="228">
      <c r="L228">
        <f>SUM(I228:K228)</f>
        <v/>
      </c>
      <c r="M228">
        <f>L228/100000</f>
        <v/>
      </c>
    </row>
    <row r="229">
      <c r="L229">
        <f>SUM(I229:K229)</f>
        <v/>
      </c>
      <c r="M229">
        <f>L229/100000</f>
        <v/>
      </c>
    </row>
    <row r="230">
      <c r="L230">
        <f>SUM(I230:K230)</f>
        <v/>
      </c>
      <c r="M230">
        <f>L230/100000</f>
        <v/>
      </c>
    </row>
    <row r="231">
      <c r="L231">
        <f>SUM(I231:K231)</f>
        <v/>
      </c>
      <c r="M231">
        <f>L231/100000</f>
        <v/>
      </c>
    </row>
    <row r="232">
      <c r="L232">
        <f>SUM(I232:K232)</f>
        <v/>
      </c>
      <c r="M232">
        <f>L232/100000</f>
        <v/>
      </c>
    </row>
    <row r="233">
      <c r="L233">
        <f>SUM(I233:K233)</f>
        <v/>
      </c>
      <c r="M233">
        <f>L233/100000</f>
        <v/>
      </c>
    </row>
    <row r="234">
      <c r="L234">
        <f>SUM(I234:K234)</f>
        <v/>
      </c>
      <c r="M234">
        <f>L234/100000</f>
        <v/>
      </c>
    </row>
    <row r="235">
      <c r="L235">
        <f>SUM(I235:K235)</f>
        <v/>
      </c>
      <c r="M235">
        <f>L235/100000</f>
        <v/>
      </c>
    </row>
    <row r="236">
      <c r="L236">
        <f>SUM(I236:K236)</f>
        <v/>
      </c>
      <c r="M236">
        <f>L236/100000</f>
        <v/>
      </c>
    </row>
    <row r="237">
      <c r="L237">
        <f>SUM(I237:K237)</f>
        <v/>
      </c>
      <c r="M237">
        <f>L237/100000</f>
        <v/>
      </c>
    </row>
    <row r="238">
      <c r="L238">
        <f>SUM(I238:K238)</f>
        <v/>
      </c>
      <c r="M238">
        <f>L238/100000</f>
        <v/>
      </c>
    </row>
    <row r="239">
      <c r="L239">
        <f>SUM(I239:K239)</f>
        <v/>
      </c>
      <c r="M239">
        <f>L239/100000</f>
        <v/>
      </c>
    </row>
    <row r="240">
      <c r="L240">
        <f>SUM(I240:K240)</f>
        <v/>
      </c>
      <c r="M240">
        <f>L240/100000</f>
        <v/>
      </c>
    </row>
    <row r="241">
      <c r="L241">
        <f>SUM(I241:K241)</f>
        <v/>
      </c>
      <c r="M241">
        <f>L241/100000</f>
        <v/>
      </c>
    </row>
    <row r="242">
      <c r="L242">
        <f>SUM(I242:K242)</f>
        <v/>
      </c>
      <c r="M242">
        <f>L242/100000</f>
        <v/>
      </c>
    </row>
    <row r="243">
      <c r="L243">
        <f>SUM(I243:K243)</f>
        <v/>
      </c>
      <c r="M243">
        <f>L243/100000</f>
        <v/>
      </c>
    </row>
    <row r="244">
      <c r="L244">
        <f>SUM(I244:K244)</f>
        <v/>
      </c>
      <c r="M244">
        <f>L244/100000</f>
        <v/>
      </c>
    </row>
    <row r="245">
      <c r="L245">
        <f>SUM(I245:K245)</f>
        <v/>
      </c>
      <c r="M245">
        <f>L245/100000</f>
        <v/>
      </c>
    </row>
    <row r="246">
      <c r="L246">
        <f>SUM(I246:K246)</f>
        <v/>
      </c>
      <c r="M246">
        <f>L246/100000</f>
        <v/>
      </c>
    </row>
    <row r="247">
      <c r="L247">
        <f>SUM(I247:K247)</f>
        <v/>
      </c>
      <c r="M247">
        <f>L247/100000</f>
        <v/>
      </c>
    </row>
    <row r="248">
      <c r="L248">
        <f>SUM(I248:K248)</f>
        <v/>
      </c>
      <c r="M248">
        <f>L248/100000</f>
        <v/>
      </c>
    </row>
    <row r="249">
      <c r="L249">
        <f>SUM(I249:K249)</f>
        <v/>
      </c>
      <c r="M249">
        <f>L249/100000</f>
        <v/>
      </c>
    </row>
    <row r="250">
      <c r="L250">
        <f>SUM(I250:K250)</f>
        <v/>
      </c>
      <c r="M250">
        <f>L250/100000</f>
        <v/>
      </c>
    </row>
    <row r="251">
      <c r="L251">
        <f>SUM(I251:K251)</f>
        <v/>
      </c>
      <c r="M251">
        <f>L251/100000</f>
        <v/>
      </c>
    </row>
    <row r="252">
      <c r="L252">
        <f>SUM(I252:K252)</f>
        <v/>
      </c>
      <c r="M252">
        <f>L252/100000</f>
        <v/>
      </c>
    </row>
    <row r="253">
      <c r="L253">
        <f>SUM(I253:K253)</f>
        <v/>
      </c>
      <c r="M253">
        <f>L253/100000</f>
        <v/>
      </c>
    </row>
    <row r="254">
      <c r="L254">
        <f>SUM(I254:K254)</f>
        <v/>
      </c>
      <c r="M254">
        <f>L254/100000</f>
        <v/>
      </c>
    </row>
    <row r="255">
      <c r="L255">
        <f>SUM(I255:K255)</f>
        <v/>
      </c>
      <c r="M255">
        <f>L255/100000</f>
        <v/>
      </c>
    </row>
    <row r="256">
      <c r="L256">
        <f>SUM(I256:K256)</f>
        <v/>
      </c>
      <c r="M256">
        <f>L256/100000</f>
        <v/>
      </c>
    </row>
    <row r="257">
      <c r="L257">
        <f>SUM(I257:K257)</f>
        <v/>
      </c>
      <c r="M257">
        <f>L257/100000</f>
        <v/>
      </c>
    </row>
    <row r="258">
      <c r="L258">
        <f>SUM(I258:K258)</f>
        <v/>
      </c>
      <c r="M258">
        <f>L258/100000</f>
        <v/>
      </c>
    </row>
    <row r="259">
      <c r="L259">
        <f>SUM(I259:K259)</f>
        <v/>
      </c>
      <c r="M259">
        <f>L259/100000</f>
        <v/>
      </c>
    </row>
    <row r="260">
      <c r="L260">
        <f>SUM(I260:K260)</f>
        <v/>
      </c>
      <c r="M260">
        <f>L260/100000</f>
        <v/>
      </c>
    </row>
    <row r="261">
      <c r="L261">
        <f>SUM(I261:K261)</f>
        <v/>
      </c>
      <c r="M261">
        <f>L261/100000</f>
        <v/>
      </c>
    </row>
    <row r="262">
      <c r="L262">
        <f>SUM(I262:K262)</f>
        <v/>
      </c>
      <c r="M262">
        <f>L262/100000</f>
        <v/>
      </c>
    </row>
    <row r="263">
      <c r="L263">
        <f>SUM(I263:K263)</f>
        <v/>
      </c>
      <c r="M263">
        <f>L263/100000</f>
        <v/>
      </c>
    </row>
    <row r="264">
      <c r="L264">
        <f>SUM(I264:K264)</f>
        <v/>
      </c>
      <c r="M264">
        <f>L264/100000</f>
        <v/>
      </c>
    </row>
    <row r="265">
      <c r="L265">
        <f>SUM(I265:K265)</f>
        <v/>
      </c>
      <c r="M265">
        <f>L265/100000</f>
        <v/>
      </c>
    </row>
    <row r="266">
      <c r="L266">
        <f>SUM(I266:K266)</f>
        <v/>
      </c>
      <c r="M266">
        <f>L266/100000</f>
        <v/>
      </c>
    </row>
    <row r="267">
      <c r="L267">
        <f>SUM(I267:K267)</f>
        <v/>
      </c>
      <c r="M267">
        <f>L267/100000</f>
        <v/>
      </c>
    </row>
    <row r="268">
      <c r="L268">
        <f>SUM(I268:K268)</f>
        <v/>
      </c>
      <c r="M268">
        <f>L268/100000</f>
        <v/>
      </c>
    </row>
    <row r="269">
      <c r="L269">
        <f>SUM(I269:K269)</f>
        <v/>
      </c>
      <c r="M269">
        <f>L269/100000</f>
        <v/>
      </c>
    </row>
    <row r="270">
      <c r="L270">
        <f>SUM(I270:K270)</f>
        <v/>
      </c>
      <c r="M270">
        <f>L270/100000</f>
        <v/>
      </c>
    </row>
    <row r="271">
      <c r="L271">
        <f>SUM(I271:K271)</f>
        <v/>
      </c>
      <c r="M271">
        <f>L271/100000</f>
        <v/>
      </c>
    </row>
    <row r="272">
      <c r="L272">
        <f>SUM(I272:K272)</f>
        <v/>
      </c>
      <c r="M272">
        <f>L272/100000</f>
        <v/>
      </c>
    </row>
    <row r="273">
      <c r="L273">
        <f>SUM(I273:K273)</f>
        <v/>
      </c>
      <c r="M273">
        <f>L273/100000</f>
        <v/>
      </c>
    </row>
    <row r="274">
      <c r="L274">
        <f>SUM(I274:K274)</f>
        <v/>
      </c>
      <c r="M274">
        <f>L274/100000</f>
        <v/>
      </c>
    </row>
    <row r="275">
      <c r="L275">
        <f>SUM(I275:K275)</f>
        <v/>
      </c>
      <c r="M275">
        <f>L275/100000</f>
        <v/>
      </c>
    </row>
    <row r="276">
      <c r="L276">
        <f>SUM(I276:K276)</f>
        <v/>
      </c>
      <c r="M276">
        <f>L276/100000</f>
        <v/>
      </c>
    </row>
    <row r="277">
      <c r="L277">
        <f>SUM(I277:K277)</f>
        <v/>
      </c>
      <c r="M277">
        <f>L277/100000</f>
        <v/>
      </c>
    </row>
    <row r="278">
      <c r="L278">
        <f>SUM(I278:K278)</f>
        <v/>
      </c>
      <c r="M278">
        <f>L278/100000</f>
        <v/>
      </c>
    </row>
    <row r="279">
      <c r="L279">
        <f>SUM(I279:K279)</f>
        <v/>
      </c>
      <c r="M279">
        <f>L279/100000</f>
        <v/>
      </c>
    </row>
    <row r="280">
      <c r="L280">
        <f>SUM(I280:K280)</f>
        <v/>
      </c>
      <c r="M280">
        <f>L280/100000</f>
        <v/>
      </c>
    </row>
    <row r="281">
      <c r="L281">
        <f>SUM(I281:K281)</f>
        <v/>
      </c>
      <c r="M281">
        <f>L281/100000</f>
        <v/>
      </c>
    </row>
    <row r="282">
      <c r="L282">
        <f>SUM(I282:K282)</f>
        <v/>
      </c>
      <c r="M282">
        <f>L282/100000</f>
        <v/>
      </c>
    </row>
    <row r="283">
      <c r="L283">
        <f>SUM(I283:K283)</f>
        <v/>
      </c>
      <c r="M283">
        <f>L283/100000</f>
        <v/>
      </c>
    </row>
    <row r="284">
      <c r="L284">
        <f>SUM(I284:K284)</f>
        <v/>
      </c>
      <c r="M284">
        <f>L284/100000</f>
        <v/>
      </c>
    </row>
    <row r="285">
      <c r="L285">
        <f>SUM(I285:K285)</f>
        <v/>
      </c>
      <c r="M285">
        <f>L285/100000</f>
        <v/>
      </c>
    </row>
    <row r="286">
      <c r="L286">
        <f>SUM(I286:K286)</f>
        <v/>
      </c>
      <c r="M286">
        <f>L286/100000</f>
        <v/>
      </c>
    </row>
    <row r="287">
      <c r="L287">
        <f>SUM(I287:K287)</f>
        <v/>
      </c>
      <c r="M287">
        <f>L287/100000</f>
        <v/>
      </c>
    </row>
    <row r="288">
      <c r="L288">
        <f>SUM(I288:K288)</f>
        <v/>
      </c>
      <c r="M288">
        <f>L288/100000</f>
        <v/>
      </c>
    </row>
    <row r="289">
      <c r="L289">
        <f>SUM(I289:K289)</f>
        <v/>
      </c>
      <c r="M289">
        <f>L289/100000</f>
        <v/>
      </c>
    </row>
    <row r="290">
      <c r="L290">
        <f>SUM(I290:K290)</f>
        <v/>
      </c>
      <c r="M290">
        <f>L290/100000</f>
        <v/>
      </c>
    </row>
    <row r="291">
      <c r="L291">
        <f>SUM(I291:K291)</f>
        <v/>
      </c>
      <c r="M291">
        <f>L291/100000</f>
        <v/>
      </c>
    </row>
    <row r="292">
      <c r="L292">
        <f>SUM(I292:K292)</f>
        <v/>
      </c>
      <c r="M292">
        <f>L292/100000</f>
        <v/>
      </c>
    </row>
    <row r="293">
      <c r="L293">
        <f>SUM(I293:K293)</f>
        <v/>
      </c>
      <c r="M293">
        <f>L293/100000</f>
        <v/>
      </c>
    </row>
    <row r="294">
      <c r="L294">
        <f>SUM(I294:K294)</f>
        <v/>
      </c>
      <c r="M294">
        <f>L294/100000</f>
        <v/>
      </c>
    </row>
    <row r="295">
      <c r="L295">
        <f>SUM(I295:K295)</f>
        <v/>
      </c>
      <c r="M295">
        <f>L295/100000</f>
        <v/>
      </c>
    </row>
    <row r="296">
      <c r="L296">
        <f>SUM(I296:K296)</f>
        <v/>
      </c>
      <c r="M296">
        <f>L296/100000</f>
        <v/>
      </c>
    </row>
    <row r="297">
      <c r="L297">
        <f>SUM(I297:K297)</f>
        <v/>
      </c>
      <c r="M297">
        <f>L297/100000</f>
        <v/>
      </c>
    </row>
    <row r="298">
      <c r="L298">
        <f>SUM(I298:K298)</f>
        <v/>
      </c>
      <c r="M298">
        <f>L298/100000</f>
        <v/>
      </c>
    </row>
    <row r="299">
      <c r="L299">
        <f>SUM(I299:K299)</f>
        <v/>
      </c>
      <c r="M299">
        <f>L299/100000</f>
        <v/>
      </c>
    </row>
    <row r="300">
      <c r="L300">
        <f>SUM(I300:K300)</f>
        <v/>
      </c>
      <c r="M300">
        <f>L300/100000</f>
        <v/>
      </c>
    </row>
    <row r="301">
      <c r="L301">
        <f>SUM(I301:K301)</f>
        <v/>
      </c>
      <c r="M301">
        <f>L301/100000</f>
        <v/>
      </c>
    </row>
    <row r="302">
      <c r="L302">
        <f>SUM(I302:K302)</f>
        <v/>
      </c>
      <c r="M302">
        <f>L302/100000</f>
        <v/>
      </c>
    </row>
    <row r="303">
      <c r="L303">
        <f>SUM(I303:K303)</f>
        <v/>
      </c>
      <c r="M303">
        <f>L303/100000</f>
        <v/>
      </c>
    </row>
    <row r="304">
      <c r="L304">
        <f>SUM(I304:K304)</f>
        <v/>
      </c>
      <c r="M304">
        <f>L304/100000</f>
        <v/>
      </c>
    </row>
    <row r="305">
      <c r="L305">
        <f>SUM(I305:K305)</f>
        <v/>
      </c>
      <c r="M305">
        <f>L305/100000</f>
        <v/>
      </c>
    </row>
    <row r="306">
      <c r="L306">
        <f>SUM(I306:K306)</f>
        <v/>
      </c>
      <c r="M306">
        <f>L306/100000</f>
        <v/>
      </c>
    </row>
    <row r="307">
      <c r="L307">
        <f>SUM(I307:K307)</f>
        <v/>
      </c>
      <c r="M307">
        <f>L307/100000</f>
        <v/>
      </c>
    </row>
    <row r="308">
      <c r="L308">
        <f>SUM(I308:K308)</f>
        <v/>
      </c>
      <c r="M308">
        <f>L308/100000</f>
        <v/>
      </c>
    </row>
    <row r="309">
      <c r="L309">
        <f>SUM(I309:K309)</f>
        <v/>
      </c>
      <c r="M309">
        <f>L309/100000</f>
        <v/>
      </c>
    </row>
    <row r="310">
      <c r="L310">
        <f>SUM(I310:K310)</f>
        <v/>
      </c>
      <c r="M310">
        <f>L310/100000</f>
        <v/>
      </c>
    </row>
    <row r="311">
      <c r="L311">
        <f>SUM(I311:K311)</f>
        <v/>
      </c>
      <c r="M311">
        <f>L311/100000</f>
        <v/>
      </c>
    </row>
    <row r="312">
      <c r="L312">
        <f>SUM(I312:K312)</f>
        <v/>
      </c>
      <c r="M312">
        <f>L312/100000</f>
        <v/>
      </c>
    </row>
    <row r="313">
      <c r="L313">
        <f>SUM(I313:K313)</f>
        <v/>
      </c>
      <c r="M313">
        <f>L313/100000</f>
        <v/>
      </c>
    </row>
    <row r="314">
      <c r="L314">
        <f>SUM(I314:K314)</f>
        <v/>
      </c>
      <c r="M314">
        <f>L314/100000</f>
        <v/>
      </c>
    </row>
    <row r="315">
      <c r="L315">
        <f>SUM(I315:K315)</f>
        <v/>
      </c>
      <c r="M315">
        <f>L315/100000</f>
        <v/>
      </c>
    </row>
    <row r="316">
      <c r="L316">
        <f>SUM(I316:K316)</f>
        <v/>
      </c>
      <c r="M316">
        <f>L316/100000</f>
        <v/>
      </c>
    </row>
    <row r="317">
      <c r="L317">
        <f>SUM(I317:K317)</f>
        <v/>
      </c>
      <c r="M317">
        <f>L317/100000</f>
        <v/>
      </c>
    </row>
    <row r="318">
      <c r="L318">
        <f>SUM(I318:K318)</f>
        <v/>
      </c>
      <c r="M318">
        <f>L318/100000</f>
        <v/>
      </c>
    </row>
    <row r="319">
      <c r="L319">
        <f>SUM(I319:K319)</f>
        <v/>
      </c>
      <c r="M319">
        <f>L319/100000</f>
        <v/>
      </c>
    </row>
    <row r="320">
      <c r="L320">
        <f>SUM(I320:K320)</f>
        <v/>
      </c>
      <c r="M320">
        <f>L320/100000</f>
        <v/>
      </c>
    </row>
    <row r="321">
      <c r="L321">
        <f>SUM(I321:K321)</f>
        <v/>
      </c>
      <c r="M321">
        <f>L321/100000</f>
        <v/>
      </c>
    </row>
    <row r="322">
      <c r="L322">
        <f>SUM(I322:K322)</f>
        <v/>
      </c>
      <c r="M322">
        <f>L322/100000</f>
        <v/>
      </c>
    </row>
    <row r="323">
      <c r="L323">
        <f>SUM(I323:K323)</f>
        <v/>
      </c>
      <c r="M323">
        <f>L323/100000</f>
        <v/>
      </c>
    </row>
    <row r="324">
      <c r="L324">
        <f>SUM(I324:K324)</f>
        <v/>
      </c>
      <c r="M324">
        <f>L324/100000</f>
        <v/>
      </c>
    </row>
    <row r="325">
      <c r="L325">
        <f>SUM(I325:K325)</f>
        <v/>
      </c>
      <c r="M325">
        <f>L325/100000</f>
        <v/>
      </c>
    </row>
    <row r="326">
      <c r="L326">
        <f>SUM(I326:K326)</f>
        <v/>
      </c>
      <c r="M326">
        <f>L326/100000</f>
        <v/>
      </c>
    </row>
    <row r="327">
      <c r="L327">
        <f>SUM(I327:K327)</f>
        <v/>
      </c>
      <c r="M327">
        <f>L327/100000</f>
        <v/>
      </c>
    </row>
    <row r="328">
      <c r="L328">
        <f>SUM(I328:K328)</f>
        <v/>
      </c>
      <c r="M328">
        <f>L328/100000</f>
        <v/>
      </c>
    </row>
    <row r="329">
      <c r="L329">
        <f>SUM(I329:K329)</f>
        <v/>
      </c>
      <c r="M329">
        <f>L329/100000</f>
        <v/>
      </c>
    </row>
    <row r="330">
      <c r="L330">
        <f>SUM(I330:K330)</f>
        <v/>
      </c>
      <c r="M330">
        <f>L330/100000</f>
        <v/>
      </c>
    </row>
    <row r="331">
      <c r="L331">
        <f>SUM(I331:K331)</f>
        <v/>
      </c>
      <c r="M331">
        <f>L331/100000</f>
        <v/>
      </c>
    </row>
    <row r="332">
      <c r="L332">
        <f>SUM(I332:K332)</f>
        <v/>
      </c>
      <c r="M332">
        <f>L332/100000</f>
        <v/>
      </c>
    </row>
    <row r="333">
      <c r="L333">
        <f>SUM(I333:K333)</f>
        <v/>
      </c>
      <c r="M333">
        <f>L333/100000</f>
        <v/>
      </c>
    </row>
    <row r="334">
      <c r="L334">
        <f>SUM(I334:K334)</f>
        <v/>
      </c>
      <c r="M334">
        <f>L334/100000</f>
        <v/>
      </c>
    </row>
    <row r="335">
      <c r="L335">
        <f>SUM(I335:K335)</f>
        <v/>
      </c>
      <c r="M335">
        <f>L335/100000</f>
        <v/>
      </c>
    </row>
    <row r="336">
      <c r="L336">
        <f>SUM(I336:K336)</f>
        <v/>
      </c>
      <c r="M336">
        <f>L336/100000</f>
        <v/>
      </c>
    </row>
    <row r="337">
      <c r="L337">
        <f>SUM(I337:K337)</f>
        <v/>
      </c>
      <c r="M337">
        <f>L337/100000</f>
        <v/>
      </c>
    </row>
    <row r="338">
      <c r="L338">
        <f>SUM(I338:K338)</f>
        <v/>
      </c>
      <c r="M338">
        <f>L338/100000</f>
        <v/>
      </c>
    </row>
    <row r="339">
      <c r="L339">
        <f>SUM(I339:K339)</f>
        <v/>
      </c>
      <c r="M339">
        <f>L339/100000</f>
        <v/>
      </c>
    </row>
    <row r="340">
      <c r="L340">
        <f>SUM(I340:K340)</f>
        <v/>
      </c>
      <c r="M340">
        <f>L340/100000</f>
        <v/>
      </c>
    </row>
    <row r="341">
      <c r="L341">
        <f>SUM(I341:K341)</f>
        <v/>
      </c>
      <c r="M341">
        <f>L341/100000</f>
        <v/>
      </c>
    </row>
    <row r="342">
      <c r="L342">
        <f>SUM(I342:K342)</f>
        <v/>
      </c>
      <c r="M342">
        <f>L342/100000</f>
        <v/>
      </c>
    </row>
    <row r="343">
      <c r="L343">
        <f>SUM(I343:K343)</f>
        <v/>
      </c>
      <c r="M343">
        <f>L343/100000</f>
        <v/>
      </c>
    </row>
    <row r="344">
      <c r="L344">
        <f>SUM(I344:K344)</f>
        <v/>
      </c>
      <c r="M344">
        <f>L344/100000</f>
        <v/>
      </c>
    </row>
    <row r="345">
      <c r="L345">
        <f>SUM(I345:K345)</f>
        <v/>
      </c>
      <c r="M345">
        <f>L345/100000</f>
        <v/>
      </c>
    </row>
    <row r="346">
      <c r="L346">
        <f>SUM(I346:K346)</f>
        <v/>
      </c>
      <c r="M346">
        <f>L346/100000</f>
        <v/>
      </c>
    </row>
    <row r="347">
      <c r="L347">
        <f>SUM(I347:K347)</f>
        <v/>
      </c>
      <c r="M347">
        <f>L347/100000</f>
        <v/>
      </c>
    </row>
    <row r="348">
      <c r="L348">
        <f>SUM(I348:K348)</f>
        <v/>
      </c>
      <c r="M348">
        <f>L348/100000</f>
        <v/>
      </c>
    </row>
    <row r="349">
      <c r="L349">
        <f>SUM(I349:K349)</f>
        <v/>
      </c>
      <c r="M349">
        <f>L349/100000</f>
        <v/>
      </c>
    </row>
    <row r="350">
      <c r="L350">
        <f>SUM(I350:K350)</f>
        <v/>
      </c>
      <c r="M350">
        <f>L350/100000</f>
        <v/>
      </c>
    </row>
    <row r="351">
      <c r="L351">
        <f>SUM(I351:K351)</f>
        <v/>
      </c>
      <c r="M351">
        <f>L351/100000</f>
        <v/>
      </c>
    </row>
    <row r="352">
      <c r="L352">
        <f>SUM(I352:K352)</f>
        <v/>
      </c>
      <c r="M352">
        <f>L352/100000</f>
        <v/>
      </c>
    </row>
    <row r="353">
      <c r="L353">
        <f>SUM(I353:K353)</f>
        <v/>
      </c>
      <c r="M353">
        <f>L353/100000</f>
        <v/>
      </c>
    </row>
    <row r="354">
      <c r="L354">
        <f>SUM(I354:K354)</f>
        <v/>
      </c>
      <c r="M354">
        <f>L354/100000</f>
        <v/>
      </c>
    </row>
    <row r="355">
      <c r="L355">
        <f>SUM(I355:K355)</f>
        <v/>
      </c>
      <c r="M355">
        <f>L355/100000</f>
        <v/>
      </c>
    </row>
    <row r="356">
      <c r="L356">
        <f>SUM(I356:K356)</f>
        <v/>
      </c>
      <c r="M356">
        <f>L356/100000</f>
        <v/>
      </c>
    </row>
    <row r="357">
      <c r="L357">
        <f>SUM(I357:K357)</f>
        <v/>
      </c>
      <c r="M357">
        <f>L357/100000</f>
        <v/>
      </c>
    </row>
    <row r="358">
      <c r="L358">
        <f>SUM(I358:K358)</f>
        <v/>
      </c>
      <c r="M358">
        <f>L358/100000</f>
        <v/>
      </c>
    </row>
    <row r="359">
      <c r="L359">
        <f>SUM(I359:K359)</f>
        <v/>
      </c>
      <c r="M359">
        <f>L359/100000</f>
        <v/>
      </c>
    </row>
    <row r="360">
      <c r="L360">
        <f>SUM(I360:K360)</f>
        <v/>
      </c>
      <c r="M360">
        <f>L360/100000</f>
        <v/>
      </c>
    </row>
    <row r="361">
      <c r="L361">
        <f>SUM(I361:K361)</f>
        <v/>
      </c>
      <c r="M361">
        <f>L361/100000</f>
        <v/>
      </c>
    </row>
    <row r="362">
      <c r="L362">
        <f>SUM(I362:K362)</f>
        <v/>
      </c>
      <c r="M362">
        <f>L362/100000</f>
        <v/>
      </c>
    </row>
    <row r="363">
      <c r="L363">
        <f>SUM(I363:K363)</f>
        <v/>
      </c>
      <c r="M363">
        <f>L363/100000</f>
        <v/>
      </c>
    </row>
    <row r="364">
      <c r="L364">
        <f>SUM(I364:K364)</f>
        <v/>
      </c>
      <c r="M364">
        <f>L364/100000</f>
        <v/>
      </c>
    </row>
    <row r="365">
      <c r="L365">
        <f>SUM(I365:K365)</f>
        <v/>
      </c>
      <c r="M365">
        <f>L365/100000</f>
        <v/>
      </c>
    </row>
    <row r="366">
      <c r="L366">
        <f>SUM(I366:K366)</f>
        <v/>
      </c>
      <c r="M366">
        <f>L366/100000</f>
        <v/>
      </c>
    </row>
    <row r="367">
      <c r="L367">
        <f>SUM(I367:K367)</f>
        <v/>
      </c>
      <c r="M367">
        <f>L367/100000</f>
        <v/>
      </c>
    </row>
    <row r="368">
      <c r="L368">
        <f>SUM(I368:K368)</f>
        <v/>
      </c>
      <c r="M368">
        <f>L368/100000</f>
        <v/>
      </c>
    </row>
    <row r="369">
      <c r="L369">
        <f>SUM(I369:K369)</f>
        <v/>
      </c>
      <c r="M369">
        <f>L369/100000</f>
        <v/>
      </c>
    </row>
    <row r="370">
      <c r="L370">
        <f>SUM(I370:K370)</f>
        <v/>
      </c>
      <c r="M370">
        <f>L370/100000</f>
        <v/>
      </c>
    </row>
    <row r="371">
      <c r="L371">
        <f>SUM(I371:K371)</f>
        <v/>
      </c>
      <c r="M371">
        <f>L371/100000</f>
        <v/>
      </c>
    </row>
    <row r="372">
      <c r="L372">
        <f>SUM(I372:K372)</f>
        <v/>
      </c>
      <c r="M372">
        <f>L372/100000</f>
        <v/>
      </c>
    </row>
    <row r="373">
      <c r="L373">
        <f>SUM(I373:K373)</f>
        <v/>
      </c>
      <c r="M373">
        <f>L373/100000</f>
        <v/>
      </c>
    </row>
    <row r="374">
      <c r="L374">
        <f>SUM(I374:K374)</f>
        <v/>
      </c>
      <c r="M374">
        <f>L374/100000</f>
        <v/>
      </c>
    </row>
    <row r="375">
      <c r="L375">
        <f>SUM(I375:K375)</f>
        <v/>
      </c>
      <c r="M375">
        <f>L375/100000</f>
        <v/>
      </c>
    </row>
    <row r="376">
      <c r="L376">
        <f>SUM(I376:K376)</f>
        <v/>
      </c>
      <c r="M376">
        <f>L376/100000</f>
        <v/>
      </c>
    </row>
    <row r="377">
      <c r="L377">
        <f>SUM(I377:K377)</f>
        <v/>
      </c>
      <c r="M377">
        <f>L377/100000</f>
        <v/>
      </c>
    </row>
    <row r="378">
      <c r="L378">
        <f>SUM(I378:K378)</f>
        <v/>
      </c>
      <c r="M378">
        <f>L378/100000</f>
        <v/>
      </c>
    </row>
    <row r="379">
      <c r="L379">
        <f>SUM(I379:K379)</f>
        <v/>
      </c>
      <c r="M379">
        <f>L379/100000</f>
        <v/>
      </c>
    </row>
    <row r="380">
      <c r="L380">
        <f>SUM(I380:K380)</f>
        <v/>
      </c>
      <c r="M380">
        <f>L380/100000</f>
        <v/>
      </c>
    </row>
    <row r="381">
      <c r="L381">
        <f>SUM(I381:K381)</f>
        <v/>
      </c>
      <c r="M381">
        <f>L381/100000</f>
        <v/>
      </c>
    </row>
    <row r="382">
      <c r="L382">
        <f>SUM(I382:K382)</f>
        <v/>
      </c>
      <c r="M382">
        <f>L382/100000</f>
        <v/>
      </c>
    </row>
    <row r="383">
      <c r="L383">
        <f>SUM(I383:K383)</f>
        <v/>
      </c>
      <c r="M383">
        <f>L383/100000</f>
        <v/>
      </c>
    </row>
    <row r="384">
      <c r="L384">
        <f>SUM(I384:K384)</f>
        <v/>
      </c>
      <c r="M384">
        <f>L384/100000</f>
        <v/>
      </c>
    </row>
    <row r="385">
      <c r="L385">
        <f>SUM(I385:K385)</f>
        <v/>
      </c>
      <c r="M385">
        <f>L385/100000</f>
        <v/>
      </c>
    </row>
    <row r="386">
      <c r="L386">
        <f>SUM(I386:K386)</f>
        <v/>
      </c>
      <c r="M386">
        <f>L386/100000</f>
        <v/>
      </c>
    </row>
    <row r="387">
      <c r="L387">
        <f>SUM(I387:K387)</f>
        <v/>
      </c>
      <c r="M387">
        <f>L387/100000</f>
        <v/>
      </c>
    </row>
    <row r="388">
      <c r="L388">
        <f>SUM(I388:K388)</f>
        <v/>
      </c>
      <c r="M388">
        <f>L388/100000</f>
        <v/>
      </c>
    </row>
    <row r="389">
      <c r="L389">
        <f>SUM(I389:K389)</f>
        <v/>
      </c>
      <c r="M389">
        <f>L389/100000</f>
        <v/>
      </c>
    </row>
    <row r="390">
      <c r="L390">
        <f>SUM(I390:K390)</f>
        <v/>
      </c>
      <c r="M390">
        <f>L390/100000</f>
        <v/>
      </c>
    </row>
    <row r="391">
      <c r="L391">
        <f>SUM(I391:K391)</f>
        <v/>
      </c>
      <c r="M391">
        <f>L391/100000</f>
        <v/>
      </c>
    </row>
    <row r="392">
      <c r="L392">
        <f>SUM(I392:K392)</f>
        <v/>
      </c>
      <c r="M392">
        <f>L392/100000</f>
        <v/>
      </c>
    </row>
    <row r="393">
      <c r="L393">
        <f>SUM(I393:K393)</f>
        <v/>
      </c>
      <c r="M393">
        <f>L393/100000</f>
        <v/>
      </c>
    </row>
    <row r="394">
      <c r="L394">
        <f>SUM(I394:K394)</f>
        <v/>
      </c>
      <c r="M394">
        <f>L394/100000</f>
        <v/>
      </c>
    </row>
    <row r="395">
      <c r="L395">
        <f>SUM(I395:K395)</f>
        <v/>
      </c>
      <c r="M395">
        <f>L395/100000</f>
        <v/>
      </c>
    </row>
    <row r="396">
      <c r="L396">
        <f>SUM(I396:K396)</f>
        <v/>
      </c>
      <c r="M396">
        <f>L396/100000</f>
        <v/>
      </c>
    </row>
    <row r="397">
      <c r="L397">
        <f>SUM(I397:K397)</f>
        <v/>
      </c>
      <c r="M397">
        <f>L397/100000</f>
        <v/>
      </c>
    </row>
    <row r="398">
      <c r="L398">
        <f>SUM(I398:K398)</f>
        <v/>
      </c>
      <c r="M398">
        <f>L398/100000</f>
        <v/>
      </c>
    </row>
    <row r="399">
      <c r="L399">
        <f>SUM(I399:K399)</f>
        <v/>
      </c>
      <c r="M399">
        <f>L399/100000</f>
        <v/>
      </c>
    </row>
    <row r="400">
      <c r="L400">
        <f>SUM(I400:K400)</f>
        <v/>
      </c>
      <c r="M400">
        <f>L400/100000</f>
        <v/>
      </c>
    </row>
    <row r="401">
      <c r="L401">
        <f>SUM(I401:K401)</f>
        <v/>
      </c>
      <c r="M401">
        <f>L401/100000</f>
        <v/>
      </c>
    </row>
    <row r="402">
      <c r="L402">
        <f>SUM(I402:K402)</f>
        <v/>
      </c>
      <c r="M402">
        <f>L402/100000</f>
        <v/>
      </c>
    </row>
    <row r="403">
      <c r="L403">
        <f>SUM(I403:K403)</f>
        <v/>
      </c>
      <c r="M403">
        <f>L403/100000</f>
        <v/>
      </c>
    </row>
    <row r="404">
      <c r="L404">
        <f>SUM(I404:K404)</f>
        <v/>
      </c>
      <c r="M404">
        <f>L404/100000</f>
        <v/>
      </c>
    </row>
    <row r="405">
      <c r="L405">
        <f>SUM(I405:K405)</f>
        <v/>
      </c>
      <c r="M405">
        <f>L405/100000</f>
        <v/>
      </c>
    </row>
    <row r="406">
      <c r="L406">
        <f>SUM(I406:K406)</f>
        <v/>
      </c>
      <c r="M406">
        <f>L406/100000</f>
        <v/>
      </c>
    </row>
    <row r="407">
      <c r="L407">
        <f>SUM(I407:K407)</f>
        <v/>
      </c>
      <c r="M407">
        <f>L407/100000</f>
        <v/>
      </c>
    </row>
    <row r="408">
      <c r="L408">
        <f>SUM(I408:K408)</f>
        <v/>
      </c>
      <c r="M408">
        <f>L408/100000</f>
        <v/>
      </c>
    </row>
    <row r="409">
      <c r="L409">
        <f>SUM(I409:K409)</f>
        <v/>
      </c>
      <c r="M409">
        <f>L409/100000</f>
        <v/>
      </c>
    </row>
    <row r="410">
      <c r="L410">
        <f>SUM(I410:K410)</f>
        <v/>
      </c>
      <c r="M410">
        <f>L410/100000</f>
        <v/>
      </c>
    </row>
    <row r="411">
      <c r="L411">
        <f>SUM(I411:K411)</f>
        <v/>
      </c>
      <c r="M411">
        <f>L411/100000</f>
        <v/>
      </c>
    </row>
    <row r="412">
      <c r="L412">
        <f>SUM(I412:K412)</f>
        <v/>
      </c>
      <c r="M412">
        <f>L412/100000</f>
        <v/>
      </c>
    </row>
    <row r="413">
      <c r="L413">
        <f>SUM(I413:K413)</f>
        <v/>
      </c>
      <c r="M413">
        <f>L413/100000</f>
        <v/>
      </c>
    </row>
    <row r="414">
      <c r="L414">
        <f>SUM(I414:K414)</f>
        <v/>
      </c>
      <c r="M414">
        <f>L414/100000</f>
        <v/>
      </c>
    </row>
    <row r="415">
      <c r="L415">
        <f>SUM(I415:K415)</f>
        <v/>
      </c>
      <c r="M415">
        <f>L415/100000</f>
        <v/>
      </c>
    </row>
    <row r="416">
      <c r="L416">
        <f>SUM(I416:K416)</f>
        <v/>
      </c>
      <c r="M416">
        <f>L416/100000</f>
        <v/>
      </c>
    </row>
    <row r="417">
      <c r="L417">
        <f>SUM(I417:K417)</f>
        <v/>
      </c>
      <c r="M417">
        <f>L417/100000</f>
        <v/>
      </c>
    </row>
    <row r="418">
      <c r="L418">
        <f>SUM(I418:K418)</f>
        <v/>
      </c>
      <c r="M418">
        <f>L418/100000</f>
        <v/>
      </c>
    </row>
    <row r="419">
      <c r="L419">
        <f>SUM(I419:K419)</f>
        <v/>
      </c>
      <c r="M419">
        <f>L419/100000</f>
        <v/>
      </c>
    </row>
    <row r="420">
      <c r="L420">
        <f>SUM(I420:K420)</f>
        <v/>
      </c>
      <c r="M420">
        <f>L420/100000</f>
        <v/>
      </c>
    </row>
    <row r="421">
      <c r="L421">
        <f>SUM(I421:K421)</f>
        <v/>
      </c>
      <c r="M421">
        <f>L421/100000</f>
        <v/>
      </c>
    </row>
    <row r="422">
      <c r="L422">
        <f>SUM(I422:K422)</f>
        <v/>
      </c>
      <c r="M422">
        <f>L422/100000</f>
        <v/>
      </c>
    </row>
    <row r="423">
      <c r="L423">
        <f>SUM(I423:K423)</f>
        <v/>
      </c>
      <c r="M423">
        <f>L423/100000</f>
        <v/>
      </c>
    </row>
    <row r="424">
      <c r="L424">
        <f>SUM(I424:K424)</f>
        <v/>
      </c>
      <c r="M424">
        <f>L424/100000</f>
        <v/>
      </c>
    </row>
    <row r="425">
      <c r="L425">
        <f>SUM(I425:K425)</f>
        <v/>
      </c>
      <c r="M425">
        <f>L425/100000</f>
        <v/>
      </c>
    </row>
    <row r="426">
      <c r="L426">
        <f>SUM(I426:K426)</f>
        <v/>
      </c>
      <c r="M426">
        <f>L426/100000</f>
        <v/>
      </c>
    </row>
    <row r="427">
      <c r="L427">
        <f>SUM(I427:K427)</f>
        <v/>
      </c>
      <c r="M427">
        <f>L427/100000</f>
        <v/>
      </c>
    </row>
    <row r="428">
      <c r="L428">
        <f>SUM(I428:K428)</f>
        <v/>
      </c>
      <c r="M428">
        <f>L428/100000</f>
        <v/>
      </c>
    </row>
    <row r="429">
      <c r="L429">
        <f>SUM(I429:K429)</f>
        <v/>
      </c>
      <c r="M429">
        <f>L429/100000</f>
        <v/>
      </c>
    </row>
    <row r="430">
      <c r="L430">
        <f>SUM(I430:K430)</f>
        <v/>
      </c>
      <c r="M430">
        <f>L430/100000</f>
        <v/>
      </c>
    </row>
    <row r="431">
      <c r="L431">
        <f>SUM(I431:K431)</f>
        <v/>
      </c>
      <c r="M431">
        <f>L431/100000</f>
        <v/>
      </c>
    </row>
    <row r="432">
      <c r="L432">
        <f>SUM(I432:K432)</f>
        <v/>
      </c>
      <c r="M432">
        <f>L432/100000</f>
        <v/>
      </c>
    </row>
    <row r="433">
      <c r="L433">
        <f>SUM(I433:K433)</f>
        <v/>
      </c>
      <c r="M433">
        <f>L433/100000</f>
        <v/>
      </c>
    </row>
    <row r="434">
      <c r="L434">
        <f>SUM(I434:K434)</f>
        <v/>
      </c>
      <c r="M434">
        <f>L434/100000</f>
        <v/>
      </c>
    </row>
    <row r="435">
      <c r="L435">
        <f>SUM(I435:K435)</f>
        <v/>
      </c>
      <c r="M435">
        <f>L435/100000</f>
        <v/>
      </c>
    </row>
    <row r="436">
      <c r="L436">
        <f>SUM(I436:K436)</f>
        <v/>
      </c>
      <c r="M436">
        <f>L436/100000</f>
        <v/>
      </c>
    </row>
    <row r="437">
      <c r="L437">
        <f>SUM(I437:K437)</f>
        <v/>
      </c>
      <c r="M437">
        <f>L437/100000</f>
        <v/>
      </c>
    </row>
    <row r="438">
      <c r="L438">
        <f>SUM(I438:K438)</f>
        <v/>
      </c>
      <c r="M438">
        <f>L438/100000</f>
        <v/>
      </c>
    </row>
    <row r="439">
      <c r="L439">
        <f>SUM(I439:K439)</f>
        <v/>
      </c>
      <c r="M439">
        <f>L439/100000</f>
        <v/>
      </c>
    </row>
    <row r="440">
      <c r="L440">
        <f>SUM(I440:K440)</f>
        <v/>
      </c>
      <c r="M440">
        <f>L440/100000</f>
        <v/>
      </c>
    </row>
    <row r="441">
      <c r="L441">
        <f>SUM(I441:K441)</f>
        <v/>
      </c>
      <c r="M441">
        <f>L441/100000</f>
        <v/>
      </c>
    </row>
    <row r="442">
      <c r="L442">
        <f>SUM(I442:K442)</f>
        <v/>
      </c>
      <c r="M442">
        <f>L442/100000</f>
        <v/>
      </c>
    </row>
    <row r="443">
      <c r="L443">
        <f>SUM(I443:K443)</f>
        <v/>
      </c>
      <c r="M443">
        <f>L443/100000</f>
        <v/>
      </c>
    </row>
    <row r="444">
      <c r="L444">
        <f>SUM(I444:K444)</f>
        <v/>
      </c>
      <c r="M444">
        <f>L444/100000</f>
        <v/>
      </c>
    </row>
    <row r="445">
      <c r="L445">
        <f>SUM(I445:K445)</f>
        <v/>
      </c>
      <c r="M445">
        <f>L445/100000</f>
        <v/>
      </c>
    </row>
    <row r="446">
      <c r="L446">
        <f>SUM(I446:K446)</f>
        <v/>
      </c>
      <c r="M446">
        <f>L446/100000</f>
        <v/>
      </c>
    </row>
    <row r="447">
      <c r="L447">
        <f>SUM(I447:K447)</f>
        <v/>
      </c>
      <c r="M447">
        <f>L447/100000</f>
        <v/>
      </c>
    </row>
    <row r="448">
      <c r="L448">
        <f>SUM(I448:K448)</f>
        <v/>
      </c>
      <c r="M448">
        <f>L448/100000</f>
        <v/>
      </c>
    </row>
    <row r="449">
      <c r="L449">
        <f>SUM(I449:K449)</f>
        <v/>
      </c>
      <c r="M449">
        <f>L449/100000</f>
        <v/>
      </c>
    </row>
    <row r="450">
      <c r="L450">
        <f>SUM(I450:K450)</f>
        <v/>
      </c>
      <c r="M450">
        <f>L450/100000</f>
        <v/>
      </c>
    </row>
    <row r="451">
      <c r="L451">
        <f>SUM(I451:K451)</f>
        <v/>
      </c>
      <c r="M451">
        <f>L451/100000</f>
        <v/>
      </c>
    </row>
    <row r="452">
      <c r="L452">
        <f>SUM(I452:K452)</f>
        <v/>
      </c>
      <c r="M452">
        <f>L452/100000</f>
        <v/>
      </c>
    </row>
    <row r="453">
      <c r="L453">
        <f>SUM(I453:K453)</f>
        <v/>
      </c>
      <c r="M453">
        <f>L453/100000</f>
        <v/>
      </c>
    </row>
    <row r="454">
      <c r="L454">
        <f>SUM(I454:K454)</f>
        <v/>
      </c>
      <c r="M454">
        <f>L454/100000</f>
        <v/>
      </c>
    </row>
    <row r="455">
      <c r="L455">
        <f>SUM(I455:K455)</f>
        <v/>
      </c>
      <c r="M455">
        <f>L455/100000</f>
        <v/>
      </c>
    </row>
    <row r="456">
      <c r="L456">
        <f>SUM(I456:K456)</f>
        <v/>
      </c>
      <c r="M456">
        <f>L456/100000</f>
        <v/>
      </c>
    </row>
    <row r="457">
      <c r="L457">
        <f>SUM(I457:K457)</f>
        <v/>
      </c>
      <c r="M457">
        <f>L457/100000</f>
        <v/>
      </c>
    </row>
    <row r="458">
      <c r="L458">
        <f>SUM(I458:K458)</f>
        <v/>
      </c>
      <c r="M458">
        <f>L458/100000</f>
        <v/>
      </c>
    </row>
    <row r="459">
      <c r="L459">
        <f>SUM(I459:K459)</f>
        <v/>
      </c>
      <c r="M459">
        <f>L459/100000</f>
        <v/>
      </c>
    </row>
    <row r="460">
      <c r="L460">
        <f>SUM(I460:K460)</f>
        <v/>
      </c>
      <c r="M460">
        <f>L460/100000</f>
        <v/>
      </c>
    </row>
    <row r="461">
      <c r="L461">
        <f>SUM(I461:K461)</f>
        <v/>
      </c>
      <c r="M461">
        <f>L461/100000</f>
        <v/>
      </c>
    </row>
    <row r="462">
      <c r="L462">
        <f>SUM(I462:K462)</f>
        <v/>
      </c>
      <c r="M462">
        <f>L462/100000</f>
        <v/>
      </c>
    </row>
    <row r="463">
      <c r="L463">
        <f>SUM(I463:K463)</f>
        <v/>
      </c>
      <c r="M463">
        <f>L463/100000</f>
        <v/>
      </c>
    </row>
    <row r="464">
      <c r="L464">
        <f>SUM(I464:K464)</f>
        <v/>
      </c>
      <c r="M464">
        <f>L464/100000</f>
        <v/>
      </c>
    </row>
    <row r="465">
      <c r="L465">
        <f>SUM(I465:K465)</f>
        <v/>
      </c>
      <c r="M465">
        <f>L465/100000</f>
        <v/>
      </c>
    </row>
    <row r="466">
      <c r="L466">
        <f>SUM(I466:K466)</f>
        <v/>
      </c>
      <c r="M466">
        <f>L466/100000</f>
        <v/>
      </c>
    </row>
    <row r="467">
      <c r="L467">
        <f>SUM(I467:K467)</f>
        <v/>
      </c>
      <c r="M467">
        <f>L467/100000</f>
        <v/>
      </c>
    </row>
    <row r="468">
      <c r="L468">
        <f>SUM(I468:K468)</f>
        <v/>
      </c>
      <c r="M468">
        <f>L468/100000</f>
        <v/>
      </c>
    </row>
    <row r="469">
      <c r="L469">
        <f>SUM(I469:K469)</f>
        <v/>
      </c>
      <c r="M469">
        <f>L469/100000</f>
        <v/>
      </c>
    </row>
    <row r="470">
      <c r="L470">
        <f>SUM(I470:K470)</f>
        <v/>
      </c>
      <c r="M470">
        <f>L470/100000</f>
        <v/>
      </c>
    </row>
    <row r="471">
      <c r="L471">
        <f>SUM(I471:K471)</f>
        <v/>
      </c>
      <c r="M471">
        <f>L471/100000</f>
        <v/>
      </c>
    </row>
    <row r="472">
      <c r="L472">
        <f>SUM(I472:K472)</f>
        <v/>
      </c>
      <c r="M472">
        <f>L472/100000</f>
        <v/>
      </c>
    </row>
    <row r="473">
      <c r="L473">
        <f>SUM(I473:K473)</f>
        <v/>
      </c>
      <c r="M473">
        <f>L473/100000</f>
        <v/>
      </c>
    </row>
    <row r="474">
      <c r="L474">
        <f>SUM(I474:K474)</f>
        <v/>
      </c>
      <c r="M474">
        <f>L474/100000</f>
        <v/>
      </c>
    </row>
    <row r="475">
      <c r="L475">
        <f>SUM(I475:K475)</f>
        <v/>
      </c>
      <c r="M475">
        <f>L475/100000</f>
        <v/>
      </c>
    </row>
    <row r="476">
      <c r="L476">
        <f>SUM(I476:K476)</f>
        <v/>
      </c>
      <c r="M476">
        <f>L476/100000</f>
        <v/>
      </c>
    </row>
    <row r="477">
      <c r="L477">
        <f>SUM(I477:K477)</f>
        <v/>
      </c>
      <c r="M477">
        <f>L477/100000</f>
        <v/>
      </c>
    </row>
    <row r="478">
      <c r="L478">
        <f>SUM(I478:K478)</f>
        <v/>
      </c>
      <c r="M478">
        <f>L478/100000</f>
        <v/>
      </c>
    </row>
    <row r="479">
      <c r="L479">
        <f>SUM(I479:K479)</f>
        <v/>
      </c>
      <c r="M479">
        <f>L479/100000</f>
        <v/>
      </c>
    </row>
    <row r="480">
      <c r="L480">
        <f>SUM(I480:K480)</f>
        <v/>
      </c>
      <c r="M480">
        <f>L480/100000</f>
        <v/>
      </c>
    </row>
    <row r="481">
      <c r="L481">
        <f>SUM(I481:K481)</f>
        <v/>
      </c>
      <c r="M481">
        <f>L481/100000</f>
        <v/>
      </c>
    </row>
    <row r="482">
      <c r="L482">
        <f>SUM(I482:K482)</f>
        <v/>
      </c>
      <c r="M482">
        <f>L482/100000</f>
        <v/>
      </c>
    </row>
    <row r="483">
      <c r="L483">
        <f>SUM(I483:K483)</f>
        <v/>
      </c>
      <c r="M483">
        <f>L483/100000</f>
        <v/>
      </c>
    </row>
    <row r="484">
      <c r="L484">
        <f>SUM(I484:K484)</f>
        <v/>
      </c>
      <c r="M484">
        <f>L484/100000</f>
        <v/>
      </c>
    </row>
    <row r="485">
      <c r="L485">
        <f>SUM(I485:K485)</f>
        <v/>
      </c>
      <c r="M485">
        <f>L485/100000</f>
        <v/>
      </c>
    </row>
    <row r="486">
      <c r="L486">
        <f>SUM(I486:K486)</f>
        <v/>
      </c>
      <c r="M486">
        <f>L486/100000</f>
        <v/>
      </c>
    </row>
    <row r="487">
      <c r="L487">
        <f>SUM(I487:K487)</f>
        <v/>
      </c>
      <c r="M487">
        <f>L487/100000</f>
        <v/>
      </c>
    </row>
    <row r="488">
      <c r="L488">
        <f>SUM(I488:K488)</f>
        <v/>
      </c>
      <c r="M488">
        <f>L488/100000</f>
        <v/>
      </c>
    </row>
    <row r="489">
      <c r="L489">
        <f>SUM(I489:K489)</f>
        <v/>
      </c>
      <c r="M489">
        <f>L489/100000</f>
        <v/>
      </c>
    </row>
    <row r="490">
      <c r="L490">
        <f>SUM(I490:K490)</f>
        <v/>
      </c>
      <c r="M490">
        <f>L490/100000</f>
        <v/>
      </c>
    </row>
    <row r="491">
      <c r="L491">
        <f>SUM(I491:K491)</f>
        <v/>
      </c>
      <c r="M491">
        <f>L491/100000</f>
        <v/>
      </c>
    </row>
    <row r="492">
      <c r="L492">
        <f>SUM(I492:K492)</f>
        <v/>
      </c>
      <c r="M492">
        <f>L492/100000</f>
        <v/>
      </c>
    </row>
    <row r="493">
      <c r="L493">
        <f>SUM(I493:K493)</f>
        <v/>
      </c>
      <c r="M493">
        <f>L493/100000</f>
        <v/>
      </c>
    </row>
    <row r="494">
      <c r="L494">
        <f>SUM(I494:K494)</f>
        <v/>
      </c>
      <c r="M494">
        <f>L494/100000</f>
        <v/>
      </c>
    </row>
    <row r="495">
      <c r="L495">
        <f>SUM(I495:K495)</f>
        <v/>
      </c>
      <c r="M495">
        <f>L495/100000</f>
        <v/>
      </c>
    </row>
    <row r="496">
      <c r="L496">
        <f>SUM(I496:K496)</f>
        <v/>
      </c>
      <c r="M496">
        <f>L496/100000</f>
        <v/>
      </c>
    </row>
    <row r="497">
      <c r="L497">
        <f>SUM(I497:K497)</f>
        <v/>
      </c>
      <c r="M497">
        <f>L497/100000</f>
        <v/>
      </c>
    </row>
    <row r="498">
      <c r="L498">
        <f>SUM(I498:K498)</f>
        <v/>
      </c>
      <c r="M498">
        <f>L498/100000</f>
        <v/>
      </c>
    </row>
    <row r="499">
      <c r="L499">
        <f>SUM(I499:K499)</f>
        <v/>
      </c>
      <c r="M499">
        <f>L499/100000</f>
        <v/>
      </c>
    </row>
    <row r="500">
      <c r="L500">
        <f>SUM(I500:K500)</f>
        <v/>
      </c>
      <c r="M500">
        <f>L500/100000</f>
        <v/>
      </c>
    </row>
    <row r="501"/>
    <row r="502"/>
    <row r="503"/>
    <row r="504"/>
    <row r="505">
      <c r="A505" s="2" t="inlineStr">
        <is>
          <t>Summary – Institution Seed Money (Internal Research Grants)</t>
        </is>
      </c>
    </row>
    <row r="506">
      <c r="A506" s="2" t="inlineStr">
        <is>
          <t>Academic Year</t>
        </is>
      </c>
      <c r="B506" s="2" t="inlineStr">
        <is>
          <t>Sanctioned Total (₹ Lakhs)</t>
        </is>
      </c>
      <c r="C506" s="2" t="inlineStr">
        <is>
          <t>Utilized Total (₹ Lakhs)</t>
        </is>
      </c>
      <c r="D506" s="2" t="inlineStr">
        <is>
          <t>Received Total (₹ Lakhs)</t>
        </is>
      </c>
    </row>
    <row r="507">
      <c r="A507" t="inlineStr">
        <is>
          <t>CAYm1</t>
        </is>
      </c>
      <c r="B507">
        <f>SUMIF(H2:H500,"CAYm1",E2:E500)</f>
        <v/>
      </c>
      <c r="C507">
        <f>SUMIF(H2:H500,"CAYm1",F2:F500)</f>
        <v/>
      </c>
      <c r="D507">
        <f>SUM(I2:I500)/100000</f>
        <v/>
      </c>
    </row>
    <row r="508">
      <c r="A508" t="inlineStr">
        <is>
          <t>CAYm2</t>
        </is>
      </c>
      <c r="B508">
        <f>SUMIF(H2:H500,"CAYm2",E2:E500)</f>
        <v/>
      </c>
      <c r="C508">
        <f>SUMIF(H2:H500,"CAYm2",F2:F500)</f>
        <v/>
      </c>
      <c r="D508">
        <f>SUM(J2:J500)/100000</f>
        <v/>
      </c>
    </row>
    <row r="509">
      <c r="A509" t="inlineStr">
        <is>
          <t>CAYm3</t>
        </is>
      </c>
      <c r="B509">
        <f>SUMIF(H2:H500,"CAYm3",E2:E500)</f>
        <v/>
      </c>
      <c r="C509">
        <f>SUMIF(H2:H500,"CAYm3",F2:F500)</f>
        <v/>
      </c>
      <c r="D509">
        <f>SUM(K2:K500)/100000</f>
        <v/>
      </c>
    </row>
    <row r="510">
      <c r="A510" t="inlineStr">
        <is>
          <t>Total</t>
        </is>
      </c>
      <c r="B510">
        <f>SUM(B507:B509)</f>
        <v/>
      </c>
      <c r="C510">
        <f>SUM(C507:C509)</f>
        <v/>
      </c>
      <c r="D510">
        <f>SUM(D507:D509)</f>
        <v/>
      </c>
    </row>
    <row r="511"/>
    <row r="512">
      <c r="A512" s="2" t="inlineStr">
        <is>
          <t>Marks – Received (3) + Utilized (2)</t>
        </is>
      </c>
    </row>
    <row r="513">
      <c r="A513" t="inlineStr">
        <is>
          <t>Received Marks (3)</t>
        </is>
      </c>
      <c r="B513">
        <f>IF(D510&gt;6,3,IF(D510&gt;4,2,IF(D510&gt;2,1,0)))</f>
        <v/>
      </c>
    </row>
    <row r="514">
      <c r="A514" t="inlineStr">
        <is>
          <t>Utilized Marks (2)</t>
        </is>
      </c>
      <c r="B514">
        <f>IF(B510=0,0,MIN(2,2*(C510/B510)))</f>
        <v/>
      </c>
    </row>
    <row r="515">
      <c r="A515" t="inlineStr">
        <is>
          <t>Total Marks (out of 5)</t>
        </is>
      </c>
      <c r="B515">
        <f>B513+B514</f>
        <v/>
      </c>
    </row>
    <row r="516"/>
    <row r="517">
      <c r="A517" s="6" t="inlineStr">
        <is>
          <t>Notes: 1) Amounts are in ₹ Lakhs. 2) Received marks follow NBA thresholds; Utilized marks scale with utilization ratio (100% ⇒ 2). 3) Avoid duplication with 6.2.4/6.2.5.</t>
        </is>
      </c>
    </row>
  </sheetData>
  <mergeCells count="3">
    <mergeCell ref="A505:H505"/>
    <mergeCell ref="A512:H512"/>
    <mergeCell ref="A517:H517"/>
  </mergeCells>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showErrorMessage="1" showDropDown="1" showInputMessage="1" allowBlank="1" type="list">
      <formula1>"CAYm1,CAYm2,CAYm3"</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2025-08-30T01:52:06Z</dcterms:created>
  <dcterms:modified xmlns:dcterms="http://purl.org/dc/terms/" xmlns:xsi="http://www.w3.org/2001/XMLSchema-instance" xsi:type="dcterms:W3CDTF">2025-08-30T01:52:06Z</dcterms:modified>
</cp:coreProperties>
</file>