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Cs_EContent_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mmary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Course / E-Content Title</t>
        </is>
      </c>
      <c r="D1" s="1" t="inlineStr">
        <is>
          <t>Platform / Initiative (URL if available)</t>
        </is>
      </c>
      <c r="E1" s="1" t="inlineStr">
        <is>
          <t>Platform Category (SWAYAM / SWAYAM Plus / NPTEL / e-PG Pathshala / Virtual Labs / LMS / Other)</t>
        </is>
      </c>
      <c r="F1" s="1" t="inlineStr">
        <is>
          <t>Role (Coordinator / Instructor / Content Developer / Reviewer / Editor)</t>
        </is>
      </c>
      <c r="G1" s="1" t="inlineStr">
        <is>
          <t>Duration (From – To or Term)</t>
        </is>
      </c>
      <c r="H1" s="1" t="inlineStr">
        <is>
          <t>Academic Year Tag (CAY / CAYm1 / CAYm2)</t>
        </is>
      </c>
      <c r="I1" s="1" t="inlineStr">
        <is>
          <t>No. of Modules / Videos (Optional)</t>
        </is>
      </c>
      <c r="J1" s="1" t="inlineStr">
        <is>
          <t>Approx. Learner Count (Optional)</t>
        </is>
      </c>
      <c r="K1" s="1" t="inlineStr">
        <is>
          <t>Evidence Type (URL / Certificate / Zip / Report)</t>
        </is>
      </c>
      <c r="L1" s="1" t="inlineStr">
        <is>
          <t>Evidence Link / File Path</t>
        </is>
      </c>
      <c r="M1" t="inlineStr">
        <is>
          <t>Institutional Report Evidence (Y/N + File Link)</t>
        </is>
      </c>
      <c r="N1" s="1" t="inlineStr">
        <is>
          <t>Verification Status (Y/N)</t>
        </is>
      </c>
      <c r="O1" s="1" t="inlineStr">
        <is>
          <t>Remarks</t>
        </is>
      </c>
      <c r="P1" t="inlineStr">
        <is>
          <t>Institutional Report Evidence (Y/N + File Link)</t>
        </is>
      </c>
      <c r="Q1" t="inlineStr">
        <is>
          <t>Institutional Report (Y/N) [Mirror]</t>
        </is>
      </c>
    </row>
    <row r="2">
      <c r="M2" t="inlineStr"/>
      <c r="N2">
        <f>IF(OR(E2="SWAYAM",E2="SWAYAM Plus",E2="NPTEL",E2="e-PG Pathshala"),"Y","")</f>
        <v/>
      </c>
      <c r="O2">
        <f>M2</f>
        <v/>
      </c>
      <c r="Q2" t="inlineStr"/>
    </row>
    <row r="3">
      <c r="M3" t="inlineStr"/>
      <c r="N3">
        <f>IF(OR(E3="SWAYAM",E3="SWAYAM Plus",E3="NPTEL",E3="e-PG Pathshala"),"Y","")</f>
        <v/>
      </c>
      <c r="O3">
        <f>M3</f>
        <v/>
      </c>
      <c r="Q3" t="inlineStr"/>
    </row>
    <row r="4">
      <c r="M4" t="inlineStr"/>
      <c r="N4">
        <f>IF(OR(E4="SWAYAM",E4="SWAYAM Plus",E4="NPTEL",E4="e-PG Pathshala"),"Y","")</f>
        <v/>
      </c>
      <c r="O4">
        <f>M4</f>
        <v/>
      </c>
      <c r="Q4" t="inlineStr"/>
    </row>
    <row r="5">
      <c r="M5" t="inlineStr"/>
      <c r="N5">
        <f>IF(OR(E5="SWAYAM",E5="SWAYAM Plus",E5="NPTEL",E5="e-PG Pathshala"),"Y","")</f>
        <v/>
      </c>
      <c r="O5">
        <f>M5</f>
        <v/>
      </c>
      <c r="Q5" t="inlineStr"/>
    </row>
    <row r="6">
      <c r="M6" t="inlineStr"/>
      <c r="N6">
        <f>IF(OR(E6="SWAYAM",E6="SWAYAM Plus",E6="NPTEL",E6="e-PG Pathshala"),"Y","")</f>
        <v/>
      </c>
      <c r="O6">
        <f>M6</f>
        <v/>
      </c>
      <c r="Q6" t="inlineStr"/>
    </row>
    <row r="7">
      <c r="M7" t="inlineStr"/>
      <c r="N7">
        <f>IF(OR(E7="SWAYAM",E7="SWAYAM Plus",E7="NPTEL",E7="e-PG Pathshala"),"Y","")</f>
        <v/>
      </c>
      <c r="O7">
        <f>M7</f>
        <v/>
      </c>
      <c r="Q7" t="inlineStr"/>
    </row>
    <row r="8">
      <c r="M8" t="inlineStr"/>
      <c r="N8">
        <f>IF(OR(E8="SWAYAM",E8="SWAYAM Plus",E8="NPTEL",E8="e-PG Pathshala"),"Y","")</f>
        <v/>
      </c>
      <c r="O8">
        <f>M8</f>
        <v/>
      </c>
      <c r="Q8" t="inlineStr"/>
    </row>
    <row r="9">
      <c r="M9" t="inlineStr"/>
      <c r="N9">
        <f>IF(OR(E9="SWAYAM",E9="SWAYAM Plus",E9="NPTEL",E9="e-PG Pathshala"),"Y","")</f>
        <v/>
      </c>
      <c r="O9">
        <f>M9</f>
        <v/>
      </c>
      <c r="Q9" t="inlineStr"/>
    </row>
    <row r="10">
      <c r="M10" t="inlineStr"/>
      <c r="N10">
        <f>IF(OR(E10="SWAYAM",E10="SWAYAM Plus",E10="NPTEL",E10="e-PG Pathshala"),"Y","")</f>
        <v/>
      </c>
      <c r="O10">
        <f>M10</f>
        <v/>
      </c>
      <c r="Q10" t="inlineStr"/>
    </row>
    <row r="11">
      <c r="M11" t="inlineStr"/>
      <c r="N11">
        <f>IF(OR(E11="SWAYAM",E11="SWAYAM Plus",E11="NPTEL",E11="e-PG Pathshala"),"Y","")</f>
        <v/>
      </c>
      <c r="O11">
        <f>M11</f>
        <v/>
      </c>
      <c r="Q11" t="inlineStr"/>
    </row>
    <row r="12">
      <c r="M12" t="inlineStr"/>
      <c r="N12">
        <f>IF(OR(E12="SWAYAM",E12="SWAYAM Plus",E12="NPTEL",E12="e-PG Pathshala"),"Y","")</f>
        <v/>
      </c>
      <c r="O12">
        <f>M12</f>
        <v/>
      </c>
      <c r="Q12" t="inlineStr"/>
    </row>
    <row r="13">
      <c r="M13" t="inlineStr"/>
      <c r="N13">
        <f>IF(OR(E13="SWAYAM",E13="SWAYAM Plus",E13="NPTEL",E13="e-PG Pathshala"),"Y","")</f>
        <v/>
      </c>
      <c r="O13">
        <f>M13</f>
        <v/>
      </c>
      <c r="Q13" t="inlineStr"/>
    </row>
    <row r="14">
      <c r="M14" t="inlineStr"/>
      <c r="N14">
        <f>IF(OR(E14="SWAYAM",E14="SWAYAM Plus",E14="NPTEL",E14="e-PG Pathshala"),"Y","")</f>
        <v/>
      </c>
      <c r="O14">
        <f>M14</f>
        <v/>
      </c>
      <c r="Q14" t="inlineStr"/>
    </row>
    <row r="15">
      <c r="M15" t="inlineStr"/>
      <c r="N15">
        <f>IF(OR(E15="SWAYAM",E15="SWAYAM Plus",E15="NPTEL",E15="e-PG Pathshala"),"Y","")</f>
        <v/>
      </c>
      <c r="O15">
        <f>M15</f>
        <v/>
      </c>
      <c r="Q15" t="inlineStr"/>
    </row>
    <row r="16">
      <c r="M16" t="inlineStr"/>
      <c r="N16">
        <f>IF(OR(E16="SWAYAM",E16="SWAYAM Plus",E16="NPTEL",E16="e-PG Pathshala"),"Y","")</f>
        <v/>
      </c>
      <c r="O16">
        <f>M16</f>
        <v/>
      </c>
      <c r="Q16" t="inlineStr"/>
    </row>
    <row r="17">
      <c r="M17" t="inlineStr"/>
      <c r="N17">
        <f>IF(OR(E17="SWAYAM",E17="SWAYAM Plus",E17="NPTEL",E17="e-PG Pathshala"),"Y","")</f>
        <v/>
      </c>
      <c r="O17">
        <f>M17</f>
        <v/>
      </c>
      <c r="Q17" t="inlineStr"/>
    </row>
    <row r="18">
      <c r="M18" t="inlineStr"/>
      <c r="N18">
        <f>IF(OR(E18="SWAYAM",E18="SWAYAM Plus",E18="NPTEL",E18="e-PG Pathshala"),"Y","")</f>
        <v/>
      </c>
      <c r="O18">
        <f>M18</f>
        <v/>
      </c>
      <c r="Q18" t="inlineStr"/>
    </row>
    <row r="19">
      <c r="M19" t="inlineStr"/>
      <c r="N19">
        <f>IF(OR(E19="SWAYAM",E19="SWAYAM Plus",E19="NPTEL",E19="e-PG Pathshala"),"Y","")</f>
        <v/>
      </c>
      <c r="O19">
        <f>M19</f>
        <v/>
      </c>
      <c r="Q19" t="inlineStr"/>
    </row>
    <row r="20">
      <c r="M20" t="inlineStr"/>
      <c r="N20">
        <f>IF(OR(E20="SWAYAM",E20="SWAYAM Plus",E20="NPTEL",E20="e-PG Pathshala"),"Y","")</f>
        <v/>
      </c>
      <c r="O20">
        <f>M20</f>
        <v/>
      </c>
      <c r="Q20" t="inlineStr"/>
    </row>
    <row r="21">
      <c r="M21" t="inlineStr"/>
      <c r="N21">
        <f>IF(OR(E21="SWAYAM",E21="SWAYAM Plus",E21="NPTEL",E21="e-PG Pathshala"),"Y","")</f>
        <v/>
      </c>
      <c r="O21">
        <f>M21</f>
        <v/>
      </c>
      <c r="Q21" t="inlineStr"/>
    </row>
    <row r="22">
      <c r="M22" t="inlineStr"/>
      <c r="N22">
        <f>IF(OR(E22="SWAYAM",E22="SWAYAM Plus",E22="NPTEL",E22="e-PG Pathshala"),"Y","")</f>
        <v/>
      </c>
      <c r="O22">
        <f>M22</f>
        <v/>
      </c>
      <c r="Q22" t="inlineStr"/>
    </row>
    <row r="23">
      <c r="M23" t="inlineStr"/>
      <c r="N23">
        <f>IF(OR(E23="SWAYAM",E23="SWAYAM Plus",E23="NPTEL",E23="e-PG Pathshala"),"Y","")</f>
        <v/>
      </c>
      <c r="O23">
        <f>M23</f>
        <v/>
      </c>
      <c r="Q23" t="inlineStr"/>
    </row>
    <row r="24">
      <c r="M24" t="inlineStr"/>
      <c r="N24">
        <f>IF(OR(E24="SWAYAM",E24="SWAYAM Plus",E24="NPTEL",E24="e-PG Pathshala"),"Y","")</f>
        <v/>
      </c>
      <c r="O24">
        <f>M24</f>
        <v/>
      </c>
      <c r="Q24" t="inlineStr"/>
    </row>
    <row r="25">
      <c r="M25" t="inlineStr"/>
      <c r="N25">
        <f>IF(OR(E25="SWAYAM",E25="SWAYAM Plus",E25="NPTEL",E25="e-PG Pathshala"),"Y","")</f>
        <v/>
      </c>
      <c r="O25">
        <f>M25</f>
        <v/>
      </c>
      <c r="Q25" t="inlineStr"/>
    </row>
    <row r="26">
      <c r="M26" t="inlineStr"/>
      <c r="N26">
        <f>IF(OR(E26="SWAYAM",E26="SWAYAM Plus",E26="NPTEL",E26="e-PG Pathshala"),"Y","")</f>
        <v/>
      </c>
      <c r="O26">
        <f>M26</f>
        <v/>
      </c>
      <c r="Q26" t="inlineStr"/>
    </row>
    <row r="27">
      <c r="M27" t="inlineStr"/>
      <c r="N27">
        <f>IF(OR(E27="SWAYAM",E27="SWAYAM Plus",E27="NPTEL",E27="e-PG Pathshala"),"Y","")</f>
        <v/>
      </c>
      <c r="O27">
        <f>M27</f>
        <v/>
      </c>
      <c r="Q27" t="inlineStr"/>
    </row>
    <row r="28">
      <c r="M28" t="inlineStr"/>
      <c r="N28">
        <f>IF(OR(E28="SWAYAM",E28="SWAYAM Plus",E28="NPTEL",E28="e-PG Pathshala"),"Y","")</f>
        <v/>
      </c>
      <c r="O28">
        <f>M28</f>
        <v/>
      </c>
      <c r="Q28" t="inlineStr"/>
    </row>
    <row r="29">
      <c r="M29" t="inlineStr"/>
      <c r="N29">
        <f>IF(OR(E29="SWAYAM",E29="SWAYAM Plus",E29="NPTEL",E29="e-PG Pathshala"),"Y","")</f>
        <v/>
      </c>
      <c r="O29">
        <f>M29</f>
        <v/>
      </c>
      <c r="Q29" t="inlineStr"/>
    </row>
    <row r="30">
      <c r="M30" t="inlineStr"/>
      <c r="N30">
        <f>IF(OR(E30="SWAYAM",E30="SWAYAM Plus",E30="NPTEL",E30="e-PG Pathshala"),"Y","")</f>
        <v/>
      </c>
      <c r="O30">
        <f>M30</f>
        <v/>
      </c>
      <c r="Q30" t="inlineStr"/>
    </row>
    <row r="31">
      <c r="M31" t="inlineStr"/>
      <c r="N31">
        <f>IF(OR(E31="SWAYAM",E31="SWAYAM Plus",E31="NPTEL",E31="e-PG Pathshala"),"Y","")</f>
        <v/>
      </c>
      <c r="O31">
        <f>M31</f>
        <v/>
      </c>
      <c r="Q31" t="inlineStr"/>
    </row>
    <row r="32">
      <c r="M32" t="inlineStr"/>
      <c r="N32">
        <f>IF(OR(E32="SWAYAM",E32="SWAYAM Plus",E32="NPTEL",E32="e-PG Pathshala"),"Y","")</f>
        <v/>
      </c>
      <c r="O32">
        <f>M32</f>
        <v/>
      </c>
      <c r="Q32" t="inlineStr"/>
    </row>
    <row r="33">
      <c r="M33" t="inlineStr"/>
      <c r="N33">
        <f>IF(OR(E33="SWAYAM",E33="SWAYAM Plus",E33="NPTEL",E33="e-PG Pathshala"),"Y","")</f>
        <v/>
      </c>
      <c r="O33">
        <f>M33</f>
        <v/>
      </c>
      <c r="Q33" t="inlineStr"/>
    </row>
    <row r="34">
      <c r="M34" t="inlineStr"/>
      <c r="N34">
        <f>IF(OR(E34="SWAYAM",E34="SWAYAM Plus",E34="NPTEL",E34="e-PG Pathshala"),"Y","")</f>
        <v/>
      </c>
      <c r="O34">
        <f>M34</f>
        <v/>
      </c>
      <c r="Q34" t="inlineStr"/>
    </row>
    <row r="35">
      <c r="M35" t="inlineStr"/>
      <c r="N35">
        <f>IF(OR(E35="SWAYAM",E35="SWAYAM Plus",E35="NPTEL",E35="e-PG Pathshala"),"Y","")</f>
        <v/>
      </c>
      <c r="O35">
        <f>M35</f>
        <v/>
      </c>
      <c r="Q35" t="inlineStr"/>
    </row>
    <row r="36">
      <c r="M36" t="inlineStr"/>
      <c r="N36">
        <f>IF(OR(E36="SWAYAM",E36="SWAYAM Plus",E36="NPTEL",E36="e-PG Pathshala"),"Y","")</f>
        <v/>
      </c>
      <c r="O36">
        <f>M36</f>
        <v/>
      </c>
      <c r="Q36" t="inlineStr"/>
    </row>
    <row r="37">
      <c r="M37" t="inlineStr"/>
      <c r="N37">
        <f>IF(OR(E37="SWAYAM",E37="SWAYAM Plus",E37="NPTEL",E37="e-PG Pathshala"),"Y","")</f>
        <v/>
      </c>
      <c r="O37">
        <f>M37</f>
        <v/>
      </c>
      <c r="Q37" t="inlineStr"/>
    </row>
    <row r="38">
      <c r="M38" t="inlineStr"/>
      <c r="N38">
        <f>IF(OR(E38="SWAYAM",E38="SWAYAM Plus",E38="NPTEL",E38="e-PG Pathshala"),"Y","")</f>
        <v/>
      </c>
      <c r="O38">
        <f>M38</f>
        <v/>
      </c>
      <c r="Q38" t="inlineStr"/>
    </row>
    <row r="39">
      <c r="M39" t="inlineStr"/>
      <c r="N39">
        <f>IF(OR(E39="SWAYAM",E39="SWAYAM Plus",E39="NPTEL",E39="e-PG Pathshala"),"Y","")</f>
        <v/>
      </c>
      <c r="O39">
        <f>M39</f>
        <v/>
      </c>
      <c r="Q39" t="inlineStr"/>
    </row>
    <row r="40">
      <c r="M40" t="inlineStr"/>
      <c r="N40">
        <f>IF(OR(E40="SWAYAM",E40="SWAYAM Plus",E40="NPTEL",E40="e-PG Pathshala"),"Y","")</f>
        <v/>
      </c>
      <c r="O40">
        <f>M40</f>
        <v/>
      </c>
      <c r="Q40" t="inlineStr"/>
    </row>
    <row r="41">
      <c r="M41" t="inlineStr"/>
      <c r="N41">
        <f>IF(OR(E41="SWAYAM",E41="SWAYAM Plus",E41="NPTEL",E41="e-PG Pathshala"),"Y","")</f>
        <v/>
      </c>
      <c r="O41">
        <f>M41</f>
        <v/>
      </c>
      <c r="Q41" t="inlineStr"/>
    </row>
    <row r="42">
      <c r="M42" t="inlineStr"/>
      <c r="N42">
        <f>IF(OR(E42="SWAYAM",E42="SWAYAM Plus",E42="NPTEL",E42="e-PG Pathshala"),"Y","")</f>
        <v/>
      </c>
      <c r="O42">
        <f>M42</f>
        <v/>
      </c>
      <c r="Q42" t="inlineStr"/>
    </row>
    <row r="43">
      <c r="M43" t="inlineStr"/>
      <c r="N43">
        <f>IF(OR(E43="SWAYAM",E43="SWAYAM Plus",E43="NPTEL",E43="e-PG Pathshala"),"Y","")</f>
        <v/>
      </c>
      <c r="O43">
        <f>M43</f>
        <v/>
      </c>
      <c r="Q43" t="inlineStr"/>
    </row>
    <row r="44">
      <c r="M44" t="inlineStr"/>
      <c r="N44">
        <f>IF(OR(E44="SWAYAM",E44="SWAYAM Plus",E44="NPTEL",E44="e-PG Pathshala"),"Y","")</f>
        <v/>
      </c>
      <c r="O44">
        <f>M44</f>
        <v/>
      </c>
      <c r="Q44" t="inlineStr"/>
    </row>
    <row r="45">
      <c r="M45" t="inlineStr"/>
      <c r="N45">
        <f>IF(OR(E45="SWAYAM",E45="SWAYAM Plus",E45="NPTEL",E45="e-PG Pathshala"),"Y","")</f>
        <v/>
      </c>
      <c r="O45">
        <f>M45</f>
        <v/>
      </c>
      <c r="Q45" t="inlineStr"/>
    </row>
    <row r="46">
      <c r="M46" t="inlineStr"/>
      <c r="N46">
        <f>IF(OR(E46="SWAYAM",E46="SWAYAM Plus",E46="NPTEL",E46="e-PG Pathshala"),"Y","")</f>
        <v/>
      </c>
      <c r="O46">
        <f>M46</f>
        <v/>
      </c>
      <c r="Q46" t="inlineStr"/>
    </row>
    <row r="47">
      <c r="M47" t="inlineStr"/>
      <c r="N47">
        <f>IF(OR(E47="SWAYAM",E47="SWAYAM Plus",E47="NPTEL",E47="e-PG Pathshala"),"Y","")</f>
        <v/>
      </c>
      <c r="O47">
        <f>M47</f>
        <v/>
      </c>
      <c r="Q47" t="inlineStr"/>
    </row>
    <row r="48">
      <c r="M48" t="inlineStr"/>
      <c r="N48">
        <f>IF(OR(E48="SWAYAM",E48="SWAYAM Plus",E48="NPTEL",E48="e-PG Pathshala"),"Y","")</f>
        <v/>
      </c>
      <c r="O48">
        <f>M48</f>
        <v/>
      </c>
      <c r="Q48" t="inlineStr"/>
    </row>
    <row r="49">
      <c r="M49" t="inlineStr"/>
      <c r="N49">
        <f>IF(OR(E49="SWAYAM",E49="SWAYAM Plus",E49="NPTEL",E49="e-PG Pathshala"),"Y","")</f>
        <v/>
      </c>
      <c r="O49">
        <f>M49</f>
        <v/>
      </c>
      <c r="Q49" t="inlineStr"/>
    </row>
    <row r="50">
      <c r="M50" t="inlineStr"/>
      <c r="N50">
        <f>IF(OR(E50="SWAYAM",E50="SWAYAM Plus",E50="NPTEL",E50="e-PG Pathshala"),"Y","")</f>
        <v/>
      </c>
      <c r="O50">
        <f>M50</f>
        <v/>
      </c>
      <c r="Q50" t="inlineStr"/>
    </row>
    <row r="51">
      <c r="M51" t="inlineStr"/>
      <c r="N51">
        <f>IF(OR(E51="SWAYAM",E51="SWAYAM Plus",E51="NPTEL",E51="e-PG Pathshala"),"Y","")</f>
        <v/>
      </c>
      <c r="O51">
        <f>M51</f>
        <v/>
      </c>
      <c r="Q51" t="inlineStr"/>
    </row>
    <row r="52">
      <c r="M52" t="inlineStr"/>
      <c r="N52">
        <f>IF(OR(E52="SWAYAM",E52="SWAYAM Plus",E52="NPTEL",E52="e-PG Pathshala"),"Y","")</f>
        <v/>
      </c>
      <c r="O52">
        <f>M52</f>
        <v/>
      </c>
      <c r="Q52" t="inlineStr"/>
    </row>
    <row r="53">
      <c r="M53" t="inlineStr"/>
      <c r="N53">
        <f>IF(OR(E53="SWAYAM",E53="SWAYAM Plus",E53="NPTEL",E53="e-PG Pathshala"),"Y","")</f>
        <v/>
      </c>
      <c r="O53">
        <f>M53</f>
        <v/>
      </c>
      <c r="Q53" t="inlineStr"/>
    </row>
    <row r="54">
      <c r="M54" t="inlineStr"/>
      <c r="N54">
        <f>IF(OR(E54="SWAYAM",E54="SWAYAM Plus",E54="NPTEL",E54="e-PG Pathshala"),"Y","")</f>
        <v/>
      </c>
      <c r="O54">
        <f>M54</f>
        <v/>
      </c>
      <c r="Q54" t="inlineStr"/>
    </row>
    <row r="55">
      <c r="M55" t="inlineStr"/>
      <c r="N55">
        <f>IF(OR(E55="SWAYAM",E55="SWAYAM Plus",E55="NPTEL",E55="e-PG Pathshala"),"Y","")</f>
        <v/>
      </c>
      <c r="O55">
        <f>M55</f>
        <v/>
      </c>
      <c r="Q55" t="inlineStr"/>
    </row>
    <row r="56">
      <c r="M56" t="inlineStr"/>
      <c r="N56">
        <f>IF(OR(E56="SWAYAM",E56="SWAYAM Plus",E56="NPTEL",E56="e-PG Pathshala"),"Y","")</f>
        <v/>
      </c>
      <c r="O56">
        <f>M56</f>
        <v/>
      </c>
      <c r="Q56" t="inlineStr"/>
    </row>
    <row r="57">
      <c r="M57" t="inlineStr"/>
      <c r="N57">
        <f>IF(OR(E57="SWAYAM",E57="SWAYAM Plus",E57="NPTEL",E57="e-PG Pathshala"),"Y","")</f>
        <v/>
      </c>
      <c r="O57">
        <f>M57</f>
        <v/>
      </c>
      <c r="Q57" t="inlineStr"/>
    </row>
    <row r="58">
      <c r="M58" t="inlineStr"/>
      <c r="N58">
        <f>IF(OR(E58="SWAYAM",E58="SWAYAM Plus",E58="NPTEL",E58="e-PG Pathshala"),"Y","")</f>
        <v/>
      </c>
      <c r="O58">
        <f>M58</f>
        <v/>
      </c>
      <c r="Q58" t="inlineStr"/>
    </row>
    <row r="59">
      <c r="M59" t="inlineStr"/>
      <c r="N59">
        <f>IF(OR(E59="SWAYAM",E59="SWAYAM Plus",E59="NPTEL",E59="e-PG Pathshala"),"Y","")</f>
        <v/>
      </c>
      <c r="O59">
        <f>M59</f>
        <v/>
      </c>
      <c r="Q59" t="inlineStr"/>
    </row>
    <row r="60">
      <c r="M60" t="inlineStr"/>
      <c r="N60">
        <f>IF(OR(E60="SWAYAM",E60="SWAYAM Plus",E60="NPTEL",E60="e-PG Pathshala"),"Y","")</f>
        <v/>
      </c>
      <c r="O60">
        <f>M60</f>
        <v/>
      </c>
      <c r="Q60" t="inlineStr"/>
    </row>
    <row r="61">
      <c r="M61" t="inlineStr"/>
      <c r="N61">
        <f>IF(OR(E61="SWAYAM",E61="SWAYAM Plus",E61="NPTEL",E61="e-PG Pathshala"),"Y","")</f>
        <v/>
      </c>
      <c r="O61">
        <f>M61</f>
        <v/>
      </c>
      <c r="Q61" t="inlineStr"/>
    </row>
    <row r="62">
      <c r="M62" t="inlineStr"/>
      <c r="N62">
        <f>IF(OR(E62="SWAYAM",E62="SWAYAM Plus",E62="NPTEL",E62="e-PG Pathshala"),"Y","")</f>
        <v/>
      </c>
      <c r="O62">
        <f>M62</f>
        <v/>
      </c>
      <c r="Q62" t="inlineStr"/>
    </row>
    <row r="63">
      <c r="M63" t="inlineStr"/>
      <c r="N63">
        <f>IF(OR(E63="SWAYAM",E63="SWAYAM Plus",E63="NPTEL",E63="e-PG Pathshala"),"Y","")</f>
        <v/>
      </c>
      <c r="O63">
        <f>M63</f>
        <v/>
      </c>
      <c r="Q63" t="inlineStr"/>
    </row>
    <row r="64">
      <c r="M64" t="inlineStr"/>
      <c r="N64">
        <f>IF(OR(E64="SWAYAM",E64="SWAYAM Plus",E64="NPTEL",E64="e-PG Pathshala"),"Y","")</f>
        <v/>
      </c>
      <c r="O64">
        <f>M64</f>
        <v/>
      </c>
      <c r="Q64" t="inlineStr"/>
    </row>
    <row r="65">
      <c r="M65" t="inlineStr"/>
      <c r="N65">
        <f>IF(OR(E65="SWAYAM",E65="SWAYAM Plus",E65="NPTEL",E65="e-PG Pathshala"),"Y","")</f>
        <v/>
      </c>
      <c r="O65">
        <f>M65</f>
        <v/>
      </c>
      <c r="Q65" t="inlineStr"/>
    </row>
    <row r="66">
      <c r="M66" t="inlineStr"/>
      <c r="N66">
        <f>IF(OR(E66="SWAYAM",E66="SWAYAM Plus",E66="NPTEL",E66="e-PG Pathshala"),"Y","")</f>
        <v/>
      </c>
      <c r="O66">
        <f>M66</f>
        <v/>
      </c>
      <c r="Q66" t="inlineStr"/>
    </row>
    <row r="67">
      <c r="M67" t="inlineStr"/>
      <c r="N67">
        <f>IF(OR(E67="SWAYAM",E67="SWAYAM Plus",E67="NPTEL",E67="e-PG Pathshala"),"Y","")</f>
        <v/>
      </c>
      <c r="O67">
        <f>M67</f>
        <v/>
      </c>
      <c r="Q67" t="inlineStr"/>
    </row>
    <row r="68">
      <c r="M68" t="inlineStr"/>
      <c r="N68">
        <f>IF(OR(E68="SWAYAM",E68="SWAYAM Plus",E68="NPTEL",E68="e-PG Pathshala"),"Y","")</f>
        <v/>
      </c>
      <c r="O68">
        <f>M68</f>
        <v/>
      </c>
      <c r="Q68" t="inlineStr"/>
    </row>
    <row r="69">
      <c r="M69" t="inlineStr"/>
      <c r="N69">
        <f>IF(OR(E69="SWAYAM",E69="SWAYAM Plus",E69="NPTEL",E69="e-PG Pathshala"),"Y","")</f>
        <v/>
      </c>
      <c r="O69">
        <f>M69</f>
        <v/>
      </c>
      <c r="Q69" t="inlineStr"/>
    </row>
    <row r="70">
      <c r="M70" t="inlineStr"/>
      <c r="N70">
        <f>IF(OR(E70="SWAYAM",E70="SWAYAM Plus",E70="NPTEL",E70="e-PG Pathshala"),"Y","")</f>
        <v/>
      </c>
      <c r="O70">
        <f>M70</f>
        <v/>
      </c>
      <c r="Q70" t="inlineStr"/>
    </row>
    <row r="71">
      <c r="M71" t="inlineStr"/>
      <c r="N71">
        <f>IF(OR(E71="SWAYAM",E71="SWAYAM Plus",E71="NPTEL",E71="e-PG Pathshala"),"Y","")</f>
        <v/>
      </c>
      <c r="O71">
        <f>M71</f>
        <v/>
      </c>
      <c r="Q71" t="inlineStr"/>
    </row>
    <row r="72">
      <c r="M72" t="inlineStr"/>
      <c r="N72">
        <f>IF(OR(E72="SWAYAM",E72="SWAYAM Plus",E72="NPTEL",E72="e-PG Pathshala"),"Y","")</f>
        <v/>
      </c>
      <c r="O72">
        <f>M72</f>
        <v/>
      </c>
      <c r="Q72" t="inlineStr"/>
    </row>
    <row r="73">
      <c r="M73" t="inlineStr"/>
      <c r="N73">
        <f>IF(OR(E73="SWAYAM",E73="SWAYAM Plus",E73="NPTEL",E73="e-PG Pathshala"),"Y","")</f>
        <v/>
      </c>
      <c r="O73">
        <f>M73</f>
        <v/>
      </c>
      <c r="Q73" t="inlineStr"/>
    </row>
    <row r="74">
      <c r="M74" t="inlineStr"/>
      <c r="N74">
        <f>IF(OR(E74="SWAYAM",E74="SWAYAM Plus",E74="NPTEL",E74="e-PG Pathshala"),"Y","")</f>
        <v/>
      </c>
      <c r="O74">
        <f>M74</f>
        <v/>
      </c>
      <c r="Q74" t="inlineStr"/>
    </row>
    <row r="75">
      <c r="M75" t="inlineStr"/>
      <c r="N75">
        <f>IF(OR(E75="SWAYAM",E75="SWAYAM Plus",E75="NPTEL",E75="e-PG Pathshala"),"Y","")</f>
        <v/>
      </c>
      <c r="O75">
        <f>M75</f>
        <v/>
      </c>
      <c r="Q75" t="inlineStr"/>
    </row>
    <row r="76">
      <c r="M76" t="inlineStr"/>
      <c r="N76">
        <f>IF(OR(E76="SWAYAM",E76="SWAYAM Plus",E76="NPTEL",E76="e-PG Pathshala"),"Y","")</f>
        <v/>
      </c>
      <c r="O76">
        <f>M76</f>
        <v/>
      </c>
      <c r="Q76" t="inlineStr"/>
    </row>
    <row r="77">
      <c r="M77" t="inlineStr"/>
      <c r="N77">
        <f>IF(OR(E77="SWAYAM",E77="SWAYAM Plus",E77="NPTEL",E77="e-PG Pathshala"),"Y","")</f>
        <v/>
      </c>
      <c r="O77">
        <f>M77</f>
        <v/>
      </c>
      <c r="Q77" t="inlineStr"/>
    </row>
    <row r="78">
      <c r="M78" t="inlineStr"/>
      <c r="N78">
        <f>IF(OR(E78="SWAYAM",E78="SWAYAM Plus",E78="NPTEL",E78="e-PG Pathshala"),"Y","")</f>
        <v/>
      </c>
      <c r="O78">
        <f>M78</f>
        <v/>
      </c>
      <c r="Q78" t="inlineStr"/>
    </row>
    <row r="79">
      <c r="M79" t="inlineStr"/>
      <c r="N79">
        <f>IF(OR(E79="SWAYAM",E79="SWAYAM Plus",E79="NPTEL",E79="e-PG Pathshala"),"Y","")</f>
        <v/>
      </c>
      <c r="O79">
        <f>M79</f>
        <v/>
      </c>
      <c r="Q79" t="inlineStr"/>
    </row>
    <row r="80">
      <c r="M80" t="inlineStr"/>
      <c r="N80">
        <f>IF(OR(E80="SWAYAM",E80="SWAYAM Plus",E80="NPTEL",E80="e-PG Pathshala"),"Y","")</f>
        <v/>
      </c>
      <c r="O80">
        <f>M80</f>
        <v/>
      </c>
      <c r="Q80" t="inlineStr"/>
    </row>
    <row r="81">
      <c r="M81" t="inlineStr"/>
      <c r="N81">
        <f>IF(OR(E81="SWAYAM",E81="SWAYAM Plus",E81="NPTEL",E81="e-PG Pathshala"),"Y","")</f>
        <v/>
      </c>
      <c r="O81">
        <f>M81</f>
        <v/>
      </c>
      <c r="Q81" t="inlineStr"/>
    </row>
    <row r="82">
      <c r="M82" t="inlineStr"/>
      <c r="N82">
        <f>IF(OR(E82="SWAYAM",E82="SWAYAM Plus",E82="NPTEL",E82="e-PG Pathshala"),"Y","")</f>
        <v/>
      </c>
      <c r="O82">
        <f>M82</f>
        <v/>
      </c>
      <c r="Q82" t="inlineStr"/>
    </row>
    <row r="83">
      <c r="M83" t="inlineStr"/>
      <c r="N83">
        <f>IF(OR(E83="SWAYAM",E83="SWAYAM Plus",E83="NPTEL",E83="e-PG Pathshala"),"Y","")</f>
        <v/>
      </c>
      <c r="O83">
        <f>M83</f>
        <v/>
      </c>
      <c r="Q83" t="inlineStr"/>
    </row>
    <row r="84">
      <c r="M84" t="inlineStr"/>
      <c r="N84">
        <f>IF(OR(E84="SWAYAM",E84="SWAYAM Plus",E84="NPTEL",E84="e-PG Pathshala"),"Y","")</f>
        <v/>
      </c>
      <c r="O84">
        <f>M84</f>
        <v/>
      </c>
      <c r="Q84" t="inlineStr"/>
    </row>
    <row r="85">
      <c r="M85" t="inlineStr"/>
      <c r="N85">
        <f>IF(OR(E85="SWAYAM",E85="SWAYAM Plus",E85="NPTEL",E85="e-PG Pathshala"),"Y","")</f>
        <v/>
      </c>
      <c r="O85">
        <f>M85</f>
        <v/>
      </c>
      <c r="Q85" t="inlineStr"/>
    </row>
    <row r="86">
      <c r="M86" t="inlineStr"/>
      <c r="N86">
        <f>IF(OR(E86="SWAYAM",E86="SWAYAM Plus",E86="NPTEL",E86="e-PG Pathshala"),"Y","")</f>
        <v/>
      </c>
      <c r="O86">
        <f>M86</f>
        <v/>
      </c>
      <c r="Q86" t="inlineStr"/>
    </row>
    <row r="87">
      <c r="M87" t="inlineStr"/>
      <c r="N87">
        <f>IF(OR(E87="SWAYAM",E87="SWAYAM Plus",E87="NPTEL",E87="e-PG Pathshala"),"Y","")</f>
        <v/>
      </c>
      <c r="O87">
        <f>M87</f>
        <v/>
      </c>
      <c r="Q87" t="inlineStr"/>
    </row>
    <row r="88">
      <c r="M88" t="inlineStr"/>
      <c r="N88">
        <f>IF(OR(E88="SWAYAM",E88="SWAYAM Plus",E88="NPTEL",E88="e-PG Pathshala"),"Y","")</f>
        <v/>
      </c>
      <c r="O88">
        <f>M88</f>
        <v/>
      </c>
      <c r="Q88" t="inlineStr"/>
    </row>
    <row r="89">
      <c r="M89" t="inlineStr"/>
      <c r="N89">
        <f>IF(OR(E89="SWAYAM",E89="SWAYAM Plus",E89="NPTEL",E89="e-PG Pathshala"),"Y","")</f>
        <v/>
      </c>
      <c r="O89">
        <f>M89</f>
        <v/>
      </c>
      <c r="Q89" t="inlineStr"/>
    </row>
    <row r="90">
      <c r="M90" t="inlineStr"/>
      <c r="N90">
        <f>IF(OR(E90="SWAYAM",E90="SWAYAM Plus",E90="NPTEL",E90="e-PG Pathshala"),"Y","")</f>
        <v/>
      </c>
      <c r="O90">
        <f>M90</f>
        <v/>
      </c>
      <c r="Q90" t="inlineStr"/>
    </row>
    <row r="91">
      <c r="M91" t="inlineStr"/>
      <c r="N91">
        <f>IF(OR(E91="SWAYAM",E91="SWAYAM Plus",E91="NPTEL",E91="e-PG Pathshala"),"Y","")</f>
        <v/>
      </c>
      <c r="O91">
        <f>M91</f>
        <v/>
      </c>
      <c r="Q91" t="inlineStr"/>
    </row>
    <row r="92">
      <c r="M92" t="inlineStr"/>
      <c r="N92">
        <f>IF(OR(E92="SWAYAM",E92="SWAYAM Plus",E92="NPTEL",E92="e-PG Pathshala"),"Y","")</f>
        <v/>
      </c>
      <c r="O92">
        <f>M92</f>
        <v/>
      </c>
      <c r="Q92" t="inlineStr"/>
    </row>
    <row r="93">
      <c r="M93" t="inlineStr"/>
      <c r="N93">
        <f>IF(OR(E93="SWAYAM",E93="SWAYAM Plus",E93="NPTEL",E93="e-PG Pathshala"),"Y","")</f>
        <v/>
      </c>
      <c r="O93">
        <f>M93</f>
        <v/>
      </c>
      <c r="Q93" t="inlineStr"/>
    </row>
    <row r="94">
      <c r="M94" t="inlineStr"/>
      <c r="N94">
        <f>IF(OR(E94="SWAYAM",E94="SWAYAM Plus",E94="NPTEL",E94="e-PG Pathshala"),"Y","")</f>
        <v/>
      </c>
      <c r="O94">
        <f>M94</f>
        <v/>
      </c>
      <c r="Q94" t="inlineStr"/>
    </row>
    <row r="95">
      <c r="M95" t="inlineStr"/>
      <c r="N95">
        <f>IF(OR(E95="SWAYAM",E95="SWAYAM Plus",E95="NPTEL",E95="e-PG Pathshala"),"Y","")</f>
        <v/>
      </c>
      <c r="O95">
        <f>M95</f>
        <v/>
      </c>
      <c r="Q95" t="inlineStr"/>
    </row>
    <row r="96">
      <c r="M96" t="inlineStr"/>
      <c r="N96">
        <f>IF(OR(E96="SWAYAM",E96="SWAYAM Plus",E96="NPTEL",E96="e-PG Pathshala"),"Y","")</f>
        <v/>
      </c>
      <c r="O96">
        <f>M96</f>
        <v/>
      </c>
      <c r="Q96" t="inlineStr"/>
    </row>
    <row r="97">
      <c r="M97" t="inlineStr"/>
      <c r="N97">
        <f>IF(OR(E97="SWAYAM",E97="SWAYAM Plus",E97="NPTEL",E97="e-PG Pathshala"),"Y","")</f>
        <v/>
      </c>
      <c r="O97">
        <f>M97</f>
        <v/>
      </c>
      <c r="Q97" t="inlineStr"/>
    </row>
    <row r="98">
      <c r="M98" t="inlineStr"/>
      <c r="N98">
        <f>IF(OR(E98="SWAYAM",E98="SWAYAM Plus",E98="NPTEL",E98="e-PG Pathshala"),"Y","")</f>
        <v/>
      </c>
      <c r="O98">
        <f>M98</f>
        <v/>
      </c>
      <c r="Q98" t="inlineStr"/>
    </row>
    <row r="99">
      <c r="M99" t="inlineStr"/>
      <c r="N99">
        <f>IF(OR(E99="SWAYAM",E99="SWAYAM Plus",E99="NPTEL",E99="e-PG Pathshala"),"Y","")</f>
        <v/>
      </c>
      <c r="O99">
        <f>M99</f>
        <v/>
      </c>
      <c r="Q99" t="inlineStr"/>
    </row>
    <row r="100">
      <c r="M100" t="inlineStr"/>
      <c r="N100">
        <f>IF(OR(E100="SWAYAM",E100="SWAYAM Plus",E100="NPTEL",E100="e-PG Pathshala"),"Y","")</f>
        <v/>
      </c>
      <c r="O100">
        <f>M100</f>
        <v/>
      </c>
      <c r="Q100" t="inlineStr"/>
    </row>
    <row r="101">
      <c r="M101" t="inlineStr"/>
      <c r="N101">
        <f>IF(OR(E101="SWAYAM",E101="SWAYAM Plus",E101="NPTEL",E101="e-PG Pathshala"),"Y","")</f>
        <v/>
      </c>
      <c r="O101">
        <f>M101</f>
        <v/>
      </c>
      <c r="Q101" t="inlineStr"/>
    </row>
  </sheetData>
  <dataValidations count="5">
    <dataValidation sqref="E2:E101" showErrorMessage="1" showInputMessage="1" allowBlank="1" type="list">
      <formula1>"SWAYAM,SWAYAM Plus,NPTEL,e-PG Pathshala,Virtual Labs,LMS,Other"</formula1>
    </dataValidation>
    <dataValidation sqref="F2:F101" showErrorMessage="1" showInputMessage="1" allowBlank="1" type="list">
      <formula1>"Coordinator,Instructor,Content Developer,Reviewer,Editor"</formula1>
    </dataValidation>
    <dataValidation sqref="H2:H101" showErrorMessage="1" showInputMessage="1" allowBlank="1" type="list">
      <formula1>"CAY,CAYm1,CAYm2"</formula1>
    </dataValidation>
    <dataValidation sqref="K2:K101" showErrorMessage="1" showInputMessage="1" allowBlank="1" type="list">
      <formula1>"URL,Certificate,Zip,Report"</formula1>
    </dataValidation>
    <dataValidation sqref="Q2:Q101" showErrorMessage="1" showInputMessage="1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Quick Summary (Counts by Platform Category &amp; Verified Flag)</t>
        </is>
      </c>
    </row>
    <row r="3">
      <c r="A3" t="inlineStr">
        <is>
          <t>Platform Category</t>
        </is>
      </c>
      <c r="B3" t="inlineStr">
        <is>
          <t>Count (All)</t>
        </is>
      </c>
      <c r="C3" t="inlineStr">
        <is>
          <t>Count (Verified Y)</t>
        </is>
      </c>
    </row>
    <row r="4">
      <c r="A4" t="inlineStr">
        <is>
          <t>SWAYAM</t>
        </is>
      </c>
      <c r="B4">
        <f>COUNTIF(MOOCs_EContent_Log!$E$2:$E$101,"SWAYAM")</f>
        <v/>
      </c>
      <c r="C4">
        <f>COUNTIFS(MOOCs_EContent_Log!$E$2:$E$101,"SWAYAM",MOOCs_EContent_Log!$M$2:$M$101,"Y")</f>
        <v/>
      </c>
    </row>
    <row r="5">
      <c r="A5" t="inlineStr">
        <is>
          <t>SWAYAM Plus</t>
        </is>
      </c>
      <c r="B5">
        <f>COUNTIF(MOOCs_EContent_Log!$E$2:$E$101,"SWAYAM Plus")</f>
        <v/>
      </c>
      <c r="C5">
        <f>COUNTIFS(MOOCs_EContent_Log!$E$2:$E$101,"SWAYAM Plus",MOOCs_EContent_Log!$M$2:$M$101,"Y")</f>
        <v/>
      </c>
    </row>
    <row r="6">
      <c r="A6" t="inlineStr">
        <is>
          <t>NPTEL</t>
        </is>
      </c>
      <c r="B6">
        <f>COUNTIF(MOOCs_EContent_Log!$E$2:$E$101,"NPTEL")</f>
        <v/>
      </c>
      <c r="C6">
        <f>COUNTIFS(MOOCs_EContent_Log!$E$2:$E$101,"NPTEL",MOOCs_EContent_Log!$M$2:$M$101,"Y")</f>
        <v/>
      </c>
    </row>
    <row r="7">
      <c r="A7" t="inlineStr">
        <is>
          <t>e-PG Pathshala</t>
        </is>
      </c>
      <c r="B7">
        <f>COUNTIF(MOOCs_EContent_Log!$E$2:$E$101,"e-PG Pathshala")</f>
        <v/>
      </c>
      <c r="C7">
        <f>COUNTIFS(MOOCs_EContent_Log!$E$2:$E$101,"e-PG Pathshala",MOOCs_EContent_Log!$M$2:$M$101,"Y")</f>
        <v/>
      </c>
    </row>
    <row r="8">
      <c r="A8" t="inlineStr">
        <is>
          <t>Virtual Labs</t>
        </is>
      </c>
      <c r="B8">
        <f>COUNTIF(MOOCs_EContent_Log!$E$2:$E$101,"Virtual Labs")</f>
        <v/>
      </c>
      <c r="C8">
        <f>COUNTIFS(MOOCs_EContent_Log!$E$2:$E$101,"Virtual Labs",MOOCs_EContent_Log!$M$2:$M$101,"Y")</f>
        <v/>
      </c>
    </row>
    <row r="9">
      <c r="A9" t="inlineStr">
        <is>
          <t>LMS</t>
        </is>
      </c>
      <c r="B9">
        <f>COUNTIF(MOOCs_EContent_Log!$E$2:$E$101,"LMS")</f>
        <v/>
      </c>
      <c r="C9">
        <f>COUNTIFS(MOOCs_EContent_Log!$E$2:$E$101,"LMS",MOOCs_EContent_Log!$M$2:$M$101,"Y")</f>
        <v/>
      </c>
    </row>
    <row r="10">
      <c r="A10" t="inlineStr">
        <is>
          <t>Other</t>
        </is>
      </c>
      <c r="B10">
        <f>COUNTIF(MOOCs_EContent_Log!$E$2:$E$101,"Other")</f>
        <v/>
      </c>
      <c r="C10">
        <f>COUNTIFS(MOOCs_EContent_Log!$E$2:$E$101,"Other",MOOCs_EContent_Log!$M$2:$M$101,"Y")</f>
        <v/>
      </c>
    </row>
    <row r="12">
      <c r="A12" t="inlineStr">
        <is>
          <t>Institutional Report Evidence (Counts)</t>
        </is>
      </c>
    </row>
    <row r="13">
      <c r="A13" t="inlineStr">
        <is>
          <t>Entries with Institutional Report = Y</t>
        </is>
      </c>
      <c r="B13">
        <f>COUNTIF(MOOCs_EContent_Log!$Q$2:$Q$101,"Y")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t="inlineStr">
        <is>
          <t>S.N.</t>
        </is>
      </c>
      <c r="B1" t="inlineStr">
        <is>
          <t>Name of the Faculty</t>
        </is>
      </c>
      <c r="C1" t="inlineStr">
        <is>
          <t>Name of the Course Developed</t>
        </is>
      </c>
      <c r="D1" t="inlineStr">
        <is>
          <t>Platform (SWAYAM / SWAYAM Plus / NPTEL / e-PG Pathshala / Other)</t>
        </is>
      </c>
      <c r="E1" t="inlineStr">
        <is>
          <t>Availability (URL / Course Code)</t>
        </is>
      </c>
      <c r="F1" t="inlineStr">
        <is>
          <t>Year of Offering (AY Tag)</t>
        </is>
      </c>
      <c r="G1" t="inlineStr">
        <is>
          <t>Evidence (URL / Certificate / Report)</t>
        </is>
      </c>
      <c r="H1" t="inlineStr">
        <is>
          <t>Verified (Y/N)</t>
        </is>
      </c>
    </row>
    <row r="2">
      <c r="A2">
        <f>IFERROR(SEQUENCE(COUNTA(B2:B1000)),)</f>
        <v/>
      </c>
      <c r="B2">
        <f>FILTER(CHOOSE({1,2,3,4,5,6,7},MOOCs_EContent_Log!$B$2:$B$101,MOOCs_EContent_Log!$C$2:$C$101,MOOCs_EContent_Log!$E$2:$E$101,MOOCs_EContent_Log!$D$2:$D$101,MOOCs_EContent_Log!$H$2:$H$101,MOOCs_EContent_Log!$L$2:$L$101,MOOCs_EContent_Log!$N$2:$N$101),(MOOCs_EContent_Log!$M$2:$M$101="Y"),"No MOOC rows found")</f>
        <v/>
      </c>
    </row>
    <row r="4">
      <c r="A4" t="inlineStr">
        <is>
          <t>Note: Auto-filters rows where Platform Category is SWAYAM / SWAYAM Plus / NPTEL / e-PG Pathshala and displays Verified flag.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2025-08-29T05:53:49Z</dcterms:created>
  <dcterms:modified xmlns:dcterms="http://purl.org/dc/terms/" xmlns:xsi="http://www.w3.org/2001/XMLSchema-instance" xsi:type="dcterms:W3CDTF">2025-08-29T05:53:49Z</dcterms:modified>
</cp:coreProperties>
</file>