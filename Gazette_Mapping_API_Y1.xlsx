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zette_Y1_Paste" sheetId="1" r:id="rId1"/>
    <sheet name="API_Y1_Summary" sheetId="2" r:id="rId2"/>
    <sheet name="API_Final" sheetId="3" r:id="rId3"/>
    <sheet name="Docs_Log" sheetId="4" r:id="rId4"/>
    <sheet name="ReadMe" sheetId="5" r:id="rId5"/>
  </sheets>
  <calcPr calcId="124519" fullCalcOnLoad="1"/>
</workbook>
</file>

<file path=xl/sharedStrings.xml><?xml version="1.0" encoding="utf-8"?>
<sst xmlns="http://schemas.openxmlformats.org/spreadsheetml/2006/main" count="76" uniqueCount="43">
  <si>
    <t>Cohort (CAYm1/CAYm2/CAYm3)</t>
  </si>
  <si>
    <t>Academic Year (e.g., 2023-24)</t>
  </si>
  <si>
    <t>Roll No</t>
  </si>
  <si>
    <t>Student Name</t>
  </si>
  <si>
    <t>Appeared? (Yes/No)</t>
  </si>
  <si>
    <t>Result (PASS/FAIL)</t>
  </si>
  <si>
    <t>GPA (10-point) [leave blank if using %]</t>
  </si>
  <si>
    <t>% Marks [leave blank if using GPA]</t>
  </si>
  <si>
    <t>Promoted to 2nd Year? (Yes/No)</t>
  </si>
  <si>
    <t>Remarks</t>
  </si>
  <si>
    <t>Z = Appeared (count)</t>
  </si>
  <si>
    <t>Y = Successful (Promoted) (count)</t>
  </si>
  <si>
    <t>X (Auto 10-pt) = Mean(GPA of successful) OR Mean(% of successful)/10</t>
  </si>
  <si>
    <t>API = X × (Y/Z) (Auto)</t>
  </si>
  <si>
    <t>CAYm1</t>
  </si>
  <si>
    <t>CAYm2</t>
  </si>
  <si>
    <t>CAYm3</t>
  </si>
  <si>
    <t>Metric</t>
  </si>
  <si>
    <t>Value (Auto)</t>
  </si>
  <si>
    <t>Average API – First Year (CAYm1, CAYm2, CAYm3)</t>
  </si>
  <si>
    <t>Document Type (1st Year Result Gazette / Pass List / Any Clarification Memo)</t>
  </si>
  <si>
    <t>File Path or Link</t>
  </si>
  <si>
    <t>Verified By</t>
  </si>
  <si>
    <t>Verification Date (YYYY-MM-DD)</t>
  </si>
  <si>
    <t>Instructions</t>
  </si>
  <si>
    <t>Gazette Mapping – First Year API (NBA Criterion 4)</t>
  </si>
  <si>
    <t>How to use:</t>
  </si>
  <si>
    <t>1) Paste student-wise rows from the 1st Year Result Gazette into 'Gazette_Y1_Paste'.</t>
  </si>
  <si>
    <t xml:space="preserve">   - Fill 'Cohort' exactly as CAYm1 / CAYm2 / CAYm3.</t>
  </si>
  <si>
    <t xml:space="preserve">   - Mark 'Appeared? (Yes/No)' for everyone listed; 'Result' = PASS/FAIL.</t>
  </si>
  <si>
    <t xml:space="preserve">   - Provide GPA (10-pt) OR % (not both). If both given, GPA will be used.</t>
  </si>
  <si>
    <t xml:space="preserve">   - Mark 'Promoted to 2nd Year? (Yes/No)' for successful students.</t>
  </si>
  <si>
    <t>2) 'API_Y1_Summary' auto-computes by cohort:</t>
  </si>
  <si>
    <t xml:space="preserve">   - Z = count of Appeared = Yes.</t>
  </si>
  <si>
    <t xml:space="preserve">   - Y = count of Promoted = Yes.</t>
  </si>
  <si>
    <t xml:space="preserve">   - X = Mean GPA of successful students; if GPA blank, Mean(%)/10.</t>
  </si>
  <si>
    <t xml:space="preserve">   - API = X × (Y/Z).</t>
  </si>
  <si>
    <t>3) 'API_Final' gives Average API across CAYm1, CAYm2, CAYm3 for SAR entry.</t>
  </si>
  <si>
    <t>4) Use 'Docs_Log' to keep links to Gazette PDFs and Pass Lists.</t>
  </si>
  <si>
    <t>Notes:</t>
  </si>
  <si>
    <t>- 'Successful' means 'proceeded to 2nd year' as per University/Autonomous promotion rules.</t>
  </si>
  <si>
    <t>- Ensure 'Appeared' includes all who sat the exam (pass + fail).</t>
  </si>
  <si>
    <t>- Keep cohort labels consistent across sheets.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</si>
</sst>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" fontId="0" fillId="0" borderId="1" xfId="0" applyNumberFormat="1" applyBorder="1"/>
    <xf numFmtId="164" fontId="0" fillId="0" borderId="1" xfId="0" applyNumberFormat="1" applyBorder="1"/>
    <xf numFmtId="165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6.7109375" customWidth="1"/>
    <col min="3" max="4" width="28.7109375" customWidth="1"/>
    <col min="5" max="6" width="22.7109375" customWidth="1"/>
    <col min="7" max="9" width="28.7109375" customWidth="1"/>
    <col min="10" max="10" width="4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6.7109375" customWidth="1"/>
    <col min="3" max="6" width="40.7109375" customWidth="1"/>
  </cols>
  <sheetData>
    <row r="1" spans="1:6">
      <c r="A1" s="1" t="s">
        <v>0</v>
      </c>
      <c r="B1" s="1" t="s">
        <v>1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 t="s">
        <v>14</v>
      </c>
      <c r="C2" s="2">
        <f>COUNTIFS(Gazette_Y1_Paste!$A$2:$A$801,"CAYm1",Gazette_Y1_Paste!$E$2:$E$801,"Yes")</f>
        <v>0</v>
      </c>
      <c r="D2" s="2">
        <f>COUNTIFS(Gazette_Y1_Paste!$A$2:$A$801,"CAYm1",Gazette_Y1_Paste!$I$2:$I$801,"Yes")</f>
        <v>0</v>
      </c>
      <c r="E2" s="3">
        <f>IFERROR( IF(COUNTIFS(Gazette_Y1_Paste!$A$2:$A$801,"CAYm1",Gazette_Y1_Paste!$I$2:$I$801,"Yes",Gazette_Y1_Paste!$G$2:$G$801,"&gt;0")&gt;0,   AVERAGEIFS(Gazette_Y1_Paste!$G$2:$G$801, Gazette_Y1_Paste!$A$2:$A$801, "CAYm1", Gazette_Y1_Paste!$I$2:$I$801, "Yes", Gazette_Y1_Paste!$G$2:$G$801, "&gt;0"),   AVERAGEIFS(Gazette_Y1_Paste!$H$2:$H$801, Gazette_Y1_Paste!$A$2:$A$801, "CAYm1", Gazette_Y1_Paste!$I$2:$I$801, "Yes", Gazette_Y1_Paste!$H$2:$H$801, "&gt;0")/10 ),"")</f>
        <v>0</v>
      </c>
      <c r="F2" s="4">
        <f>IFERROR(E2*(D2/C2),"")</f>
        <v>0</v>
      </c>
    </row>
    <row r="3" spans="1:6">
      <c r="A3" t="s">
        <v>15</v>
      </c>
      <c r="C3" s="2">
        <f>COUNTIFS(Gazette_Y1_Paste!$A$2:$A$801,"CAYm2",Gazette_Y1_Paste!$E$2:$E$801,"Yes")</f>
        <v>0</v>
      </c>
      <c r="D3" s="2">
        <f>COUNTIFS(Gazette_Y1_Paste!$A$2:$A$801,"CAYm2",Gazette_Y1_Paste!$I$2:$I$801,"Yes")</f>
        <v>0</v>
      </c>
      <c r="E3" s="3">
        <f>IFERROR( IF(COUNTIFS(Gazette_Y1_Paste!$A$2:$A$801,"CAYm2",Gazette_Y1_Paste!$I$2:$I$801,"Yes",Gazette_Y1_Paste!$G$2:$G$801,"&gt;0")&gt;0,   AVERAGEIFS(Gazette_Y1_Paste!$G$2:$G$801, Gazette_Y1_Paste!$A$2:$A$801, "CAYm2", Gazette_Y1_Paste!$I$2:$I$801, "Yes", Gazette_Y1_Paste!$G$2:$G$801, "&gt;0"),   AVERAGEIFS(Gazette_Y1_Paste!$H$2:$H$801, Gazette_Y1_Paste!$A$2:$A$801, "CAYm2", Gazette_Y1_Paste!$I$2:$I$801, "Yes", Gazette_Y1_Paste!$H$2:$H$801, "&gt;0")/10 ),"")</f>
        <v>0</v>
      </c>
      <c r="F3" s="4">
        <f>IFERROR(E3*(D3/C3),"")</f>
        <v>0</v>
      </c>
    </row>
    <row r="4" spans="1:6">
      <c r="A4" t="s">
        <v>16</v>
      </c>
      <c r="C4" s="2">
        <f>COUNTIFS(Gazette_Y1_Paste!$A$2:$A$801,"CAYm3",Gazette_Y1_Paste!$E$2:$E$801,"Yes")</f>
        <v>0</v>
      </c>
      <c r="D4" s="2">
        <f>COUNTIFS(Gazette_Y1_Paste!$A$2:$A$801,"CAYm3",Gazette_Y1_Paste!$I$2:$I$801,"Yes")</f>
        <v>0</v>
      </c>
      <c r="E4" s="3">
        <f>IFERROR( IF(COUNTIFS(Gazette_Y1_Paste!$A$2:$A$801,"CAYm3",Gazette_Y1_Paste!$I$2:$I$801,"Yes",Gazette_Y1_Paste!$G$2:$G$801,"&gt;0")&gt;0,   AVERAGEIFS(Gazette_Y1_Paste!$G$2:$G$801, Gazette_Y1_Paste!$A$2:$A$801, "CAYm3", Gazette_Y1_Paste!$I$2:$I$801, "Yes", Gazette_Y1_Paste!$G$2:$G$801, "&gt;0"),   AVERAGEIFS(Gazette_Y1_Paste!$H$2:$H$801, Gazette_Y1_Paste!$A$2:$A$801, "CAYm3", Gazette_Y1_Paste!$I$2:$I$801, "Yes", Gazette_Y1_Paste!$H$2:$H$801, "&gt;0")/10 ),"")</f>
        <v>0</v>
      </c>
      <c r="F4" s="4">
        <f>IFERROR(E4*(D4/C4),"")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0.7109375" customWidth="1"/>
    <col min="2" max="2" width="24.7109375" customWidth="1"/>
  </cols>
  <sheetData>
    <row r="1" spans="1:2">
      <c r="A1" s="1" t="s">
        <v>17</v>
      </c>
      <c r="B1" s="1" t="s">
        <v>18</v>
      </c>
    </row>
    <row r="2" spans="1:2">
      <c r="A2" s="1" t="s">
        <v>19</v>
      </c>
      <c r="B2" s="4">
        <f>IFERROR(AVERAGE(API_Y1_Summary!$F$2:$F$4),"")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64.7109375" customWidth="1"/>
    <col min="3" max="5" width="28.7109375" customWidth="1"/>
    <col min="6" max="6" width="40.7109375" customWidth="1"/>
  </cols>
  <sheetData>
    <row r="1" spans="1:6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9</v>
      </c>
    </row>
    <row r="2" spans="1:6">
      <c r="A2" t="s">
        <v>14</v>
      </c>
    </row>
    <row r="3" spans="1:6">
      <c r="A3" t="s">
        <v>15</v>
      </c>
    </row>
    <row r="4" spans="1:6">
      <c r="A4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0.7109375" customWidth="1"/>
  </cols>
  <sheetData>
    <row r="1" spans="1:1">
      <c r="A1" s="1" t="s">
        <v>24</v>
      </c>
    </row>
    <row r="2" spans="1:1">
      <c r="A2" t="s">
        <v>25</v>
      </c>
    </row>
    <row r="4" spans="1:1">
      <c r="A4" t="s">
        <v>26</v>
      </c>
    </row>
    <row r="5" spans="1:1">
      <c r="A5" t="s">
        <v>27</v>
      </c>
    </row>
    <row r="6" spans="1:1">
      <c r="A6" t="s">
        <v>28</v>
      </c>
    </row>
    <row r="7" spans="1:1">
      <c r="A7" t="s">
        <v>29</v>
      </c>
    </row>
    <row r="8" spans="1:1">
      <c r="A8" t="s">
        <v>30</v>
      </c>
    </row>
    <row r="9" spans="1:1">
      <c r="A9" t="s">
        <v>31</v>
      </c>
    </row>
    <row r="10" spans="1:1">
      <c r="A10" t="s">
        <v>32</v>
      </c>
    </row>
    <row r="11" spans="1:1">
      <c r="A11" t="s">
        <v>33</v>
      </c>
    </row>
    <row r="12" spans="1:1">
      <c r="A12" t="s">
        <v>34</v>
      </c>
    </row>
    <row r="13" spans="1:1">
      <c r="A13" t="s">
        <v>35</v>
      </c>
    </row>
    <row r="14" spans="1:1">
      <c r="A14" t="s">
        <v>36</v>
      </c>
    </row>
    <row r="15" spans="1:1">
      <c r="A15" t="s">
        <v>37</v>
      </c>
    </row>
    <row r="16" spans="1:1">
      <c r="A16" t="s">
        <v>38</v>
      </c>
    </row>
    <row r="18" spans="1:1">
      <c r="A18" t="s">
        <v>39</v>
      </c>
    </row>
    <row r="19" spans="1:1">
      <c r="A19" t="s">
        <v>40</v>
      </c>
    </row>
    <row r="20" spans="1:1">
      <c r="A20" t="s">
        <v>41</v>
      </c>
    </row>
    <row r="21" spans="1:1">
      <c r="A2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Gazette_Y1_Paste</vt:lpstr>
      <vt:lpstr>API_Y1_Summary</vt:lpstr>
      <vt:lpstr>API_Final</vt:lpstr>
      <vt:lpstr>Docs_Log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2025-08-26T10:06:26Z</dcterms:created>
  <dcterms:modified xsi:type="dcterms:W3CDTF">2025-08-26T10:06:26Z</dcterms:modified>
</cp:coreProperties>
</file>