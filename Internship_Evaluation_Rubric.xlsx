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" sheetId="1" state="visible" r:id="rId1"/>
    <sheet xmlns:r="http://schemas.openxmlformats.org/officeDocument/2006/relationships" name="SEE Evaluation" sheetId="2" state="visible" r:id="rId2"/>
    <sheet xmlns:r="http://schemas.openxmlformats.org/officeDocument/2006/relationships" name="Rubric Definition" sheetId="3" state="visible" r:id="rId3"/>
    <sheet xmlns:r="http://schemas.openxmlformats.org/officeDocument/2006/relationships" name="Criterion Averages" sheetId="4" state="visible" r:id="rId4"/>
    <sheet xmlns:r="http://schemas.openxmlformats.org/officeDocument/2006/relationships" name="CO Attainment (Internship)" sheetId="5" state="visible" r:id="rId5"/>
    <sheet xmlns:r="http://schemas.openxmlformats.org/officeDocument/2006/relationships" name="CO–PO_PSO Matrix" sheetId="6" state="visible" r:id="rId6"/>
    <sheet xmlns:r="http://schemas.openxmlformats.org/officeDocument/2006/relationships" name="PO_PSO Aggregation" sheetId="7" state="visible" r:id="rId7"/>
    <sheet xmlns:r="http://schemas.openxmlformats.org/officeDocument/2006/relationships" name="Evidence Logs" sheetId="8" state="visible" r:id="rId8"/>
    <sheet xmlns:r="http://schemas.openxmlformats.org/officeDocument/2006/relationships" name="Audit Checkl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28" customWidth="1" min="4" max="4"/>
    <col width="28" customWidth="1" min="5" max="5"/>
    <col width="22" customWidth="1" min="6" max="6"/>
    <col width="32" customWidth="1" min="7" max="7"/>
    <col width="18" customWidth="1" min="8" max="8"/>
    <col width="14" customWidth="1" min="9" max="9"/>
    <col width="8" customWidth="1" min="10" max="10"/>
    <col width="14" customWidth="1" min="11" max="11"/>
    <col width="8" customWidth="1" min="12" max="12"/>
    <col width="18" customWidth="1" min="13" max="13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C1 Regularity &amp; Punctuality (0–3)</t>
        </is>
      </c>
      <c r="D1" s="1" t="inlineStr">
        <is>
          <t>C2 Work Discipline &amp; Ethics (0–3)</t>
        </is>
      </c>
      <c r="E1" s="1" t="inlineStr">
        <is>
          <t>C3 Weekly Progress Reports (0–3)</t>
        </is>
      </c>
      <c r="F1" s="1" t="inlineStr">
        <is>
          <t>C4 Task Engagement (0–3)</t>
        </is>
      </c>
      <c r="G1" s="1" t="inlineStr">
        <is>
          <t>C5 Industry Supervisor Feedback (0–3)</t>
        </is>
      </c>
      <c r="H1" s="1" t="inlineStr">
        <is>
          <t>Total (Weighted)</t>
        </is>
      </c>
      <c r="I1" s="1" t="inlineStr">
        <is>
          <t>Level (0–3)</t>
        </is>
      </c>
      <c r="K1" s="2" t="inlineStr">
        <is>
          <t>Weights (Continuous) — edit to sum 1.0</t>
        </is>
      </c>
      <c r="M1" s="2" t="inlineStr">
        <is>
          <t>Criterion Averages (0–3)</t>
        </is>
      </c>
    </row>
    <row r="2">
      <c r="A2" t="inlineStr">
        <is>
          <t>INT101</t>
        </is>
      </c>
      <c r="B2" t="inlineStr">
        <is>
          <t>A. Kumar</t>
        </is>
      </c>
      <c r="C2" t="n">
        <v>2</v>
      </c>
      <c r="D2" t="n">
        <v>3</v>
      </c>
      <c r="E2" t="n">
        <v>2</v>
      </c>
      <c r="F2" t="n">
        <v>2</v>
      </c>
      <c r="G2" t="n">
        <v>3</v>
      </c>
      <c r="H2">
        <f>IF(COUNTA(C2:G2)=0,"",C2*$K$2+D2*$K$3+E2*$K$4+F2*$K$5+G2*$K$6)</f>
        <v/>
      </c>
      <c r="I2">
        <f>IF(H2="","",IF(H2&gt;=2.5,3,IF(H2&gt;=2,2,IF(H2&gt;=1.5,1,0))))</f>
        <v/>
      </c>
      <c r="J2" t="inlineStr">
        <is>
          <t>C1</t>
        </is>
      </c>
      <c r="K2" t="n">
        <v>0.1</v>
      </c>
      <c r="L2" t="inlineStr">
        <is>
          <t>C1</t>
        </is>
      </c>
      <c r="M2">
        <f>IFERROR(AVERAGE(C2:C200),"")</f>
        <v/>
      </c>
    </row>
    <row r="3">
      <c r="A3" t="inlineStr">
        <is>
          <t>INT102</t>
        </is>
      </c>
      <c r="B3" t="inlineStr">
        <is>
          <t>B. Singh</t>
        </is>
      </c>
      <c r="C3" t="n">
        <v>1</v>
      </c>
      <c r="D3" t="n">
        <v>2</v>
      </c>
      <c r="E3" t="n">
        <v>2</v>
      </c>
      <c r="F3" t="n">
        <v>2</v>
      </c>
      <c r="G3" t="n">
        <v>2</v>
      </c>
      <c r="H3">
        <f>IF(COUNTA(C3:G3)=0,"",C3*$K$2+D3*$K$3+E3*$K$4+F3*$K$5+G3*$K$6)</f>
        <v/>
      </c>
      <c r="I3">
        <f>IF(H3="","",IF(H3&gt;=2.5,3,IF(H3&gt;=2,2,IF(H3&gt;=1.5,1,0))))</f>
        <v/>
      </c>
      <c r="J3" t="inlineStr">
        <is>
          <t>C2</t>
        </is>
      </c>
      <c r="K3" t="n">
        <v>0.1</v>
      </c>
      <c r="L3" t="inlineStr">
        <is>
          <t>C2</t>
        </is>
      </c>
      <c r="M3">
        <f>IFERROR(AVERAGE(D2:D200),"")</f>
        <v/>
      </c>
    </row>
    <row r="4">
      <c r="A4" t="inlineStr">
        <is>
          <t>INT103</t>
        </is>
      </c>
      <c r="B4" t="inlineStr">
        <is>
          <t>C. Rao</t>
        </is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>
        <f>IF(COUNTA(C4:G4)=0,"",C4*$K$2+D4*$K$3+E4*$K$4+F4*$K$5+G4*$K$6)</f>
        <v/>
      </c>
      <c r="I4">
        <f>IF(H4="","",IF(H4&gt;=2.5,3,IF(H4&gt;=2,2,IF(H4&gt;=1.5,1,0))))</f>
        <v/>
      </c>
      <c r="J4" t="inlineStr">
        <is>
          <t>C3</t>
        </is>
      </c>
      <c r="K4" t="n">
        <v>0.2</v>
      </c>
      <c r="L4" t="inlineStr">
        <is>
          <t>C3</t>
        </is>
      </c>
      <c r="M4">
        <f>IFERROR(AVERAGE(E2:E200),"")</f>
        <v/>
      </c>
    </row>
    <row r="5">
      <c r="H5">
        <f>IF(COUNTA(C5:G5)=0,"",C5*$K$2+D5*$K$3+E5*$K$4+F5*$K$5+G5*$K$6)</f>
        <v/>
      </c>
      <c r="I5">
        <f>IF(H5="","",IF(H5&gt;=2.5,3,IF(H5&gt;=2,2,IF(H5&gt;=1.5,1,0))))</f>
        <v/>
      </c>
      <c r="J5" t="inlineStr">
        <is>
          <t>C4</t>
        </is>
      </c>
      <c r="K5" t="n">
        <v>0.2</v>
      </c>
      <c r="L5" t="inlineStr">
        <is>
          <t>C4</t>
        </is>
      </c>
      <c r="M5">
        <f>IFERROR(AVERAGE(F2:F200),"")</f>
        <v/>
      </c>
    </row>
    <row r="6">
      <c r="H6">
        <f>IF(COUNTA(C6:G6)=0,"",C6*$K$2+D6*$K$3+E6*$K$4+F6*$K$5+G6*$K$6)</f>
        <v/>
      </c>
      <c r="I6">
        <f>IF(H6="","",IF(H6&gt;=2.5,3,IF(H6&gt;=2,2,IF(H6&gt;=1.5,1,0))))</f>
        <v/>
      </c>
      <c r="J6" t="inlineStr">
        <is>
          <t>C5</t>
        </is>
      </c>
      <c r="K6" t="n">
        <v>0.4</v>
      </c>
      <c r="L6" t="inlineStr">
        <is>
          <t>C5</t>
        </is>
      </c>
      <c r="M6">
        <f>IFERROR(AVERAGE(G2:G200),"")</f>
        <v/>
      </c>
    </row>
    <row r="7">
      <c r="H7">
        <f>IF(COUNTA(C7:G7)=0,"",C7*$K$2+D7*$K$3+E7*$K$4+F7*$K$5+G7*$K$6)</f>
        <v/>
      </c>
      <c r="I7">
        <f>IF(H7="","",IF(H7&gt;=2.5,3,IF(H7&gt;=2,2,IF(H7&gt;=1.5,1,0))))</f>
        <v/>
      </c>
    </row>
    <row r="8">
      <c r="H8">
        <f>IF(COUNTA(C8:G8)=0,"",C8*$K$2+D8*$K$3+E8*$K$4+F8*$K$5+G8*$K$6)</f>
        <v/>
      </c>
      <c r="I8">
        <f>IF(H8="","",IF(H8&gt;=2.5,3,IF(H8&gt;=2,2,IF(H8&gt;=1.5,1,0))))</f>
        <v/>
      </c>
    </row>
    <row r="9">
      <c r="H9">
        <f>IF(COUNTA(C9:G9)=0,"",C9*$K$2+D9*$K$3+E9*$K$4+F9*$K$5+G9*$K$6)</f>
        <v/>
      </c>
      <c r="I9">
        <f>IF(H9="","",IF(H9&gt;=2.5,3,IF(H9&gt;=2,2,IF(H9&gt;=1.5,1,0))))</f>
        <v/>
      </c>
    </row>
    <row r="10">
      <c r="H10">
        <f>IF(COUNTA(C10:G10)=0,"",C10*$K$2+D10*$K$3+E10*$K$4+F10*$K$5+G10*$K$6)</f>
        <v/>
      </c>
      <c r="I10">
        <f>IF(H10="","",IF(H10&gt;=2.5,3,IF(H10&gt;=2,2,IF(H10&gt;=1.5,1,0))))</f>
        <v/>
      </c>
    </row>
    <row r="11">
      <c r="H11">
        <f>IF(COUNTA(C11:G11)=0,"",C11*$K$2+D11*$K$3+E11*$K$4+F11*$K$5+G11*$K$6)</f>
        <v/>
      </c>
      <c r="I11">
        <f>IF(H11="","",IF(H11&gt;=2.5,3,IF(H11&gt;=2,2,IF(H11&gt;=1.5,1,0))))</f>
        <v/>
      </c>
    </row>
    <row r="12">
      <c r="H12">
        <f>IF(COUNTA(C12:G12)=0,"",C12*$K$2+D12*$K$3+E12*$K$4+F12*$K$5+G12*$K$6)</f>
        <v/>
      </c>
      <c r="I12">
        <f>IF(H12="","",IF(H12&gt;=2.5,3,IF(H12&gt;=2,2,IF(H12&gt;=1.5,1,0))))</f>
        <v/>
      </c>
    </row>
    <row r="13">
      <c r="H13">
        <f>IF(COUNTA(C13:G13)=0,"",C13*$K$2+D13*$K$3+E13*$K$4+F13*$K$5+G13*$K$6)</f>
        <v/>
      </c>
      <c r="I13">
        <f>IF(H13="","",IF(H13&gt;=2.5,3,IF(H13&gt;=2,2,IF(H13&gt;=1.5,1,0))))</f>
        <v/>
      </c>
    </row>
    <row r="14">
      <c r="H14">
        <f>IF(COUNTA(C14:G14)=0,"",C14*$K$2+D14*$K$3+E14*$K$4+F14*$K$5+G14*$K$6)</f>
        <v/>
      </c>
      <c r="I14">
        <f>IF(H14="","",IF(H14&gt;=2.5,3,IF(H14&gt;=2,2,IF(H14&gt;=1.5,1,0))))</f>
        <v/>
      </c>
    </row>
    <row r="15">
      <c r="H15">
        <f>IF(COUNTA(C15:G15)=0,"",C15*$K$2+D15*$K$3+E15*$K$4+F15*$K$5+G15*$K$6)</f>
        <v/>
      </c>
      <c r="I15">
        <f>IF(H15="","",IF(H15&gt;=2.5,3,IF(H15&gt;=2,2,IF(H15&gt;=1.5,1,0))))</f>
        <v/>
      </c>
    </row>
    <row r="16">
      <c r="H16">
        <f>IF(COUNTA(C16:G16)=0,"",C16*$K$2+D16*$K$3+E16*$K$4+F16*$K$5+G16*$K$6)</f>
        <v/>
      </c>
      <c r="I16">
        <f>IF(H16="","",IF(H16&gt;=2.5,3,IF(H16&gt;=2,2,IF(H16&gt;=1.5,1,0))))</f>
        <v/>
      </c>
    </row>
    <row r="17">
      <c r="H17">
        <f>IF(COUNTA(C17:G17)=0,"",C17*$K$2+D17*$K$3+E17*$K$4+F17*$K$5+G17*$K$6)</f>
        <v/>
      </c>
      <c r="I17">
        <f>IF(H17="","",IF(H17&gt;=2.5,3,IF(H17&gt;=2,2,IF(H17&gt;=1.5,1,0))))</f>
        <v/>
      </c>
    </row>
    <row r="18">
      <c r="H18">
        <f>IF(COUNTA(C18:G18)=0,"",C18*$K$2+D18*$K$3+E18*$K$4+F18*$K$5+G18*$K$6)</f>
        <v/>
      </c>
      <c r="I18">
        <f>IF(H18="","",IF(H18&gt;=2.5,3,IF(H18&gt;=2,2,IF(H18&gt;=1.5,1,0))))</f>
        <v/>
      </c>
    </row>
    <row r="19">
      <c r="H19">
        <f>IF(COUNTA(C19:G19)=0,"",C19*$K$2+D19*$K$3+E19*$K$4+F19*$K$5+G19*$K$6)</f>
        <v/>
      </c>
      <c r="I19">
        <f>IF(H19="","",IF(H19&gt;=2.5,3,IF(H19&gt;=2,2,IF(H19&gt;=1.5,1,0))))</f>
        <v/>
      </c>
    </row>
    <row r="20">
      <c r="H20">
        <f>IF(COUNTA(C20:G20)=0,"",C20*$K$2+D20*$K$3+E20*$K$4+F20*$K$5+G20*$K$6)</f>
        <v/>
      </c>
      <c r="I20">
        <f>IF(H20="","",IF(H20&gt;=2.5,3,IF(H20&gt;=2,2,IF(H20&gt;=1.5,1,0))))</f>
        <v/>
      </c>
    </row>
    <row r="21">
      <c r="H21">
        <f>IF(COUNTA(C21:G21)=0,"",C21*$K$2+D21*$K$3+E21*$K$4+F21*$K$5+G21*$K$6)</f>
        <v/>
      </c>
      <c r="I21">
        <f>IF(H21="","",IF(H21&gt;=2.5,3,IF(H21&gt;=2,2,IF(H21&gt;=1.5,1,0))))</f>
        <v/>
      </c>
    </row>
    <row r="22">
      <c r="H22">
        <f>IF(COUNTA(C22:G22)=0,"",C22*$K$2+D22*$K$3+E22*$K$4+F22*$K$5+G22*$K$6)</f>
        <v/>
      </c>
      <c r="I22">
        <f>IF(H22="","",IF(H22&gt;=2.5,3,IF(H22&gt;=2,2,IF(H22&gt;=1.5,1,0))))</f>
        <v/>
      </c>
    </row>
    <row r="23">
      <c r="H23">
        <f>IF(COUNTA(C23:G23)=0,"",C23*$K$2+D23*$K$3+E23*$K$4+F23*$K$5+G23*$K$6)</f>
        <v/>
      </c>
      <c r="I23">
        <f>IF(H23="","",IF(H23&gt;=2.5,3,IF(H23&gt;=2,2,IF(H23&gt;=1.5,1,0))))</f>
        <v/>
      </c>
    </row>
    <row r="24">
      <c r="H24">
        <f>IF(COUNTA(C24:G24)=0,"",C24*$K$2+D24*$K$3+E24*$K$4+F24*$K$5+G24*$K$6)</f>
        <v/>
      </c>
      <c r="I24">
        <f>IF(H24="","",IF(H24&gt;=2.5,3,IF(H24&gt;=2,2,IF(H24&gt;=1.5,1,0))))</f>
        <v/>
      </c>
    </row>
    <row r="25">
      <c r="H25">
        <f>IF(COUNTA(C25:G25)=0,"",C25*$K$2+D25*$K$3+E25*$K$4+F25*$K$5+G25*$K$6)</f>
        <v/>
      </c>
      <c r="I25">
        <f>IF(H25="","",IF(H25&gt;=2.5,3,IF(H25&gt;=2,2,IF(H25&gt;=1.5,1,0))))</f>
        <v/>
      </c>
    </row>
    <row r="26">
      <c r="H26">
        <f>IF(COUNTA(C26:G26)=0,"",C26*$K$2+D26*$K$3+E26*$K$4+F26*$K$5+G26*$K$6)</f>
        <v/>
      </c>
      <c r="I26">
        <f>IF(H26="","",IF(H26&gt;=2.5,3,IF(H26&gt;=2,2,IF(H26&gt;=1.5,1,0))))</f>
        <v/>
      </c>
    </row>
    <row r="27">
      <c r="H27">
        <f>IF(COUNTA(C27:G27)=0,"",C27*$K$2+D27*$K$3+E27*$K$4+F27*$K$5+G27*$K$6)</f>
        <v/>
      </c>
      <c r="I27">
        <f>IF(H27="","",IF(H27&gt;=2.5,3,IF(H27&gt;=2,2,IF(H27&gt;=1.5,1,0))))</f>
        <v/>
      </c>
    </row>
    <row r="28">
      <c r="H28">
        <f>IF(COUNTA(C28:G28)=0,"",C28*$K$2+D28*$K$3+E28*$K$4+F28*$K$5+G28*$K$6)</f>
        <v/>
      </c>
      <c r="I28">
        <f>IF(H28="","",IF(H28&gt;=2.5,3,IF(H28&gt;=2,2,IF(H28&gt;=1.5,1,0))))</f>
        <v/>
      </c>
    </row>
    <row r="29">
      <c r="H29">
        <f>IF(COUNTA(C29:G29)=0,"",C29*$K$2+D29*$K$3+E29*$K$4+F29*$K$5+G29*$K$6)</f>
        <v/>
      </c>
      <c r="I29">
        <f>IF(H29="","",IF(H29&gt;=2.5,3,IF(H29&gt;=2,2,IF(H29&gt;=1.5,1,0))))</f>
        <v/>
      </c>
    </row>
    <row r="30">
      <c r="H30">
        <f>IF(COUNTA(C30:G30)=0,"",C30*$K$2+D30*$K$3+E30*$K$4+F30*$K$5+G30*$K$6)</f>
        <v/>
      </c>
      <c r="I30">
        <f>IF(H30="","",IF(H30&gt;=2.5,3,IF(H30&gt;=2,2,IF(H30&gt;=1.5,1,0))))</f>
        <v/>
      </c>
    </row>
    <row r="31">
      <c r="H31">
        <f>IF(COUNTA(C31:G31)=0,"",C31*$K$2+D31*$K$3+E31*$K$4+F31*$K$5+G31*$K$6)</f>
        <v/>
      </c>
      <c r="I31">
        <f>IF(H31="","",IF(H31&gt;=2.5,3,IF(H31&gt;=2,2,IF(H31&gt;=1.5,1,0))))</f>
        <v/>
      </c>
    </row>
    <row r="32">
      <c r="H32">
        <f>IF(COUNTA(C32:G32)=0,"",C32*$K$2+D32*$K$3+E32*$K$4+F32*$K$5+G32*$K$6)</f>
        <v/>
      </c>
      <c r="I32">
        <f>IF(H32="","",IF(H32&gt;=2.5,3,IF(H32&gt;=2,2,IF(H32&gt;=1.5,1,0))))</f>
        <v/>
      </c>
    </row>
    <row r="33">
      <c r="H33">
        <f>IF(COUNTA(C33:G33)=0,"",C33*$K$2+D33*$K$3+E33*$K$4+F33*$K$5+G33*$K$6)</f>
        <v/>
      </c>
      <c r="I33">
        <f>IF(H33="","",IF(H33&gt;=2.5,3,IF(H33&gt;=2,2,IF(H33&gt;=1.5,1,0))))</f>
        <v/>
      </c>
    </row>
    <row r="34">
      <c r="H34">
        <f>IF(COUNTA(C34:G34)=0,"",C34*$K$2+D34*$K$3+E34*$K$4+F34*$K$5+G34*$K$6)</f>
        <v/>
      </c>
      <c r="I34">
        <f>IF(H34="","",IF(H34&gt;=2.5,3,IF(H34&gt;=2,2,IF(H34&gt;=1.5,1,0))))</f>
        <v/>
      </c>
    </row>
    <row r="35">
      <c r="H35">
        <f>IF(COUNTA(C35:G35)=0,"",C35*$K$2+D35*$K$3+E35*$K$4+F35*$K$5+G35*$K$6)</f>
        <v/>
      </c>
      <c r="I35">
        <f>IF(H35="","",IF(H35&gt;=2.5,3,IF(H35&gt;=2,2,IF(H35&gt;=1.5,1,0))))</f>
        <v/>
      </c>
    </row>
    <row r="36">
      <c r="H36">
        <f>IF(COUNTA(C36:G36)=0,"",C36*$K$2+D36*$K$3+E36*$K$4+F36*$K$5+G36*$K$6)</f>
        <v/>
      </c>
      <c r="I36">
        <f>IF(H36="","",IF(H36&gt;=2.5,3,IF(H36&gt;=2,2,IF(H36&gt;=1.5,1,0))))</f>
        <v/>
      </c>
    </row>
    <row r="37">
      <c r="H37">
        <f>IF(COUNTA(C37:G37)=0,"",C37*$K$2+D37*$K$3+E37*$K$4+F37*$K$5+G37*$K$6)</f>
        <v/>
      </c>
      <c r="I37">
        <f>IF(H37="","",IF(H37&gt;=2.5,3,IF(H37&gt;=2,2,IF(H37&gt;=1.5,1,0))))</f>
        <v/>
      </c>
    </row>
    <row r="38">
      <c r="H38">
        <f>IF(COUNTA(C38:G38)=0,"",C38*$K$2+D38*$K$3+E38*$K$4+F38*$K$5+G38*$K$6)</f>
        <v/>
      </c>
      <c r="I38">
        <f>IF(H38="","",IF(H38&gt;=2.5,3,IF(H38&gt;=2,2,IF(H38&gt;=1.5,1,0))))</f>
        <v/>
      </c>
    </row>
    <row r="39">
      <c r="H39">
        <f>IF(COUNTA(C39:G39)=0,"",C39*$K$2+D39*$K$3+E39*$K$4+F39*$K$5+G39*$K$6)</f>
        <v/>
      </c>
      <c r="I39">
        <f>IF(H39="","",IF(H39&gt;=2.5,3,IF(H39&gt;=2,2,IF(H39&gt;=1.5,1,0))))</f>
        <v/>
      </c>
    </row>
    <row r="40">
      <c r="H40">
        <f>IF(COUNTA(C40:G40)=0,"",C40*$K$2+D40*$K$3+E40*$K$4+F40*$K$5+G40*$K$6)</f>
        <v/>
      </c>
      <c r="I40">
        <f>IF(H40="","",IF(H40&gt;=2.5,3,IF(H40&gt;=2,2,IF(H40&gt;=1.5,1,0))))</f>
        <v/>
      </c>
    </row>
    <row r="41">
      <c r="H41">
        <f>IF(COUNTA(C41:G41)=0,"",C41*$K$2+D41*$K$3+E41*$K$4+F41*$K$5+G41*$K$6)</f>
        <v/>
      </c>
      <c r="I41">
        <f>IF(H41="","",IF(H41&gt;=2.5,3,IF(H41&gt;=2,2,IF(H41&gt;=1.5,1,0))))</f>
        <v/>
      </c>
    </row>
    <row r="42">
      <c r="H42">
        <f>IF(COUNTA(C42:G42)=0,"",C42*$K$2+D42*$K$3+E42*$K$4+F42*$K$5+G42*$K$6)</f>
        <v/>
      </c>
      <c r="I42">
        <f>IF(H42="","",IF(H42&gt;=2.5,3,IF(H42&gt;=2,2,IF(H42&gt;=1.5,1,0))))</f>
        <v/>
      </c>
    </row>
    <row r="43">
      <c r="H43">
        <f>IF(COUNTA(C43:G43)=0,"",C43*$K$2+D43*$K$3+E43*$K$4+F43*$K$5+G43*$K$6)</f>
        <v/>
      </c>
      <c r="I43">
        <f>IF(H43="","",IF(H43&gt;=2.5,3,IF(H43&gt;=2,2,IF(H43&gt;=1.5,1,0))))</f>
        <v/>
      </c>
    </row>
    <row r="44">
      <c r="H44">
        <f>IF(COUNTA(C44:G44)=0,"",C44*$K$2+D44*$K$3+E44*$K$4+F44*$K$5+G44*$K$6)</f>
        <v/>
      </c>
      <c r="I44">
        <f>IF(H44="","",IF(H44&gt;=2.5,3,IF(H44&gt;=2,2,IF(H44&gt;=1.5,1,0))))</f>
        <v/>
      </c>
    </row>
    <row r="45">
      <c r="H45">
        <f>IF(COUNTA(C45:G45)=0,"",C45*$K$2+D45*$K$3+E45*$K$4+F45*$K$5+G45*$K$6)</f>
        <v/>
      </c>
      <c r="I45">
        <f>IF(H45="","",IF(H45&gt;=2.5,3,IF(H45&gt;=2,2,IF(H45&gt;=1.5,1,0))))</f>
        <v/>
      </c>
    </row>
    <row r="46">
      <c r="H46">
        <f>IF(COUNTA(C46:G46)=0,"",C46*$K$2+D46*$K$3+E46*$K$4+F46*$K$5+G46*$K$6)</f>
        <v/>
      </c>
      <c r="I46">
        <f>IF(H46="","",IF(H46&gt;=2.5,3,IF(H46&gt;=2,2,IF(H46&gt;=1.5,1,0))))</f>
        <v/>
      </c>
    </row>
    <row r="47">
      <c r="H47">
        <f>IF(COUNTA(C47:G47)=0,"",C47*$K$2+D47*$K$3+E47*$K$4+F47*$K$5+G47*$K$6)</f>
        <v/>
      </c>
      <c r="I47">
        <f>IF(H47="","",IF(H47&gt;=2.5,3,IF(H47&gt;=2,2,IF(H47&gt;=1.5,1,0))))</f>
        <v/>
      </c>
    </row>
    <row r="48">
      <c r="H48">
        <f>IF(COUNTA(C48:G48)=0,"",C48*$K$2+D48*$K$3+E48*$K$4+F48*$K$5+G48*$K$6)</f>
        <v/>
      </c>
      <c r="I48">
        <f>IF(H48="","",IF(H48&gt;=2.5,3,IF(H48&gt;=2,2,IF(H48&gt;=1.5,1,0))))</f>
        <v/>
      </c>
    </row>
    <row r="49">
      <c r="H49">
        <f>IF(COUNTA(C49:G49)=0,"",C49*$K$2+D49*$K$3+E49*$K$4+F49*$K$5+G49*$K$6)</f>
        <v/>
      </c>
      <c r="I49">
        <f>IF(H49="","",IF(H49&gt;=2.5,3,IF(H49&gt;=2,2,IF(H49&gt;=1.5,1,0))))</f>
        <v/>
      </c>
    </row>
    <row r="50">
      <c r="H50">
        <f>IF(COUNTA(C50:G50)=0,"",C50*$K$2+D50*$K$3+E50*$K$4+F50*$K$5+G50*$K$6)</f>
        <v/>
      </c>
      <c r="I50">
        <f>IF(H50="","",IF(H50&gt;=2.5,3,IF(H50&gt;=2,2,IF(H50&gt;=1.5,1,0))))</f>
        <v/>
      </c>
    </row>
    <row r="51">
      <c r="H51">
        <f>IF(COUNTA(C51:G51)=0,"",C51*$K$2+D51*$K$3+E51*$K$4+F51*$K$5+G51*$K$6)</f>
        <v/>
      </c>
      <c r="I51">
        <f>IF(H51="","",IF(H51&gt;=2.5,3,IF(H51&gt;=2,2,IF(H51&gt;=1.5,1,0))))</f>
        <v/>
      </c>
    </row>
    <row r="52">
      <c r="H52">
        <f>IF(COUNTA(C52:G52)=0,"",C52*$K$2+D52*$K$3+E52*$K$4+F52*$K$5+G52*$K$6)</f>
        <v/>
      </c>
      <c r="I52">
        <f>IF(H52="","",IF(H52&gt;=2.5,3,IF(H52&gt;=2,2,IF(H52&gt;=1.5,1,0))))</f>
        <v/>
      </c>
    </row>
    <row r="53">
      <c r="H53">
        <f>IF(COUNTA(C53:G53)=0,"",C53*$K$2+D53*$K$3+E53*$K$4+F53*$K$5+G53*$K$6)</f>
        <v/>
      </c>
      <c r="I53">
        <f>IF(H53="","",IF(H53&gt;=2.5,3,IF(H53&gt;=2,2,IF(H53&gt;=1.5,1,0))))</f>
        <v/>
      </c>
    </row>
    <row r="54">
      <c r="H54">
        <f>IF(COUNTA(C54:G54)=0,"",C54*$K$2+D54*$K$3+E54*$K$4+F54*$K$5+G54*$K$6)</f>
        <v/>
      </c>
      <c r="I54">
        <f>IF(H54="","",IF(H54&gt;=2.5,3,IF(H54&gt;=2,2,IF(H54&gt;=1.5,1,0))))</f>
        <v/>
      </c>
    </row>
    <row r="55">
      <c r="H55">
        <f>IF(COUNTA(C55:G55)=0,"",C55*$K$2+D55*$K$3+E55*$K$4+F55*$K$5+G55*$K$6)</f>
        <v/>
      </c>
      <c r="I55">
        <f>IF(H55="","",IF(H55&gt;=2.5,3,IF(H55&gt;=2,2,IF(H55&gt;=1.5,1,0))))</f>
        <v/>
      </c>
    </row>
    <row r="56">
      <c r="H56">
        <f>IF(COUNTA(C56:G56)=0,"",C56*$K$2+D56*$K$3+E56*$K$4+F56*$K$5+G56*$K$6)</f>
        <v/>
      </c>
      <c r="I56">
        <f>IF(H56="","",IF(H56&gt;=2.5,3,IF(H56&gt;=2,2,IF(H56&gt;=1.5,1,0))))</f>
        <v/>
      </c>
    </row>
    <row r="57">
      <c r="H57">
        <f>IF(COUNTA(C57:G57)=0,"",C57*$K$2+D57*$K$3+E57*$K$4+F57*$K$5+G57*$K$6)</f>
        <v/>
      </c>
      <c r="I57">
        <f>IF(H57="","",IF(H57&gt;=2.5,3,IF(H57&gt;=2,2,IF(H57&gt;=1.5,1,0))))</f>
        <v/>
      </c>
    </row>
    <row r="58">
      <c r="H58">
        <f>IF(COUNTA(C58:G58)=0,"",C58*$K$2+D58*$K$3+E58*$K$4+F58*$K$5+G58*$K$6)</f>
        <v/>
      </c>
      <c r="I58">
        <f>IF(H58="","",IF(H58&gt;=2.5,3,IF(H58&gt;=2,2,IF(H58&gt;=1.5,1,0))))</f>
        <v/>
      </c>
    </row>
    <row r="59">
      <c r="H59">
        <f>IF(COUNTA(C59:G59)=0,"",C59*$K$2+D59*$K$3+E59*$K$4+F59*$K$5+G59*$K$6)</f>
        <v/>
      </c>
      <c r="I59">
        <f>IF(H59="","",IF(H59&gt;=2.5,3,IF(H59&gt;=2,2,IF(H59&gt;=1.5,1,0))))</f>
        <v/>
      </c>
    </row>
    <row r="60">
      <c r="H60">
        <f>IF(COUNTA(C60:G60)=0,"",C60*$K$2+D60*$K$3+E60*$K$4+F60*$K$5+G60*$K$6)</f>
        <v/>
      </c>
      <c r="I60">
        <f>IF(H60="","",IF(H60&gt;=2.5,3,IF(H60&gt;=2,2,IF(H60&gt;=1.5,1,0))))</f>
        <v/>
      </c>
    </row>
    <row r="61">
      <c r="H61">
        <f>IF(COUNTA(C61:G61)=0,"",C61*$K$2+D61*$K$3+E61*$K$4+F61*$K$5+G61*$K$6)</f>
        <v/>
      </c>
      <c r="I61">
        <f>IF(H61="","",IF(H61&gt;=2.5,3,IF(H61&gt;=2,2,IF(H61&gt;=1.5,1,0))))</f>
        <v/>
      </c>
    </row>
    <row r="62">
      <c r="H62">
        <f>IF(COUNTA(C62:G62)=0,"",C62*$K$2+D62*$K$3+E62*$K$4+F62*$K$5+G62*$K$6)</f>
        <v/>
      </c>
      <c r="I62">
        <f>IF(H62="","",IF(H62&gt;=2.5,3,IF(H62&gt;=2,2,IF(H62&gt;=1.5,1,0))))</f>
        <v/>
      </c>
    </row>
    <row r="63">
      <c r="H63">
        <f>IF(COUNTA(C63:G63)=0,"",C63*$K$2+D63*$K$3+E63*$K$4+F63*$K$5+G63*$K$6)</f>
        <v/>
      </c>
      <c r="I63">
        <f>IF(H63="","",IF(H63&gt;=2.5,3,IF(H63&gt;=2,2,IF(H63&gt;=1.5,1,0))))</f>
        <v/>
      </c>
    </row>
    <row r="64">
      <c r="H64">
        <f>IF(COUNTA(C64:G64)=0,"",C64*$K$2+D64*$K$3+E64*$K$4+F64*$K$5+G64*$K$6)</f>
        <v/>
      </c>
      <c r="I64">
        <f>IF(H64="","",IF(H64&gt;=2.5,3,IF(H64&gt;=2,2,IF(H64&gt;=1.5,1,0))))</f>
        <v/>
      </c>
    </row>
    <row r="65">
      <c r="H65">
        <f>IF(COUNTA(C65:G65)=0,"",C65*$K$2+D65*$K$3+E65*$K$4+F65*$K$5+G65*$K$6)</f>
        <v/>
      </c>
      <c r="I65">
        <f>IF(H65="","",IF(H65&gt;=2.5,3,IF(H65&gt;=2,2,IF(H65&gt;=1.5,1,0))))</f>
        <v/>
      </c>
    </row>
    <row r="66">
      <c r="H66">
        <f>IF(COUNTA(C66:G66)=0,"",C66*$K$2+D66*$K$3+E66*$K$4+F66*$K$5+G66*$K$6)</f>
        <v/>
      </c>
      <c r="I66">
        <f>IF(H66="","",IF(H66&gt;=2.5,3,IF(H66&gt;=2,2,IF(H66&gt;=1.5,1,0))))</f>
        <v/>
      </c>
    </row>
    <row r="67">
      <c r="H67">
        <f>IF(COUNTA(C67:G67)=0,"",C67*$K$2+D67*$K$3+E67*$K$4+F67*$K$5+G67*$K$6)</f>
        <v/>
      </c>
      <c r="I67">
        <f>IF(H67="","",IF(H67&gt;=2.5,3,IF(H67&gt;=2,2,IF(H67&gt;=1.5,1,0))))</f>
        <v/>
      </c>
    </row>
    <row r="68">
      <c r="H68">
        <f>IF(COUNTA(C68:G68)=0,"",C68*$K$2+D68*$K$3+E68*$K$4+F68*$K$5+G68*$K$6)</f>
        <v/>
      </c>
      <c r="I68">
        <f>IF(H68="","",IF(H68&gt;=2.5,3,IF(H68&gt;=2,2,IF(H68&gt;=1.5,1,0))))</f>
        <v/>
      </c>
    </row>
    <row r="69">
      <c r="H69">
        <f>IF(COUNTA(C69:G69)=0,"",C69*$K$2+D69*$K$3+E69*$K$4+F69*$K$5+G69*$K$6)</f>
        <v/>
      </c>
      <c r="I69">
        <f>IF(H69="","",IF(H69&gt;=2.5,3,IF(H69&gt;=2,2,IF(H69&gt;=1.5,1,0))))</f>
        <v/>
      </c>
    </row>
    <row r="70">
      <c r="H70">
        <f>IF(COUNTA(C70:G70)=0,"",C70*$K$2+D70*$K$3+E70*$K$4+F70*$K$5+G70*$K$6)</f>
        <v/>
      </c>
      <c r="I70">
        <f>IF(H70="","",IF(H70&gt;=2.5,3,IF(H70&gt;=2,2,IF(H70&gt;=1.5,1,0))))</f>
        <v/>
      </c>
    </row>
    <row r="71">
      <c r="H71">
        <f>IF(COUNTA(C71:G71)=0,"",C71*$K$2+D71*$K$3+E71*$K$4+F71*$K$5+G71*$K$6)</f>
        <v/>
      </c>
      <c r="I71">
        <f>IF(H71="","",IF(H71&gt;=2.5,3,IF(H71&gt;=2,2,IF(H71&gt;=1.5,1,0))))</f>
        <v/>
      </c>
    </row>
    <row r="72">
      <c r="H72">
        <f>IF(COUNTA(C72:G72)=0,"",C72*$K$2+D72*$K$3+E72*$K$4+F72*$K$5+G72*$K$6)</f>
        <v/>
      </c>
      <c r="I72">
        <f>IF(H72="","",IF(H72&gt;=2.5,3,IF(H72&gt;=2,2,IF(H72&gt;=1.5,1,0))))</f>
        <v/>
      </c>
    </row>
    <row r="73">
      <c r="H73">
        <f>IF(COUNTA(C73:G73)=0,"",C73*$K$2+D73*$K$3+E73*$K$4+F73*$K$5+G73*$K$6)</f>
        <v/>
      </c>
      <c r="I73">
        <f>IF(H73="","",IF(H73&gt;=2.5,3,IF(H73&gt;=2,2,IF(H73&gt;=1.5,1,0))))</f>
        <v/>
      </c>
    </row>
    <row r="74">
      <c r="H74">
        <f>IF(COUNTA(C74:G74)=0,"",C74*$K$2+D74*$K$3+E74*$K$4+F74*$K$5+G74*$K$6)</f>
        <v/>
      </c>
      <c r="I74">
        <f>IF(H74="","",IF(H74&gt;=2.5,3,IF(H74&gt;=2,2,IF(H74&gt;=1.5,1,0))))</f>
        <v/>
      </c>
    </row>
    <row r="75">
      <c r="H75">
        <f>IF(COUNTA(C75:G75)=0,"",C75*$K$2+D75*$K$3+E75*$K$4+F75*$K$5+G75*$K$6)</f>
        <v/>
      </c>
      <c r="I75">
        <f>IF(H75="","",IF(H75&gt;=2.5,3,IF(H75&gt;=2,2,IF(H75&gt;=1.5,1,0))))</f>
        <v/>
      </c>
    </row>
    <row r="76">
      <c r="H76">
        <f>IF(COUNTA(C76:G76)=0,"",C76*$K$2+D76*$K$3+E76*$K$4+F76*$K$5+G76*$K$6)</f>
        <v/>
      </c>
      <c r="I76">
        <f>IF(H76="","",IF(H76&gt;=2.5,3,IF(H76&gt;=2,2,IF(H76&gt;=1.5,1,0))))</f>
        <v/>
      </c>
    </row>
    <row r="77">
      <c r="H77">
        <f>IF(COUNTA(C77:G77)=0,"",C77*$K$2+D77*$K$3+E77*$K$4+F77*$K$5+G77*$K$6)</f>
        <v/>
      </c>
      <c r="I77">
        <f>IF(H77="","",IF(H77&gt;=2.5,3,IF(H77&gt;=2,2,IF(H77&gt;=1.5,1,0))))</f>
        <v/>
      </c>
    </row>
    <row r="78">
      <c r="H78">
        <f>IF(COUNTA(C78:G78)=0,"",C78*$K$2+D78*$K$3+E78*$K$4+F78*$K$5+G78*$K$6)</f>
        <v/>
      </c>
      <c r="I78">
        <f>IF(H78="","",IF(H78&gt;=2.5,3,IF(H78&gt;=2,2,IF(H78&gt;=1.5,1,0))))</f>
        <v/>
      </c>
    </row>
    <row r="79">
      <c r="H79">
        <f>IF(COUNTA(C79:G79)=0,"",C79*$K$2+D79*$K$3+E79*$K$4+F79*$K$5+G79*$K$6)</f>
        <v/>
      </c>
      <c r="I79">
        <f>IF(H79="","",IF(H79&gt;=2.5,3,IF(H79&gt;=2,2,IF(H79&gt;=1.5,1,0))))</f>
        <v/>
      </c>
    </row>
    <row r="80">
      <c r="H80">
        <f>IF(COUNTA(C80:G80)=0,"",C80*$K$2+D80*$K$3+E80*$K$4+F80*$K$5+G80*$K$6)</f>
        <v/>
      </c>
      <c r="I80">
        <f>IF(H80="","",IF(H80&gt;=2.5,3,IF(H80&gt;=2,2,IF(H80&gt;=1.5,1,0))))</f>
        <v/>
      </c>
    </row>
    <row r="81">
      <c r="H81">
        <f>IF(COUNTA(C81:G81)=0,"",C81*$K$2+D81*$K$3+E81*$K$4+F81*$K$5+G81*$K$6)</f>
        <v/>
      </c>
      <c r="I81">
        <f>IF(H81="","",IF(H81&gt;=2.5,3,IF(H81&gt;=2,2,IF(H81&gt;=1.5,1,0))))</f>
        <v/>
      </c>
    </row>
    <row r="82">
      <c r="H82">
        <f>IF(COUNTA(C82:G82)=0,"",C82*$K$2+D82*$K$3+E82*$K$4+F82*$K$5+G82*$K$6)</f>
        <v/>
      </c>
      <c r="I82">
        <f>IF(H82="","",IF(H82&gt;=2.5,3,IF(H82&gt;=2,2,IF(H82&gt;=1.5,1,0))))</f>
        <v/>
      </c>
    </row>
    <row r="83">
      <c r="H83">
        <f>IF(COUNTA(C83:G83)=0,"",C83*$K$2+D83*$K$3+E83*$K$4+F83*$K$5+G83*$K$6)</f>
        <v/>
      </c>
      <c r="I83">
        <f>IF(H83="","",IF(H83&gt;=2.5,3,IF(H83&gt;=2,2,IF(H83&gt;=1.5,1,0))))</f>
        <v/>
      </c>
    </row>
    <row r="84">
      <c r="H84">
        <f>IF(COUNTA(C84:G84)=0,"",C84*$K$2+D84*$K$3+E84*$K$4+F84*$K$5+G84*$K$6)</f>
        <v/>
      </c>
      <c r="I84">
        <f>IF(H84="","",IF(H84&gt;=2.5,3,IF(H84&gt;=2,2,IF(H84&gt;=1.5,1,0))))</f>
        <v/>
      </c>
    </row>
    <row r="85">
      <c r="H85">
        <f>IF(COUNTA(C85:G85)=0,"",C85*$K$2+D85*$K$3+E85*$K$4+F85*$K$5+G85*$K$6)</f>
        <v/>
      </c>
      <c r="I85">
        <f>IF(H85="","",IF(H85&gt;=2.5,3,IF(H85&gt;=2,2,IF(H85&gt;=1.5,1,0))))</f>
        <v/>
      </c>
    </row>
    <row r="86">
      <c r="H86">
        <f>IF(COUNTA(C86:G86)=0,"",C86*$K$2+D86*$K$3+E86*$K$4+F86*$K$5+G86*$K$6)</f>
        <v/>
      </c>
      <c r="I86">
        <f>IF(H86="","",IF(H86&gt;=2.5,3,IF(H86&gt;=2,2,IF(H86&gt;=1.5,1,0))))</f>
        <v/>
      </c>
    </row>
    <row r="87">
      <c r="H87">
        <f>IF(COUNTA(C87:G87)=0,"",C87*$K$2+D87*$K$3+E87*$K$4+F87*$K$5+G87*$K$6)</f>
        <v/>
      </c>
      <c r="I87">
        <f>IF(H87="","",IF(H87&gt;=2.5,3,IF(H87&gt;=2,2,IF(H87&gt;=1.5,1,0))))</f>
        <v/>
      </c>
    </row>
    <row r="88">
      <c r="H88">
        <f>IF(COUNTA(C88:G88)=0,"",C88*$K$2+D88*$K$3+E88*$K$4+F88*$K$5+G88*$K$6)</f>
        <v/>
      </c>
      <c r="I88">
        <f>IF(H88="","",IF(H88&gt;=2.5,3,IF(H88&gt;=2,2,IF(H88&gt;=1.5,1,0))))</f>
        <v/>
      </c>
    </row>
    <row r="89">
      <c r="H89">
        <f>IF(COUNTA(C89:G89)=0,"",C89*$K$2+D89*$K$3+E89*$K$4+F89*$K$5+G89*$K$6)</f>
        <v/>
      </c>
      <c r="I89">
        <f>IF(H89="","",IF(H89&gt;=2.5,3,IF(H89&gt;=2,2,IF(H89&gt;=1.5,1,0))))</f>
        <v/>
      </c>
    </row>
    <row r="90">
      <c r="H90">
        <f>IF(COUNTA(C90:G90)=0,"",C90*$K$2+D90*$K$3+E90*$K$4+F90*$K$5+G90*$K$6)</f>
        <v/>
      </c>
      <c r="I90">
        <f>IF(H90="","",IF(H90&gt;=2.5,3,IF(H90&gt;=2,2,IF(H90&gt;=1.5,1,0))))</f>
        <v/>
      </c>
    </row>
    <row r="91">
      <c r="H91">
        <f>IF(COUNTA(C91:G91)=0,"",C91*$K$2+D91*$K$3+E91*$K$4+F91*$K$5+G91*$K$6)</f>
        <v/>
      </c>
      <c r="I91">
        <f>IF(H91="","",IF(H91&gt;=2.5,3,IF(H91&gt;=2,2,IF(H91&gt;=1.5,1,0))))</f>
        <v/>
      </c>
    </row>
    <row r="92">
      <c r="H92">
        <f>IF(COUNTA(C92:G92)=0,"",C92*$K$2+D92*$K$3+E92*$K$4+F92*$K$5+G92*$K$6)</f>
        <v/>
      </c>
      <c r="I92">
        <f>IF(H92="","",IF(H92&gt;=2.5,3,IF(H92&gt;=2,2,IF(H92&gt;=1.5,1,0))))</f>
        <v/>
      </c>
    </row>
    <row r="93">
      <c r="H93">
        <f>IF(COUNTA(C93:G93)=0,"",C93*$K$2+D93*$K$3+E93*$K$4+F93*$K$5+G93*$K$6)</f>
        <v/>
      </c>
      <c r="I93">
        <f>IF(H93="","",IF(H93&gt;=2.5,3,IF(H93&gt;=2,2,IF(H93&gt;=1.5,1,0))))</f>
        <v/>
      </c>
    </row>
    <row r="94">
      <c r="H94">
        <f>IF(COUNTA(C94:G94)=0,"",C94*$K$2+D94*$K$3+E94*$K$4+F94*$K$5+G94*$K$6)</f>
        <v/>
      </c>
      <c r="I94">
        <f>IF(H94="","",IF(H94&gt;=2.5,3,IF(H94&gt;=2,2,IF(H94&gt;=1.5,1,0))))</f>
        <v/>
      </c>
    </row>
    <row r="95">
      <c r="H95">
        <f>IF(COUNTA(C95:G95)=0,"",C95*$K$2+D95*$K$3+E95*$K$4+F95*$K$5+G95*$K$6)</f>
        <v/>
      </c>
      <c r="I95">
        <f>IF(H95="","",IF(H95&gt;=2.5,3,IF(H95&gt;=2,2,IF(H95&gt;=1.5,1,0))))</f>
        <v/>
      </c>
    </row>
    <row r="96">
      <c r="H96">
        <f>IF(COUNTA(C96:G96)=0,"",C96*$K$2+D96*$K$3+E96*$K$4+F96*$K$5+G96*$K$6)</f>
        <v/>
      </c>
      <c r="I96">
        <f>IF(H96="","",IF(H96&gt;=2.5,3,IF(H96&gt;=2,2,IF(H96&gt;=1.5,1,0))))</f>
        <v/>
      </c>
    </row>
    <row r="97">
      <c r="H97">
        <f>IF(COUNTA(C97:G97)=0,"",C97*$K$2+D97*$K$3+E97*$K$4+F97*$K$5+G97*$K$6)</f>
        <v/>
      </c>
      <c r="I97">
        <f>IF(H97="","",IF(H97&gt;=2.5,3,IF(H97&gt;=2,2,IF(H97&gt;=1.5,1,0))))</f>
        <v/>
      </c>
    </row>
    <row r="98">
      <c r="H98">
        <f>IF(COUNTA(C98:G98)=0,"",C98*$K$2+D98*$K$3+E98*$K$4+F98*$K$5+G98*$K$6)</f>
        <v/>
      </c>
      <c r="I98">
        <f>IF(H98="","",IF(H98&gt;=2.5,3,IF(H98&gt;=2,2,IF(H98&gt;=1.5,1,0))))</f>
        <v/>
      </c>
    </row>
    <row r="99">
      <c r="H99">
        <f>IF(COUNTA(C99:G99)=0,"",C99*$K$2+D99*$K$3+E99*$K$4+F99*$K$5+G99*$K$6)</f>
        <v/>
      </c>
      <c r="I99">
        <f>IF(H99="","",IF(H99&gt;=2.5,3,IF(H99&gt;=2,2,IF(H99&gt;=1.5,1,0))))</f>
        <v/>
      </c>
    </row>
    <row r="100">
      <c r="H100">
        <f>IF(COUNTA(C100:G100)=0,"",C100*$K$2+D100*$K$3+E100*$K$4+F100*$K$5+G100*$K$6)</f>
        <v/>
      </c>
      <c r="I100">
        <f>IF(H100="","",IF(H100&gt;=2.5,3,IF(H100&gt;=2,2,IF(H100&gt;=1.5,1,0))))</f>
        <v/>
      </c>
    </row>
    <row r="101">
      <c r="H101">
        <f>IF(COUNTA(C101:G101)=0,"",C101*$K$2+D101*$K$3+E101*$K$4+F101*$K$5+G101*$K$6)</f>
        <v/>
      </c>
      <c r="I101">
        <f>IF(H101="","",IF(H101&gt;=2.5,3,IF(H101&gt;=2,2,IF(H101&gt;=1.5,1,0))))</f>
        <v/>
      </c>
    </row>
    <row r="102">
      <c r="H102">
        <f>IF(COUNTA(C102:G102)=0,"",C102*$K$2+D102*$K$3+E102*$K$4+F102*$K$5+G102*$K$6)</f>
        <v/>
      </c>
      <c r="I102">
        <f>IF(H102="","",IF(H102&gt;=2.5,3,IF(H102&gt;=2,2,IF(H102&gt;=1.5,1,0))))</f>
        <v/>
      </c>
    </row>
    <row r="103">
      <c r="H103">
        <f>IF(COUNTA(C103:G103)=0,"",C103*$K$2+D103*$K$3+E103*$K$4+F103*$K$5+G103*$K$6)</f>
        <v/>
      </c>
      <c r="I103">
        <f>IF(H103="","",IF(H103&gt;=2.5,3,IF(H103&gt;=2,2,IF(H103&gt;=1.5,1,0))))</f>
        <v/>
      </c>
    </row>
    <row r="104">
      <c r="H104">
        <f>IF(COUNTA(C104:G104)=0,"",C104*$K$2+D104*$K$3+E104*$K$4+F104*$K$5+G104*$K$6)</f>
        <v/>
      </c>
      <c r="I104">
        <f>IF(H104="","",IF(H104&gt;=2.5,3,IF(H104&gt;=2,2,IF(H104&gt;=1.5,1,0))))</f>
        <v/>
      </c>
    </row>
    <row r="105">
      <c r="H105">
        <f>IF(COUNTA(C105:G105)=0,"",C105*$K$2+D105*$K$3+E105*$K$4+F105*$K$5+G105*$K$6)</f>
        <v/>
      </c>
      <c r="I105">
        <f>IF(H105="","",IF(H105&gt;=2.5,3,IF(H105&gt;=2,2,IF(H105&gt;=1.5,1,0))))</f>
        <v/>
      </c>
    </row>
    <row r="106">
      <c r="H106">
        <f>IF(COUNTA(C106:G106)=0,"",C106*$K$2+D106*$K$3+E106*$K$4+F106*$K$5+G106*$K$6)</f>
        <v/>
      </c>
      <c r="I106">
        <f>IF(H106="","",IF(H106&gt;=2.5,3,IF(H106&gt;=2,2,IF(H106&gt;=1.5,1,0))))</f>
        <v/>
      </c>
    </row>
    <row r="107">
      <c r="H107">
        <f>IF(COUNTA(C107:G107)=0,"",C107*$K$2+D107*$K$3+E107*$K$4+F107*$K$5+G107*$K$6)</f>
        <v/>
      </c>
      <c r="I107">
        <f>IF(H107="","",IF(H107&gt;=2.5,3,IF(H107&gt;=2,2,IF(H107&gt;=1.5,1,0))))</f>
        <v/>
      </c>
    </row>
    <row r="108">
      <c r="H108">
        <f>IF(COUNTA(C108:G108)=0,"",C108*$K$2+D108*$K$3+E108*$K$4+F108*$K$5+G108*$K$6)</f>
        <v/>
      </c>
      <c r="I108">
        <f>IF(H108="","",IF(H108&gt;=2.5,3,IF(H108&gt;=2,2,IF(H108&gt;=1.5,1,0))))</f>
        <v/>
      </c>
    </row>
    <row r="109">
      <c r="H109">
        <f>IF(COUNTA(C109:G109)=0,"",C109*$K$2+D109*$K$3+E109*$K$4+F109*$K$5+G109*$K$6)</f>
        <v/>
      </c>
      <c r="I109">
        <f>IF(H109="","",IF(H109&gt;=2.5,3,IF(H109&gt;=2,2,IF(H109&gt;=1.5,1,0))))</f>
        <v/>
      </c>
    </row>
    <row r="110">
      <c r="H110">
        <f>IF(COUNTA(C110:G110)=0,"",C110*$K$2+D110*$K$3+E110*$K$4+F110*$K$5+G110*$K$6)</f>
        <v/>
      </c>
      <c r="I110">
        <f>IF(H110="","",IF(H110&gt;=2.5,3,IF(H110&gt;=2,2,IF(H110&gt;=1.5,1,0))))</f>
        <v/>
      </c>
    </row>
    <row r="111">
      <c r="H111">
        <f>IF(COUNTA(C111:G111)=0,"",C111*$K$2+D111*$K$3+E111*$K$4+F111*$K$5+G111*$K$6)</f>
        <v/>
      </c>
      <c r="I111">
        <f>IF(H111="","",IF(H111&gt;=2.5,3,IF(H111&gt;=2,2,IF(H111&gt;=1.5,1,0))))</f>
        <v/>
      </c>
    </row>
    <row r="112">
      <c r="H112">
        <f>IF(COUNTA(C112:G112)=0,"",C112*$K$2+D112*$K$3+E112*$K$4+F112*$K$5+G112*$K$6)</f>
        <v/>
      </c>
      <c r="I112">
        <f>IF(H112="","",IF(H112&gt;=2.5,3,IF(H112&gt;=2,2,IF(H112&gt;=1.5,1,0))))</f>
        <v/>
      </c>
    </row>
    <row r="113">
      <c r="H113">
        <f>IF(COUNTA(C113:G113)=0,"",C113*$K$2+D113*$K$3+E113*$K$4+F113*$K$5+G113*$K$6)</f>
        <v/>
      </c>
      <c r="I113">
        <f>IF(H113="","",IF(H113&gt;=2.5,3,IF(H113&gt;=2,2,IF(H113&gt;=1.5,1,0))))</f>
        <v/>
      </c>
    </row>
    <row r="114">
      <c r="H114">
        <f>IF(COUNTA(C114:G114)=0,"",C114*$K$2+D114*$K$3+E114*$K$4+F114*$K$5+G114*$K$6)</f>
        <v/>
      </c>
      <c r="I114">
        <f>IF(H114="","",IF(H114&gt;=2.5,3,IF(H114&gt;=2,2,IF(H114&gt;=1.5,1,0))))</f>
        <v/>
      </c>
    </row>
    <row r="115">
      <c r="H115">
        <f>IF(COUNTA(C115:G115)=0,"",C115*$K$2+D115*$K$3+E115*$K$4+F115*$K$5+G115*$K$6)</f>
        <v/>
      </c>
      <c r="I115">
        <f>IF(H115="","",IF(H115&gt;=2.5,3,IF(H115&gt;=2,2,IF(H115&gt;=1.5,1,0))))</f>
        <v/>
      </c>
    </row>
    <row r="116">
      <c r="H116">
        <f>IF(COUNTA(C116:G116)=0,"",C116*$K$2+D116*$K$3+E116*$K$4+F116*$K$5+G116*$K$6)</f>
        <v/>
      </c>
      <c r="I116">
        <f>IF(H116="","",IF(H116&gt;=2.5,3,IF(H116&gt;=2,2,IF(H116&gt;=1.5,1,0))))</f>
        <v/>
      </c>
    </row>
    <row r="117">
      <c r="H117">
        <f>IF(COUNTA(C117:G117)=0,"",C117*$K$2+D117*$K$3+E117*$K$4+F117*$K$5+G117*$K$6)</f>
        <v/>
      </c>
      <c r="I117">
        <f>IF(H117="","",IF(H117&gt;=2.5,3,IF(H117&gt;=2,2,IF(H117&gt;=1.5,1,0))))</f>
        <v/>
      </c>
    </row>
    <row r="118">
      <c r="H118">
        <f>IF(COUNTA(C118:G118)=0,"",C118*$K$2+D118*$K$3+E118*$K$4+F118*$K$5+G118*$K$6)</f>
        <v/>
      </c>
      <c r="I118">
        <f>IF(H118="","",IF(H118&gt;=2.5,3,IF(H118&gt;=2,2,IF(H118&gt;=1.5,1,0))))</f>
        <v/>
      </c>
    </row>
    <row r="119">
      <c r="H119">
        <f>IF(COUNTA(C119:G119)=0,"",C119*$K$2+D119*$K$3+E119*$K$4+F119*$K$5+G119*$K$6)</f>
        <v/>
      </c>
      <c r="I119">
        <f>IF(H119="","",IF(H119&gt;=2.5,3,IF(H119&gt;=2,2,IF(H119&gt;=1.5,1,0))))</f>
        <v/>
      </c>
    </row>
    <row r="120">
      <c r="H120">
        <f>IF(COUNTA(C120:G120)=0,"",C120*$K$2+D120*$K$3+E120*$K$4+F120*$K$5+G120*$K$6)</f>
        <v/>
      </c>
      <c r="I120">
        <f>IF(H120="","",IF(H120&gt;=2.5,3,IF(H120&gt;=2,2,IF(H120&gt;=1.5,1,0))))</f>
        <v/>
      </c>
    </row>
    <row r="121">
      <c r="H121">
        <f>IF(COUNTA(C121:G121)=0,"",C121*$K$2+D121*$K$3+E121*$K$4+F121*$K$5+G121*$K$6)</f>
        <v/>
      </c>
      <c r="I121">
        <f>IF(H121="","",IF(H121&gt;=2.5,3,IF(H121&gt;=2,2,IF(H121&gt;=1.5,1,0))))</f>
        <v/>
      </c>
    </row>
    <row r="122">
      <c r="H122">
        <f>IF(COUNTA(C122:G122)=0,"",C122*$K$2+D122*$K$3+E122*$K$4+F122*$K$5+G122*$K$6)</f>
        <v/>
      </c>
      <c r="I122">
        <f>IF(H122="","",IF(H122&gt;=2.5,3,IF(H122&gt;=2,2,IF(H122&gt;=1.5,1,0))))</f>
        <v/>
      </c>
    </row>
    <row r="123">
      <c r="H123">
        <f>IF(COUNTA(C123:G123)=0,"",C123*$K$2+D123*$K$3+E123*$K$4+F123*$K$5+G123*$K$6)</f>
        <v/>
      </c>
      <c r="I123">
        <f>IF(H123="","",IF(H123&gt;=2.5,3,IF(H123&gt;=2,2,IF(H123&gt;=1.5,1,0))))</f>
        <v/>
      </c>
    </row>
    <row r="124">
      <c r="H124">
        <f>IF(COUNTA(C124:G124)=0,"",C124*$K$2+D124*$K$3+E124*$K$4+F124*$K$5+G124*$K$6)</f>
        <v/>
      </c>
      <c r="I124">
        <f>IF(H124="","",IF(H124&gt;=2.5,3,IF(H124&gt;=2,2,IF(H124&gt;=1.5,1,0))))</f>
        <v/>
      </c>
    </row>
    <row r="125">
      <c r="H125">
        <f>IF(COUNTA(C125:G125)=0,"",C125*$K$2+D125*$K$3+E125*$K$4+F125*$K$5+G125*$K$6)</f>
        <v/>
      </c>
      <c r="I125">
        <f>IF(H125="","",IF(H125&gt;=2.5,3,IF(H125&gt;=2,2,IF(H125&gt;=1.5,1,0))))</f>
        <v/>
      </c>
    </row>
    <row r="126">
      <c r="H126">
        <f>IF(COUNTA(C126:G126)=0,"",C126*$K$2+D126*$K$3+E126*$K$4+F126*$K$5+G126*$K$6)</f>
        <v/>
      </c>
      <c r="I126">
        <f>IF(H126="","",IF(H126&gt;=2.5,3,IF(H126&gt;=2,2,IF(H126&gt;=1.5,1,0))))</f>
        <v/>
      </c>
    </row>
    <row r="127">
      <c r="H127">
        <f>IF(COUNTA(C127:G127)=0,"",C127*$K$2+D127*$K$3+E127*$K$4+F127*$K$5+G127*$K$6)</f>
        <v/>
      </c>
      <c r="I127">
        <f>IF(H127="","",IF(H127&gt;=2.5,3,IF(H127&gt;=2,2,IF(H127&gt;=1.5,1,0))))</f>
        <v/>
      </c>
    </row>
    <row r="128">
      <c r="H128">
        <f>IF(COUNTA(C128:G128)=0,"",C128*$K$2+D128*$K$3+E128*$K$4+F128*$K$5+G128*$K$6)</f>
        <v/>
      </c>
      <c r="I128">
        <f>IF(H128="","",IF(H128&gt;=2.5,3,IF(H128&gt;=2,2,IF(H128&gt;=1.5,1,0))))</f>
        <v/>
      </c>
    </row>
    <row r="129">
      <c r="H129">
        <f>IF(COUNTA(C129:G129)=0,"",C129*$K$2+D129*$K$3+E129*$K$4+F129*$K$5+G129*$K$6)</f>
        <v/>
      </c>
      <c r="I129">
        <f>IF(H129="","",IF(H129&gt;=2.5,3,IF(H129&gt;=2,2,IF(H129&gt;=1.5,1,0))))</f>
        <v/>
      </c>
    </row>
    <row r="130">
      <c r="H130">
        <f>IF(COUNTA(C130:G130)=0,"",C130*$K$2+D130*$K$3+E130*$K$4+F130*$K$5+G130*$K$6)</f>
        <v/>
      </c>
      <c r="I130">
        <f>IF(H130="","",IF(H130&gt;=2.5,3,IF(H130&gt;=2,2,IF(H130&gt;=1.5,1,0))))</f>
        <v/>
      </c>
    </row>
    <row r="131">
      <c r="H131">
        <f>IF(COUNTA(C131:G131)=0,"",C131*$K$2+D131*$K$3+E131*$K$4+F131*$K$5+G131*$K$6)</f>
        <v/>
      </c>
      <c r="I131">
        <f>IF(H131="","",IF(H131&gt;=2.5,3,IF(H131&gt;=2,2,IF(H131&gt;=1.5,1,0))))</f>
        <v/>
      </c>
    </row>
    <row r="132">
      <c r="H132">
        <f>IF(COUNTA(C132:G132)=0,"",C132*$K$2+D132*$K$3+E132*$K$4+F132*$K$5+G132*$K$6)</f>
        <v/>
      </c>
      <c r="I132">
        <f>IF(H132="","",IF(H132&gt;=2.5,3,IF(H132&gt;=2,2,IF(H132&gt;=1.5,1,0))))</f>
        <v/>
      </c>
    </row>
    <row r="133">
      <c r="H133">
        <f>IF(COUNTA(C133:G133)=0,"",C133*$K$2+D133*$K$3+E133*$K$4+F133*$K$5+G133*$K$6)</f>
        <v/>
      </c>
      <c r="I133">
        <f>IF(H133="","",IF(H133&gt;=2.5,3,IF(H133&gt;=2,2,IF(H133&gt;=1.5,1,0))))</f>
        <v/>
      </c>
    </row>
    <row r="134">
      <c r="H134">
        <f>IF(COUNTA(C134:G134)=0,"",C134*$K$2+D134*$K$3+E134*$K$4+F134*$K$5+G134*$K$6)</f>
        <v/>
      </c>
      <c r="I134">
        <f>IF(H134="","",IF(H134&gt;=2.5,3,IF(H134&gt;=2,2,IF(H134&gt;=1.5,1,0))))</f>
        <v/>
      </c>
    </row>
    <row r="135">
      <c r="H135">
        <f>IF(COUNTA(C135:G135)=0,"",C135*$K$2+D135*$K$3+E135*$K$4+F135*$K$5+G135*$K$6)</f>
        <v/>
      </c>
      <c r="I135">
        <f>IF(H135="","",IF(H135&gt;=2.5,3,IF(H135&gt;=2,2,IF(H135&gt;=1.5,1,0))))</f>
        <v/>
      </c>
    </row>
    <row r="136">
      <c r="H136">
        <f>IF(COUNTA(C136:G136)=0,"",C136*$K$2+D136*$K$3+E136*$K$4+F136*$K$5+G136*$K$6)</f>
        <v/>
      </c>
      <c r="I136">
        <f>IF(H136="","",IF(H136&gt;=2.5,3,IF(H136&gt;=2,2,IF(H136&gt;=1.5,1,0))))</f>
        <v/>
      </c>
    </row>
    <row r="137">
      <c r="H137">
        <f>IF(COUNTA(C137:G137)=0,"",C137*$K$2+D137*$K$3+E137*$K$4+F137*$K$5+G137*$K$6)</f>
        <v/>
      </c>
      <c r="I137">
        <f>IF(H137="","",IF(H137&gt;=2.5,3,IF(H137&gt;=2,2,IF(H137&gt;=1.5,1,0))))</f>
        <v/>
      </c>
    </row>
    <row r="138">
      <c r="H138">
        <f>IF(COUNTA(C138:G138)=0,"",C138*$K$2+D138*$K$3+E138*$K$4+F138*$K$5+G138*$K$6)</f>
        <v/>
      </c>
      <c r="I138">
        <f>IF(H138="","",IF(H138&gt;=2.5,3,IF(H138&gt;=2,2,IF(H138&gt;=1.5,1,0))))</f>
        <v/>
      </c>
    </row>
    <row r="139">
      <c r="H139">
        <f>IF(COUNTA(C139:G139)=0,"",C139*$K$2+D139*$K$3+E139*$K$4+F139*$K$5+G139*$K$6)</f>
        <v/>
      </c>
      <c r="I139">
        <f>IF(H139="","",IF(H139&gt;=2.5,3,IF(H139&gt;=2,2,IF(H139&gt;=1.5,1,0))))</f>
        <v/>
      </c>
    </row>
    <row r="140">
      <c r="H140">
        <f>IF(COUNTA(C140:G140)=0,"",C140*$K$2+D140*$K$3+E140*$K$4+F140*$K$5+G140*$K$6)</f>
        <v/>
      </c>
      <c r="I140">
        <f>IF(H140="","",IF(H140&gt;=2.5,3,IF(H140&gt;=2,2,IF(H140&gt;=1.5,1,0))))</f>
        <v/>
      </c>
    </row>
    <row r="141">
      <c r="H141">
        <f>IF(COUNTA(C141:G141)=0,"",C141*$K$2+D141*$K$3+E141*$K$4+F141*$K$5+G141*$K$6)</f>
        <v/>
      </c>
      <c r="I141">
        <f>IF(H141="","",IF(H141&gt;=2.5,3,IF(H141&gt;=2,2,IF(H141&gt;=1.5,1,0))))</f>
        <v/>
      </c>
    </row>
    <row r="142">
      <c r="H142">
        <f>IF(COUNTA(C142:G142)=0,"",C142*$K$2+D142*$K$3+E142*$K$4+F142*$K$5+G142*$K$6)</f>
        <v/>
      </c>
      <c r="I142">
        <f>IF(H142="","",IF(H142&gt;=2.5,3,IF(H142&gt;=2,2,IF(H142&gt;=1.5,1,0))))</f>
        <v/>
      </c>
    </row>
    <row r="143">
      <c r="H143">
        <f>IF(COUNTA(C143:G143)=0,"",C143*$K$2+D143*$K$3+E143*$K$4+F143*$K$5+G143*$K$6)</f>
        <v/>
      </c>
      <c r="I143">
        <f>IF(H143="","",IF(H143&gt;=2.5,3,IF(H143&gt;=2,2,IF(H143&gt;=1.5,1,0))))</f>
        <v/>
      </c>
    </row>
    <row r="144">
      <c r="H144">
        <f>IF(COUNTA(C144:G144)=0,"",C144*$K$2+D144*$K$3+E144*$K$4+F144*$K$5+G144*$K$6)</f>
        <v/>
      </c>
      <c r="I144">
        <f>IF(H144="","",IF(H144&gt;=2.5,3,IF(H144&gt;=2,2,IF(H144&gt;=1.5,1,0))))</f>
        <v/>
      </c>
    </row>
    <row r="145">
      <c r="H145">
        <f>IF(COUNTA(C145:G145)=0,"",C145*$K$2+D145*$K$3+E145*$K$4+F145*$K$5+G145*$K$6)</f>
        <v/>
      </c>
      <c r="I145">
        <f>IF(H145="","",IF(H145&gt;=2.5,3,IF(H145&gt;=2,2,IF(H145&gt;=1.5,1,0))))</f>
        <v/>
      </c>
    </row>
    <row r="146">
      <c r="H146">
        <f>IF(COUNTA(C146:G146)=0,"",C146*$K$2+D146*$K$3+E146*$K$4+F146*$K$5+G146*$K$6)</f>
        <v/>
      </c>
      <c r="I146">
        <f>IF(H146="","",IF(H146&gt;=2.5,3,IF(H146&gt;=2,2,IF(H146&gt;=1.5,1,0))))</f>
        <v/>
      </c>
    </row>
    <row r="147">
      <c r="H147">
        <f>IF(COUNTA(C147:G147)=0,"",C147*$K$2+D147*$K$3+E147*$K$4+F147*$K$5+G147*$K$6)</f>
        <v/>
      </c>
      <c r="I147">
        <f>IF(H147="","",IF(H147&gt;=2.5,3,IF(H147&gt;=2,2,IF(H147&gt;=1.5,1,0))))</f>
        <v/>
      </c>
    </row>
    <row r="148">
      <c r="H148">
        <f>IF(COUNTA(C148:G148)=0,"",C148*$K$2+D148*$K$3+E148*$K$4+F148*$K$5+G148*$K$6)</f>
        <v/>
      </c>
      <c r="I148">
        <f>IF(H148="","",IF(H148&gt;=2.5,3,IF(H148&gt;=2,2,IF(H148&gt;=1.5,1,0))))</f>
        <v/>
      </c>
    </row>
    <row r="149">
      <c r="H149">
        <f>IF(COUNTA(C149:G149)=0,"",C149*$K$2+D149*$K$3+E149*$K$4+F149*$K$5+G149*$K$6)</f>
        <v/>
      </c>
      <c r="I149">
        <f>IF(H149="","",IF(H149&gt;=2.5,3,IF(H149&gt;=2,2,IF(H149&gt;=1.5,1,0))))</f>
        <v/>
      </c>
    </row>
    <row r="150">
      <c r="H150">
        <f>IF(COUNTA(C150:G150)=0,"",C150*$K$2+D150*$K$3+E150*$K$4+F150*$K$5+G150*$K$6)</f>
        <v/>
      </c>
      <c r="I150">
        <f>IF(H150="","",IF(H150&gt;=2.5,3,IF(H150&gt;=2,2,IF(H150&gt;=1.5,1,0))))</f>
        <v/>
      </c>
    </row>
    <row r="151">
      <c r="H151">
        <f>IF(COUNTA(C151:G151)=0,"",C151*$K$2+D151*$K$3+E151*$K$4+F151*$K$5+G151*$K$6)</f>
        <v/>
      </c>
      <c r="I151">
        <f>IF(H151="","",IF(H151&gt;=2.5,3,IF(H151&gt;=2,2,IF(H151&gt;=1.5,1,0))))</f>
        <v/>
      </c>
    </row>
    <row r="152">
      <c r="H152">
        <f>IF(COUNTA(C152:G152)=0,"",C152*$K$2+D152*$K$3+E152*$K$4+F152*$K$5+G152*$K$6)</f>
        <v/>
      </c>
      <c r="I152">
        <f>IF(H152="","",IF(H152&gt;=2.5,3,IF(H152&gt;=2,2,IF(H152&gt;=1.5,1,0))))</f>
        <v/>
      </c>
    </row>
    <row r="153">
      <c r="H153">
        <f>IF(COUNTA(C153:G153)=0,"",C153*$K$2+D153*$K$3+E153*$K$4+F153*$K$5+G153*$K$6)</f>
        <v/>
      </c>
      <c r="I153">
        <f>IF(H153="","",IF(H153&gt;=2.5,3,IF(H153&gt;=2,2,IF(H153&gt;=1.5,1,0))))</f>
        <v/>
      </c>
    </row>
    <row r="154">
      <c r="H154">
        <f>IF(COUNTA(C154:G154)=0,"",C154*$K$2+D154*$K$3+E154*$K$4+F154*$K$5+G154*$K$6)</f>
        <v/>
      </c>
      <c r="I154">
        <f>IF(H154="","",IF(H154&gt;=2.5,3,IF(H154&gt;=2,2,IF(H154&gt;=1.5,1,0))))</f>
        <v/>
      </c>
    </row>
    <row r="155">
      <c r="H155">
        <f>IF(COUNTA(C155:G155)=0,"",C155*$K$2+D155*$K$3+E155*$K$4+F155*$K$5+G155*$K$6)</f>
        <v/>
      </c>
      <c r="I155">
        <f>IF(H155="","",IF(H155&gt;=2.5,3,IF(H155&gt;=2,2,IF(H155&gt;=1.5,1,0))))</f>
        <v/>
      </c>
    </row>
    <row r="156">
      <c r="H156">
        <f>IF(COUNTA(C156:G156)=0,"",C156*$K$2+D156*$K$3+E156*$K$4+F156*$K$5+G156*$K$6)</f>
        <v/>
      </c>
      <c r="I156">
        <f>IF(H156="","",IF(H156&gt;=2.5,3,IF(H156&gt;=2,2,IF(H156&gt;=1.5,1,0))))</f>
        <v/>
      </c>
    </row>
    <row r="157">
      <c r="H157">
        <f>IF(COUNTA(C157:G157)=0,"",C157*$K$2+D157*$K$3+E157*$K$4+F157*$K$5+G157*$K$6)</f>
        <v/>
      </c>
      <c r="I157">
        <f>IF(H157="","",IF(H157&gt;=2.5,3,IF(H157&gt;=2,2,IF(H157&gt;=1.5,1,0))))</f>
        <v/>
      </c>
    </row>
    <row r="158">
      <c r="H158">
        <f>IF(COUNTA(C158:G158)=0,"",C158*$K$2+D158*$K$3+E158*$K$4+F158*$K$5+G158*$K$6)</f>
        <v/>
      </c>
      <c r="I158">
        <f>IF(H158="","",IF(H158&gt;=2.5,3,IF(H158&gt;=2,2,IF(H158&gt;=1.5,1,0))))</f>
        <v/>
      </c>
    </row>
    <row r="159">
      <c r="H159">
        <f>IF(COUNTA(C159:G159)=0,"",C159*$K$2+D159*$K$3+E159*$K$4+F159*$K$5+G159*$K$6)</f>
        <v/>
      </c>
      <c r="I159">
        <f>IF(H159="","",IF(H159&gt;=2.5,3,IF(H159&gt;=2,2,IF(H159&gt;=1.5,1,0))))</f>
        <v/>
      </c>
    </row>
    <row r="160">
      <c r="H160">
        <f>IF(COUNTA(C160:G160)=0,"",C160*$K$2+D160*$K$3+E160*$K$4+F160*$K$5+G160*$K$6)</f>
        <v/>
      </c>
      <c r="I160">
        <f>IF(H160="","",IF(H160&gt;=2.5,3,IF(H160&gt;=2,2,IF(H160&gt;=1.5,1,0))))</f>
        <v/>
      </c>
    </row>
    <row r="161">
      <c r="H161">
        <f>IF(COUNTA(C161:G161)=0,"",C161*$K$2+D161*$K$3+E161*$K$4+F161*$K$5+G161*$K$6)</f>
        <v/>
      </c>
      <c r="I161">
        <f>IF(H161="","",IF(H161&gt;=2.5,3,IF(H161&gt;=2,2,IF(H161&gt;=1.5,1,0))))</f>
        <v/>
      </c>
    </row>
    <row r="162">
      <c r="H162">
        <f>IF(COUNTA(C162:G162)=0,"",C162*$K$2+D162*$K$3+E162*$K$4+F162*$K$5+G162*$K$6)</f>
        <v/>
      </c>
      <c r="I162">
        <f>IF(H162="","",IF(H162&gt;=2.5,3,IF(H162&gt;=2,2,IF(H162&gt;=1.5,1,0))))</f>
        <v/>
      </c>
    </row>
    <row r="163">
      <c r="H163">
        <f>IF(COUNTA(C163:G163)=0,"",C163*$K$2+D163*$K$3+E163*$K$4+F163*$K$5+G163*$K$6)</f>
        <v/>
      </c>
      <c r="I163">
        <f>IF(H163="","",IF(H163&gt;=2.5,3,IF(H163&gt;=2,2,IF(H163&gt;=1.5,1,0))))</f>
        <v/>
      </c>
    </row>
    <row r="164">
      <c r="H164">
        <f>IF(COUNTA(C164:G164)=0,"",C164*$K$2+D164*$K$3+E164*$K$4+F164*$K$5+G164*$K$6)</f>
        <v/>
      </c>
      <c r="I164">
        <f>IF(H164="","",IF(H164&gt;=2.5,3,IF(H164&gt;=2,2,IF(H164&gt;=1.5,1,0))))</f>
        <v/>
      </c>
    </row>
    <row r="165">
      <c r="H165">
        <f>IF(COUNTA(C165:G165)=0,"",C165*$K$2+D165*$K$3+E165*$K$4+F165*$K$5+G165*$K$6)</f>
        <v/>
      </c>
      <c r="I165">
        <f>IF(H165="","",IF(H165&gt;=2.5,3,IF(H165&gt;=2,2,IF(H165&gt;=1.5,1,0))))</f>
        <v/>
      </c>
    </row>
    <row r="166">
      <c r="H166">
        <f>IF(COUNTA(C166:G166)=0,"",C166*$K$2+D166*$K$3+E166*$K$4+F166*$K$5+G166*$K$6)</f>
        <v/>
      </c>
      <c r="I166">
        <f>IF(H166="","",IF(H166&gt;=2.5,3,IF(H166&gt;=2,2,IF(H166&gt;=1.5,1,0))))</f>
        <v/>
      </c>
    </row>
    <row r="167">
      <c r="H167">
        <f>IF(COUNTA(C167:G167)=0,"",C167*$K$2+D167*$K$3+E167*$K$4+F167*$K$5+G167*$K$6)</f>
        <v/>
      </c>
      <c r="I167">
        <f>IF(H167="","",IF(H167&gt;=2.5,3,IF(H167&gt;=2,2,IF(H167&gt;=1.5,1,0))))</f>
        <v/>
      </c>
    </row>
    <row r="168">
      <c r="H168">
        <f>IF(COUNTA(C168:G168)=0,"",C168*$K$2+D168*$K$3+E168*$K$4+F168*$K$5+G168*$K$6)</f>
        <v/>
      </c>
      <c r="I168">
        <f>IF(H168="","",IF(H168&gt;=2.5,3,IF(H168&gt;=2,2,IF(H168&gt;=1.5,1,0))))</f>
        <v/>
      </c>
    </row>
    <row r="169">
      <c r="H169">
        <f>IF(COUNTA(C169:G169)=0,"",C169*$K$2+D169*$K$3+E169*$K$4+F169*$K$5+G169*$K$6)</f>
        <v/>
      </c>
      <c r="I169">
        <f>IF(H169="","",IF(H169&gt;=2.5,3,IF(H169&gt;=2,2,IF(H169&gt;=1.5,1,0))))</f>
        <v/>
      </c>
    </row>
    <row r="170">
      <c r="H170">
        <f>IF(COUNTA(C170:G170)=0,"",C170*$K$2+D170*$K$3+E170*$K$4+F170*$K$5+G170*$K$6)</f>
        <v/>
      </c>
      <c r="I170">
        <f>IF(H170="","",IF(H170&gt;=2.5,3,IF(H170&gt;=2,2,IF(H170&gt;=1.5,1,0))))</f>
        <v/>
      </c>
    </row>
    <row r="171">
      <c r="H171">
        <f>IF(COUNTA(C171:G171)=0,"",C171*$K$2+D171*$K$3+E171*$K$4+F171*$K$5+G171*$K$6)</f>
        <v/>
      </c>
      <c r="I171">
        <f>IF(H171="","",IF(H171&gt;=2.5,3,IF(H171&gt;=2,2,IF(H171&gt;=1.5,1,0))))</f>
        <v/>
      </c>
    </row>
    <row r="172">
      <c r="H172">
        <f>IF(COUNTA(C172:G172)=0,"",C172*$K$2+D172*$K$3+E172*$K$4+F172*$K$5+G172*$K$6)</f>
        <v/>
      </c>
      <c r="I172">
        <f>IF(H172="","",IF(H172&gt;=2.5,3,IF(H172&gt;=2,2,IF(H172&gt;=1.5,1,0))))</f>
        <v/>
      </c>
    </row>
    <row r="173">
      <c r="H173">
        <f>IF(COUNTA(C173:G173)=0,"",C173*$K$2+D173*$K$3+E173*$K$4+F173*$K$5+G173*$K$6)</f>
        <v/>
      </c>
      <c r="I173">
        <f>IF(H173="","",IF(H173&gt;=2.5,3,IF(H173&gt;=2,2,IF(H173&gt;=1.5,1,0))))</f>
        <v/>
      </c>
    </row>
    <row r="174">
      <c r="H174">
        <f>IF(COUNTA(C174:G174)=0,"",C174*$K$2+D174*$K$3+E174*$K$4+F174*$K$5+G174*$K$6)</f>
        <v/>
      </c>
      <c r="I174">
        <f>IF(H174="","",IF(H174&gt;=2.5,3,IF(H174&gt;=2,2,IF(H174&gt;=1.5,1,0))))</f>
        <v/>
      </c>
    </row>
    <row r="175">
      <c r="H175">
        <f>IF(COUNTA(C175:G175)=0,"",C175*$K$2+D175*$K$3+E175*$K$4+F175*$K$5+G175*$K$6)</f>
        <v/>
      </c>
      <c r="I175">
        <f>IF(H175="","",IF(H175&gt;=2.5,3,IF(H175&gt;=2,2,IF(H175&gt;=1.5,1,0))))</f>
        <v/>
      </c>
    </row>
    <row r="176">
      <c r="H176">
        <f>IF(COUNTA(C176:G176)=0,"",C176*$K$2+D176*$K$3+E176*$K$4+F176*$K$5+G176*$K$6)</f>
        <v/>
      </c>
      <c r="I176">
        <f>IF(H176="","",IF(H176&gt;=2.5,3,IF(H176&gt;=2,2,IF(H176&gt;=1.5,1,0))))</f>
        <v/>
      </c>
    </row>
    <row r="177">
      <c r="H177">
        <f>IF(COUNTA(C177:G177)=0,"",C177*$K$2+D177*$K$3+E177*$K$4+F177*$K$5+G177*$K$6)</f>
        <v/>
      </c>
      <c r="I177">
        <f>IF(H177="","",IF(H177&gt;=2.5,3,IF(H177&gt;=2,2,IF(H177&gt;=1.5,1,0))))</f>
        <v/>
      </c>
    </row>
    <row r="178">
      <c r="H178">
        <f>IF(COUNTA(C178:G178)=0,"",C178*$K$2+D178*$K$3+E178*$K$4+F178*$K$5+G178*$K$6)</f>
        <v/>
      </c>
      <c r="I178">
        <f>IF(H178="","",IF(H178&gt;=2.5,3,IF(H178&gt;=2,2,IF(H178&gt;=1.5,1,0))))</f>
        <v/>
      </c>
    </row>
    <row r="179">
      <c r="H179">
        <f>IF(COUNTA(C179:G179)=0,"",C179*$K$2+D179*$K$3+E179*$K$4+F179*$K$5+G179*$K$6)</f>
        <v/>
      </c>
      <c r="I179">
        <f>IF(H179="","",IF(H179&gt;=2.5,3,IF(H179&gt;=2,2,IF(H179&gt;=1.5,1,0))))</f>
        <v/>
      </c>
    </row>
    <row r="180">
      <c r="H180">
        <f>IF(COUNTA(C180:G180)=0,"",C180*$K$2+D180*$K$3+E180*$K$4+F180*$K$5+G180*$K$6)</f>
        <v/>
      </c>
      <c r="I180">
        <f>IF(H180="","",IF(H180&gt;=2.5,3,IF(H180&gt;=2,2,IF(H180&gt;=1.5,1,0))))</f>
        <v/>
      </c>
    </row>
    <row r="181">
      <c r="H181">
        <f>IF(COUNTA(C181:G181)=0,"",C181*$K$2+D181*$K$3+E181*$K$4+F181*$K$5+G181*$K$6)</f>
        <v/>
      </c>
      <c r="I181">
        <f>IF(H181="","",IF(H181&gt;=2.5,3,IF(H181&gt;=2,2,IF(H181&gt;=1.5,1,0))))</f>
        <v/>
      </c>
    </row>
    <row r="182">
      <c r="H182">
        <f>IF(COUNTA(C182:G182)=0,"",C182*$K$2+D182*$K$3+E182*$K$4+F182*$K$5+G182*$K$6)</f>
        <v/>
      </c>
      <c r="I182">
        <f>IF(H182="","",IF(H182&gt;=2.5,3,IF(H182&gt;=2,2,IF(H182&gt;=1.5,1,0))))</f>
        <v/>
      </c>
    </row>
    <row r="183">
      <c r="H183">
        <f>IF(COUNTA(C183:G183)=0,"",C183*$K$2+D183*$K$3+E183*$K$4+F183*$K$5+G183*$K$6)</f>
        <v/>
      </c>
      <c r="I183">
        <f>IF(H183="","",IF(H183&gt;=2.5,3,IF(H183&gt;=2,2,IF(H183&gt;=1.5,1,0))))</f>
        <v/>
      </c>
    </row>
    <row r="184">
      <c r="H184">
        <f>IF(COUNTA(C184:G184)=0,"",C184*$K$2+D184*$K$3+E184*$K$4+F184*$K$5+G184*$K$6)</f>
        <v/>
      </c>
      <c r="I184">
        <f>IF(H184="","",IF(H184&gt;=2.5,3,IF(H184&gt;=2,2,IF(H184&gt;=1.5,1,0))))</f>
        <v/>
      </c>
    </row>
    <row r="185">
      <c r="H185">
        <f>IF(COUNTA(C185:G185)=0,"",C185*$K$2+D185*$K$3+E185*$K$4+F185*$K$5+G185*$K$6)</f>
        <v/>
      </c>
      <c r="I185">
        <f>IF(H185="","",IF(H185&gt;=2.5,3,IF(H185&gt;=2,2,IF(H185&gt;=1.5,1,0))))</f>
        <v/>
      </c>
    </row>
    <row r="186">
      <c r="H186">
        <f>IF(COUNTA(C186:G186)=0,"",C186*$K$2+D186*$K$3+E186*$K$4+F186*$K$5+G186*$K$6)</f>
        <v/>
      </c>
      <c r="I186">
        <f>IF(H186="","",IF(H186&gt;=2.5,3,IF(H186&gt;=2,2,IF(H186&gt;=1.5,1,0))))</f>
        <v/>
      </c>
    </row>
    <row r="187">
      <c r="H187">
        <f>IF(COUNTA(C187:G187)=0,"",C187*$K$2+D187*$K$3+E187*$K$4+F187*$K$5+G187*$K$6)</f>
        <v/>
      </c>
      <c r="I187">
        <f>IF(H187="","",IF(H187&gt;=2.5,3,IF(H187&gt;=2,2,IF(H187&gt;=1.5,1,0))))</f>
        <v/>
      </c>
    </row>
    <row r="188">
      <c r="H188">
        <f>IF(COUNTA(C188:G188)=0,"",C188*$K$2+D188*$K$3+E188*$K$4+F188*$K$5+G188*$K$6)</f>
        <v/>
      </c>
      <c r="I188">
        <f>IF(H188="","",IF(H188&gt;=2.5,3,IF(H188&gt;=2,2,IF(H188&gt;=1.5,1,0))))</f>
        <v/>
      </c>
    </row>
    <row r="189">
      <c r="H189">
        <f>IF(COUNTA(C189:G189)=0,"",C189*$K$2+D189*$K$3+E189*$K$4+F189*$K$5+G189*$K$6)</f>
        <v/>
      </c>
      <c r="I189">
        <f>IF(H189="","",IF(H189&gt;=2.5,3,IF(H189&gt;=2,2,IF(H189&gt;=1.5,1,0))))</f>
        <v/>
      </c>
    </row>
    <row r="190">
      <c r="H190">
        <f>IF(COUNTA(C190:G190)=0,"",C190*$K$2+D190*$K$3+E190*$K$4+F190*$K$5+G190*$K$6)</f>
        <v/>
      </c>
      <c r="I190">
        <f>IF(H190="","",IF(H190&gt;=2.5,3,IF(H190&gt;=2,2,IF(H190&gt;=1.5,1,0))))</f>
        <v/>
      </c>
    </row>
    <row r="191">
      <c r="H191">
        <f>IF(COUNTA(C191:G191)=0,"",C191*$K$2+D191*$K$3+E191*$K$4+F191*$K$5+G191*$K$6)</f>
        <v/>
      </c>
      <c r="I191">
        <f>IF(H191="","",IF(H191&gt;=2.5,3,IF(H191&gt;=2,2,IF(H191&gt;=1.5,1,0))))</f>
        <v/>
      </c>
    </row>
    <row r="192">
      <c r="H192">
        <f>IF(COUNTA(C192:G192)=0,"",C192*$K$2+D192*$K$3+E192*$K$4+F192*$K$5+G192*$K$6)</f>
        <v/>
      </c>
      <c r="I192">
        <f>IF(H192="","",IF(H192&gt;=2.5,3,IF(H192&gt;=2,2,IF(H192&gt;=1.5,1,0))))</f>
        <v/>
      </c>
    </row>
    <row r="193">
      <c r="H193">
        <f>IF(COUNTA(C193:G193)=0,"",C193*$K$2+D193*$K$3+E193*$K$4+F193*$K$5+G193*$K$6)</f>
        <v/>
      </c>
      <c r="I193">
        <f>IF(H193="","",IF(H193&gt;=2.5,3,IF(H193&gt;=2,2,IF(H193&gt;=1.5,1,0))))</f>
        <v/>
      </c>
    </row>
    <row r="194">
      <c r="H194">
        <f>IF(COUNTA(C194:G194)=0,"",C194*$K$2+D194*$K$3+E194*$K$4+F194*$K$5+G194*$K$6)</f>
        <v/>
      </c>
      <c r="I194">
        <f>IF(H194="","",IF(H194&gt;=2.5,3,IF(H194&gt;=2,2,IF(H194&gt;=1.5,1,0))))</f>
        <v/>
      </c>
    </row>
    <row r="195">
      <c r="H195">
        <f>IF(COUNTA(C195:G195)=0,"",C195*$K$2+D195*$K$3+E195*$K$4+F195*$K$5+G195*$K$6)</f>
        <v/>
      </c>
      <c r="I195">
        <f>IF(H195="","",IF(H195&gt;=2.5,3,IF(H195&gt;=2,2,IF(H195&gt;=1.5,1,0))))</f>
        <v/>
      </c>
    </row>
    <row r="196">
      <c r="H196">
        <f>IF(COUNTA(C196:G196)=0,"",C196*$K$2+D196*$K$3+E196*$K$4+F196*$K$5+G196*$K$6)</f>
        <v/>
      </c>
      <c r="I196">
        <f>IF(H196="","",IF(H196&gt;=2.5,3,IF(H196&gt;=2,2,IF(H196&gt;=1.5,1,0))))</f>
        <v/>
      </c>
    </row>
    <row r="197">
      <c r="H197">
        <f>IF(COUNTA(C197:G197)=0,"",C197*$K$2+D197*$K$3+E197*$K$4+F197*$K$5+G197*$K$6)</f>
        <v/>
      </c>
      <c r="I197">
        <f>IF(H197="","",IF(H197&gt;=2.5,3,IF(H197&gt;=2,2,IF(H197&gt;=1.5,1,0))))</f>
        <v/>
      </c>
    </row>
    <row r="198">
      <c r="H198">
        <f>IF(COUNTA(C198:G198)=0,"",C198*$K$2+D198*$K$3+E198*$K$4+F198*$K$5+G198*$K$6)</f>
        <v/>
      </c>
      <c r="I198">
        <f>IF(H198="","",IF(H198&gt;=2.5,3,IF(H198&gt;=2,2,IF(H198&gt;=1.5,1,0))))</f>
        <v/>
      </c>
    </row>
    <row r="199">
      <c r="H199">
        <f>IF(COUNTA(C199:G199)=0,"",C199*$K$2+D199*$K$3+E199*$K$4+F199*$K$5+G199*$K$6)</f>
        <v/>
      </c>
      <c r="I199">
        <f>IF(H199="","",IF(H199&gt;=2.5,3,IF(H199&gt;=2,2,IF(H199&gt;=1.5,1,0))))</f>
        <v/>
      </c>
    </row>
    <row r="200">
      <c r="H200">
        <f>IF(COUNTA(C200:G200)=0,"",C200*$K$2+D200*$K$3+E200*$K$4+F200*$K$5+G200*$K$6)</f>
        <v/>
      </c>
      <c r="I200">
        <f>IF(H200="","",IF(H200&gt;=2.5,3,IF(H200&gt;=2,2,IF(H200&gt;=1.5,1,0))))</f>
        <v/>
      </c>
    </row>
    <row r="201">
      <c r="H201">
        <f>IF(COUNTA(C201:G201)=0,"",C201*$K$2+D201*$K$3+E201*$K$4+F201*$K$5+G201*$K$6)</f>
        <v/>
      </c>
      <c r="I201">
        <f>IF(H201="","",IF(H201&gt;=2.5,3,IF(H201&gt;=2,2,IF(H201&gt;=1.5,1,0))))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28" customWidth="1" min="4" max="4"/>
    <col width="22" customWidth="1" min="5" max="5"/>
    <col width="18" customWidth="1" min="6" max="6"/>
    <col width="14" customWidth="1" min="7" max="7"/>
    <col width="10" customWidth="1" min="8" max="8"/>
    <col width="16" customWidth="1" min="9" max="9"/>
    <col width="10" customWidth="1" min="10" max="10"/>
    <col width="18" customWidth="1" min="11" max="11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S1 Final Report (0–3)</t>
        </is>
      </c>
      <c r="D1" s="1" t="inlineStr">
        <is>
          <t>S2 Seminar/Presentation (0–3)</t>
        </is>
      </c>
      <c r="E1" s="1" t="inlineStr">
        <is>
          <t>S3 Viva Voce (0–3)</t>
        </is>
      </c>
      <c r="F1" s="1" t="inlineStr">
        <is>
          <t>Total (Weighted)</t>
        </is>
      </c>
      <c r="G1" s="1" t="inlineStr">
        <is>
          <t>Level (0–3)</t>
        </is>
      </c>
      <c r="I1" s="2" t="inlineStr">
        <is>
          <t>Weights (SEE) — edit to sum 1.0</t>
        </is>
      </c>
      <c r="K1" s="2" t="inlineStr">
        <is>
          <t>Criterion Averages (0–3)</t>
        </is>
      </c>
    </row>
    <row r="2">
      <c r="A2" t="inlineStr">
        <is>
          <t>INT101</t>
        </is>
      </c>
      <c r="B2" t="inlineStr">
        <is>
          <t>A. Kumar</t>
        </is>
      </c>
      <c r="C2" t="n">
        <v>3</v>
      </c>
      <c r="D2" t="n">
        <v>3</v>
      </c>
      <c r="E2" t="n">
        <v>3</v>
      </c>
      <c r="F2">
        <f>IF(COUNTA(C2:E2)=0,"",C2*$I$2+D2*$I$3+E2*$I$4)</f>
        <v/>
      </c>
      <c r="G2">
        <f>IF(F2="","",IF(F2&gt;=2.5,3,IF(F2&gt;=2,2,IF(F2&gt;=1.5,1,0))))</f>
        <v/>
      </c>
      <c r="H2" t="inlineStr">
        <is>
          <t>S1</t>
        </is>
      </c>
      <c r="I2" t="n">
        <v>0.3</v>
      </c>
      <c r="J2" t="inlineStr">
        <is>
          <t>S1</t>
        </is>
      </c>
      <c r="K2">
        <f>IFERROR(AVERAGE(C2:C200),"")</f>
        <v/>
      </c>
    </row>
    <row r="3">
      <c r="A3" t="inlineStr">
        <is>
          <t>INT102</t>
        </is>
      </c>
      <c r="B3" t="inlineStr">
        <is>
          <t>B. Singh</t>
        </is>
      </c>
      <c r="C3" t="n">
        <v>2</v>
      </c>
      <c r="D3" t="n">
        <v>2</v>
      </c>
      <c r="E3" t="n">
        <v>1</v>
      </c>
      <c r="F3">
        <f>IF(COUNTA(C3:E3)=0,"",C3*$I$2+D3*$I$3+E3*$I$4)</f>
        <v/>
      </c>
      <c r="G3">
        <f>IF(F3="","",IF(F3&gt;=2.5,3,IF(F3&gt;=2,2,IF(F3&gt;=1.5,1,0))))</f>
        <v/>
      </c>
      <c r="H3" t="inlineStr">
        <is>
          <t>S2</t>
        </is>
      </c>
      <c r="I3" t="n">
        <v>0.3</v>
      </c>
      <c r="J3" t="inlineStr">
        <is>
          <t>S2</t>
        </is>
      </c>
      <c r="K3">
        <f>IFERROR(AVERAGE(D2:D200),"")</f>
        <v/>
      </c>
    </row>
    <row r="4">
      <c r="A4" t="inlineStr">
        <is>
          <t>INT103</t>
        </is>
      </c>
      <c r="B4" t="inlineStr">
        <is>
          <t>C. Rao</t>
        </is>
      </c>
      <c r="C4" t="n">
        <v>3</v>
      </c>
      <c r="D4" t="n">
        <v>3</v>
      </c>
      <c r="E4" t="n">
        <v>3</v>
      </c>
      <c r="F4">
        <f>IF(COUNTA(C4:E4)=0,"",C4*$I$2+D4*$I$3+E4*$I$4)</f>
        <v/>
      </c>
      <c r="G4">
        <f>IF(F4="","",IF(F4&gt;=2.5,3,IF(F4&gt;=2,2,IF(F4&gt;=1.5,1,0))))</f>
        <v/>
      </c>
      <c r="H4" t="inlineStr">
        <is>
          <t>S3</t>
        </is>
      </c>
      <c r="I4" t="n">
        <v>0.4</v>
      </c>
      <c r="J4" t="inlineStr">
        <is>
          <t>S3</t>
        </is>
      </c>
      <c r="K4">
        <f>IFERROR(AVERAGE(E2:E200),"")</f>
        <v/>
      </c>
    </row>
    <row r="5">
      <c r="F5">
        <f>IF(COUNTA(C5:E5)=0,"",C5*$I$2+D5*$I$3+E5*$I$4)</f>
        <v/>
      </c>
      <c r="G5">
        <f>IF(F5="","",IF(F5&gt;=2.5,3,IF(F5&gt;=2,2,IF(F5&gt;=1.5,1,0))))</f>
        <v/>
      </c>
    </row>
    <row r="6">
      <c r="F6">
        <f>IF(COUNTA(C6:E6)=0,"",C6*$I$2+D6*$I$3+E6*$I$4)</f>
        <v/>
      </c>
      <c r="G6">
        <f>IF(F6="","",IF(F6&gt;=2.5,3,IF(F6&gt;=2,2,IF(F6&gt;=1.5,1,0))))</f>
        <v/>
      </c>
    </row>
    <row r="7">
      <c r="F7">
        <f>IF(COUNTA(C7:E7)=0,"",C7*$I$2+D7*$I$3+E7*$I$4)</f>
        <v/>
      </c>
      <c r="G7">
        <f>IF(F7="","",IF(F7&gt;=2.5,3,IF(F7&gt;=2,2,IF(F7&gt;=1.5,1,0))))</f>
        <v/>
      </c>
    </row>
    <row r="8">
      <c r="F8">
        <f>IF(COUNTA(C8:E8)=0,"",C8*$I$2+D8*$I$3+E8*$I$4)</f>
        <v/>
      </c>
      <c r="G8">
        <f>IF(F8="","",IF(F8&gt;=2.5,3,IF(F8&gt;=2,2,IF(F8&gt;=1.5,1,0))))</f>
        <v/>
      </c>
    </row>
    <row r="9">
      <c r="F9">
        <f>IF(COUNTA(C9:E9)=0,"",C9*$I$2+D9*$I$3+E9*$I$4)</f>
        <v/>
      </c>
      <c r="G9">
        <f>IF(F9="","",IF(F9&gt;=2.5,3,IF(F9&gt;=2,2,IF(F9&gt;=1.5,1,0))))</f>
        <v/>
      </c>
    </row>
    <row r="10">
      <c r="F10">
        <f>IF(COUNTA(C10:E10)=0,"",C10*$I$2+D10*$I$3+E10*$I$4)</f>
        <v/>
      </c>
      <c r="G10">
        <f>IF(F10="","",IF(F10&gt;=2.5,3,IF(F10&gt;=2,2,IF(F10&gt;=1.5,1,0))))</f>
        <v/>
      </c>
    </row>
    <row r="11">
      <c r="F11">
        <f>IF(COUNTA(C11:E11)=0,"",C11*$I$2+D11*$I$3+E11*$I$4)</f>
        <v/>
      </c>
      <c r="G11">
        <f>IF(F11="","",IF(F11&gt;=2.5,3,IF(F11&gt;=2,2,IF(F11&gt;=1.5,1,0))))</f>
        <v/>
      </c>
    </row>
    <row r="12">
      <c r="F12">
        <f>IF(COUNTA(C12:E12)=0,"",C12*$I$2+D12*$I$3+E12*$I$4)</f>
        <v/>
      </c>
      <c r="G12">
        <f>IF(F12="","",IF(F12&gt;=2.5,3,IF(F12&gt;=2,2,IF(F12&gt;=1.5,1,0))))</f>
        <v/>
      </c>
    </row>
    <row r="13">
      <c r="F13">
        <f>IF(COUNTA(C13:E13)=0,"",C13*$I$2+D13*$I$3+E13*$I$4)</f>
        <v/>
      </c>
      <c r="G13">
        <f>IF(F13="","",IF(F13&gt;=2.5,3,IF(F13&gt;=2,2,IF(F13&gt;=1.5,1,0))))</f>
        <v/>
      </c>
    </row>
    <row r="14">
      <c r="F14">
        <f>IF(COUNTA(C14:E14)=0,"",C14*$I$2+D14*$I$3+E14*$I$4)</f>
        <v/>
      </c>
      <c r="G14">
        <f>IF(F14="","",IF(F14&gt;=2.5,3,IF(F14&gt;=2,2,IF(F14&gt;=1.5,1,0))))</f>
        <v/>
      </c>
    </row>
    <row r="15">
      <c r="F15">
        <f>IF(COUNTA(C15:E15)=0,"",C15*$I$2+D15*$I$3+E15*$I$4)</f>
        <v/>
      </c>
      <c r="G15">
        <f>IF(F15="","",IF(F15&gt;=2.5,3,IF(F15&gt;=2,2,IF(F15&gt;=1.5,1,0))))</f>
        <v/>
      </c>
    </row>
    <row r="16">
      <c r="F16">
        <f>IF(COUNTA(C16:E16)=0,"",C16*$I$2+D16*$I$3+E16*$I$4)</f>
        <v/>
      </c>
      <c r="G16">
        <f>IF(F16="","",IF(F16&gt;=2.5,3,IF(F16&gt;=2,2,IF(F16&gt;=1.5,1,0))))</f>
        <v/>
      </c>
    </row>
    <row r="17">
      <c r="F17">
        <f>IF(COUNTA(C17:E17)=0,"",C17*$I$2+D17*$I$3+E17*$I$4)</f>
        <v/>
      </c>
      <c r="G17">
        <f>IF(F17="","",IF(F17&gt;=2.5,3,IF(F17&gt;=2,2,IF(F17&gt;=1.5,1,0))))</f>
        <v/>
      </c>
    </row>
    <row r="18">
      <c r="F18">
        <f>IF(COUNTA(C18:E18)=0,"",C18*$I$2+D18*$I$3+E18*$I$4)</f>
        <v/>
      </c>
      <c r="G18">
        <f>IF(F18="","",IF(F18&gt;=2.5,3,IF(F18&gt;=2,2,IF(F18&gt;=1.5,1,0))))</f>
        <v/>
      </c>
    </row>
    <row r="19">
      <c r="F19">
        <f>IF(COUNTA(C19:E19)=0,"",C19*$I$2+D19*$I$3+E19*$I$4)</f>
        <v/>
      </c>
      <c r="G19">
        <f>IF(F19="","",IF(F19&gt;=2.5,3,IF(F19&gt;=2,2,IF(F19&gt;=1.5,1,0))))</f>
        <v/>
      </c>
    </row>
    <row r="20">
      <c r="F20">
        <f>IF(COUNTA(C20:E20)=0,"",C20*$I$2+D20*$I$3+E20*$I$4)</f>
        <v/>
      </c>
      <c r="G20">
        <f>IF(F20="","",IF(F20&gt;=2.5,3,IF(F20&gt;=2,2,IF(F20&gt;=1.5,1,0))))</f>
        <v/>
      </c>
    </row>
    <row r="21">
      <c r="F21">
        <f>IF(COUNTA(C21:E21)=0,"",C21*$I$2+D21*$I$3+E21*$I$4)</f>
        <v/>
      </c>
      <c r="G21">
        <f>IF(F21="","",IF(F21&gt;=2.5,3,IF(F21&gt;=2,2,IF(F21&gt;=1.5,1,0))))</f>
        <v/>
      </c>
    </row>
    <row r="22">
      <c r="F22">
        <f>IF(COUNTA(C22:E22)=0,"",C22*$I$2+D22*$I$3+E22*$I$4)</f>
        <v/>
      </c>
      <c r="G22">
        <f>IF(F22="","",IF(F22&gt;=2.5,3,IF(F22&gt;=2,2,IF(F22&gt;=1.5,1,0))))</f>
        <v/>
      </c>
    </row>
    <row r="23">
      <c r="F23">
        <f>IF(COUNTA(C23:E23)=0,"",C23*$I$2+D23*$I$3+E23*$I$4)</f>
        <v/>
      </c>
      <c r="G23">
        <f>IF(F23="","",IF(F23&gt;=2.5,3,IF(F23&gt;=2,2,IF(F23&gt;=1.5,1,0))))</f>
        <v/>
      </c>
    </row>
    <row r="24">
      <c r="F24">
        <f>IF(COUNTA(C24:E24)=0,"",C24*$I$2+D24*$I$3+E24*$I$4)</f>
        <v/>
      </c>
      <c r="G24">
        <f>IF(F24="","",IF(F24&gt;=2.5,3,IF(F24&gt;=2,2,IF(F24&gt;=1.5,1,0))))</f>
        <v/>
      </c>
    </row>
    <row r="25">
      <c r="F25">
        <f>IF(COUNTA(C25:E25)=0,"",C25*$I$2+D25*$I$3+E25*$I$4)</f>
        <v/>
      </c>
      <c r="G25">
        <f>IF(F25="","",IF(F25&gt;=2.5,3,IF(F25&gt;=2,2,IF(F25&gt;=1.5,1,0))))</f>
        <v/>
      </c>
    </row>
    <row r="26">
      <c r="F26">
        <f>IF(COUNTA(C26:E26)=0,"",C26*$I$2+D26*$I$3+E26*$I$4)</f>
        <v/>
      </c>
      <c r="G26">
        <f>IF(F26="","",IF(F26&gt;=2.5,3,IF(F26&gt;=2,2,IF(F26&gt;=1.5,1,0))))</f>
        <v/>
      </c>
    </row>
    <row r="27">
      <c r="F27">
        <f>IF(COUNTA(C27:E27)=0,"",C27*$I$2+D27*$I$3+E27*$I$4)</f>
        <v/>
      </c>
      <c r="G27">
        <f>IF(F27="","",IF(F27&gt;=2.5,3,IF(F27&gt;=2,2,IF(F27&gt;=1.5,1,0))))</f>
        <v/>
      </c>
    </row>
    <row r="28">
      <c r="F28">
        <f>IF(COUNTA(C28:E28)=0,"",C28*$I$2+D28*$I$3+E28*$I$4)</f>
        <v/>
      </c>
      <c r="G28">
        <f>IF(F28="","",IF(F28&gt;=2.5,3,IF(F28&gt;=2,2,IF(F28&gt;=1.5,1,0))))</f>
        <v/>
      </c>
    </row>
    <row r="29">
      <c r="F29">
        <f>IF(COUNTA(C29:E29)=0,"",C29*$I$2+D29*$I$3+E29*$I$4)</f>
        <v/>
      </c>
      <c r="G29">
        <f>IF(F29="","",IF(F29&gt;=2.5,3,IF(F29&gt;=2,2,IF(F29&gt;=1.5,1,0))))</f>
        <v/>
      </c>
    </row>
    <row r="30">
      <c r="F30">
        <f>IF(COUNTA(C30:E30)=0,"",C30*$I$2+D30*$I$3+E30*$I$4)</f>
        <v/>
      </c>
      <c r="G30">
        <f>IF(F30="","",IF(F30&gt;=2.5,3,IF(F30&gt;=2,2,IF(F30&gt;=1.5,1,0))))</f>
        <v/>
      </c>
    </row>
    <row r="31">
      <c r="F31">
        <f>IF(COUNTA(C31:E31)=0,"",C31*$I$2+D31*$I$3+E31*$I$4)</f>
        <v/>
      </c>
      <c r="G31">
        <f>IF(F31="","",IF(F31&gt;=2.5,3,IF(F31&gt;=2,2,IF(F31&gt;=1.5,1,0))))</f>
        <v/>
      </c>
    </row>
    <row r="32">
      <c r="F32">
        <f>IF(COUNTA(C32:E32)=0,"",C32*$I$2+D32*$I$3+E32*$I$4)</f>
        <v/>
      </c>
      <c r="G32">
        <f>IF(F32="","",IF(F32&gt;=2.5,3,IF(F32&gt;=2,2,IF(F32&gt;=1.5,1,0))))</f>
        <v/>
      </c>
    </row>
    <row r="33">
      <c r="F33">
        <f>IF(COUNTA(C33:E33)=0,"",C33*$I$2+D33*$I$3+E33*$I$4)</f>
        <v/>
      </c>
      <c r="G33">
        <f>IF(F33="","",IF(F33&gt;=2.5,3,IF(F33&gt;=2,2,IF(F33&gt;=1.5,1,0))))</f>
        <v/>
      </c>
    </row>
    <row r="34">
      <c r="F34">
        <f>IF(COUNTA(C34:E34)=0,"",C34*$I$2+D34*$I$3+E34*$I$4)</f>
        <v/>
      </c>
      <c r="G34">
        <f>IF(F34="","",IF(F34&gt;=2.5,3,IF(F34&gt;=2,2,IF(F34&gt;=1.5,1,0))))</f>
        <v/>
      </c>
    </row>
    <row r="35">
      <c r="F35">
        <f>IF(COUNTA(C35:E35)=0,"",C35*$I$2+D35*$I$3+E35*$I$4)</f>
        <v/>
      </c>
      <c r="G35">
        <f>IF(F35="","",IF(F35&gt;=2.5,3,IF(F35&gt;=2,2,IF(F35&gt;=1.5,1,0))))</f>
        <v/>
      </c>
    </row>
    <row r="36">
      <c r="F36">
        <f>IF(COUNTA(C36:E36)=0,"",C36*$I$2+D36*$I$3+E36*$I$4)</f>
        <v/>
      </c>
      <c r="G36">
        <f>IF(F36="","",IF(F36&gt;=2.5,3,IF(F36&gt;=2,2,IF(F36&gt;=1.5,1,0))))</f>
        <v/>
      </c>
    </row>
    <row r="37">
      <c r="F37">
        <f>IF(COUNTA(C37:E37)=0,"",C37*$I$2+D37*$I$3+E37*$I$4)</f>
        <v/>
      </c>
      <c r="G37">
        <f>IF(F37="","",IF(F37&gt;=2.5,3,IF(F37&gt;=2,2,IF(F37&gt;=1.5,1,0))))</f>
        <v/>
      </c>
    </row>
    <row r="38">
      <c r="F38">
        <f>IF(COUNTA(C38:E38)=0,"",C38*$I$2+D38*$I$3+E38*$I$4)</f>
        <v/>
      </c>
      <c r="G38">
        <f>IF(F38="","",IF(F38&gt;=2.5,3,IF(F38&gt;=2,2,IF(F38&gt;=1.5,1,0))))</f>
        <v/>
      </c>
    </row>
    <row r="39">
      <c r="F39">
        <f>IF(COUNTA(C39:E39)=0,"",C39*$I$2+D39*$I$3+E39*$I$4)</f>
        <v/>
      </c>
      <c r="G39">
        <f>IF(F39="","",IF(F39&gt;=2.5,3,IF(F39&gt;=2,2,IF(F39&gt;=1.5,1,0))))</f>
        <v/>
      </c>
    </row>
    <row r="40">
      <c r="F40">
        <f>IF(COUNTA(C40:E40)=0,"",C40*$I$2+D40*$I$3+E40*$I$4)</f>
        <v/>
      </c>
      <c r="G40">
        <f>IF(F40="","",IF(F40&gt;=2.5,3,IF(F40&gt;=2,2,IF(F40&gt;=1.5,1,0))))</f>
        <v/>
      </c>
    </row>
    <row r="41">
      <c r="F41">
        <f>IF(COUNTA(C41:E41)=0,"",C41*$I$2+D41*$I$3+E41*$I$4)</f>
        <v/>
      </c>
      <c r="G41">
        <f>IF(F41="","",IF(F41&gt;=2.5,3,IF(F41&gt;=2,2,IF(F41&gt;=1.5,1,0))))</f>
        <v/>
      </c>
    </row>
    <row r="42">
      <c r="F42">
        <f>IF(COUNTA(C42:E42)=0,"",C42*$I$2+D42*$I$3+E42*$I$4)</f>
        <v/>
      </c>
      <c r="G42">
        <f>IF(F42="","",IF(F42&gt;=2.5,3,IF(F42&gt;=2,2,IF(F42&gt;=1.5,1,0))))</f>
        <v/>
      </c>
    </row>
    <row r="43">
      <c r="F43">
        <f>IF(COUNTA(C43:E43)=0,"",C43*$I$2+D43*$I$3+E43*$I$4)</f>
        <v/>
      </c>
      <c r="G43">
        <f>IF(F43="","",IF(F43&gt;=2.5,3,IF(F43&gt;=2,2,IF(F43&gt;=1.5,1,0))))</f>
        <v/>
      </c>
    </row>
    <row r="44">
      <c r="F44">
        <f>IF(COUNTA(C44:E44)=0,"",C44*$I$2+D44*$I$3+E44*$I$4)</f>
        <v/>
      </c>
      <c r="G44">
        <f>IF(F44="","",IF(F44&gt;=2.5,3,IF(F44&gt;=2,2,IF(F44&gt;=1.5,1,0))))</f>
        <v/>
      </c>
    </row>
    <row r="45">
      <c r="F45">
        <f>IF(COUNTA(C45:E45)=0,"",C45*$I$2+D45*$I$3+E45*$I$4)</f>
        <v/>
      </c>
      <c r="G45">
        <f>IF(F45="","",IF(F45&gt;=2.5,3,IF(F45&gt;=2,2,IF(F45&gt;=1.5,1,0))))</f>
        <v/>
      </c>
    </row>
    <row r="46">
      <c r="F46">
        <f>IF(COUNTA(C46:E46)=0,"",C46*$I$2+D46*$I$3+E46*$I$4)</f>
        <v/>
      </c>
      <c r="G46">
        <f>IF(F46="","",IF(F46&gt;=2.5,3,IF(F46&gt;=2,2,IF(F46&gt;=1.5,1,0))))</f>
        <v/>
      </c>
    </row>
    <row r="47">
      <c r="F47">
        <f>IF(COUNTA(C47:E47)=0,"",C47*$I$2+D47*$I$3+E47*$I$4)</f>
        <v/>
      </c>
      <c r="G47">
        <f>IF(F47="","",IF(F47&gt;=2.5,3,IF(F47&gt;=2,2,IF(F47&gt;=1.5,1,0))))</f>
        <v/>
      </c>
    </row>
    <row r="48">
      <c r="F48">
        <f>IF(COUNTA(C48:E48)=0,"",C48*$I$2+D48*$I$3+E48*$I$4)</f>
        <v/>
      </c>
      <c r="G48">
        <f>IF(F48="","",IF(F48&gt;=2.5,3,IF(F48&gt;=2,2,IF(F48&gt;=1.5,1,0))))</f>
        <v/>
      </c>
    </row>
    <row r="49">
      <c r="F49">
        <f>IF(COUNTA(C49:E49)=0,"",C49*$I$2+D49*$I$3+E49*$I$4)</f>
        <v/>
      </c>
      <c r="G49">
        <f>IF(F49="","",IF(F49&gt;=2.5,3,IF(F49&gt;=2,2,IF(F49&gt;=1.5,1,0))))</f>
        <v/>
      </c>
    </row>
    <row r="50">
      <c r="F50">
        <f>IF(COUNTA(C50:E50)=0,"",C50*$I$2+D50*$I$3+E50*$I$4)</f>
        <v/>
      </c>
      <c r="G50">
        <f>IF(F50="","",IF(F50&gt;=2.5,3,IF(F50&gt;=2,2,IF(F50&gt;=1.5,1,0))))</f>
        <v/>
      </c>
    </row>
    <row r="51">
      <c r="F51">
        <f>IF(COUNTA(C51:E51)=0,"",C51*$I$2+D51*$I$3+E51*$I$4)</f>
        <v/>
      </c>
      <c r="G51">
        <f>IF(F51="","",IF(F51&gt;=2.5,3,IF(F51&gt;=2,2,IF(F51&gt;=1.5,1,0))))</f>
        <v/>
      </c>
    </row>
    <row r="52">
      <c r="F52">
        <f>IF(COUNTA(C52:E52)=0,"",C52*$I$2+D52*$I$3+E52*$I$4)</f>
        <v/>
      </c>
      <c r="G52">
        <f>IF(F52="","",IF(F52&gt;=2.5,3,IF(F52&gt;=2,2,IF(F52&gt;=1.5,1,0))))</f>
        <v/>
      </c>
    </row>
    <row r="53">
      <c r="F53">
        <f>IF(COUNTA(C53:E53)=0,"",C53*$I$2+D53*$I$3+E53*$I$4)</f>
        <v/>
      </c>
      <c r="G53">
        <f>IF(F53="","",IF(F53&gt;=2.5,3,IF(F53&gt;=2,2,IF(F53&gt;=1.5,1,0))))</f>
        <v/>
      </c>
    </row>
    <row r="54">
      <c r="F54">
        <f>IF(COUNTA(C54:E54)=0,"",C54*$I$2+D54*$I$3+E54*$I$4)</f>
        <v/>
      </c>
      <c r="G54">
        <f>IF(F54="","",IF(F54&gt;=2.5,3,IF(F54&gt;=2,2,IF(F54&gt;=1.5,1,0))))</f>
        <v/>
      </c>
    </row>
    <row r="55">
      <c r="F55">
        <f>IF(COUNTA(C55:E55)=0,"",C55*$I$2+D55*$I$3+E55*$I$4)</f>
        <v/>
      </c>
      <c r="G55">
        <f>IF(F55="","",IF(F55&gt;=2.5,3,IF(F55&gt;=2,2,IF(F55&gt;=1.5,1,0))))</f>
        <v/>
      </c>
    </row>
    <row r="56">
      <c r="F56">
        <f>IF(COUNTA(C56:E56)=0,"",C56*$I$2+D56*$I$3+E56*$I$4)</f>
        <v/>
      </c>
      <c r="G56">
        <f>IF(F56="","",IF(F56&gt;=2.5,3,IF(F56&gt;=2,2,IF(F56&gt;=1.5,1,0))))</f>
        <v/>
      </c>
    </row>
    <row r="57">
      <c r="F57">
        <f>IF(COUNTA(C57:E57)=0,"",C57*$I$2+D57*$I$3+E57*$I$4)</f>
        <v/>
      </c>
      <c r="G57">
        <f>IF(F57="","",IF(F57&gt;=2.5,3,IF(F57&gt;=2,2,IF(F57&gt;=1.5,1,0))))</f>
        <v/>
      </c>
    </row>
    <row r="58">
      <c r="F58">
        <f>IF(COUNTA(C58:E58)=0,"",C58*$I$2+D58*$I$3+E58*$I$4)</f>
        <v/>
      </c>
      <c r="G58">
        <f>IF(F58="","",IF(F58&gt;=2.5,3,IF(F58&gt;=2,2,IF(F58&gt;=1.5,1,0))))</f>
        <v/>
      </c>
    </row>
    <row r="59">
      <c r="F59">
        <f>IF(COUNTA(C59:E59)=0,"",C59*$I$2+D59*$I$3+E59*$I$4)</f>
        <v/>
      </c>
      <c r="G59">
        <f>IF(F59="","",IF(F59&gt;=2.5,3,IF(F59&gt;=2,2,IF(F59&gt;=1.5,1,0))))</f>
        <v/>
      </c>
    </row>
    <row r="60">
      <c r="F60">
        <f>IF(COUNTA(C60:E60)=0,"",C60*$I$2+D60*$I$3+E60*$I$4)</f>
        <v/>
      </c>
      <c r="G60">
        <f>IF(F60="","",IF(F60&gt;=2.5,3,IF(F60&gt;=2,2,IF(F60&gt;=1.5,1,0))))</f>
        <v/>
      </c>
    </row>
    <row r="61">
      <c r="F61">
        <f>IF(COUNTA(C61:E61)=0,"",C61*$I$2+D61*$I$3+E61*$I$4)</f>
        <v/>
      </c>
      <c r="G61">
        <f>IF(F61="","",IF(F61&gt;=2.5,3,IF(F61&gt;=2,2,IF(F61&gt;=1.5,1,0))))</f>
        <v/>
      </c>
    </row>
    <row r="62">
      <c r="F62">
        <f>IF(COUNTA(C62:E62)=0,"",C62*$I$2+D62*$I$3+E62*$I$4)</f>
        <v/>
      </c>
      <c r="G62">
        <f>IF(F62="","",IF(F62&gt;=2.5,3,IF(F62&gt;=2,2,IF(F62&gt;=1.5,1,0))))</f>
        <v/>
      </c>
    </row>
    <row r="63">
      <c r="F63">
        <f>IF(COUNTA(C63:E63)=0,"",C63*$I$2+D63*$I$3+E63*$I$4)</f>
        <v/>
      </c>
      <c r="G63">
        <f>IF(F63="","",IF(F63&gt;=2.5,3,IF(F63&gt;=2,2,IF(F63&gt;=1.5,1,0))))</f>
        <v/>
      </c>
    </row>
    <row r="64">
      <c r="F64">
        <f>IF(COUNTA(C64:E64)=0,"",C64*$I$2+D64*$I$3+E64*$I$4)</f>
        <v/>
      </c>
      <c r="G64">
        <f>IF(F64="","",IF(F64&gt;=2.5,3,IF(F64&gt;=2,2,IF(F64&gt;=1.5,1,0))))</f>
        <v/>
      </c>
    </row>
    <row r="65">
      <c r="F65">
        <f>IF(COUNTA(C65:E65)=0,"",C65*$I$2+D65*$I$3+E65*$I$4)</f>
        <v/>
      </c>
      <c r="G65">
        <f>IF(F65="","",IF(F65&gt;=2.5,3,IF(F65&gt;=2,2,IF(F65&gt;=1.5,1,0))))</f>
        <v/>
      </c>
    </row>
    <row r="66">
      <c r="F66">
        <f>IF(COUNTA(C66:E66)=0,"",C66*$I$2+D66*$I$3+E66*$I$4)</f>
        <v/>
      </c>
      <c r="G66">
        <f>IF(F66="","",IF(F66&gt;=2.5,3,IF(F66&gt;=2,2,IF(F66&gt;=1.5,1,0))))</f>
        <v/>
      </c>
    </row>
    <row r="67">
      <c r="F67">
        <f>IF(COUNTA(C67:E67)=0,"",C67*$I$2+D67*$I$3+E67*$I$4)</f>
        <v/>
      </c>
      <c r="G67">
        <f>IF(F67="","",IF(F67&gt;=2.5,3,IF(F67&gt;=2,2,IF(F67&gt;=1.5,1,0))))</f>
        <v/>
      </c>
    </row>
    <row r="68">
      <c r="F68">
        <f>IF(COUNTA(C68:E68)=0,"",C68*$I$2+D68*$I$3+E68*$I$4)</f>
        <v/>
      </c>
      <c r="G68">
        <f>IF(F68="","",IF(F68&gt;=2.5,3,IF(F68&gt;=2,2,IF(F68&gt;=1.5,1,0))))</f>
        <v/>
      </c>
    </row>
    <row r="69">
      <c r="F69">
        <f>IF(COUNTA(C69:E69)=0,"",C69*$I$2+D69*$I$3+E69*$I$4)</f>
        <v/>
      </c>
      <c r="G69">
        <f>IF(F69="","",IF(F69&gt;=2.5,3,IF(F69&gt;=2,2,IF(F69&gt;=1.5,1,0))))</f>
        <v/>
      </c>
    </row>
    <row r="70">
      <c r="F70">
        <f>IF(COUNTA(C70:E70)=0,"",C70*$I$2+D70*$I$3+E70*$I$4)</f>
        <v/>
      </c>
      <c r="G70">
        <f>IF(F70="","",IF(F70&gt;=2.5,3,IF(F70&gt;=2,2,IF(F70&gt;=1.5,1,0))))</f>
        <v/>
      </c>
    </row>
    <row r="71">
      <c r="F71">
        <f>IF(COUNTA(C71:E71)=0,"",C71*$I$2+D71*$I$3+E71*$I$4)</f>
        <v/>
      </c>
      <c r="G71">
        <f>IF(F71="","",IF(F71&gt;=2.5,3,IF(F71&gt;=2,2,IF(F71&gt;=1.5,1,0))))</f>
        <v/>
      </c>
    </row>
    <row r="72">
      <c r="F72">
        <f>IF(COUNTA(C72:E72)=0,"",C72*$I$2+D72*$I$3+E72*$I$4)</f>
        <v/>
      </c>
      <c r="G72">
        <f>IF(F72="","",IF(F72&gt;=2.5,3,IF(F72&gt;=2,2,IF(F72&gt;=1.5,1,0))))</f>
        <v/>
      </c>
    </row>
    <row r="73">
      <c r="F73">
        <f>IF(COUNTA(C73:E73)=0,"",C73*$I$2+D73*$I$3+E73*$I$4)</f>
        <v/>
      </c>
      <c r="G73">
        <f>IF(F73="","",IF(F73&gt;=2.5,3,IF(F73&gt;=2,2,IF(F73&gt;=1.5,1,0))))</f>
        <v/>
      </c>
    </row>
    <row r="74">
      <c r="F74">
        <f>IF(COUNTA(C74:E74)=0,"",C74*$I$2+D74*$I$3+E74*$I$4)</f>
        <v/>
      </c>
      <c r="G74">
        <f>IF(F74="","",IF(F74&gt;=2.5,3,IF(F74&gt;=2,2,IF(F74&gt;=1.5,1,0))))</f>
        <v/>
      </c>
    </row>
    <row r="75">
      <c r="F75">
        <f>IF(COUNTA(C75:E75)=0,"",C75*$I$2+D75*$I$3+E75*$I$4)</f>
        <v/>
      </c>
      <c r="G75">
        <f>IF(F75="","",IF(F75&gt;=2.5,3,IF(F75&gt;=2,2,IF(F75&gt;=1.5,1,0))))</f>
        <v/>
      </c>
    </row>
    <row r="76">
      <c r="F76">
        <f>IF(COUNTA(C76:E76)=0,"",C76*$I$2+D76*$I$3+E76*$I$4)</f>
        <v/>
      </c>
      <c r="G76">
        <f>IF(F76="","",IF(F76&gt;=2.5,3,IF(F76&gt;=2,2,IF(F76&gt;=1.5,1,0))))</f>
        <v/>
      </c>
    </row>
    <row r="77">
      <c r="F77">
        <f>IF(COUNTA(C77:E77)=0,"",C77*$I$2+D77*$I$3+E77*$I$4)</f>
        <v/>
      </c>
      <c r="G77">
        <f>IF(F77="","",IF(F77&gt;=2.5,3,IF(F77&gt;=2,2,IF(F77&gt;=1.5,1,0))))</f>
        <v/>
      </c>
    </row>
    <row r="78">
      <c r="F78">
        <f>IF(COUNTA(C78:E78)=0,"",C78*$I$2+D78*$I$3+E78*$I$4)</f>
        <v/>
      </c>
      <c r="G78">
        <f>IF(F78="","",IF(F78&gt;=2.5,3,IF(F78&gt;=2,2,IF(F78&gt;=1.5,1,0))))</f>
        <v/>
      </c>
    </row>
    <row r="79">
      <c r="F79">
        <f>IF(COUNTA(C79:E79)=0,"",C79*$I$2+D79*$I$3+E79*$I$4)</f>
        <v/>
      </c>
      <c r="G79">
        <f>IF(F79="","",IF(F79&gt;=2.5,3,IF(F79&gt;=2,2,IF(F79&gt;=1.5,1,0))))</f>
        <v/>
      </c>
    </row>
    <row r="80">
      <c r="F80">
        <f>IF(COUNTA(C80:E80)=0,"",C80*$I$2+D80*$I$3+E80*$I$4)</f>
        <v/>
      </c>
      <c r="G80">
        <f>IF(F80="","",IF(F80&gt;=2.5,3,IF(F80&gt;=2,2,IF(F80&gt;=1.5,1,0))))</f>
        <v/>
      </c>
    </row>
    <row r="81">
      <c r="F81">
        <f>IF(COUNTA(C81:E81)=0,"",C81*$I$2+D81*$I$3+E81*$I$4)</f>
        <v/>
      </c>
      <c r="G81">
        <f>IF(F81="","",IF(F81&gt;=2.5,3,IF(F81&gt;=2,2,IF(F81&gt;=1.5,1,0))))</f>
        <v/>
      </c>
    </row>
    <row r="82">
      <c r="F82">
        <f>IF(COUNTA(C82:E82)=0,"",C82*$I$2+D82*$I$3+E82*$I$4)</f>
        <v/>
      </c>
      <c r="G82">
        <f>IF(F82="","",IF(F82&gt;=2.5,3,IF(F82&gt;=2,2,IF(F82&gt;=1.5,1,0))))</f>
        <v/>
      </c>
    </row>
    <row r="83">
      <c r="F83">
        <f>IF(COUNTA(C83:E83)=0,"",C83*$I$2+D83*$I$3+E83*$I$4)</f>
        <v/>
      </c>
      <c r="G83">
        <f>IF(F83="","",IF(F83&gt;=2.5,3,IF(F83&gt;=2,2,IF(F83&gt;=1.5,1,0))))</f>
        <v/>
      </c>
    </row>
    <row r="84">
      <c r="F84">
        <f>IF(COUNTA(C84:E84)=0,"",C84*$I$2+D84*$I$3+E84*$I$4)</f>
        <v/>
      </c>
      <c r="G84">
        <f>IF(F84="","",IF(F84&gt;=2.5,3,IF(F84&gt;=2,2,IF(F84&gt;=1.5,1,0))))</f>
        <v/>
      </c>
    </row>
    <row r="85">
      <c r="F85">
        <f>IF(COUNTA(C85:E85)=0,"",C85*$I$2+D85*$I$3+E85*$I$4)</f>
        <v/>
      </c>
      <c r="G85">
        <f>IF(F85="","",IF(F85&gt;=2.5,3,IF(F85&gt;=2,2,IF(F85&gt;=1.5,1,0))))</f>
        <v/>
      </c>
    </row>
    <row r="86">
      <c r="F86">
        <f>IF(COUNTA(C86:E86)=0,"",C86*$I$2+D86*$I$3+E86*$I$4)</f>
        <v/>
      </c>
      <c r="G86">
        <f>IF(F86="","",IF(F86&gt;=2.5,3,IF(F86&gt;=2,2,IF(F86&gt;=1.5,1,0))))</f>
        <v/>
      </c>
    </row>
    <row r="87">
      <c r="F87">
        <f>IF(COUNTA(C87:E87)=0,"",C87*$I$2+D87*$I$3+E87*$I$4)</f>
        <v/>
      </c>
      <c r="G87">
        <f>IF(F87="","",IF(F87&gt;=2.5,3,IF(F87&gt;=2,2,IF(F87&gt;=1.5,1,0))))</f>
        <v/>
      </c>
    </row>
    <row r="88">
      <c r="F88">
        <f>IF(COUNTA(C88:E88)=0,"",C88*$I$2+D88*$I$3+E88*$I$4)</f>
        <v/>
      </c>
      <c r="G88">
        <f>IF(F88="","",IF(F88&gt;=2.5,3,IF(F88&gt;=2,2,IF(F88&gt;=1.5,1,0))))</f>
        <v/>
      </c>
    </row>
    <row r="89">
      <c r="F89">
        <f>IF(COUNTA(C89:E89)=0,"",C89*$I$2+D89*$I$3+E89*$I$4)</f>
        <v/>
      </c>
      <c r="G89">
        <f>IF(F89="","",IF(F89&gt;=2.5,3,IF(F89&gt;=2,2,IF(F89&gt;=1.5,1,0))))</f>
        <v/>
      </c>
    </row>
    <row r="90">
      <c r="F90">
        <f>IF(COUNTA(C90:E90)=0,"",C90*$I$2+D90*$I$3+E90*$I$4)</f>
        <v/>
      </c>
      <c r="G90">
        <f>IF(F90="","",IF(F90&gt;=2.5,3,IF(F90&gt;=2,2,IF(F90&gt;=1.5,1,0))))</f>
        <v/>
      </c>
    </row>
    <row r="91">
      <c r="F91">
        <f>IF(COUNTA(C91:E91)=0,"",C91*$I$2+D91*$I$3+E91*$I$4)</f>
        <v/>
      </c>
      <c r="G91">
        <f>IF(F91="","",IF(F91&gt;=2.5,3,IF(F91&gt;=2,2,IF(F91&gt;=1.5,1,0))))</f>
        <v/>
      </c>
    </row>
    <row r="92">
      <c r="F92">
        <f>IF(COUNTA(C92:E92)=0,"",C92*$I$2+D92*$I$3+E92*$I$4)</f>
        <v/>
      </c>
      <c r="G92">
        <f>IF(F92="","",IF(F92&gt;=2.5,3,IF(F92&gt;=2,2,IF(F92&gt;=1.5,1,0))))</f>
        <v/>
      </c>
    </row>
    <row r="93">
      <c r="F93">
        <f>IF(COUNTA(C93:E93)=0,"",C93*$I$2+D93*$I$3+E93*$I$4)</f>
        <v/>
      </c>
      <c r="G93">
        <f>IF(F93="","",IF(F93&gt;=2.5,3,IF(F93&gt;=2,2,IF(F93&gt;=1.5,1,0))))</f>
        <v/>
      </c>
    </row>
    <row r="94">
      <c r="F94">
        <f>IF(COUNTA(C94:E94)=0,"",C94*$I$2+D94*$I$3+E94*$I$4)</f>
        <v/>
      </c>
      <c r="G94">
        <f>IF(F94="","",IF(F94&gt;=2.5,3,IF(F94&gt;=2,2,IF(F94&gt;=1.5,1,0))))</f>
        <v/>
      </c>
    </row>
    <row r="95">
      <c r="F95">
        <f>IF(COUNTA(C95:E95)=0,"",C95*$I$2+D95*$I$3+E95*$I$4)</f>
        <v/>
      </c>
      <c r="G95">
        <f>IF(F95="","",IF(F95&gt;=2.5,3,IF(F95&gt;=2,2,IF(F95&gt;=1.5,1,0))))</f>
        <v/>
      </c>
    </row>
    <row r="96">
      <c r="F96">
        <f>IF(COUNTA(C96:E96)=0,"",C96*$I$2+D96*$I$3+E96*$I$4)</f>
        <v/>
      </c>
      <c r="G96">
        <f>IF(F96="","",IF(F96&gt;=2.5,3,IF(F96&gt;=2,2,IF(F96&gt;=1.5,1,0))))</f>
        <v/>
      </c>
    </row>
    <row r="97">
      <c r="F97">
        <f>IF(COUNTA(C97:E97)=0,"",C97*$I$2+D97*$I$3+E97*$I$4)</f>
        <v/>
      </c>
      <c r="G97">
        <f>IF(F97="","",IF(F97&gt;=2.5,3,IF(F97&gt;=2,2,IF(F97&gt;=1.5,1,0))))</f>
        <v/>
      </c>
    </row>
    <row r="98">
      <c r="F98">
        <f>IF(COUNTA(C98:E98)=0,"",C98*$I$2+D98*$I$3+E98*$I$4)</f>
        <v/>
      </c>
      <c r="G98">
        <f>IF(F98="","",IF(F98&gt;=2.5,3,IF(F98&gt;=2,2,IF(F98&gt;=1.5,1,0))))</f>
        <v/>
      </c>
    </row>
    <row r="99">
      <c r="F99">
        <f>IF(COUNTA(C99:E99)=0,"",C99*$I$2+D99*$I$3+E99*$I$4)</f>
        <v/>
      </c>
      <c r="G99">
        <f>IF(F99="","",IF(F99&gt;=2.5,3,IF(F99&gt;=2,2,IF(F99&gt;=1.5,1,0))))</f>
        <v/>
      </c>
    </row>
    <row r="100">
      <c r="F100">
        <f>IF(COUNTA(C100:E100)=0,"",C100*$I$2+D100*$I$3+E100*$I$4)</f>
        <v/>
      </c>
      <c r="G100">
        <f>IF(F100="","",IF(F100&gt;=2.5,3,IF(F100&gt;=2,2,IF(F100&gt;=1.5,1,0))))</f>
        <v/>
      </c>
    </row>
    <row r="101">
      <c r="F101">
        <f>IF(COUNTA(C101:E101)=0,"",C101*$I$2+D101*$I$3+E101*$I$4)</f>
        <v/>
      </c>
      <c r="G101">
        <f>IF(F101="","",IF(F101&gt;=2.5,3,IF(F101&gt;=2,2,IF(F101&gt;=1.5,1,0))))</f>
        <v/>
      </c>
    </row>
    <row r="102">
      <c r="F102">
        <f>IF(COUNTA(C102:E102)=0,"",C102*$I$2+D102*$I$3+E102*$I$4)</f>
        <v/>
      </c>
      <c r="G102">
        <f>IF(F102="","",IF(F102&gt;=2.5,3,IF(F102&gt;=2,2,IF(F102&gt;=1.5,1,0))))</f>
        <v/>
      </c>
    </row>
    <row r="103">
      <c r="F103">
        <f>IF(COUNTA(C103:E103)=0,"",C103*$I$2+D103*$I$3+E103*$I$4)</f>
        <v/>
      </c>
      <c r="G103">
        <f>IF(F103="","",IF(F103&gt;=2.5,3,IF(F103&gt;=2,2,IF(F103&gt;=1.5,1,0))))</f>
        <v/>
      </c>
    </row>
    <row r="104">
      <c r="F104">
        <f>IF(COUNTA(C104:E104)=0,"",C104*$I$2+D104*$I$3+E104*$I$4)</f>
        <v/>
      </c>
      <c r="G104">
        <f>IF(F104="","",IF(F104&gt;=2.5,3,IF(F104&gt;=2,2,IF(F104&gt;=1.5,1,0))))</f>
        <v/>
      </c>
    </row>
    <row r="105">
      <c r="F105">
        <f>IF(COUNTA(C105:E105)=0,"",C105*$I$2+D105*$I$3+E105*$I$4)</f>
        <v/>
      </c>
      <c r="G105">
        <f>IF(F105="","",IF(F105&gt;=2.5,3,IF(F105&gt;=2,2,IF(F105&gt;=1.5,1,0))))</f>
        <v/>
      </c>
    </row>
    <row r="106">
      <c r="F106">
        <f>IF(COUNTA(C106:E106)=0,"",C106*$I$2+D106*$I$3+E106*$I$4)</f>
        <v/>
      </c>
      <c r="G106">
        <f>IF(F106="","",IF(F106&gt;=2.5,3,IF(F106&gt;=2,2,IF(F106&gt;=1.5,1,0))))</f>
        <v/>
      </c>
    </row>
    <row r="107">
      <c r="F107">
        <f>IF(COUNTA(C107:E107)=0,"",C107*$I$2+D107*$I$3+E107*$I$4)</f>
        <v/>
      </c>
      <c r="G107">
        <f>IF(F107="","",IF(F107&gt;=2.5,3,IF(F107&gt;=2,2,IF(F107&gt;=1.5,1,0))))</f>
        <v/>
      </c>
    </row>
    <row r="108">
      <c r="F108">
        <f>IF(COUNTA(C108:E108)=0,"",C108*$I$2+D108*$I$3+E108*$I$4)</f>
        <v/>
      </c>
      <c r="G108">
        <f>IF(F108="","",IF(F108&gt;=2.5,3,IF(F108&gt;=2,2,IF(F108&gt;=1.5,1,0))))</f>
        <v/>
      </c>
    </row>
    <row r="109">
      <c r="F109">
        <f>IF(COUNTA(C109:E109)=0,"",C109*$I$2+D109*$I$3+E109*$I$4)</f>
        <v/>
      </c>
      <c r="G109">
        <f>IF(F109="","",IF(F109&gt;=2.5,3,IF(F109&gt;=2,2,IF(F109&gt;=1.5,1,0))))</f>
        <v/>
      </c>
    </row>
    <row r="110">
      <c r="F110">
        <f>IF(COUNTA(C110:E110)=0,"",C110*$I$2+D110*$I$3+E110*$I$4)</f>
        <v/>
      </c>
      <c r="G110">
        <f>IF(F110="","",IF(F110&gt;=2.5,3,IF(F110&gt;=2,2,IF(F110&gt;=1.5,1,0))))</f>
        <v/>
      </c>
    </row>
    <row r="111">
      <c r="F111">
        <f>IF(COUNTA(C111:E111)=0,"",C111*$I$2+D111*$I$3+E111*$I$4)</f>
        <v/>
      </c>
      <c r="G111">
        <f>IF(F111="","",IF(F111&gt;=2.5,3,IF(F111&gt;=2,2,IF(F111&gt;=1.5,1,0))))</f>
        <v/>
      </c>
    </row>
    <row r="112">
      <c r="F112">
        <f>IF(COUNTA(C112:E112)=0,"",C112*$I$2+D112*$I$3+E112*$I$4)</f>
        <v/>
      </c>
      <c r="G112">
        <f>IF(F112="","",IF(F112&gt;=2.5,3,IF(F112&gt;=2,2,IF(F112&gt;=1.5,1,0))))</f>
        <v/>
      </c>
    </row>
    <row r="113">
      <c r="F113">
        <f>IF(COUNTA(C113:E113)=0,"",C113*$I$2+D113*$I$3+E113*$I$4)</f>
        <v/>
      </c>
      <c r="G113">
        <f>IF(F113="","",IF(F113&gt;=2.5,3,IF(F113&gt;=2,2,IF(F113&gt;=1.5,1,0))))</f>
        <v/>
      </c>
    </row>
    <row r="114">
      <c r="F114">
        <f>IF(COUNTA(C114:E114)=0,"",C114*$I$2+D114*$I$3+E114*$I$4)</f>
        <v/>
      </c>
      <c r="G114">
        <f>IF(F114="","",IF(F114&gt;=2.5,3,IF(F114&gt;=2,2,IF(F114&gt;=1.5,1,0))))</f>
        <v/>
      </c>
    </row>
    <row r="115">
      <c r="F115">
        <f>IF(COUNTA(C115:E115)=0,"",C115*$I$2+D115*$I$3+E115*$I$4)</f>
        <v/>
      </c>
      <c r="G115">
        <f>IF(F115="","",IF(F115&gt;=2.5,3,IF(F115&gt;=2,2,IF(F115&gt;=1.5,1,0))))</f>
        <v/>
      </c>
    </row>
    <row r="116">
      <c r="F116">
        <f>IF(COUNTA(C116:E116)=0,"",C116*$I$2+D116*$I$3+E116*$I$4)</f>
        <v/>
      </c>
      <c r="G116">
        <f>IF(F116="","",IF(F116&gt;=2.5,3,IF(F116&gt;=2,2,IF(F116&gt;=1.5,1,0))))</f>
        <v/>
      </c>
    </row>
    <row r="117">
      <c r="F117">
        <f>IF(COUNTA(C117:E117)=0,"",C117*$I$2+D117*$I$3+E117*$I$4)</f>
        <v/>
      </c>
      <c r="G117">
        <f>IF(F117="","",IF(F117&gt;=2.5,3,IF(F117&gt;=2,2,IF(F117&gt;=1.5,1,0))))</f>
        <v/>
      </c>
    </row>
    <row r="118">
      <c r="F118">
        <f>IF(COUNTA(C118:E118)=0,"",C118*$I$2+D118*$I$3+E118*$I$4)</f>
        <v/>
      </c>
      <c r="G118">
        <f>IF(F118="","",IF(F118&gt;=2.5,3,IF(F118&gt;=2,2,IF(F118&gt;=1.5,1,0))))</f>
        <v/>
      </c>
    </row>
    <row r="119">
      <c r="F119">
        <f>IF(COUNTA(C119:E119)=0,"",C119*$I$2+D119*$I$3+E119*$I$4)</f>
        <v/>
      </c>
      <c r="G119">
        <f>IF(F119="","",IF(F119&gt;=2.5,3,IF(F119&gt;=2,2,IF(F119&gt;=1.5,1,0))))</f>
        <v/>
      </c>
    </row>
    <row r="120">
      <c r="F120">
        <f>IF(COUNTA(C120:E120)=0,"",C120*$I$2+D120*$I$3+E120*$I$4)</f>
        <v/>
      </c>
      <c r="G120">
        <f>IF(F120="","",IF(F120&gt;=2.5,3,IF(F120&gt;=2,2,IF(F120&gt;=1.5,1,0))))</f>
        <v/>
      </c>
    </row>
    <row r="121">
      <c r="F121">
        <f>IF(COUNTA(C121:E121)=0,"",C121*$I$2+D121*$I$3+E121*$I$4)</f>
        <v/>
      </c>
      <c r="G121">
        <f>IF(F121="","",IF(F121&gt;=2.5,3,IF(F121&gt;=2,2,IF(F121&gt;=1.5,1,0))))</f>
        <v/>
      </c>
    </row>
    <row r="122">
      <c r="F122">
        <f>IF(COUNTA(C122:E122)=0,"",C122*$I$2+D122*$I$3+E122*$I$4)</f>
        <v/>
      </c>
      <c r="G122">
        <f>IF(F122="","",IF(F122&gt;=2.5,3,IF(F122&gt;=2,2,IF(F122&gt;=1.5,1,0))))</f>
        <v/>
      </c>
    </row>
    <row r="123">
      <c r="F123">
        <f>IF(COUNTA(C123:E123)=0,"",C123*$I$2+D123*$I$3+E123*$I$4)</f>
        <v/>
      </c>
      <c r="G123">
        <f>IF(F123="","",IF(F123&gt;=2.5,3,IF(F123&gt;=2,2,IF(F123&gt;=1.5,1,0))))</f>
        <v/>
      </c>
    </row>
    <row r="124">
      <c r="F124">
        <f>IF(COUNTA(C124:E124)=0,"",C124*$I$2+D124*$I$3+E124*$I$4)</f>
        <v/>
      </c>
      <c r="G124">
        <f>IF(F124="","",IF(F124&gt;=2.5,3,IF(F124&gt;=2,2,IF(F124&gt;=1.5,1,0))))</f>
        <v/>
      </c>
    </row>
    <row r="125">
      <c r="F125">
        <f>IF(COUNTA(C125:E125)=0,"",C125*$I$2+D125*$I$3+E125*$I$4)</f>
        <v/>
      </c>
      <c r="G125">
        <f>IF(F125="","",IF(F125&gt;=2.5,3,IF(F125&gt;=2,2,IF(F125&gt;=1.5,1,0))))</f>
        <v/>
      </c>
    </row>
    <row r="126">
      <c r="F126">
        <f>IF(COUNTA(C126:E126)=0,"",C126*$I$2+D126*$I$3+E126*$I$4)</f>
        <v/>
      </c>
      <c r="G126">
        <f>IF(F126="","",IF(F126&gt;=2.5,3,IF(F126&gt;=2,2,IF(F126&gt;=1.5,1,0))))</f>
        <v/>
      </c>
    </row>
    <row r="127">
      <c r="F127">
        <f>IF(COUNTA(C127:E127)=0,"",C127*$I$2+D127*$I$3+E127*$I$4)</f>
        <v/>
      </c>
      <c r="G127">
        <f>IF(F127="","",IF(F127&gt;=2.5,3,IF(F127&gt;=2,2,IF(F127&gt;=1.5,1,0))))</f>
        <v/>
      </c>
    </row>
    <row r="128">
      <c r="F128">
        <f>IF(COUNTA(C128:E128)=0,"",C128*$I$2+D128*$I$3+E128*$I$4)</f>
        <v/>
      </c>
      <c r="G128">
        <f>IF(F128="","",IF(F128&gt;=2.5,3,IF(F128&gt;=2,2,IF(F128&gt;=1.5,1,0))))</f>
        <v/>
      </c>
    </row>
    <row r="129">
      <c r="F129">
        <f>IF(COUNTA(C129:E129)=0,"",C129*$I$2+D129*$I$3+E129*$I$4)</f>
        <v/>
      </c>
      <c r="G129">
        <f>IF(F129="","",IF(F129&gt;=2.5,3,IF(F129&gt;=2,2,IF(F129&gt;=1.5,1,0))))</f>
        <v/>
      </c>
    </row>
    <row r="130">
      <c r="F130">
        <f>IF(COUNTA(C130:E130)=0,"",C130*$I$2+D130*$I$3+E130*$I$4)</f>
        <v/>
      </c>
      <c r="G130">
        <f>IF(F130="","",IF(F130&gt;=2.5,3,IF(F130&gt;=2,2,IF(F130&gt;=1.5,1,0))))</f>
        <v/>
      </c>
    </row>
    <row r="131">
      <c r="F131">
        <f>IF(COUNTA(C131:E131)=0,"",C131*$I$2+D131*$I$3+E131*$I$4)</f>
        <v/>
      </c>
      <c r="G131">
        <f>IF(F131="","",IF(F131&gt;=2.5,3,IF(F131&gt;=2,2,IF(F131&gt;=1.5,1,0))))</f>
        <v/>
      </c>
    </row>
    <row r="132">
      <c r="F132">
        <f>IF(COUNTA(C132:E132)=0,"",C132*$I$2+D132*$I$3+E132*$I$4)</f>
        <v/>
      </c>
      <c r="G132">
        <f>IF(F132="","",IF(F132&gt;=2.5,3,IF(F132&gt;=2,2,IF(F132&gt;=1.5,1,0))))</f>
        <v/>
      </c>
    </row>
    <row r="133">
      <c r="F133">
        <f>IF(COUNTA(C133:E133)=0,"",C133*$I$2+D133*$I$3+E133*$I$4)</f>
        <v/>
      </c>
      <c r="G133">
        <f>IF(F133="","",IF(F133&gt;=2.5,3,IF(F133&gt;=2,2,IF(F133&gt;=1.5,1,0))))</f>
        <v/>
      </c>
    </row>
    <row r="134">
      <c r="F134">
        <f>IF(COUNTA(C134:E134)=0,"",C134*$I$2+D134*$I$3+E134*$I$4)</f>
        <v/>
      </c>
      <c r="G134">
        <f>IF(F134="","",IF(F134&gt;=2.5,3,IF(F134&gt;=2,2,IF(F134&gt;=1.5,1,0))))</f>
        <v/>
      </c>
    </row>
    <row r="135">
      <c r="F135">
        <f>IF(COUNTA(C135:E135)=0,"",C135*$I$2+D135*$I$3+E135*$I$4)</f>
        <v/>
      </c>
      <c r="G135">
        <f>IF(F135="","",IF(F135&gt;=2.5,3,IF(F135&gt;=2,2,IF(F135&gt;=1.5,1,0))))</f>
        <v/>
      </c>
    </row>
    <row r="136">
      <c r="F136">
        <f>IF(COUNTA(C136:E136)=0,"",C136*$I$2+D136*$I$3+E136*$I$4)</f>
        <v/>
      </c>
      <c r="G136">
        <f>IF(F136="","",IF(F136&gt;=2.5,3,IF(F136&gt;=2,2,IF(F136&gt;=1.5,1,0))))</f>
        <v/>
      </c>
    </row>
    <row r="137">
      <c r="F137">
        <f>IF(COUNTA(C137:E137)=0,"",C137*$I$2+D137*$I$3+E137*$I$4)</f>
        <v/>
      </c>
      <c r="G137">
        <f>IF(F137="","",IF(F137&gt;=2.5,3,IF(F137&gt;=2,2,IF(F137&gt;=1.5,1,0))))</f>
        <v/>
      </c>
    </row>
    <row r="138">
      <c r="F138">
        <f>IF(COUNTA(C138:E138)=0,"",C138*$I$2+D138*$I$3+E138*$I$4)</f>
        <v/>
      </c>
      <c r="G138">
        <f>IF(F138="","",IF(F138&gt;=2.5,3,IF(F138&gt;=2,2,IF(F138&gt;=1.5,1,0))))</f>
        <v/>
      </c>
    </row>
    <row r="139">
      <c r="F139">
        <f>IF(COUNTA(C139:E139)=0,"",C139*$I$2+D139*$I$3+E139*$I$4)</f>
        <v/>
      </c>
      <c r="G139">
        <f>IF(F139="","",IF(F139&gt;=2.5,3,IF(F139&gt;=2,2,IF(F139&gt;=1.5,1,0))))</f>
        <v/>
      </c>
    </row>
    <row r="140">
      <c r="F140">
        <f>IF(COUNTA(C140:E140)=0,"",C140*$I$2+D140*$I$3+E140*$I$4)</f>
        <v/>
      </c>
      <c r="G140">
        <f>IF(F140="","",IF(F140&gt;=2.5,3,IF(F140&gt;=2,2,IF(F140&gt;=1.5,1,0))))</f>
        <v/>
      </c>
    </row>
    <row r="141">
      <c r="F141">
        <f>IF(COUNTA(C141:E141)=0,"",C141*$I$2+D141*$I$3+E141*$I$4)</f>
        <v/>
      </c>
      <c r="G141">
        <f>IF(F141="","",IF(F141&gt;=2.5,3,IF(F141&gt;=2,2,IF(F141&gt;=1.5,1,0))))</f>
        <v/>
      </c>
    </row>
    <row r="142">
      <c r="F142">
        <f>IF(COUNTA(C142:E142)=0,"",C142*$I$2+D142*$I$3+E142*$I$4)</f>
        <v/>
      </c>
      <c r="G142">
        <f>IF(F142="","",IF(F142&gt;=2.5,3,IF(F142&gt;=2,2,IF(F142&gt;=1.5,1,0))))</f>
        <v/>
      </c>
    </row>
    <row r="143">
      <c r="F143">
        <f>IF(COUNTA(C143:E143)=0,"",C143*$I$2+D143*$I$3+E143*$I$4)</f>
        <v/>
      </c>
      <c r="G143">
        <f>IF(F143="","",IF(F143&gt;=2.5,3,IF(F143&gt;=2,2,IF(F143&gt;=1.5,1,0))))</f>
        <v/>
      </c>
    </row>
    <row r="144">
      <c r="F144">
        <f>IF(COUNTA(C144:E144)=0,"",C144*$I$2+D144*$I$3+E144*$I$4)</f>
        <v/>
      </c>
      <c r="G144">
        <f>IF(F144="","",IF(F144&gt;=2.5,3,IF(F144&gt;=2,2,IF(F144&gt;=1.5,1,0))))</f>
        <v/>
      </c>
    </row>
    <row r="145">
      <c r="F145">
        <f>IF(COUNTA(C145:E145)=0,"",C145*$I$2+D145*$I$3+E145*$I$4)</f>
        <v/>
      </c>
      <c r="G145">
        <f>IF(F145="","",IF(F145&gt;=2.5,3,IF(F145&gt;=2,2,IF(F145&gt;=1.5,1,0))))</f>
        <v/>
      </c>
    </row>
    <row r="146">
      <c r="F146">
        <f>IF(COUNTA(C146:E146)=0,"",C146*$I$2+D146*$I$3+E146*$I$4)</f>
        <v/>
      </c>
      <c r="G146">
        <f>IF(F146="","",IF(F146&gt;=2.5,3,IF(F146&gt;=2,2,IF(F146&gt;=1.5,1,0))))</f>
        <v/>
      </c>
    </row>
    <row r="147">
      <c r="F147">
        <f>IF(COUNTA(C147:E147)=0,"",C147*$I$2+D147*$I$3+E147*$I$4)</f>
        <v/>
      </c>
      <c r="G147">
        <f>IF(F147="","",IF(F147&gt;=2.5,3,IF(F147&gt;=2,2,IF(F147&gt;=1.5,1,0))))</f>
        <v/>
      </c>
    </row>
    <row r="148">
      <c r="F148">
        <f>IF(COUNTA(C148:E148)=0,"",C148*$I$2+D148*$I$3+E148*$I$4)</f>
        <v/>
      </c>
      <c r="G148">
        <f>IF(F148="","",IF(F148&gt;=2.5,3,IF(F148&gt;=2,2,IF(F148&gt;=1.5,1,0))))</f>
        <v/>
      </c>
    </row>
    <row r="149">
      <c r="F149">
        <f>IF(COUNTA(C149:E149)=0,"",C149*$I$2+D149*$I$3+E149*$I$4)</f>
        <v/>
      </c>
      <c r="G149">
        <f>IF(F149="","",IF(F149&gt;=2.5,3,IF(F149&gt;=2,2,IF(F149&gt;=1.5,1,0))))</f>
        <v/>
      </c>
    </row>
    <row r="150">
      <c r="F150">
        <f>IF(COUNTA(C150:E150)=0,"",C150*$I$2+D150*$I$3+E150*$I$4)</f>
        <v/>
      </c>
      <c r="G150">
        <f>IF(F150="","",IF(F150&gt;=2.5,3,IF(F150&gt;=2,2,IF(F150&gt;=1.5,1,0))))</f>
        <v/>
      </c>
    </row>
    <row r="151">
      <c r="F151">
        <f>IF(COUNTA(C151:E151)=0,"",C151*$I$2+D151*$I$3+E151*$I$4)</f>
        <v/>
      </c>
      <c r="G151">
        <f>IF(F151="","",IF(F151&gt;=2.5,3,IF(F151&gt;=2,2,IF(F151&gt;=1.5,1,0))))</f>
        <v/>
      </c>
    </row>
    <row r="152">
      <c r="F152">
        <f>IF(COUNTA(C152:E152)=0,"",C152*$I$2+D152*$I$3+E152*$I$4)</f>
        <v/>
      </c>
      <c r="G152">
        <f>IF(F152="","",IF(F152&gt;=2.5,3,IF(F152&gt;=2,2,IF(F152&gt;=1.5,1,0))))</f>
        <v/>
      </c>
    </row>
    <row r="153">
      <c r="F153">
        <f>IF(COUNTA(C153:E153)=0,"",C153*$I$2+D153*$I$3+E153*$I$4)</f>
        <v/>
      </c>
      <c r="G153">
        <f>IF(F153="","",IF(F153&gt;=2.5,3,IF(F153&gt;=2,2,IF(F153&gt;=1.5,1,0))))</f>
        <v/>
      </c>
    </row>
    <row r="154">
      <c r="F154">
        <f>IF(COUNTA(C154:E154)=0,"",C154*$I$2+D154*$I$3+E154*$I$4)</f>
        <v/>
      </c>
      <c r="G154">
        <f>IF(F154="","",IF(F154&gt;=2.5,3,IF(F154&gt;=2,2,IF(F154&gt;=1.5,1,0))))</f>
        <v/>
      </c>
    </row>
    <row r="155">
      <c r="F155">
        <f>IF(COUNTA(C155:E155)=0,"",C155*$I$2+D155*$I$3+E155*$I$4)</f>
        <v/>
      </c>
      <c r="G155">
        <f>IF(F155="","",IF(F155&gt;=2.5,3,IF(F155&gt;=2,2,IF(F155&gt;=1.5,1,0))))</f>
        <v/>
      </c>
    </row>
    <row r="156">
      <c r="F156">
        <f>IF(COUNTA(C156:E156)=0,"",C156*$I$2+D156*$I$3+E156*$I$4)</f>
        <v/>
      </c>
      <c r="G156">
        <f>IF(F156="","",IF(F156&gt;=2.5,3,IF(F156&gt;=2,2,IF(F156&gt;=1.5,1,0))))</f>
        <v/>
      </c>
    </row>
    <row r="157">
      <c r="F157">
        <f>IF(COUNTA(C157:E157)=0,"",C157*$I$2+D157*$I$3+E157*$I$4)</f>
        <v/>
      </c>
      <c r="G157">
        <f>IF(F157="","",IF(F157&gt;=2.5,3,IF(F157&gt;=2,2,IF(F157&gt;=1.5,1,0))))</f>
        <v/>
      </c>
    </row>
    <row r="158">
      <c r="F158">
        <f>IF(COUNTA(C158:E158)=0,"",C158*$I$2+D158*$I$3+E158*$I$4)</f>
        <v/>
      </c>
      <c r="G158">
        <f>IF(F158="","",IF(F158&gt;=2.5,3,IF(F158&gt;=2,2,IF(F158&gt;=1.5,1,0))))</f>
        <v/>
      </c>
    </row>
    <row r="159">
      <c r="F159">
        <f>IF(COUNTA(C159:E159)=0,"",C159*$I$2+D159*$I$3+E159*$I$4)</f>
        <v/>
      </c>
      <c r="G159">
        <f>IF(F159="","",IF(F159&gt;=2.5,3,IF(F159&gt;=2,2,IF(F159&gt;=1.5,1,0))))</f>
        <v/>
      </c>
    </row>
    <row r="160">
      <c r="F160">
        <f>IF(COUNTA(C160:E160)=0,"",C160*$I$2+D160*$I$3+E160*$I$4)</f>
        <v/>
      </c>
      <c r="G160">
        <f>IF(F160="","",IF(F160&gt;=2.5,3,IF(F160&gt;=2,2,IF(F160&gt;=1.5,1,0))))</f>
        <v/>
      </c>
    </row>
    <row r="161">
      <c r="F161">
        <f>IF(COUNTA(C161:E161)=0,"",C161*$I$2+D161*$I$3+E161*$I$4)</f>
        <v/>
      </c>
      <c r="G161">
        <f>IF(F161="","",IF(F161&gt;=2.5,3,IF(F161&gt;=2,2,IF(F161&gt;=1.5,1,0))))</f>
        <v/>
      </c>
    </row>
    <row r="162">
      <c r="F162">
        <f>IF(COUNTA(C162:E162)=0,"",C162*$I$2+D162*$I$3+E162*$I$4)</f>
        <v/>
      </c>
      <c r="G162">
        <f>IF(F162="","",IF(F162&gt;=2.5,3,IF(F162&gt;=2,2,IF(F162&gt;=1.5,1,0))))</f>
        <v/>
      </c>
    </row>
    <row r="163">
      <c r="F163">
        <f>IF(COUNTA(C163:E163)=0,"",C163*$I$2+D163*$I$3+E163*$I$4)</f>
        <v/>
      </c>
      <c r="G163">
        <f>IF(F163="","",IF(F163&gt;=2.5,3,IF(F163&gt;=2,2,IF(F163&gt;=1.5,1,0))))</f>
        <v/>
      </c>
    </row>
    <row r="164">
      <c r="F164">
        <f>IF(COUNTA(C164:E164)=0,"",C164*$I$2+D164*$I$3+E164*$I$4)</f>
        <v/>
      </c>
      <c r="G164">
        <f>IF(F164="","",IF(F164&gt;=2.5,3,IF(F164&gt;=2,2,IF(F164&gt;=1.5,1,0))))</f>
        <v/>
      </c>
    </row>
    <row r="165">
      <c r="F165">
        <f>IF(COUNTA(C165:E165)=0,"",C165*$I$2+D165*$I$3+E165*$I$4)</f>
        <v/>
      </c>
      <c r="G165">
        <f>IF(F165="","",IF(F165&gt;=2.5,3,IF(F165&gt;=2,2,IF(F165&gt;=1.5,1,0))))</f>
        <v/>
      </c>
    </row>
    <row r="166">
      <c r="F166">
        <f>IF(COUNTA(C166:E166)=0,"",C166*$I$2+D166*$I$3+E166*$I$4)</f>
        <v/>
      </c>
      <c r="G166">
        <f>IF(F166="","",IF(F166&gt;=2.5,3,IF(F166&gt;=2,2,IF(F166&gt;=1.5,1,0))))</f>
        <v/>
      </c>
    </row>
    <row r="167">
      <c r="F167">
        <f>IF(COUNTA(C167:E167)=0,"",C167*$I$2+D167*$I$3+E167*$I$4)</f>
        <v/>
      </c>
      <c r="G167">
        <f>IF(F167="","",IF(F167&gt;=2.5,3,IF(F167&gt;=2,2,IF(F167&gt;=1.5,1,0))))</f>
        <v/>
      </c>
    </row>
    <row r="168">
      <c r="F168">
        <f>IF(COUNTA(C168:E168)=0,"",C168*$I$2+D168*$I$3+E168*$I$4)</f>
        <v/>
      </c>
      <c r="G168">
        <f>IF(F168="","",IF(F168&gt;=2.5,3,IF(F168&gt;=2,2,IF(F168&gt;=1.5,1,0))))</f>
        <v/>
      </c>
    </row>
    <row r="169">
      <c r="F169">
        <f>IF(COUNTA(C169:E169)=0,"",C169*$I$2+D169*$I$3+E169*$I$4)</f>
        <v/>
      </c>
      <c r="G169">
        <f>IF(F169="","",IF(F169&gt;=2.5,3,IF(F169&gt;=2,2,IF(F169&gt;=1.5,1,0))))</f>
        <v/>
      </c>
    </row>
    <row r="170">
      <c r="F170">
        <f>IF(COUNTA(C170:E170)=0,"",C170*$I$2+D170*$I$3+E170*$I$4)</f>
        <v/>
      </c>
      <c r="G170">
        <f>IF(F170="","",IF(F170&gt;=2.5,3,IF(F170&gt;=2,2,IF(F170&gt;=1.5,1,0))))</f>
        <v/>
      </c>
    </row>
    <row r="171">
      <c r="F171">
        <f>IF(COUNTA(C171:E171)=0,"",C171*$I$2+D171*$I$3+E171*$I$4)</f>
        <v/>
      </c>
      <c r="G171">
        <f>IF(F171="","",IF(F171&gt;=2.5,3,IF(F171&gt;=2,2,IF(F171&gt;=1.5,1,0))))</f>
        <v/>
      </c>
    </row>
    <row r="172">
      <c r="F172">
        <f>IF(COUNTA(C172:E172)=0,"",C172*$I$2+D172*$I$3+E172*$I$4)</f>
        <v/>
      </c>
      <c r="G172">
        <f>IF(F172="","",IF(F172&gt;=2.5,3,IF(F172&gt;=2,2,IF(F172&gt;=1.5,1,0))))</f>
        <v/>
      </c>
    </row>
    <row r="173">
      <c r="F173">
        <f>IF(COUNTA(C173:E173)=0,"",C173*$I$2+D173*$I$3+E173*$I$4)</f>
        <v/>
      </c>
      <c r="G173">
        <f>IF(F173="","",IF(F173&gt;=2.5,3,IF(F173&gt;=2,2,IF(F173&gt;=1.5,1,0))))</f>
        <v/>
      </c>
    </row>
    <row r="174">
      <c r="F174">
        <f>IF(COUNTA(C174:E174)=0,"",C174*$I$2+D174*$I$3+E174*$I$4)</f>
        <v/>
      </c>
      <c r="G174">
        <f>IF(F174="","",IF(F174&gt;=2.5,3,IF(F174&gt;=2,2,IF(F174&gt;=1.5,1,0))))</f>
        <v/>
      </c>
    </row>
    <row r="175">
      <c r="F175">
        <f>IF(COUNTA(C175:E175)=0,"",C175*$I$2+D175*$I$3+E175*$I$4)</f>
        <v/>
      </c>
      <c r="G175">
        <f>IF(F175="","",IF(F175&gt;=2.5,3,IF(F175&gt;=2,2,IF(F175&gt;=1.5,1,0))))</f>
        <v/>
      </c>
    </row>
    <row r="176">
      <c r="F176">
        <f>IF(COUNTA(C176:E176)=0,"",C176*$I$2+D176*$I$3+E176*$I$4)</f>
        <v/>
      </c>
      <c r="G176">
        <f>IF(F176="","",IF(F176&gt;=2.5,3,IF(F176&gt;=2,2,IF(F176&gt;=1.5,1,0))))</f>
        <v/>
      </c>
    </row>
    <row r="177">
      <c r="F177">
        <f>IF(COUNTA(C177:E177)=0,"",C177*$I$2+D177*$I$3+E177*$I$4)</f>
        <v/>
      </c>
      <c r="G177">
        <f>IF(F177="","",IF(F177&gt;=2.5,3,IF(F177&gt;=2,2,IF(F177&gt;=1.5,1,0))))</f>
        <v/>
      </c>
    </row>
    <row r="178">
      <c r="F178">
        <f>IF(COUNTA(C178:E178)=0,"",C178*$I$2+D178*$I$3+E178*$I$4)</f>
        <v/>
      </c>
      <c r="G178">
        <f>IF(F178="","",IF(F178&gt;=2.5,3,IF(F178&gt;=2,2,IF(F178&gt;=1.5,1,0))))</f>
        <v/>
      </c>
    </row>
    <row r="179">
      <c r="F179">
        <f>IF(COUNTA(C179:E179)=0,"",C179*$I$2+D179*$I$3+E179*$I$4)</f>
        <v/>
      </c>
      <c r="G179">
        <f>IF(F179="","",IF(F179&gt;=2.5,3,IF(F179&gt;=2,2,IF(F179&gt;=1.5,1,0))))</f>
        <v/>
      </c>
    </row>
    <row r="180">
      <c r="F180">
        <f>IF(COUNTA(C180:E180)=0,"",C180*$I$2+D180*$I$3+E180*$I$4)</f>
        <v/>
      </c>
      <c r="G180">
        <f>IF(F180="","",IF(F180&gt;=2.5,3,IF(F180&gt;=2,2,IF(F180&gt;=1.5,1,0))))</f>
        <v/>
      </c>
    </row>
    <row r="181">
      <c r="F181">
        <f>IF(COUNTA(C181:E181)=0,"",C181*$I$2+D181*$I$3+E181*$I$4)</f>
        <v/>
      </c>
      <c r="G181">
        <f>IF(F181="","",IF(F181&gt;=2.5,3,IF(F181&gt;=2,2,IF(F181&gt;=1.5,1,0))))</f>
        <v/>
      </c>
    </row>
    <row r="182">
      <c r="F182">
        <f>IF(COUNTA(C182:E182)=0,"",C182*$I$2+D182*$I$3+E182*$I$4)</f>
        <v/>
      </c>
      <c r="G182">
        <f>IF(F182="","",IF(F182&gt;=2.5,3,IF(F182&gt;=2,2,IF(F182&gt;=1.5,1,0))))</f>
        <v/>
      </c>
    </row>
    <row r="183">
      <c r="F183">
        <f>IF(COUNTA(C183:E183)=0,"",C183*$I$2+D183*$I$3+E183*$I$4)</f>
        <v/>
      </c>
      <c r="G183">
        <f>IF(F183="","",IF(F183&gt;=2.5,3,IF(F183&gt;=2,2,IF(F183&gt;=1.5,1,0))))</f>
        <v/>
      </c>
    </row>
    <row r="184">
      <c r="F184">
        <f>IF(COUNTA(C184:E184)=0,"",C184*$I$2+D184*$I$3+E184*$I$4)</f>
        <v/>
      </c>
      <c r="G184">
        <f>IF(F184="","",IF(F184&gt;=2.5,3,IF(F184&gt;=2,2,IF(F184&gt;=1.5,1,0))))</f>
        <v/>
      </c>
    </row>
    <row r="185">
      <c r="F185">
        <f>IF(COUNTA(C185:E185)=0,"",C185*$I$2+D185*$I$3+E185*$I$4)</f>
        <v/>
      </c>
      <c r="G185">
        <f>IF(F185="","",IF(F185&gt;=2.5,3,IF(F185&gt;=2,2,IF(F185&gt;=1.5,1,0))))</f>
        <v/>
      </c>
    </row>
    <row r="186">
      <c r="F186">
        <f>IF(COUNTA(C186:E186)=0,"",C186*$I$2+D186*$I$3+E186*$I$4)</f>
        <v/>
      </c>
      <c r="G186">
        <f>IF(F186="","",IF(F186&gt;=2.5,3,IF(F186&gt;=2,2,IF(F186&gt;=1.5,1,0))))</f>
        <v/>
      </c>
    </row>
    <row r="187">
      <c r="F187">
        <f>IF(COUNTA(C187:E187)=0,"",C187*$I$2+D187*$I$3+E187*$I$4)</f>
        <v/>
      </c>
      <c r="G187">
        <f>IF(F187="","",IF(F187&gt;=2.5,3,IF(F187&gt;=2,2,IF(F187&gt;=1.5,1,0))))</f>
        <v/>
      </c>
    </row>
    <row r="188">
      <c r="F188">
        <f>IF(COUNTA(C188:E188)=0,"",C188*$I$2+D188*$I$3+E188*$I$4)</f>
        <v/>
      </c>
      <c r="G188">
        <f>IF(F188="","",IF(F188&gt;=2.5,3,IF(F188&gt;=2,2,IF(F188&gt;=1.5,1,0))))</f>
        <v/>
      </c>
    </row>
    <row r="189">
      <c r="F189">
        <f>IF(COUNTA(C189:E189)=0,"",C189*$I$2+D189*$I$3+E189*$I$4)</f>
        <v/>
      </c>
      <c r="G189">
        <f>IF(F189="","",IF(F189&gt;=2.5,3,IF(F189&gt;=2,2,IF(F189&gt;=1.5,1,0))))</f>
        <v/>
      </c>
    </row>
    <row r="190">
      <c r="F190">
        <f>IF(COUNTA(C190:E190)=0,"",C190*$I$2+D190*$I$3+E190*$I$4)</f>
        <v/>
      </c>
      <c r="G190">
        <f>IF(F190="","",IF(F190&gt;=2.5,3,IF(F190&gt;=2,2,IF(F190&gt;=1.5,1,0))))</f>
        <v/>
      </c>
    </row>
    <row r="191">
      <c r="F191">
        <f>IF(COUNTA(C191:E191)=0,"",C191*$I$2+D191*$I$3+E191*$I$4)</f>
        <v/>
      </c>
      <c r="G191">
        <f>IF(F191="","",IF(F191&gt;=2.5,3,IF(F191&gt;=2,2,IF(F191&gt;=1.5,1,0))))</f>
        <v/>
      </c>
    </row>
    <row r="192">
      <c r="F192">
        <f>IF(COUNTA(C192:E192)=0,"",C192*$I$2+D192*$I$3+E192*$I$4)</f>
        <v/>
      </c>
      <c r="G192">
        <f>IF(F192="","",IF(F192&gt;=2.5,3,IF(F192&gt;=2,2,IF(F192&gt;=1.5,1,0))))</f>
        <v/>
      </c>
    </row>
    <row r="193">
      <c r="F193">
        <f>IF(COUNTA(C193:E193)=0,"",C193*$I$2+D193*$I$3+E193*$I$4)</f>
        <v/>
      </c>
      <c r="G193">
        <f>IF(F193="","",IF(F193&gt;=2.5,3,IF(F193&gt;=2,2,IF(F193&gt;=1.5,1,0))))</f>
        <v/>
      </c>
    </row>
    <row r="194">
      <c r="F194">
        <f>IF(COUNTA(C194:E194)=0,"",C194*$I$2+D194*$I$3+E194*$I$4)</f>
        <v/>
      </c>
      <c r="G194">
        <f>IF(F194="","",IF(F194&gt;=2.5,3,IF(F194&gt;=2,2,IF(F194&gt;=1.5,1,0))))</f>
        <v/>
      </c>
    </row>
    <row r="195">
      <c r="F195">
        <f>IF(COUNTA(C195:E195)=0,"",C195*$I$2+D195*$I$3+E195*$I$4)</f>
        <v/>
      </c>
      <c r="G195">
        <f>IF(F195="","",IF(F195&gt;=2.5,3,IF(F195&gt;=2,2,IF(F195&gt;=1.5,1,0))))</f>
        <v/>
      </c>
    </row>
    <row r="196">
      <c r="F196">
        <f>IF(COUNTA(C196:E196)=0,"",C196*$I$2+D196*$I$3+E196*$I$4)</f>
        <v/>
      </c>
      <c r="G196">
        <f>IF(F196="","",IF(F196&gt;=2.5,3,IF(F196&gt;=2,2,IF(F196&gt;=1.5,1,0))))</f>
        <v/>
      </c>
    </row>
    <row r="197">
      <c r="F197">
        <f>IF(COUNTA(C197:E197)=0,"",C197*$I$2+D197*$I$3+E197*$I$4)</f>
        <v/>
      </c>
      <c r="G197">
        <f>IF(F197="","",IF(F197&gt;=2.5,3,IF(F197&gt;=2,2,IF(F197&gt;=1.5,1,0))))</f>
        <v/>
      </c>
    </row>
    <row r="198">
      <c r="F198">
        <f>IF(COUNTA(C198:E198)=0,"",C198*$I$2+D198*$I$3+E198*$I$4)</f>
        <v/>
      </c>
      <c r="G198">
        <f>IF(F198="","",IF(F198&gt;=2.5,3,IF(F198&gt;=2,2,IF(F198&gt;=1.5,1,0))))</f>
        <v/>
      </c>
    </row>
    <row r="199">
      <c r="F199">
        <f>IF(COUNTA(C199:E199)=0,"",C199*$I$2+D199*$I$3+E199*$I$4)</f>
        <v/>
      </c>
      <c r="G199">
        <f>IF(F199="","",IF(F199&gt;=2.5,3,IF(F199&gt;=2,2,IF(F199&gt;=1.5,1,0))))</f>
        <v/>
      </c>
    </row>
    <row r="200">
      <c r="F200">
        <f>IF(COUNTA(C200:E200)=0,"",C200*$I$2+D200*$I$3+E200*$I$4)</f>
        <v/>
      </c>
      <c r="G200">
        <f>IF(F200="","",IF(F200&gt;=2.5,3,IF(F200&gt;=2,2,IF(F200&gt;=1.5,1,0))))</f>
        <v/>
      </c>
    </row>
    <row r="201">
      <c r="F201">
        <f>IF(COUNTA(C201:E201)=0,"",C201*$I$2+D201*$I$3+E201*$I$4)</f>
        <v/>
      </c>
      <c r="G201">
        <f>IF(F201="","",IF(F201&gt;=2.5,3,IF(F201&gt;=2,2,IF(F201&gt;=1.5,1,0))))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8" customWidth="1" min="4" max="4"/>
    <col width="10" customWidth="1" min="5" max="5"/>
    <col width="18" customWidth="1" min="6" max="6"/>
    <col width="18" customWidth="1" min="7" max="7"/>
    <col width="28" customWidth="1" min="8" max="8"/>
  </cols>
  <sheetData>
    <row r="1">
      <c r="A1" s="1" t="inlineStr">
        <is>
          <t>Criterion ID</t>
        </is>
      </c>
      <c r="B1" s="1" t="inlineStr">
        <is>
          <t>Criterion Name</t>
        </is>
      </c>
      <c r="C1" s="1" t="inlineStr">
        <is>
          <t>Phase (Continuous/SEE)</t>
        </is>
      </c>
      <c r="D1" s="1" t="inlineStr">
        <is>
          <t>Weight (decimal)</t>
        </is>
      </c>
      <c r="E1" s="1" t="inlineStr">
        <is>
          <t>CO Mapped</t>
        </is>
      </c>
      <c r="F1" s="1" t="inlineStr">
        <is>
          <t>PO(s) Mapped</t>
        </is>
      </c>
      <c r="G1" s="1" t="inlineStr">
        <is>
          <t>PSO(s) Mapped</t>
        </is>
      </c>
      <c r="H1" s="1" t="inlineStr">
        <is>
          <t>Notes/Evidence</t>
        </is>
      </c>
    </row>
    <row r="2">
      <c r="A2" t="inlineStr">
        <is>
          <t>C1</t>
        </is>
      </c>
      <c r="B2" t="inlineStr">
        <is>
          <t>Regularity &amp; Punctuality</t>
        </is>
      </c>
      <c r="C2" t="inlineStr">
        <is>
          <t>Continuous</t>
        </is>
      </c>
      <c r="D2" t="n">
        <v>0.1</v>
      </c>
      <c r="E2" t="inlineStr">
        <is>
          <t>CO1</t>
        </is>
      </c>
      <c r="F2" t="inlineStr">
        <is>
          <t>PO9, PO11</t>
        </is>
      </c>
      <c r="G2" t="inlineStr">
        <is>
          <t>PSO3</t>
        </is>
      </c>
      <c r="H2" t="inlineStr"/>
    </row>
    <row r="3">
      <c r="A3" t="inlineStr">
        <is>
          <t>C2</t>
        </is>
      </c>
      <c r="B3" t="inlineStr">
        <is>
          <t>Work Discipline &amp; Ethics</t>
        </is>
      </c>
      <c r="C3" t="inlineStr">
        <is>
          <t>Continuous</t>
        </is>
      </c>
      <c r="D3" t="n">
        <v>0.1</v>
      </c>
      <c r="E3" t="inlineStr">
        <is>
          <t>CO1</t>
        </is>
      </c>
      <c r="F3" t="inlineStr">
        <is>
          <t>PO8</t>
        </is>
      </c>
      <c r="G3" t="inlineStr">
        <is>
          <t>PSO3</t>
        </is>
      </c>
      <c r="H3" t="inlineStr"/>
    </row>
    <row r="4">
      <c r="A4" t="inlineStr">
        <is>
          <t>C3</t>
        </is>
      </c>
      <c r="B4" t="inlineStr">
        <is>
          <t>Weekly Progress Reports</t>
        </is>
      </c>
      <c r="C4" t="inlineStr">
        <is>
          <t>Continuous</t>
        </is>
      </c>
      <c r="D4" t="n">
        <v>0.2</v>
      </c>
      <c r="E4" t="inlineStr">
        <is>
          <t>CO2</t>
        </is>
      </c>
      <c r="F4" t="inlineStr">
        <is>
          <t>PO2</t>
        </is>
      </c>
      <c r="G4" t="inlineStr">
        <is>
          <t>PSO1</t>
        </is>
      </c>
      <c r="H4" t="inlineStr"/>
    </row>
    <row r="5">
      <c r="A5" t="inlineStr">
        <is>
          <t>C4</t>
        </is>
      </c>
      <c r="B5" t="inlineStr">
        <is>
          <t>Task Engagement</t>
        </is>
      </c>
      <c r="C5" t="inlineStr">
        <is>
          <t>Continuous</t>
        </is>
      </c>
      <c r="D5" t="n">
        <v>0.2</v>
      </c>
      <c r="E5" t="inlineStr">
        <is>
          <t>CO3</t>
        </is>
      </c>
      <c r="F5" t="inlineStr">
        <is>
          <t>PO5, PO6</t>
        </is>
      </c>
      <c r="G5" t="inlineStr">
        <is>
          <t>PSO2</t>
        </is>
      </c>
      <c r="H5" t="inlineStr"/>
    </row>
    <row r="6">
      <c r="A6" t="inlineStr">
        <is>
          <t>C5</t>
        </is>
      </c>
      <c r="B6" t="inlineStr">
        <is>
          <t>Industry Supervisor Feedback</t>
        </is>
      </c>
      <c r="C6" t="inlineStr">
        <is>
          <t>Continuous</t>
        </is>
      </c>
      <c r="D6" t="n">
        <v>0.4</v>
      </c>
      <c r="E6" t="inlineStr">
        <is>
          <t>CO4</t>
        </is>
      </c>
      <c r="F6" t="inlineStr">
        <is>
          <t>PO10</t>
        </is>
      </c>
      <c r="G6" t="inlineStr">
        <is>
          <t>PSO2</t>
        </is>
      </c>
      <c r="H6" t="inlineStr"/>
    </row>
    <row r="7">
      <c r="A7" t="inlineStr">
        <is>
          <t>S1</t>
        </is>
      </c>
      <c r="B7" t="inlineStr">
        <is>
          <t>Final Report</t>
        </is>
      </c>
      <c r="C7" t="inlineStr">
        <is>
          <t>SEE</t>
        </is>
      </c>
      <c r="D7" t="n">
        <v>0.3</v>
      </c>
      <c r="E7" t="inlineStr">
        <is>
          <t>CO5</t>
        </is>
      </c>
      <c r="F7" t="inlineStr">
        <is>
          <t>PO1, PO2</t>
        </is>
      </c>
      <c r="G7" t="inlineStr">
        <is>
          <t>PSO1</t>
        </is>
      </c>
      <c r="H7" t="inlineStr"/>
    </row>
    <row r="8">
      <c r="A8" t="inlineStr">
        <is>
          <t>S2</t>
        </is>
      </c>
      <c r="B8" t="inlineStr">
        <is>
          <t>Seminar/Presentation</t>
        </is>
      </c>
      <c r="C8" t="inlineStr">
        <is>
          <t>SEE</t>
        </is>
      </c>
      <c r="D8" t="n">
        <v>0.3</v>
      </c>
      <c r="E8" t="inlineStr">
        <is>
          <t>CO6</t>
        </is>
      </c>
      <c r="F8" t="inlineStr">
        <is>
          <t>PO10, PO12</t>
        </is>
      </c>
      <c r="G8" t="inlineStr">
        <is>
          <t>PSO3</t>
        </is>
      </c>
      <c r="H8" t="inlineStr"/>
    </row>
    <row r="9">
      <c r="A9" t="inlineStr">
        <is>
          <t>S3</t>
        </is>
      </c>
      <c r="B9" t="inlineStr">
        <is>
          <t>Viva Voce</t>
        </is>
      </c>
      <c r="C9" t="inlineStr">
        <is>
          <t>SEE</t>
        </is>
      </c>
      <c r="D9" t="n">
        <v>0.4</v>
      </c>
      <c r="E9" t="inlineStr">
        <is>
          <t>CO6</t>
        </is>
      </c>
      <c r="F9" t="inlineStr">
        <is>
          <t>PO9</t>
        </is>
      </c>
      <c r="G9" t="inlineStr">
        <is>
          <t>PSO3</t>
        </is>
      </c>
      <c r="H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</cols>
  <sheetData>
    <row r="1">
      <c r="A1" s="1" t="inlineStr">
        <is>
          <t>Criterion ID</t>
        </is>
      </c>
      <c r="B1" s="1" t="inlineStr">
        <is>
          <t>Phase</t>
        </is>
      </c>
      <c r="C1" s="1" t="inlineStr">
        <is>
          <t>Average Score (0–3)</t>
        </is>
      </c>
    </row>
    <row r="2">
      <c r="A2" t="inlineStr">
        <is>
          <t>C1</t>
        </is>
      </c>
      <c r="B2" t="inlineStr">
        <is>
          <t>Continuous</t>
        </is>
      </c>
      <c r="C2">
        <f>'Continuous Assessment'!M2</f>
        <v/>
      </c>
    </row>
    <row r="3">
      <c r="A3" t="inlineStr">
        <is>
          <t>C2</t>
        </is>
      </c>
      <c r="B3" t="inlineStr">
        <is>
          <t>Continuous</t>
        </is>
      </c>
      <c r="C3">
        <f>'Continuous Assessment'!M3</f>
        <v/>
      </c>
    </row>
    <row r="4">
      <c r="A4" t="inlineStr">
        <is>
          <t>C3</t>
        </is>
      </c>
      <c r="B4" t="inlineStr">
        <is>
          <t>Continuous</t>
        </is>
      </c>
      <c r="C4">
        <f>'Continuous Assessment'!M4</f>
        <v/>
      </c>
    </row>
    <row r="5">
      <c r="A5" t="inlineStr">
        <is>
          <t>C4</t>
        </is>
      </c>
      <c r="B5" t="inlineStr">
        <is>
          <t>Continuous</t>
        </is>
      </c>
      <c r="C5">
        <f>'Continuous Assessment'!M5</f>
        <v/>
      </c>
    </row>
    <row r="6">
      <c r="A6" t="inlineStr">
        <is>
          <t>C5</t>
        </is>
      </c>
      <c r="B6" t="inlineStr">
        <is>
          <t>Continuous</t>
        </is>
      </c>
      <c r="C6">
        <f>'Continuous Assessment'!M6</f>
        <v/>
      </c>
    </row>
    <row r="7">
      <c r="A7" t="inlineStr">
        <is>
          <t>S1</t>
        </is>
      </c>
      <c r="B7" t="inlineStr">
        <is>
          <t>SEE</t>
        </is>
      </c>
      <c r="C7">
        <f>'SEE Evaluation'!K2</f>
        <v/>
      </c>
    </row>
    <row r="8">
      <c r="A8" t="inlineStr">
        <is>
          <t>S2</t>
        </is>
      </c>
      <c r="B8" t="inlineStr">
        <is>
          <t>SEE</t>
        </is>
      </c>
      <c r="C8">
        <f>'SEE Evaluation'!K3</f>
        <v/>
      </c>
    </row>
    <row r="9">
      <c r="A9" t="inlineStr">
        <is>
          <t>S3</t>
        </is>
      </c>
      <c r="B9" t="inlineStr">
        <is>
          <t>SEE</t>
        </is>
      </c>
      <c r="C9">
        <f>'SEE Evaluation'!K4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SEE Avg (0–3)</t>
        </is>
      </c>
      <c r="D1" s="1" t="inlineStr">
        <is>
          <t>Weighted Avg (60%/40%)</t>
        </is>
      </c>
      <c r="E1" s="1" t="inlineStr">
        <is>
          <t>Final Level (0–3)</t>
        </is>
      </c>
      <c r="F1" s="1" t="inlineStr">
        <is>
          <t>PO(s)</t>
        </is>
      </c>
      <c r="G1" s="1" t="inlineStr">
        <is>
          <t>PSO(s)</t>
        </is>
      </c>
    </row>
    <row r="2">
      <c r="A2" t="inlineStr">
        <is>
          <t>CO1</t>
        </is>
      </c>
      <c r="B2">
        <f>IFERROR(SUMPRODUCT(FILTER('Rubric Definition'!D:D,('Rubric Definition'!E:E=A2)*('Rubric Definition'!C:C="Continuous")),XLOOKUP(FILTER('Rubric Definition'!A:A,('Rubric Definition'!E:E=A2)*('Rubric Definition'!C:C="Continuous")),'Criterion Averages'!A:A,'Criterion Averages'!C:C)) / SUM(FILTER('Rubric Definition'!D:D,('Rubric Definition'!E:E=A2)*('Rubric Definition'!C:C="Continuous"))),"")</f>
        <v/>
      </c>
      <c r="C2">
        <f>IFERROR(SUMPRODUCT(FILTER('Rubric Definition'!D:D,('Rubric Definition'!E:E=A2)*('Rubric Definition'!C:C="SEE")),XLOOKUP(FILTER('Rubric Definition'!A:A,('Rubric Definition'!E:E=A2)*('Rubric Definition'!C:C="SEE")),'Criterion Averages'!A:A,'Criterion Averages'!C:C)) / SUM(FILTER('Rubric Definition'!D:D,('Rubric Definition'!E:E=A2)*('Rubric Definition'!C:C="SEE"))),"")</f>
        <v/>
      </c>
      <c r="D2">
        <f>IF(AND(B2&lt;&gt;"",C2&lt;&gt;""),0.6*B2+0.4*C2,IF(B2&lt;&gt;"",B2,C2))</f>
        <v/>
      </c>
      <c r="E2">
        <f>IF(D2="","",IF(D2&gt;=2.5,3,IF(D2&gt;=2,2,IF(D2&gt;=1.5,1,0))))</f>
        <v/>
      </c>
      <c r="F2">
        <f>IFERROR(TEXTJOIN(", ",TRUE,UNIQUE(FILTER('Rubric Definition'!F:F,'Rubric Definition'!E:E=A2))),"")</f>
        <v/>
      </c>
      <c r="G2">
        <f>IFERROR(TEXTJOIN(", ",TRUE,UNIQUE(FILTER('Rubric Definition'!G:G,'Rubric Definition'!E:E=A2))),"")</f>
        <v/>
      </c>
    </row>
    <row r="3">
      <c r="A3" t="inlineStr">
        <is>
          <t>CO2</t>
        </is>
      </c>
      <c r="B3">
        <f>IFERROR(SUMPRODUCT(FILTER('Rubric Definition'!D:D,('Rubric Definition'!E:E=A3)*('Rubric Definition'!C:C="Continuous")),XLOOKUP(FILTER('Rubric Definition'!A:A,('Rubric Definition'!E:E=A3)*('Rubric Definition'!C:C="Continuous")),'Criterion Averages'!A:A,'Criterion Averages'!C:C)) / SUM(FILTER('Rubric Definition'!D:D,('Rubric Definition'!E:E=A3)*('Rubric Definition'!C:C="Continuous"))),"")</f>
        <v/>
      </c>
      <c r="C3">
        <f>IFERROR(SUMPRODUCT(FILTER('Rubric Definition'!D:D,('Rubric Definition'!E:E=A3)*('Rubric Definition'!C:C="SEE")),XLOOKUP(FILTER('Rubric Definition'!A:A,('Rubric Definition'!E:E=A3)*('Rubric Definition'!C:C="SEE")),'Criterion Averages'!A:A,'Criterion Averages'!C:C)) / SUM(FILTER('Rubric Definition'!D:D,('Rubric Definition'!E:E=A3)*('Rubric Definition'!C:C="SEE"))),"")</f>
        <v/>
      </c>
      <c r="D3">
        <f>IF(AND(B3&lt;&gt;"",C3&lt;&gt;""),0.6*B3+0.4*C3,IF(B3&lt;&gt;"",B3,C3))</f>
        <v/>
      </c>
      <c r="E3">
        <f>IF(D3="","",IF(D3&gt;=2.5,3,IF(D3&gt;=2,2,IF(D3&gt;=1.5,1,0))))</f>
        <v/>
      </c>
      <c r="F3">
        <f>IFERROR(TEXTJOIN(", ",TRUE,UNIQUE(FILTER('Rubric Definition'!F:F,'Rubric Definition'!E:E=A3))),"")</f>
        <v/>
      </c>
      <c r="G3">
        <f>IFERROR(TEXTJOIN(", ",TRUE,UNIQUE(FILTER('Rubric Definition'!G:G,'Rubric Definition'!E:E=A3))),"")</f>
        <v/>
      </c>
    </row>
    <row r="4">
      <c r="A4" t="inlineStr">
        <is>
          <t>CO3</t>
        </is>
      </c>
      <c r="B4">
        <f>IFERROR(SUMPRODUCT(FILTER('Rubric Definition'!D:D,('Rubric Definition'!E:E=A4)*('Rubric Definition'!C:C="Continuous")),XLOOKUP(FILTER('Rubric Definition'!A:A,('Rubric Definition'!E:E=A4)*('Rubric Definition'!C:C="Continuous")),'Criterion Averages'!A:A,'Criterion Averages'!C:C)) / SUM(FILTER('Rubric Definition'!D:D,('Rubric Definition'!E:E=A4)*('Rubric Definition'!C:C="Continuous"))),"")</f>
        <v/>
      </c>
      <c r="C4">
        <f>IFERROR(SUMPRODUCT(FILTER('Rubric Definition'!D:D,('Rubric Definition'!E:E=A4)*('Rubric Definition'!C:C="SEE")),XLOOKUP(FILTER('Rubric Definition'!A:A,('Rubric Definition'!E:E=A4)*('Rubric Definition'!C:C="SEE")),'Criterion Averages'!A:A,'Criterion Averages'!C:C)) / SUM(FILTER('Rubric Definition'!D:D,('Rubric Definition'!E:E=A4)*('Rubric Definition'!C:C="SEE"))),"")</f>
        <v/>
      </c>
      <c r="D4">
        <f>IF(AND(B4&lt;&gt;"",C4&lt;&gt;""),0.6*B4+0.4*C4,IF(B4&lt;&gt;"",B4,C4))</f>
        <v/>
      </c>
      <c r="E4">
        <f>IF(D4="","",IF(D4&gt;=2.5,3,IF(D4&gt;=2,2,IF(D4&gt;=1.5,1,0))))</f>
        <v/>
      </c>
      <c r="F4">
        <f>IFERROR(TEXTJOIN(", ",TRUE,UNIQUE(FILTER('Rubric Definition'!F:F,'Rubric Definition'!E:E=A4))),"")</f>
        <v/>
      </c>
      <c r="G4">
        <f>IFERROR(TEXTJOIN(", ",TRUE,UNIQUE(FILTER('Rubric Definition'!G:G,'Rubric Definition'!E:E=A4))),"")</f>
        <v/>
      </c>
    </row>
    <row r="5">
      <c r="A5" t="inlineStr">
        <is>
          <t>CO4</t>
        </is>
      </c>
      <c r="B5">
        <f>IFERROR(SUMPRODUCT(FILTER('Rubric Definition'!D:D,('Rubric Definition'!E:E=A5)*('Rubric Definition'!C:C="Continuous")),XLOOKUP(FILTER('Rubric Definition'!A:A,('Rubric Definition'!E:E=A5)*('Rubric Definition'!C:C="Continuous")),'Criterion Averages'!A:A,'Criterion Averages'!C:C)) / SUM(FILTER('Rubric Definition'!D:D,('Rubric Definition'!E:E=A5)*('Rubric Definition'!C:C="Continuous"))),"")</f>
        <v/>
      </c>
      <c r="C5">
        <f>IFERROR(SUMPRODUCT(FILTER('Rubric Definition'!D:D,('Rubric Definition'!E:E=A5)*('Rubric Definition'!C:C="SEE")),XLOOKUP(FILTER('Rubric Definition'!A:A,('Rubric Definition'!E:E=A5)*('Rubric Definition'!C:C="SEE")),'Criterion Averages'!A:A,'Criterion Averages'!C:C)) / SUM(FILTER('Rubric Definition'!D:D,('Rubric Definition'!E:E=A5)*('Rubric Definition'!C:C="SEE"))),"")</f>
        <v/>
      </c>
      <c r="D5">
        <f>IF(AND(B5&lt;&gt;"",C5&lt;&gt;""),0.6*B5+0.4*C5,IF(B5&lt;&gt;"",B5,C5))</f>
        <v/>
      </c>
      <c r="E5">
        <f>IF(D5="","",IF(D5&gt;=2.5,3,IF(D5&gt;=2,2,IF(D5&gt;=1.5,1,0))))</f>
        <v/>
      </c>
      <c r="F5">
        <f>IFERROR(TEXTJOIN(", ",TRUE,UNIQUE(FILTER('Rubric Definition'!F:F,'Rubric Definition'!E:E=A5))),"")</f>
        <v/>
      </c>
      <c r="G5">
        <f>IFERROR(TEXTJOIN(", ",TRUE,UNIQUE(FILTER('Rubric Definition'!G:G,'Rubric Definition'!E:E=A5))),"")</f>
        <v/>
      </c>
    </row>
    <row r="6">
      <c r="A6" t="inlineStr">
        <is>
          <t>CO5</t>
        </is>
      </c>
      <c r="B6">
        <f>IFERROR(SUMPRODUCT(FILTER('Rubric Definition'!D:D,('Rubric Definition'!E:E=A6)*('Rubric Definition'!C:C="Continuous")),XLOOKUP(FILTER('Rubric Definition'!A:A,('Rubric Definition'!E:E=A6)*('Rubric Definition'!C:C="Continuous")),'Criterion Averages'!A:A,'Criterion Averages'!C:C)) / SUM(FILTER('Rubric Definition'!D:D,('Rubric Definition'!E:E=A6)*('Rubric Definition'!C:C="Continuous"))),"")</f>
        <v/>
      </c>
      <c r="C6">
        <f>IFERROR(SUMPRODUCT(FILTER('Rubric Definition'!D:D,('Rubric Definition'!E:E=A6)*('Rubric Definition'!C:C="SEE")),XLOOKUP(FILTER('Rubric Definition'!A:A,('Rubric Definition'!E:E=A6)*('Rubric Definition'!C:C="SEE")),'Criterion Averages'!A:A,'Criterion Averages'!C:C)) / SUM(FILTER('Rubric Definition'!D:D,('Rubric Definition'!E:E=A6)*('Rubric Definition'!C:C="SEE"))),"")</f>
        <v/>
      </c>
      <c r="D6">
        <f>IF(AND(B6&lt;&gt;"",C6&lt;&gt;""),0.6*B6+0.4*C6,IF(B6&lt;&gt;"",B6,C6))</f>
        <v/>
      </c>
      <c r="E6">
        <f>IF(D6="","",IF(D6&gt;=2.5,3,IF(D6&gt;=2,2,IF(D6&gt;=1.5,1,0))))</f>
        <v/>
      </c>
      <c r="F6">
        <f>IFERROR(TEXTJOIN(", ",TRUE,UNIQUE(FILTER('Rubric Definition'!F:F,'Rubric Definition'!E:E=A6))),"")</f>
        <v/>
      </c>
      <c r="G6">
        <f>IFERROR(TEXTJOIN(", ",TRUE,UNIQUE(FILTER('Rubric Definition'!G:G,'Rubric Definition'!E:E=A6))),"")</f>
        <v/>
      </c>
    </row>
    <row r="7">
      <c r="A7" t="inlineStr">
        <is>
          <t>CO6</t>
        </is>
      </c>
      <c r="B7">
        <f>IFERROR(SUMPRODUCT(FILTER('Rubric Definition'!D:D,('Rubric Definition'!E:E=A7)*('Rubric Definition'!C:C="Continuous")),XLOOKUP(FILTER('Rubric Definition'!A:A,('Rubric Definition'!E:E=A7)*('Rubric Definition'!C:C="Continuous")),'Criterion Averages'!A:A,'Criterion Averages'!C:C)) / SUM(FILTER('Rubric Definition'!D:D,('Rubric Definition'!E:E=A7)*('Rubric Definition'!C:C="Continuous"))),"")</f>
        <v/>
      </c>
      <c r="C7">
        <f>IFERROR(SUMPRODUCT(FILTER('Rubric Definition'!D:D,('Rubric Definition'!E:E=A7)*('Rubric Definition'!C:C="SEE")),XLOOKUP(FILTER('Rubric Definition'!A:A,('Rubric Definition'!E:E=A7)*('Rubric Definition'!C:C="SEE")),'Criterion Averages'!A:A,'Criterion Averages'!C:C)) / SUM(FILTER('Rubric Definition'!D:D,('Rubric Definition'!E:E=A7)*('Rubric Definition'!C:C="SEE"))),"")</f>
        <v/>
      </c>
      <c r="D7">
        <f>IF(AND(B7&lt;&gt;"",C7&lt;&gt;""),0.6*B7+0.4*C7,IF(B7&lt;&gt;"",B7,C7))</f>
        <v/>
      </c>
      <c r="E7">
        <f>IF(D7="","",IF(D7&gt;=2.5,3,IF(D7&gt;=2,2,IF(D7&gt;=1.5,1,0))))</f>
        <v/>
      </c>
      <c r="F7">
        <f>IFERROR(TEXTJOIN(", ",TRUE,UNIQUE(FILTER('Rubric Definition'!F:F,'Rubric Definition'!E:E=A7))),"")</f>
        <v/>
      </c>
      <c r="G7">
        <f>IFERROR(TEXTJOIN(", ",TRUE,UNIQUE(FILTER('Rubric Definition'!G:G,'Rubric Definition'!E:E=A7))),"")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3" t="inlineStr">
        <is>
          <t>CO–PO/PSO Mapping Matrix (derived from Rubric Definition)</t>
        </is>
      </c>
    </row>
    <row r="3">
      <c r="A3" s="1" t="inlineStr">
        <is>
          <t>CO</t>
        </is>
      </c>
      <c r="B3" s="1" t="inlineStr">
        <is>
          <t>PO1</t>
        </is>
      </c>
      <c r="C3" s="1" t="inlineStr">
        <is>
          <t>PO2</t>
        </is>
      </c>
      <c r="D3" s="1" t="inlineStr">
        <is>
          <t>PO5</t>
        </is>
      </c>
      <c r="E3" s="1" t="inlineStr">
        <is>
          <t>PO6</t>
        </is>
      </c>
      <c r="F3" s="1" t="inlineStr">
        <is>
          <t>PO8</t>
        </is>
      </c>
      <c r="G3" s="1" t="inlineStr">
        <is>
          <t>PO9</t>
        </is>
      </c>
      <c r="H3" s="1" t="inlineStr">
        <is>
          <t>PO10</t>
        </is>
      </c>
      <c r="I3" s="1" t="inlineStr">
        <is>
          <t>PO11</t>
        </is>
      </c>
      <c r="J3" s="1" t="inlineStr">
        <is>
          <t>PO12</t>
        </is>
      </c>
      <c r="K3" s="1" t="inlineStr">
        <is>
          <t>PSO1</t>
        </is>
      </c>
      <c r="L3" s="1" t="inlineStr">
        <is>
          <t>PSO2</t>
        </is>
      </c>
      <c r="M3" s="1" t="inlineStr">
        <is>
          <t>PSO3</t>
        </is>
      </c>
    </row>
    <row r="4">
      <c r="A4" t="inlineStr">
        <is>
          <t>CO1</t>
        </is>
      </c>
      <c r="B4">
        <f>IF(COUNTIF(FILTER('Rubric Definition'!F:F,'Rubric Definition'!E:E=A4),"*PO1*")&gt;0,1,0)</f>
        <v/>
      </c>
      <c r="C4">
        <f>IF(COUNTIF(FILTER('Rubric Definition'!F:F,'Rubric Definition'!E:E=A4),"*PO2*")&gt;0,1,0)</f>
        <v/>
      </c>
      <c r="D4">
        <f>IF(COUNTIF(FILTER('Rubric Definition'!F:F,'Rubric Definition'!E:E=A4),"*PO5*")&gt;0,1,0)</f>
        <v/>
      </c>
      <c r="E4">
        <f>IF(COUNTIF(FILTER('Rubric Definition'!F:F,'Rubric Definition'!E:E=A4),"*PO6*")&gt;0,1,0)</f>
        <v/>
      </c>
      <c r="F4">
        <f>IF(COUNTIF(FILTER('Rubric Definition'!F:F,'Rubric Definition'!E:E=A4),"*PO8*")&gt;0,1,0)</f>
        <v/>
      </c>
      <c r="G4">
        <f>IF(COUNTIF(FILTER('Rubric Definition'!F:F,'Rubric Definition'!E:E=A4),"*PO9*")&gt;0,1,0)</f>
        <v/>
      </c>
      <c r="H4">
        <f>IF(COUNTIF(FILTER('Rubric Definition'!F:F,'Rubric Definition'!E:E=A4),"*PO10*")&gt;0,1,0)</f>
        <v/>
      </c>
      <c r="I4">
        <f>IF(COUNTIF(FILTER('Rubric Definition'!F:F,'Rubric Definition'!E:E=A4),"*PO11*")&gt;0,1,0)</f>
        <v/>
      </c>
      <c r="J4">
        <f>IF(COUNTIF(FILTER('Rubric Definition'!F:F,'Rubric Definition'!E:E=A4),"*PO12*")&gt;0,1,0)</f>
        <v/>
      </c>
      <c r="K4">
        <f>IF(COUNTIF(FILTER('Rubric Definition'!G:G,'Rubric Definition'!E:E=A4),"*PSO1*")&gt;0,1,0)</f>
        <v/>
      </c>
      <c r="L4">
        <f>IF(COUNTIF(FILTER('Rubric Definition'!G:G,'Rubric Definition'!E:E=A4),"*PSO2*")&gt;0,1,0)</f>
        <v/>
      </c>
      <c r="M4">
        <f>IF(COUNTIF(FILTER('Rubric Definition'!G:G,'Rubric Definition'!E:E=A4),"*PSO3*")&gt;0,1,0)</f>
        <v/>
      </c>
    </row>
    <row r="5">
      <c r="A5" t="inlineStr">
        <is>
          <t>CO2</t>
        </is>
      </c>
      <c r="B5">
        <f>IF(COUNTIF(FILTER('Rubric Definition'!F:F,'Rubric Definition'!E:E=A5),"*PO1*")&gt;0,1,0)</f>
        <v/>
      </c>
      <c r="C5">
        <f>IF(COUNTIF(FILTER('Rubric Definition'!F:F,'Rubric Definition'!E:E=A5),"*PO2*")&gt;0,1,0)</f>
        <v/>
      </c>
      <c r="D5">
        <f>IF(COUNTIF(FILTER('Rubric Definition'!F:F,'Rubric Definition'!E:E=A5),"*PO5*")&gt;0,1,0)</f>
        <v/>
      </c>
      <c r="E5">
        <f>IF(COUNTIF(FILTER('Rubric Definition'!F:F,'Rubric Definition'!E:E=A5),"*PO6*")&gt;0,1,0)</f>
        <v/>
      </c>
      <c r="F5">
        <f>IF(COUNTIF(FILTER('Rubric Definition'!F:F,'Rubric Definition'!E:E=A5),"*PO8*")&gt;0,1,0)</f>
        <v/>
      </c>
      <c r="G5">
        <f>IF(COUNTIF(FILTER('Rubric Definition'!F:F,'Rubric Definition'!E:E=A5),"*PO9*")&gt;0,1,0)</f>
        <v/>
      </c>
      <c r="H5">
        <f>IF(COUNTIF(FILTER('Rubric Definition'!F:F,'Rubric Definition'!E:E=A5),"*PO10*")&gt;0,1,0)</f>
        <v/>
      </c>
      <c r="I5">
        <f>IF(COUNTIF(FILTER('Rubric Definition'!F:F,'Rubric Definition'!E:E=A5),"*PO11*")&gt;0,1,0)</f>
        <v/>
      </c>
      <c r="J5">
        <f>IF(COUNTIF(FILTER('Rubric Definition'!F:F,'Rubric Definition'!E:E=A5),"*PO12*")&gt;0,1,0)</f>
        <v/>
      </c>
      <c r="K5">
        <f>IF(COUNTIF(FILTER('Rubric Definition'!G:G,'Rubric Definition'!E:E=A5),"*PSO1*")&gt;0,1,0)</f>
        <v/>
      </c>
      <c r="L5">
        <f>IF(COUNTIF(FILTER('Rubric Definition'!G:G,'Rubric Definition'!E:E=A5),"*PSO2*")&gt;0,1,0)</f>
        <v/>
      </c>
      <c r="M5">
        <f>IF(COUNTIF(FILTER('Rubric Definition'!G:G,'Rubric Definition'!E:E=A5),"*PSO3*")&gt;0,1,0)</f>
        <v/>
      </c>
    </row>
    <row r="6">
      <c r="A6" t="inlineStr">
        <is>
          <t>CO3</t>
        </is>
      </c>
      <c r="B6">
        <f>IF(COUNTIF(FILTER('Rubric Definition'!F:F,'Rubric Definition'!E:E=A6),"*PO1*")&gt;0,1,0)</f>
        <v/>
      </c>
      <c r="C6">
        <f>IF(COUNTIF(FILTER('Rubric Definition'!F:F,'Rubric Definition'!E:E=A6),"*PO2*")&gt;0,1,0)</f>
        <v/>
      </c>
      <c r="D6">
        <f>IF(COUNTIF(FILTER('Rubric Definition'!F:F,'Rubric Definition'!E:E=A6),"*PO5*")&gt;0,1,0)</f>
        <v/>
      </c>
      <c r="E6">
        <f>IF(COUNTIF(FILTER('Rubric Definition'!F:F,'Rubric Definition'!E:E=A6),"*PO6*")&gt;0,1,0)</f>
        <v/>
      </c>
      <c r="F6">
        <f>IF(COUNTIF(FILTER('Rubric Definition'!F:F,'Rubric Definition'!E:E=A6),"*PO8*")&gt;0,1,0)</f>
        <v/>
      </c>
      <c r="G6">
        <f>IF(COUNTIF(FILTER('Rubric Definition'!F:F,'Rubric Definition'!E:E=A6),"*PO9*")&gt;0,1,0)</f>
        <v/>
      </c>
      <c r="H6">
        <f>IF(COUNTIF(FILTER('Rubric Definition'!F:F,'Rubric Definition'!E:E=A6),"*PO10*")&gt;0,1,0)</f>
        <v/>
      </c>
      <c r="I6">
        <f>IF(COUNTIF(FILTER('Rubric Definition'!F:F,'Rubric Definition'!E:E=A6),"*PO11*")&gt;0,1,0)</f>
        <v/>
      </c>
      <c r="J6">
        <f>IF(COUNTIF(FILTER('Rubric Definition'!F:F,'Rubric Definition'!E:E=A6),"*PO12*")&gt;0,1,0)</f>
        <v/>
      </c>
      <c r="K6">
        <f>IF(COUNTIF(FILTER('Rubric Definition'!G:G,'Rubric Definition'!E:E=A6),"*PSO1*")&gt;0,1,0)</f>
        <v/>
      </c>
      <c r="L6">
        <f>IF(COUNTIF(FILTER('Rubric Definition'!G:G,'Rubric Definition'!E:E=A6),"*PSO2*")&gt;0,1,0)</f>
        <v/>
      </c>
      <c r="M6">
        <f>IF(COUNTIF(FILTER('Rubric Definition'!G:G,'Rubric Definition'!E:E=A6),"*PSO3*")&gt;0,1,0)</f>
        <v/>
      </c>
    </row>
    <row r="7">
      <c r="A7" t="inlineStr">
        <is>
          <t>CO4</t>
        </is>
      </c>
      <c r="B7">
        <f>IF(COUNTIF(FILTER('Rubric Definition'!F:F,'Rubric Definition'!E:E=A7),"*PO1*")&gt;0,1,0)</f>
        <v/>
      </c>
      <c r="C7">
        <f>IF(COUNTIF(FILTER('Rubric Definition'!F:F,'Rubric Definition'!E:E=A7),"*PO2*")&gt;0,1,0)</f>
        <v/>
      </c>
      <c r="D7">
        <f>IF(COUNTIF(FILTER('Rubric Definition'!F:F,'Rubric Definition'!E:E=A7),"*PO5*")&gt;0,1,0)</f>
        <v/>
      </c>
      <c r="E7">
        <f>IF(COUNTIF(FILTER('Rubric Definition'!F:F,'Rubric Definition'!E:E=A7),"*PO6*")&gt;0,1,0)</f>
        <v/>
      </c>
      <c r="F7">
        <f>IF(COUNTIF(FILTER('Rubric Definition'!F:F,'Rubric Definition'!E:E=A7),"*PO8*")&gt;0,1,0)</f>
        <v/>
      </c>
      <c r="G7">
        <f>IF(COUNTIF(FILTER('Rubric Definition'!F:F,'Rubric Definition'!E:E=A7),"*PO9*")&gt;0,1,0)</f>
        <v/>
      </c>
      <c r="H7">
        <f>IF(COUNTIF(FILTER('Rubric Definition'!F:F,'Rubric Definition'!E:E=A7),"*PO10*")&gt;0,1,0)</f>
        <v/>
      </c>
      <c r="I7">
        <f>IF(COUNTIF(FILTER('Rubric Definition'!F:F,'Rubric Definition'!E:E=A7),"*PO11*")&gt;0,1,0)</f>
        <v/>
      </c>
      <c r="J7">
        <f>IF(COUNTIF(FILTER('Rubric Definition'!F:F,'Rubric Definition'!E:E=A7),"*PO12*")&gt;0,1,0)</f>
        <v/>
      </c>
      <c r="K7">
        <f>IF(COUNTIF(FILTER('Rubric Definition'!G:G,'Rubric Definition'!E:E=A7),"*PSO1*")&gt;0,1,0)</f>
        <v/>
      </c>
      <c r="L7">
        <f>IF(COUNTIF(FILTER('Rubric Definition'!G:G,'Rubric Definition'!E:E=A7),"*PSO2*")&gt;0,1,0)</f>
        <v/>
      </c>
      <c r="M7">
        <f>IF(COUNTIF(FILTER('Rubric Definition'!G:G,'Rubric Definition'!E:E=A7),"*PSO3*")&gt;0,1,0)</f>
        <v/>
      </c>
    </row>
    <row r="8">
      <c r="A8" t="inlineStr">
        <is>
          <t>CO5</t>
        </is>
      </c>
      <c r="B8">
        <f>IF(COUNTIF(FILTER('Rubric Definition'!F:F,'Rubric Definition'!E:E=A8),"*PO1*")&gt;0,1,0)</f>
        <v/>
      </c>
      <c r="C8">
        <f>IF(COUNTIF(FILTER('Rubric Definition'!F:F,'Rubric Definition'!E:E=A8),"*PO2*")&gt;0,1,0)</f>
        <v/>
      </c>
      <c r="D8">
        <f>IF(COUNTIF(FILTER('Rubric Definition'!F:F,'Rubric Definition'!E:E=A8),"*PO5*")&gt;0,1,0)</f>
        <v/>
      </c>
      <c r="E8">
        <f>IF(COUNTIF(FILTER('Rubric Definition'!F:F,'Rubric Definition'!E:E=A8),"*PO6*")&gt;0,1,0)</f>
        <v/>
      </c>
      <c r="F8">
        <f>IF(COUNTIF(FILTER('Rubric Definition'!F:F,'Rubric Definition'!E:E=A8),"*PO8*")&gt;0,1,0)</f>
        <v/>
      </c>
      <c r="G8">
        <f>IF(COUNTIF(FILTER('Rubric Definition'!F:F,'Rubric Definition'!E:E=A8),"*PO9*")&gt;0,1,0)</f>
        <v/>
      </c>
      <c r="H8">
        <f>IF(COUNTIF(FILTER('Rubric Definition'!F:F,'Rubric Definition'!E:E=A8),"*PO10*")&gt;0,1,0)</f>
        <v/>
      </c>
      <c r="I8">
        <f>IF(COUNTIF(FILTER('Rubric Definition'!F:F,'Rubric Definition'!E:E=A8),"*PO11*")&gt;0,1,0)</f>
        <v/>
      </c>
      <c r="J8">
        <f>IF(COUNTIF(FILTER('Rubric Definition'!F:F,'Rubric Definition'!E:E=A8),"*PO12*")&gt;0,1,0)</f>
        <v/>
      </c>
      <c r="K8">
        <f>IF(COUNTIF(FILTER('Rubric Definition'!G:G,'Rubric Definition'!E:E=A8),"*PSO1*")&gt;0,1,0)</f>
        <v/>
      </c>
      <c r="L8">
        <f>IF(COUNTIF(FILTER('Rubric Definition'!G:G,'Rubric Definition'!E:E=A8),"*PSO2*")&gt;0,1,0)</f>
        <v/>
      </c>
      <c r="M8">
        <f>IF(COUNTIF(FILTER('Rubric Definition'!G:G,'Rubric Definition'!E:E=A8),"*PSO3*")&gt;0,1,0)</f>
        <v/>
      </c>
    </row>
    <row r="9">
      <c r="A9" t="inlineStr">
        <is>
          <t>CO6</t>
        </is>
      </c>
      <c r="B9">
        <f>IF(COUNTIF(FILTER('Rubric Definition'!F:F,'Rubric Definition'!E:E=A9),"*PO1*")&gt;0,1,0)</f>
        <v/>
      </c>
      <c r="C9">
        <f>IF(COUNTIF(FILTER('Rubric Definition'!F:F,'Rubric Definition'!E:E=A9),"*PO2*")&gt;0,1,0)</f>
        <v/>
      </c>
      <c r="D9">
        <f>IF(COUNTIF(FILTER('Rubric Definition'!F:F,'Rubric Definition'!E:E=A9),"*PO5*")&gt;0,1,0)</f>
        <v/>
      </c>
      <c r="E9">
        <f>IF(COUNTIF(FILTER('Rubric Definition'!F:F,'Rubric Definition'!E:E=A9),"*PO6*")&gt;0,1,0)</f>
        <v/>
      </c>
      <c r="F9">
        <f>IF(COUNTIF(FILTER('Rubric Definition'!F:F,'Rubric Definition'!E:E=A9),"*PO8*")&gt;0,1,0)</f>
        <v/>
      </c>
      <c r="G9">
        <f>IF(COUNTIF(FILTER('Rubric Definition'!F:F,'Rubric Definition'!E:E=A9),"*PO9*")&gt;0,1,0)</f>
        <v/>
      </c>
      <c r="H9">
        <f>IF(COUNTIF(FILTER('Rubric Definition'!F:F,'Rubric Definition'!E:E=A9),"*PO10*")&gt;0,1,0)</f>
        <v/>
      </c>
      <c r="I9">
        <f>IF(COUNTIF(FILTER('Rubric Definition'!F:F,'Rubric Definition'!E:E=A9),"*PO11*")&gt;0,1,0)</f>
        <v/>
      </c>
      <c r="J9">
        <f>IF(COUNTIF(FILTER('Rubric Definition'!F:F,'Rubric Definition'!E:E=A9),"*PO12*")&gt;0,1,0)</f>
        <v/>
      </c>
      <c r="K9">
        <f>IF(COUNTIF(FILTER('Rubric Definition'!G:G,'Rubric Definition'!E:E=A9),"*PSO1*")&gt;0,1,0)</f>
        <v/>
      </c>
      <c r="L9">
        <f>IF(COUNTIF(FILTER('Rubric Definition'!G:G,'Rubric Definition'!E:E=A9),"*PSO2*")&gt;0,1,0)</f>
        <v/>
      </c>
      <c r="M9">
        <f>IF(COUNTIF(FILTER('Rubric Definition'!G:G,'Rubric Definition'!E:E=A9),"*PSO3*")&gt;0,1,0)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</cols>
  <sheetData>
    <row r="1">
      <c r="A1" s="1" t="inlineStr">
        <is>
          <t>Outcome</t>
        </is>
      </c>
      <c r="B1" s="1" t="inlineStr">
        <is>
          <t>Aggregated Attainment (Avg of mapped CO Levels)</t>
        </is>
      </c>
    </row>
    <row r="2">
      <c r="A2" t="inlineStr">
        <is>
          <t>PO1</t>
        </is>
      </c>
      <c r="B2">
        <f>IFERROR(AVERAGEIF('CO–PO_PSO Matrix'!B4:B20,1,'CO Attainment (Internship)'!E2:E20),"")</f>
        <v/>
      </c>
    </row>
    <row r="3">
      <c r="A3" t="inlineStr">
        <is>
          <t>PO2</t>
        </is>
      </c>
      <c r="B3">
        <f>IFERROR(AVERAGEIF('CO–PO_PSO Matrix'!C4:C20,1,'CO Attainment (Internship)'!E2:E20),"")</f>
        <v/>
      </c>
    </row>
    <row r="4">
      <c r="A4" t="inlineStr">
        <is>
          <t>PO5</t>
        </is>
      </c>
      <c r="B4">
        <f>IFERROR(AVERAGEIF('CO–PO_PSO Matrix'!D4:D20,1,'CO Attainment (Internship)'!E2:E20),"")</f>
        <v/>
      </c>
    </row>
    <row r="5">
      <c r="A5" t="inlineStr">
        <is>
          <t>PO6</t>
        </is>
      </c>
      <c r="B5">
        <f>IFERROR(AVERAGEIF('CO–PO_PSO Matrix'!E4:E20,1,'CO Attainment (Internship)'!E2:E20),"")</f>
        <v/>
      </c>
    </row>
    <row r="6">
      <c r="A6" t="inlineStr">
        <is>
          <t>PO8</t>
        </is>
      </c>
      <c r="B6">
        <f>IFERROR(AVERAGEIF('CO–PO_PSO Matrix'!F4:F20,1,'CO Attainment (Internship)'!E2:E20),"")</f>
        <v/>
      </c>
    </row>
    <row r="7">
      <c r="A7" t="inlineStr">
        <is>
          <t>PO9</t>
        </is>
      </c>
      <c r="B7">
        <f>IFERROR(AVERAGEIF('CO–PO_PSO Matrix'!G4:G20,1,'CO Attainment (Internship)'!E2:E20),"")</f>
        <v/>
      </c>
    </row>
    <row r="8">
      <c r="A8" t="inlineStr">
        <is>
          <t>PO10</t>
        </is>
      </c>
      <c r="B8">
        <f>IFERROR(AVERAGEIF('CO–PO_PSO Matrix'!H4:H20,1,'CO Attainment (Internship)'!E2:E20),"")</f>
        <v/>
      </c>
    </row>
    <row r="9">
      <c r="A9" t="inlineStr">
        <is>
          <t>PO11</t>
        </is>
      </c>
      <c r="B9">
        <f>IFERROR(AVERAGEIF('CO–PO_PSO Matrix'!I4:I20,1,'CO Attainment (Internship)'!E2:E20),"")</f>
        <v/>
      </c>
    </row>
    <row r="10">
      <c r="A10" t="inlineStr">
        <is>
          <t>PO12</t>
        </is>
      </c>
      <c r="B10">
        <f>IFERROR(AVERAGEIF('CO–PO_PSO Matrix'!J4:J20,1,'CO Attainment (Internship)'!E2:E20),"")</f>
        <v/>
      </c>
    </row>
    <row r="11">
      <c r="A11" t="inlineStr">
        <is>
          <t>PSO1</t>
        </is>
      </c>
      <c r="B11">
        <f>IFERROR(AVERAGEIF('CO–PO_PSO Matrix'!K4:K20,1,'CO Attainment (Internship)'!E2:E20),"")</f>
        <v/>
      </c>
    </row>
    <row r="12">
      <c r="A12" t="inlineStr">
        <is>
          <t>PSO2</t>
        </is>
      </c>
      <c r="B12">
        <f>IFERROR(AVERAGEIF('CO–PO_PSO Matrix'!L4:L20,1,'CO Attainment (Internship)'!E2:E20),"")</f>
        <v/>
      </c>
    </row>
    <row r="13">
      <c r="A13" t="inlineStr">
        <is>
          <t>PSO3</t>
        </is>
      </c>
      <c r="B13">
        <f>IFERROR(AVERAGEIF('CO–PO_PSO Matrix'!M4:M20,1,'CO Attainment (Internship)'!E2:E20),"")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36" customWidth="1" min="4" max="4"/>
  </cols>
  <sheetData>
    <row r="1">
      <c r="A1" s="1" t="inlineStr">
        <is>
          <t>Category</t>
        </is>
      </c>
      <c r="B1" s="1" t="inlineStr">
        <is>
          <t>Document Type</t>
        </is>
      </c>
      <c r="C1" s="1" t="inlineStr">
        <is>
          <t>File/Link</t>
        </is>
      </c>
      <c r="D1" s="1" t="inlineStr">
        <is>
          <t>Notes</t>
        </is>
      </c>
    </row>
    <row r="2">
      <c r="A2" t="inlineStr">
        <is>
          <t>Continuous</t>
        </is>
      </c>
      <c r="B2" t="inlineStr">
        <is>
          <t>Weekly Logs / Diaries</t>
        </is>
      </c>
      <c r="C2" t="inlineStr"/>
      <c r="D2" t="inlineStr"/>
    </row>
    <row r="3">
      <c r="A3" t="inlineStr">
        <is>
          <t>Continuous</t>
        </is>
      </c>
      <c r="B3" t="inlineStr">
        <is>
          <t>Industry Supervisor Evaluation</t>
        </is>
      </c>
      <c r="C3" t="inlineStr"/>
      <c r="D3" t="inlineStr"/>
    </row>
    <row r="4">
      <c r="A4" t="inlineStr">
        <is>
          <t>SEE</t>
        </is>
      </c>
      <c r="B4" t="inlineStr">
        <is>
          <t>Final Report (PDF)</t>
        </is>
      </c>
      <c r="C4" t="inlineStr"/>
      <c r="D4" t="inlineStr"/>
    </row>
    <row r="5">
      <c r="A5" t="inlineStr">
        <is>
          <t>SEE</t>
        </is>
      </c>
      <c r="B5" t="inlineStr">
        <is>
          <t>Seminar Slides</t>
        </is>
      </c>
      <c r="C5" t="inlineStr"/>
      <c r="D5" t="inlineStr"/>
    </row>
    <row r="6">
      <c r="A6" t="inlineStr">
        <is>
          <t>SEE</t>
        </is>
      </c>
      <c r="B6" t="inlineStr">
        <is>
          <t>Viva Record / Panel Sheet</t>
        </is>
      </c>
      <c r="C6" t="inlineStr"/>
      <c r="D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6" customWidth="1" min="3" max="3"/>
  </cols>
  <sheetData>
    <row r="1">
      <c r="A1" s="4" t="inlineStr">
        <is>
          <t>NBA Audit Checklist — Internship Evaluation (10 Marks)</t>
        </is>
      </c>
    </row>
    <row r="3">
      <c r="A3" s="1" t="inlineStr">
        <is>
          <t>Audit Point</t>
        </is>
      </c>
      <c r="B3" s="1" t="inlineStr">
        <is>
          <t>Evidence Expected</t>
        </is>
      </c>
      <c r="C3" s="1" t="inlineStr">
        <is>
          <t>Status (✔/✖)</t>
        </is>
      </c>
    </row>
    <row r="4">
      <c r="A4" t="inlineStr">
        <is>
          <t>Rubrics Documented</t>
        </is>
      </c>
      <c r="B4" t="inlineStr">
        <is>
          <t>Rubric Definition with CO–PO/PSO mapping</t>
        </is>
      </c>
      <c r="C4" t="inlineStr"/>
    </row>
    <row r="5">
      <c r="A5" t="inlineStr">
        <is>
          <t>Continuous Assessment</t>
        </is>
      </c>
      <c r="B5" t="inlineStr">
        <is>
          <t>Logs, supervisor feedback, rubric scores</t>
        </is>
      </c>
      <c r="C5" t="inlineStr"/>
    </row>
    <row r="6">
      <c r="A6" t="inlineStr">
        <is>
          <t>SEE Evaluation</t>
        </is>
      </c>
      <c r="B6" t="inlineStr">
        <is>
          <t>Report, seminar, viva with rubrics</t>
        </is>
      </c>
      <c r="C6" t="inlineStr"/>
    </row>
    <row r="7">
      <c r="A7" t="inlineStr">
        <is>
          <t>CO Attainment</t>
        </is>
      </c>
      <c r="B7" t="inlineStr">
        <is>
          <t>CO Attainment (Internship) sheet computed</t>
        </is>
      </c>
      <c r="C7" t="inlineStr"/>
    </row>
    <row r="8">
      <c r="A8" t="inlineStr">
        <is>
          <t>PO/PSO Aggregation</t>
        </is>
      </c>
      <c r="B8" t="inlineStr">
        <is>
          <t>PO_PSO Aggregation derived from COs</t>
        </is>
      </c>
      <c r="C8" t="inlineStr"/>
    </row>
    <row r="9">
      <c r="A9" t="inlineStr">
        <is>
          <t>Evidence Links</t>
        </is>
      </c>
      <c r="B9" t="inlineStr">
        <is>
          <t>All artifacts linked in Evidence Logs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2025-08-31T05:58:40Z</dcterms:created>
  <dcterms:modified xmlns:dcterms="http://purl.org/dc/terms/" xmlns:xsi="http://www.w3.org/2001/XMLSchema-instance" xsi:type="dcterms:W3CDTF">2025-08-31T05:58:40Z</dcterms:modified>
</cp:coreProperties>
</file>