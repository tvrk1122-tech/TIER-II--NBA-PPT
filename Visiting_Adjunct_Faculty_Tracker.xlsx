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ulty_Tracker" sheetId="1" state="visible" r:id="rId1"/>
    <sheet xmlns:r="http://schemas.openxmlformats.org/officeDocument/2006/relationships" name="Assessment_Summary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0" customWidth="1" min="3" max="3"/>
    <col width="24" customWidth="1" min="4" max="4"/>
    <col width="36" customWidth="1" min="5" max="5"/>
    <col width="20" customWidth="1" min="6" max="6"/>
    <col width="30" customWidth="1" min="7" max="7"/>
    <col width="20" customWidth="1" min="8" max="8"/>
  </cols>
  <sheetData>
    <row r="1">
      <c r="A1" s="1" t="inlineStr">
        <is>
          <t>Year (CAY/CAYm1/CAYm2)</t>
        </is>
      </c>
      <c r="B1" s="1" t="inlineStr">
        <is>
          <t>Faculty Name</t>
        </is>
      </c>
      <c r="C1" s="1" t="inlineStr">
        <is>
          <t>Type (Visiting/Adjunct/Professor of Practice/Emeritus)</t>
        </is>
      </c>
      <c r="D1" s="1" t="inlineStr">
        <is>
          <t>From (Industry/Research/Institution)</t>
        </is>
      </c>
      <c r="E1" s="1" t="inlineStr">
        <is>
          <t>Nature of Contribution (Teaching/Practical/Workshop/Mentoring)</t>
        </is>
      </c>
      <c r="F1" s="1" t="inlineStr">
        <is>
          <t>Hours of Interaction</t>
        </is>
      </c>
      <c r="G1" s="1" t="inlineStr">
        <is>
          <t>Evidence (Link/Doc Ref.)</t>
        </is>
      </c>
      <c r="H1" s="1" t="inlineStr">
        <is>
          <t>Marks Awarded (3 if ≥50 hrs else 0)</t>
        </is>
      </c>
    </row>
    <row r="2">
      <c r="A2" s="2" t="inlineStr">
        <is>
          <t>CAY</t>
        </is>
      </c>
      <c r="B2" s="2" t="inlineStr">
        <is>
          <t>Dr. A.B. Expert</t>
        </is>
      </c>
      <c r="C2" s="2" t="inlineStr">
        <is>
          <t>Adjunct</t>
        </is>
      </c>
      <c r="D2" s="2" t="inlineStr">
        <is>
          <t>Industry</t>
        </is>
      </c>
      <c r="E2" s="2" t="inlineStr">
        <is>
          <t>Guest Lectures + Lab Sessions</t>
        </is>
      </c>
      <c r="F2" s="2" t="n">
        <v>65</v>
      </c>
      <c r="G2" s="2" t="inlineStr">
        <is>
          <t>Evidence Doc Ref</t>
        </is>
      </c>
      <c r="H2" s="2">
        <f>IF(F2&gt;=50,3,0)</f>
        <v/>
      </c>
    </row>
    <row r="3">
      <c r="A3" s="2" t="inlineStr">
        <is>
          <t>CAYm1</t>
        </is>
      </c>
      <c r="B3" s="2" t="inlineStr">
        <is>
          <t>Prof. C.D. Senior</t>
        </is>
      </c>
      <c r="C3" s="2" t="inlineStr">
        <is>
          <t>Visiting</t>
        </is>
      </c>
      <c r="D3" s="2" t="inlineStr">
        <is>
          <t>Research Org</t>
        </is>
      </c>
      <c r="E3" s="2" t="inlineStr">
        <is>
          <t>Workshops + Project Mentoring</t>
        </is>
      </c>
      <c r="F3" s="2" t="n">
        <v>50</v>
      </c>
      <c r="G3" s="2" t="inlineStr">
        <is>
          <t>Evidence Doc Ref</t>
        </is>
      </c>
      <c r="H3" s="2">
        <f>IF(F3&gt;=50,3,0)</f>
        <v/>
      </c>
    </row>
    <row r="4">
      <c r="A4" s="2" t="inlineStr">
        <is>
          <t>CAYm2</t>
        </is>
      </c>
      <c r="B4" s="2" t="inlineStr">
        <is>
          <t>Dr. E.F. Mentor</t>
        </is>
      </c>
      <c r="C4" s="2" t="inlineStr">
        <is>
          <t>Professor of Practice</t>
        </is>
      </c>
      <c r="D4" s="2" t="inlineStr">
        <is>
          <t>Reputed University</t>
        </is>
      </c>
      <c r="E4" s="2" t="inlineStr">
        <is>
          <t>Seminars + Startup Mentoring</t>
        </is>
      </c>
      <c r="F4" s="2" t="n">
        <v>72</v>
      </c>
      <c r="G4" s="2" t="inlineStr">
        <is>
          <t>Evidence Doc Ref</t>
        </is>
      </c>
      <c r="H4" s="2">
        <f>IF(F4&gt;=50,3,0)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8" customWidth="1" min="3" max="3"/>
    <col width="22" customWidth="1" min="4" max="4"/>
  </cols>
  <sheetData>
    <row r="1">
      <c r="A1" s="1" t="inlineStr">
        <is>
          <t>Year</t>
        </is>
      </c>
      <c r="B1" s="1" t="inlineStr">
        <is>
          <t>Provision Exists? (Y/N)</t>
        </is>
      </c>
      <c r="C1" s="1" t="inlineStr">
        <is>
          <t>Total Hours</t>
        </is>
      </c>
      <c r="D1" s="1" t="inlineStr">
        <is>
          <t>Yearly Marks (max 3)</t>
        </is>
      </c>
    </row>
    <row r="2">
      <c r="A2" s="3" t="inlineStr">
        <is>
          <t>CAY</t>
        </is>
      </c>
      <c r="B2" s="3" t="inlineStr">
        <is>
          <t>Yes</t>
        </is>
      </c>
      <c r="C2" s="3">
        <f>SUMIF(Faculty_Tracker!A:A,"CAY",Faculty_Tracker!F:F)</f>
        <v/>
      </c>
      <c r="D2" s="3">
        <f>IF(B2="Yes",IF(C2&gt;=50,3,0),0)</f>
        <v/>
      </c>
    </row>
    <row r="3">
      <c r="A3" s="3" t="inlineStr">
        <is>
          <t>CAYm1</t>
        </is>
      </c>
      <c r="B3" s="3" t="inlineStr">
        <is>
          <t>Yes</t>
        </is>
      </c>
      <c r="C3" s="3">
        <f>SUMIF(Faculty_Tracker!A:A,"CAYm1",Faculty_Tracker!F:F)</f>
        <v/>
      </c>
      <c r="D3" s="3">
        <f>IF(B3="Yes",IF(C3&gt;=50,3,0),0)</f>
        <v/>
      </c>
    </row>
    <row r="4">
      <c r="A4" s="3" t="inlineStr">
        <is>
          <t>CAYm2</t>
        </is>
      </c>
      <c r="B4" s="3" t="inlineStr">
        <is>
          <t>Yes</t>
        </is>
      </c>
      <c r="C4" s="3">
        <f>SUMIF(Faculty_Tracker!A:A,"CAYm2",Faculty_Tracker!F:F)</f>
        <v/>
      </c>
      <c r="D4" s="3">
        <f>IF(B4="Yes",IF(C4&gt;=50,3,0),0)</f>
        <v/>
      </c>
    </row>
    <row r="5">
      <c r="A5" s="3" t="inlineStr">
        <is>
          <t>Provision Marks</t>
        </is>
      </c>
      <c r="B5" s="3" t="inlineStr">
        <is>
          <t>Yes</t>
        </is>
      </c>
      <c r="C5" s="3" t="inlineStr">
        <is>
          <t>–</t>
        </is>
      </c>
      <c r="D5" s="3">
        <f>IF(B5="Yes",1,0)</f>
        <v/>
      </c>
    </row>
    <row r="6">
      <c r="A6" s="3" t="inlineStr">
        <is>
          <t>Total</t>
        </is>
      </c>
      <c r="B6" s="3" t="inlineStr">
        <is>
          <t>–</t>
        </is>
      </c>
      <c r="C6" s="3" t="inlineStr">
        <is>
          <t>–</t>
        </is>
      </c>
      <c r="D6" s="3">
        <f>MIN(SUM(D2:D4)+D5,10)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Visiting/Adjunct/Professor of Practice – NBA Marks (Max 10)</t>
        </is>
      </c>
    </row>
    <row r="3">
      <c r="A3" t="inlineStr">
        <is>
          <t>- Record each visiting/adjunct/emeritus/professor of practice faculty in the Faculty_Tracker sheet.</t>
        </is>
      </c>
    </row>
    <row r="4">
      <c r="A4" t="inlineStr">
        <is>
          <t>- Enter their type, source (industry/research/university), nature of contribution, hours, and supporting evidence.</t>
        </is>
      </c>
    </row>
    <row r="5">
      <c r="A5" t="inlineStr">
        <is>
          <t>- If a faculty provides ≥50 hours in a year, 3 marks are awarded for that year.</t>
        </is>
      </c>
    </row>
    <row r="6">
      <c r="A6" t="inlineStr">
        <is>
          <t>- Provision of such system itself earns 1 mark (once).</t>
        </is>
      </c>
    </row>
    <row r="7">
      <c r="A7" t="inlineStr">
        <is>
          <t>- Max per year = 3 marks × 3 years = 9 marks + 1 mark for provision = 10 marks.</t>
        </is>
      </c>
    </row>
    <row r="8">
      <c r="A8" t="inlineStr">
        <is>
          <t>- Assessment_Summary auto-calculates total marks based on hours and provision.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2025-08-29T02:30:26Z</dcterms:created>
  <dcterms:modified xmlns:dcterms="http://purl.org/dc/terms/" xmlns:xsi="http://www.w3.org/2001/XMLSchema-instance" xsi:type="dcterms:W3CDTF">2025-08-29T02:30:26Z</dcterms:modified>
</cp:coreProperties>
</file>