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  <sheet xmlns:r="http://schemas.openxmlformats.org/officeDocument/2006/relationships" name="Project Seminar &amp; Viva Records" sheetId="11" state="visible" r:id="rId11"/>
    <sheet xmlns:r="http://schemas.openxmlformats.org/officeDocument/2006/relationships" name="Project Progress Reviews" sheetId="12" state="visible" r:id="rId12"/>
    <sheet xmlns:r="http://schemas.openxmlformats.org/officeDocument/2006/relationships" name="Project Prototype Evidence" sheetId="13" state="visible" r:id="rId13"/>
    <sheet xmlns:r="http://schemas.openxmlformats.org/officeDocument/2006/relationships" name="Project Final Reports Log" sheetId="14" state="visible" r:id="rId14"/>
    <sheet xmlns:r="http://schemas.openxmlformats.org/officeDocument/2006/relationships" name="Criterion Averag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B2">
        <f>IFERROR(SUMPRODUCT(FILTER('Rubric Definition'!D:D,('Rubric Definition'!E:E=A2)*('Rubric Definition'!C:C="Continuous")),XLOOKUP(FILTER('Rubric Definition'!A:A,('Rubric Definition'!E:E=A2)*('Rubric Definition'!C:C="Continuous")),'Criterion Averages'!A:A,'Criterion Averages'!C:C)) / SUM(FILTER('Rubric Definition'!D:D,('Rubric Definition'!E:E=A2)*('Rubric Definition'!C:C="Continuous"))),"")</f>
        <v/>
      </c>
      <c r="C2">
        <f>IFERROR(SUMPRODUCT(FILTER('Rubric Definition'!D:D,('Rubric Definition'!E:E=A2)*('Rubric Definition'!C:C="Final")),XLOOKUP(FILTER('Rubric Definition'!A:A,('Rubric Definition'!E:E=A2)*('Rubric Definition'!C:C="Final")),'Criterion Averages'!A:A,'Criterion Averages'!C:C)) / SUM(FILTER('Rubric Definition'!D:D,('Rubric Definition'!E:E=A2)*('Rubric Definition'!C:C="Final"))),"")</f>
        <v/>
      </c>
      <c r="D2">
        <f>IF(AND(B2&lt;&gt;"",C2&lt;&gt;""),0.4*B2+0.6*C2,IF(B2&lt;&gt;"",B2,C2))</f>
        <v/>
      </c>
      <c r="E2">
        <f>IF(D2="","",IF(D2&gt;=2.5,3,IF(D2&gt;=2,2,IF(D2&gt;=1.5,1,0))))</f>
        <v/>
      </c>
      <c r="F2">
        <f>IFERROR(TEXTJOIN(", ",TRUE,UNIQUE(FILTER('Rubric Definition'!F:F,'Rubric Definition'!E:E=A2))),"")</f>
        <v/>
      </c>
      <c r="G2">
        <f>IFERROR(TEXTJOIN(", ",TRUE,UNIQUE(FILTER('Rubric Definition'!G:G,'Rubric Definition'!E:E=A2))),"")</f>
        <v/>
      </c>
    </row>
    <row r="3">
      <c r="A3" t="inlineStr">
        <is>
          <t>CO2</t>
        </is>
      </c>
      <c r="B3">
        <f>IFERROR(SUMPRODUCT(FILTER('Rubric Definition'!D:D,('Rubric Definition'!E:E=A3)*('Rubric Definition'!C:C="Continuous")),XLOOKUP(FILTER('Rubric Definition'!A:A,('Rubric Definition'!E:E=A3)*('Rubric Definition'!C:C="Continuous")),'Criterion Averages'!A:A,'Criterion Averages'!C:C)) / SUM(FILTER('Rubric Definition'!D:D,('Rubric Definition'!E:E=A3)*('Rubric Definition'!C:C="Continuous"))),"")</f>
        <v/>
      </c>
      <c r="C3">
        <f>IFERROR(SUMPRODUCT(FILTER('Rubric Definition'!D:D,('Rubric Definition'!E:E=A3)*('Rubric Definition'!C:C="Final")),XLOOKUP(FILTER('Rubric Definition'!A:A,('Rubric Definition'!E:E=A3)*('Rubric Definition'!C:C="Final")),'Criterion Averages'!A:A,'Criterion Averages'!C:C)) / SUM(FILTER('Rubric Definition'!D:D,('Rubric Definition'!E:E=A3)*('Rubric Definition'!C:C="Final"))),"")</f>
        <v/>
      </c>
      <c r="D3">
        <f>IF(AND(B3&lt;&gt;"",C3&lt;&gt;""),0.4*B3+0.6*C3,IF(B3&lt;&gt;"",B3,C3))</f>
        <v/>
      </c>
      <c r="E3">
        <f>IF(D3="","",IF(D3&gt;=2.5,3,IF(D3&gt;=2,2,IF(D3&gt;=1.5,1,0))))</f>
        <v/>
      </c>
      <c r="F3">
        <f>IFERROR(TEXTJOIN(", ",TRUE,UNIQUE(FILTER('Rubric Definition'!F:F,'Rubric Definition'!E:E=A3))),"")</f>
        <v/>
      </c>
      <c r="G3">
        <f>IFERROR(TEXTJOIN(", ",TRUE,UNIQUE(FILTER('Rubric Definition'!G:G,'Rubric Definition'!E:E=A3))),"")</f>
        <v/>
      </c>
    </row>
    <row r="4">
      <c r="A4" t="inlineStr">
        <is>
          <t>CO3</t>
        </is>
      </c>
      <c r="B4">
        <f>IFERROR(SUMPRODUCT(FILTER('Rubric Definition'!D:D,('Rubric Definition'!E:E=A4)*('Rubric Definition'!C:C="Continuous")),XLOOKUP(FILTER('Rubric Definition'!A:A,('Rubric Definition'!E:E=A4)*('Rubric Definition'!C:C="Continuous")),'Criterion Averages'!A:A,'Criterion Averages'!C:C)) / SUM(FILTER('Rubric Definition'!D:D,('Rubric Definition'!E:E=A4)*('Rubric Definition'!C:C="Continuous"))),"")</f>
        <v/>
      </c>
      <c r="C4">
        <f>IFERROR(SUMPRODUCT(FILTER('Rubric Definition'!D:D,('Rubric Definition'!E:E=A4)*('Rubric Definition'!C:C="Final")),XLOOKUP(FILTER('Rubric Definition'!A:A,('Rubric Definition'!E:E=A4)*('Rubric Definition'!C:C="Final")),'Criterion Averages'!A:A,'Criterion Averages'!C:C)) / SUM(FILTER('Rubric Definition'!D:D,('Rubric Definition'!E:E=A4)*('Rubric Definition'!C:C="Final"))),"")</f>
        <v/>
      </c>
      <c r="D4">
        <f>IF(AND(B4&lt;&gt;"",C4&lt;&gt;""),0.4*B4+0.6*C4,IF(B4&lt;&gt;"",B4,C4))</f>
        <v/>
      </c>
      <c r="E4">
        <f>IF(D4="","",IF(D4&gt;=2.5,3,IF(D4&gt;=2,2,IF(D4&gt;=1.5,1,0))))</f>
        <v/>
      </c>
      <c r="F4">
        <f>IFERROR(TEXTJOIN(", ",TRUE,UNIQUE(FILTER('Rubric Definition'!F:F,'Rubric Definition'!E:E=A4))),"")</f>
        <v/>
      </c>
      <c r="G4">
        <f>IFERROR(TEXTJOIN(", ",TRUE,UNIQUE(FILTER('Rubric Definition'!G:G,'Rubric Definition'!E:E=A4))),"")</f>
        <v/>
      </c>
    </row>
    <row r="5">
      <c r="A5" t="inlineStr">
        <is>
          <t>CO4</t>
        </is>
      </c>
      <c r="B5">
        <f>IFERROR(SUMPRODUCT(FILTER('Rubric Definition'!D:D,('Rubric Definition'!E:E=A5)*('Rubric Definition'!C:C="Continuous")),XLOOKUP(FILTER('Rubric Definition'!A:A,('Rubric Definition'!E:E=A5)*('Rubric Definition'!C:C="Continuous")),'Criterion Averages'!A:A,'Criterion Averages'!C:C)) / SUM(FILTER('Rubric Definition'!D:D,('Rubric Definition'!E:E=A5)*('Rubric Definition'!C:C="Continuous"))),"")</f>
        <v/>
      </c>
      <c r="C5">
        <f>IFERROR(SUMPRODUCT(FILTER('Rubric Definition'!D:D,('Rubric Definition'!E:E=A5)*('Rubric Definition'!C:C="Final")),XLOOKUP(FILTER('Rubric Definition'!A:A,('Rubric Definition'!E:E=A5)*('Rubric Definition'!C:C="Final")),'Criterion Averages'!A:A,'Criterion Averages'!C:C)) / SUM(FILTER('Rubric Definition'!D:D,('Rubric Definition'!E:E=A5)*('Rubric Definition'!C:C="Final"))),"")</f>
        <v/>
      </c>
      <c r="D5">
        <f>IF(AND(B5&lt;&gt;"",C5&lt;&gt;""),0.4*B5+0.6*C5,IF(B5&lt;&gt;"",B5,C5))</f>
        <v/>
      </c>
      <c r="E5">
        <f>IF(D5="","",IF(D5&gt;=2.5,3,IF(D5&gt;=2,2,IF(D5&gt;=1.5,1,0))))</f>
        <v/>
      </c>
      <c r="F5">
        <f>IFERROR(TEXTJOIN(", ",TRUE,UNIQUE(FILTER('Rubric Definition'!F:F,'Rubric Definition'!E:E=A5))),"")</f>
        <v/>
      </c>
      <c r="G5">
        <f>IFERROR(TEXTJOIN(", ",TRUE,UNIQUE(FILTER('Rubric Definition'!G:G,'Rubric Definition'!E:E=A5))),"")</f>
        <v/>
      </c>
    </row>
    <row r="6">
      <c r="A6" t="inlineStr">
        <is>
          <t>CO5</t>
        </is>
      </c>
      <c r="B6">
        <f>IFERROR(SUMPRODUCT(FILTER('Rubric Definition'!D:D,('Rubric Definition'!E:E=A6)*('Rubric Definition'!C:C="Continuous")),XLOOKUP(FILTER('Rubric Definition'!A:A,('Rubric Definition'!E:E=A6)*('Rubric Definition'!C:C="Continuous")),'Criterion Averages'!A:A,'Criterion Averages'!C:C)) / SUM(FILTER('Rubric Definition'!D:D,('Rubric Definition'!E:E=A6)*('Rubric Definition'!C:C="Continuous"))),"")</f>
        <v/>
      </c>
      <c r="C6">
        <f>IFERROR(SUMPRODUCT(FILTER('Rubric Definition'!D:D,('Rubric Definition'!E:E=A6)*('Rubric Definition'!C:C="Final")),XLOOKUP(FILTER('Rubric Definition'!A:A,('Rubric Definition'!E:E=A6)*('Rubric Definition'!C:C="Final")),'Criterion Averages'!A:A,'Criterion Averages'!C:C)) / SUM(FILTER('Rubric Definition'!D:D,('Rubric Definition'!E:E=A6)*('Rubric Definition'!C:C="Final"))),"")</f>
        <v/>
      </c>
      <c r="D6">
        <f>IF(AND(B6&lt;&gt;"",C6&lt;&gt;""),0.4*B6+0.6*C6,IF(B6&lt;&gt;"",B6,C6))</f>
        <v/>
      </c>
      <c r="E6">
        <f>IF(D6="","",IF(D6&gt;=2.5,3,IF(D6&gt;=2,2,IF(D6&gt;=1.5,1,0))))</f>
        <v/>
      </c>
      <c r="F6">
        <f>IFERROR(TEXTJOIN(", ",TRUE,UNIQUE(FILTER('Rubric Definition'!F:F,'Rubric Definition'!E:E=A6))),"")</f>
        <v/>
      </c>
      <c r="G6">
        <f>IFERROR(TEXTJOIN(", ",TRUE,UNIQUE(FILTER('Rubric Definition'!G:G,'Rubric Definition'!E:E=A6))),"")</f>
        <v/>
      </c>
    </row>
    <row r="7">
      <c r="A7" t="inlineStr">
        <is>
          <t>CO6</t>
        </is>
      </c>
      <c r="B7">
        <f>IFERROR(SUMPRODUCT(FILTER('Rubric Definition'!D:D,('Rubric Definition'!E:E=A7)*('Rubric Definition'!C:C="Continuous")),XLOOKUP(FILTER('Rubric Definition'!A:A,('Rubric Definition'!E:E=A7)*('Rubric Definition'!C:C="Continuous")),'Criterion Averages'!A:A,'Criterion Averages'!C:C)) / SUM(FILTER('Rubric Definition'!D:D,('Rubric Definition'!E:E=A7)*('Rubric Definition'!C:C="Continuous"))),"")</f>
        <v/>
      </c>
      <c r="C7">
        <f>IFERROR(SUMPRODUCT(FILTER('Rubric Definition'!D:D,('Rubric Definition'!E:E=A7)*('Rubric Definition'!C:C="Final")),XLOOKUP(FILTER('Rubric Definition'!A:A,('Rubric Definition'!E:E=A7)*('Rubric Definition'!C:C="Final")),'Criterion Averages'!A:A,'Criterion Averages'!C:C)) / SUM(FILTER('Rubric Definition'!D:D,('Rubric Definition'!E:E=A7)*('Rubric Definition'!C:C="Final"))),"")</f>
        <v/>
      </c>
      <c r="D7">
        <f>IF(AND(B7&lt;&gt;"",C7&lt;&gt;""),0.4*B7+0.6*C7,IF(B7&lt;&gt;"",B7,C7))</f>
        <v/>
      </c>
      <c r="E7">
        <f>IF(D7="","",IF(D7&gt;=2.5,3,IF(D7&gt;=2,2,IF(D7&gt;=1.5,1,0))))</f>
        <v/>
      </c>
      <c r="F7">
        <f>IFERROR(TEXTJOIN(", ",TRUE,UNIQUE(FILTER('Rubric Definition'!F:F,'Rubric Definition'!E:E=A7))),"")</f>
        <v/>
      </c>
      <c r="G7">
        <f>IFERROR(TEXTJOIN(", ",TRUE,UNIQUE(FILTER('Rubric Definition'!G:G,'Rubric Definition'!E:E=A7))),"")</f>
        <v/>
      </c>
    </row>
    <row r="8">
      <c r="A8" t="inlineStr">
        <is>
          <t>CO7</t>
        </is>
      </c>
      <c r="B8">
        <f>IFERROR(SUMPRODUCT(FILTER('Rubric Definition'!D:D,('Rubric Definition'!E:E=A8)*('Rubric Definition'!C:C="Continuous")),XLOOKUP(FILTER('Rubric Definition'!A:A,('Rubric Definition'!E:E=A8)*('Rubric Definition'!C:C="Continuous")),'Criterion Averages'!A:A,'Criterion Averages'!C:C)) / SUM(FILTER('Rubric Definition'!D:D,('Rubric Definition'!E:E=A8)*('Rubric Definition'!C:C="Continuous"))),"")</f>
        <v/>
      </c>
      <c r="C8">
        <f>IFERROR(SUMPRODUCT(FILTER('Rubric Definition'!D:D,('Rubric Definition'!E:E=A8)*('Rubric Definition'!C:C="Final")),XLOOKUP(FILTER('Rubric Definition'!A:A,('Rubric Definition'!E:E=A8)*('Rubric Definition'!C:C="Final")),'Criterion Averages'!A:A,'Criterion Averages'!C:C)) / SUM(FILTER('Rubric Definition'!D:D,('Rubric Definition'!E:E=A8)*('Rubric Definition'!C:C="Final"))),"")</f>
        <v/>
      </c>
      <c r="D8">
        <f>IF(AND(B8&lt;&gt;"",C8&lt;&gt;""),0.4*B8+0.6*C8,IF(B8&lt;&gt;"",B8,C8))</f>
        <v/>
      </c>
      <c r="E8">
        <f>IF(D8="","",IF(D8&gt;=2.5,3,IF(D8&gt;=2,2,IF(D8&gt;=1.5,1,0))))</f>
        <v/>
      </c>
      <c r="F8">
        <f>IFERROR(TEXTJOIN(", ",TRUE,UNIQUE(FILTER('Rubric Definition'!F:F,'Rubric Definition'!E:E=A8))),"")</f>
        <v/>
      </c>
      <c r="G8">
        <f>IFERROR(TEXTJOIN(", ",TRUE,UNIQUE(FILTER('Rubric Definition'!G:G,'Rubric Definition'!E:E=A8))),"")</f>
        <v/>
      </c>
    </row>
    <row r="9">
      <c r="A9" t="inlineStr">
        <is>
          <t>CO8</t>
        </is>
      </c>
      <c r="B9">
        <f>IFERROR(SUMPRODUCT(FILTER('Rubric Definition'!D:D,('Rubric Definition'!E:E=A9)*('Rubric Definition'!C:C="Continuous")),XLOOKUP(FILTER('Rubric Definition'!A:A,('Rubric Definition'!E:E=A9)*('Rubric Definition'!C:C="Continuous")),'Criterion Averages'!A:A,'Criterion Averages'!C:C)) / SUM(FILTER('Rubric Definition'!D:D,('Rubric Definition'!E:E=A9)*('Rubric Definition'!C:C="Continuous"))),"")</f>
        <v/>
      </c>
      <c r="C9">
        <f>IFERROR(SUMPRODUCT(FILTER('Rubric Definition'!D:D,('Rubric Definition'!E:E=A9)*('Rubric Definition'!C:C="Final")),XLOOKUP(FILTER('Rubric Definition'!A:A,('Rubric Definition'!E:E=A9)*('Rubric Definition'!C:C="Final")),'Criterion Averages'!A:A,'Criterion Averages'!C:C)) / SUM(FILTER('Rubric Definition'!D:D,('Rubric Definition'!E:E=A9)*('Rubric Definition'!C:C="Final"))),"")</f>
        <v/>
      </c>
      <c r="D9">
        <f>IF(AND(B9&lt;&gt;"",C9&lt;&gt;""),0.4*B9+0.6*C9,IF(B9&lt;&gt;"",B9,C9))</f>
        <v/>
      </c>
      <c r="E9">
        <f>IF(D9="","",IF(D9&gt;=2.5,3,IF(D9&gt;=2,2,IF(D9&gt;=1.5,1,0))))</f>
        <v/>
      </c>
      <c r="F9">
        <f>IFERROR(TEXTJOIN(", ",TRUE,UNIQUE(FILTER('Rubric Definition'!F:F,'Rubric Definition'!E:E=A9))),"")</f>
        <v/>
      </c>
      <c r="G9">
        <f>IFERROR(TEXTJOIN(", ",TRUE,UNIQUE(FILTER('Rubric Definition'!G:G,'Rubric Definition'!E:E=A9))),"")</f>
        <v/>
      </c>
    </row>
    <row r="10">
      <c r="A10" t="inlineStr">
        <is>
          <t>CO9</t>
        </is>
      </c>
      <c r="B10">
        <f>IFERROR(SUMPRODUCT(FILTER('Rubric Definition'!D:D,('Rubric Definition'!E:E=A10)*('Rubric Definition'!C:C="Continuous")),XLOOKUP(FILTER('Rubric Definition'!A:A,('Rubric Definition'!E:E=A10)*('Rubric Definition'!C:C="Continuous")),'Criterion Averages'!A:A,'Criterion Averages'!C:C)) / SUM(FILTER('Rubric Definition'!D:D,('Rubric Definition'!E:E=A10)*('Rubric Definition'!C:C="Continuous"))),"")</f>
        <v/>
      </c>
      <c r="C10">
        <f>IFERROR(SUMPRODUCT(FILTER('Rubric Definition'!D:D,('Rubric Definition'!E:E=A10)*('Rubric Definition'!C:C="Final")),XLOOKUP(FILTER('Rubric Definition'!A:A,('Rubric Definition'!E:E=A10)*('Rubric Definition'!C:C="Final")),'Criterion Averages'!A:A,'Criterion Averages'!C:C)) / SUM(FILTER('Rubric Definition'!D:D,('Rubric Definition'!E:E=A10)*('Rubric Definition'!C:C="Final"))),"")</f>
        <v/>
      </c>
      <c r="D10">
        <f>IF(AND(B10&lt;&gt;"",C10&lt;&gt;""),0.4*B10+0.6*C10,IF(B10&lt;&gt;"",B10,C10))</f>
        <v/>
      </c>
      <c r="E10">
        <f>IF(D10="","",IF(D10&gt;=2.5,3,IF(D10&gt;=2,2,IF(D10&gt;=1.5,1,0))))</f>
        <v/>
      </c>
      <c r="F10">
        <f>IFERROR(TEXTJOIN(", ",TRUE,UNIQUE(FILTER('Rubric Definition'!F:F,'Rubric Definition'!E:E=A10))),"")</f>
        <v/>
      </c>
      <c r="G10">
        <f>IFERROR(TEXTJOIN(", ",TRUE,UNIQUE(FILTER('Rubric Definition'!G:G,'Rubric Definition'!E:E=A10))),"")</f>
        <v/>
      </c>
    </row>
    <row r="11">
      <c r="A11" t="inlineStr">
        <is>
          <t>CO10</t>
        </is>
      </c>
      <c r="B11">
        <f>IFERROR(SUMPRODUCT(FILTER('Rubric Definition'!D:D,('Rubric Definition'!E:E=A11)*('Rubric Definition'!C:C="Continuous")),XLOOKUP(FILTER('Rubric Definition'!A:A,('Rubric Definition'!E:E=A11)*('Rubric Definition'!C:C="Continuous")),'Criterion Averages'!A:A,'Criterion Averages'!C:C)) / SUM(FILTER('Rubric Definition'!D:D,('Rubric Definition'!E:E=A11)*('Rubric Definition'!C:C="Continuous"))),"")</f>
        <v/>
      </c>
      <c r="C11">
        <f>IFERROR(SUMPRODUCT(FILTER('Rubric Definition'!D:D,('Rubric Definition'!E:E=A11)*('Rubric Definition'!C:C="Final")),XLOOKUP(FILTER('Rubric Definition'!A:A,('Rubric Definition'!E:E=A11)*('Rubric Definition'!C:C="Final")),'Criterion Averages'!A:A,'Criterion Averages'!C:C)) / SUM(FILTER('Rubric Definition'!D:D,('Rubric Definition'!E:E=A11)*('Rubric Definition'!C:C="Final"))),"")</f>
        <v/>
      </c>
      <c r="D11">
        <f>IF(AND(B11&lt;&gt;"",C11&lt;&gt;""),0.4*B11+0.6*C11,IF(B11&lt;&gt;"",B11,C11))</f>
        <v/>
      </c>
      <c r="E11">
        <f>IF(D11="","",IF(D11&gt;=2.5,3,IF(D11&gt;=2,2,IF(D11&gt;=1.5,1,0))))</f>
        <v/>
      </c>
      <c r="F11">
        <f>IFERROR(TEXTJOIN(", ",TRUE,UNIQUE(FILTER('Rubric Definition'!F:F,'Rubric Definition'!E:E=A11))),"")</f>
        <v/>
      </c>
      <c r="G11">
        <f>IFERROR(TEXTJOIN(", ",TRUE,UNIQUE(FILTER('Rubric Definition'!G:G,'Rubric Definition'!E:E=A11))),"")</f>
        <v/>
      </c>
    </row>
    <row r="12">
      <c r="A12" t="inlineStr">
        <is>
          <t>CO11</t>
        </is>
      </c>
      <c r="B12">
        <f>IFERROR(SUMPRODUCT(FILTER('Rubric Definition'!D:D,('Rubric Definition'!E:E=A12)*('Rubric Definition'!C:C="Continuous")),XLOOKUP(FILTER('Rubric Definition'!A:A,('Rubric Definition'!E:E=A12)*('Rubric Definition'!C:C="Continuous")),'Criterion Averages'!A:A,'Criterion Averages'!C:C)) / SUM(FILTER('Rubric Definition'!D:D,('Rubric Definition'!E:E=A12)*('Rubric Definition'!C:C="Continuous"))),"")</f>
        <v/>
      </c>
      <c r="C12">
        <f>IFERROR(SUMPRODUCT(FILTER('Rubric Definition'!D:D,('Rubric Definition'!E:E=A12)*('Rubric Definition'!C:C="Final")),XLOOKUP(FILTER('Rubric Definition'!A:A,('Rubric Definition'!E:E=A12)*('Rubric Definition'!C:C="Final")),'Criterion Averages'!A:A,'Criterion Averages'!C:C)) / SUM(FILTER('Rubric Definition'!D:D,('Rubric Definition'!E:E=A12)*('Rubric Definition'!C:C="Final"))),"")</f>
        <v/>
      </c>
      <c r="D12">
        <f>IF(AND(B12&lt;&gt;"",C12&lt;&gt;""),0.4*B12+0.6*C12,IF(B12&lt;&gt;"",B12,C12))</f>
        <v/>
      </c>
      <c r="E12">
        <f>IF(D12="","",IF(D12&gt;=2.5,3,IF(D12&gt;=2,2,IF(D12&gt;=1.5,1,0))))</f>
        <v/>
      </c>
      <c r="F12">
        <f>IFERROR(TEXTJOIN(", ",TRUE,UNIQUE(FILTER('Rubric Definition'!F:F,'Rubric Definition'!E:E=A12))),"")</f>
        <v/>
      </c>
      <c r="G12">
        <f>IFERROR(TEXTJOIN(", ",TRUE,UNIQUE(FILTER('Rubric Definition'!G:G,'Rubric Definition'!E:E=A12))),"")</f>
        <v/>
      </c>
    </row>
    <row r="13">
      <c r="B13">
        <f>IFERROR(SUMPRODUCT(FILTER('Rubric Definition'!D:D,('Rubric Definition'!E:E=A13)*('Rubric Definition'!C:C="Continuous")),XLOOKUP(FILTER('Rubric Definition'!A:A,('Rubric Definition'!E:E=A13)*('Rubric Definition'!C:C="Continuous")),'Criterion Averages'!A:A,'Criterion Averages'!C:C)) / SUM(FILTER('Rubric Definition'!D:D,('Rubric Definition'!E:E=A13)*('Rubric Definition'!C:C="Continuous"))),"")</f>
        <v/>
      </c>
      <c r="C13">
        <f>IFERROR(SUMPRODUCT(FILTER('Rubric Definition'!D:D,('Rubric Definition'!E:E=A13)*('Rubric Definition'!C:C="Final")),XLOOKUP(FILTER('Rubric Definition'!A:A,('Rubric Definition'!E:E=A13)*('Rubric Definition'!C:C="Final")),'Criterion Averages'!A:A,'Criterion Averages'!C:C)) / SUM(FILTER('Rubric Definition'!D:D,('Rubric Definition'!E:E=A13)*('Rubric Definition'!C:C="Final"))),"")</f>
        <v/>
      </c>
      <c r="D13">
        <f>IF(AND(B13&lt;&gt;"",C13&lt;&gt;""),0.4*B13+0.6*C13,IF(B13&lt;&gt;"",B13,C13))</f>
        <v/>
      </c>
      <c r="E13">
        <f>IF(D13="","",IF(D13&gt;=2.5,3,IF(D13&gt;=2,2,IF(D13&gt;=1.5,1,0))))</f>
        <v/>
      </c>
      <c r="F13">
        <f>IFERROR(TEXTJOIN(", ",TRUE,UNIQUE(FILTER('Rubric Definition'!F:F,'Rubric Definition'!E:E=A13))),"")</f>
        <v/>
      </c>
      <c r="G13">
        <f>IFERROR(TEXTJOIN(", ",TRUE,UNIQUE(FILTER('Rubric Definition'!G:G,'Rubric Definition'!E:E=A13))),"")</f>
        <v/>
      </c>
    </row>
    <row r="14">
      <c r="B14">
        <f>IFERROR(SUMPRODUCT(FILTER('Rubric Definition'!D:D,('Rubric Definition'!E:E=A14)*('Rubric Definition'!C:C="Continuous")),XLOOKUP(FILTER('Rubric Definition'!A:A,('Rubric Definition'!E:E=A14)*('Rubric Definition'!C:C="Continuous")),'Criterion Averages'!A:A,'Criterion Averages'!C:C)) / SUM(FILTER('Rubric Definition'!D:D,('Rubric Definition'!E:E=A14)*('Rubric Definition'!C:C="Continuous"))),"")</f>
        <v/>
      </c>
      <c r="C14">
        <f>IFERROR(SUMPRODUCT(FILTER('Rubric Definition'!D:D,('Rubric Definition'!E:E=A14)*('Rubric Definition'!C:C="Final")),XLOOKUP(FILTER('Rubric Definition'!A:A,('Rubric Definition'!E:E=A14)*('Rubric Definition'!C:C="Final")),'Criterion Averages'!A:A,'Criterion Averages'!C:C)) / SUM(FILTER('Rubric Definition'!D:D,('Rubric Definition'!E:E=A14)*('Rubric Definition'!C:C="Final"))),"")</f>
        <v/>
      </c>
      <c r="D14">
        <f>IF(AND(B14&lt;&gt;"",C14&lt;&gt;""),0.4*B14+0.6*C14,IF(B14&lt;&gt;"",B14,C14))</f>
        <v/>
      </c>
      <c r="E14">
        <f>IF(D14="","",IF(D14&gt;=2.5,3,IF(D14&gt;=2,2,IF(D14&gt;=1.5,1,0))))</f>
        <v/>
      </c>
      <c r="F14">
        <f>IFERROR(TEXTJOIN(", ",TRUE,UNIQUE(FILTER('Rubric Definition'!F:F,'Rubric Definition'!E:E=A14))),"")</f>
        <v/>
      </c>
      <c r="G14">
        <f>IFERROR(TEXTJOIN(", ",TRUE,UNIQUE(FILTER('Rubric Definition'!G:G,'Rubric Definition'!E:E=A14))),"")</f>
        <v/>
      </c>
    </row>
    <row r="15">
      <c r="B15">
        <f>IFERROR(SUMPRODUCT(FILTER('Rubric Definition'!D:D,('Rubric Definition'!E:E=A15)*('Rubric Definition'!C:C="Continuous")),XLOOKUP(FILTER('Rubric Definition'!A:A,('Rubric Definition'!E:E=A15)*('Rubric Definition'!C:C="Continuous")),'Criterion Averages'!A:A,'Criterion Averages'!C:C)) / SUM(FILTER('Rubric Definition'!D:D,('Rubric Definition'!E:E=A15)*('Rubric Definition'!C:C="Continuous"))),"")</f>
        <v/>
      </c>
      <c r="C15">
        <f>IFERROR(SUMPRODUCT(FILTER('Rubric Definition'!D:D,('Rubric Definition'!E:E=A15)*('Rubric Definition'!C:C="Final")),XLOOKUP(FILTER('Rubric Definition'!A:A,('Rubric Definition'!E:E=A15)*('Rubric Definition'!C:C="Final")),'Criterion Averages'!A:A,'Criterion Averages'!C:C)) / SUM(FILTER('Rubric Definition'!D:D,('Rubric Definition'!E:E=A15)*('Rubric Definition'!C:C="Final"))),"")</f>
        <v/>
      </c>
      <c r="D15">
        <f>IF(AND(B15&lt;&gt;"",C15&lt;&gt;""),0.4*B15+0.6*C15,IF(B15&lt;&gt;"",B15,C15))</f>
        <v/>
      </c>
      <c r="E15">
        <f>IF(D15="","",IF(D15&gt;=2.5,3,IF(D15&gt;=2,2,IF(D15&gt;=1.5,1,0))))</f>
        <v/>
      </c>
      <c r="F15">
        <f>IFERROR(TEXTJOIN(", ",TRUE,UNIQUE(FILTER('Rubric Definition'!F:F,'Rubric Definition'!E:E=A15))),"")</f>
        <v/>
      </c>
      <c r="G15">
        <f>IFERROR(TEXTJOIN(", ",TRUE,UNIQUE(FILTER('Rubric Definition'!G:G,'Rubric Definition'!E:E=A15))),"")</f>
        <v/>
      </c>
    </row>
    <row r="16">
      <c r="B16">
        <f>IFERROR(SUMPRODUCT(FILTER('Rubric Definition'!D:D,('Rubric Definition'!E:E=A16)*('Rubric Definition'!C:C="Continuous")),XLOOKUP(FILTER('Rubric Definition'!A:A,('Rubric Definition'!E:E=A16)*('Rubric Definition'!C:C="Continuous")),'Criterion Averages'!A:A,'Criterion Averages'!C:C)) / SUM(FILTER('Rubric Definition'!D:D,('Rubric Definition'!E:E=A16)*('Rubric Definition'!C:C="Continuous"))),"")</f>
        <v/>
      </c>
      <c r="C16">
        <f>IFERROR(SUMPRODUCT(FILTER('Rubric Definition'!D:D,('Rubric Definition'!E:E=A16)*('Rubric Definition'!C:C="Final")),XLOOKUP(FILTER('Rubric Definition'!A:A,('Rubric Definition'!E:E=A16)*('Rubric Definition'!C:C="Final")),'Criterion Averages'!A:A,'Criterion Averages'!C:C)) / SUM(FILTER('Rubric Definition'!D:D,('Rubric Definition'!E:E=A16)*('Rubric Definition'!C:C="Final"))),"")</f>
        <v/>
      </c>
      <c r="D16">
        <f>IF(AND(B16&lt;&gt;"",C16&lt;&gt;""),0.4*B16+0.6*C16,IF(B16&lt;&gt;"",B16,C16))</f>
        <v/>
      </c>
      <c r="E16">
        <f>IF(D16="","",IF(D16&gt;=2.5,3,IF(D16&gt;=2,2,IF(D16&gt;=1.5,1,0))))</f>
        <v/>
      </c>
      <c r="F16">
        <f>IFERROR(TEXTJOIN(", ",TRUE,UNIQUE(FILTER('Rubric Definition'!F:F,'Rubric Definition'!E:E=A16))),"")</f>
        <v/>
      </c>
      <c r="G16">
        <f>IFERROR(TEXTJOIN(", ",TRUE,UNIQUE(FILTER('Rubric Definition'!G:G,'Rubric Definition'!E:E=A16))),"")</f>
        <v/>
      </c>
    </row>
    <row r="17">
      <c r="B17">
        <f>IFERROR(SUMPRODUCT(FILTER('Rubric Definition'!D:D,('Rubric Definition'!E:E=A17)*('Rubric Definition'!C:C="Continuous")),XLOOKUP(FILTER('Rubric Definition'!A:A,('Rubric Definition'!E:E=A17)*('Rubric Definition'!C:C="Continuous")),'Criterion Averages'!A:A,'Criterion Averages'!C:C)) / SUM(FILTER('Rubric Definition'!D:D,('Rubric Definition'!E:E=A17)*('Rubric Definition'!C:C="Continuous"))),"")</f>
        <v/>
      </c>
      <c r="C17">
        <f>IFERROR(SUMPRODUCT(FILTER('Rubric Definition'!D:D,('Rubric Definition'!E:E=A17)*('Rubric Definition'!C:C="Final")),XLOOKUP(FILTER('Rubric Definition'!A:A,('Rubric Definition'!E:E=A17)*('Rubric Definition'!C:C="Final")),'Criterion Averages'!A:A,'Criterion Averages'!C:C)) / SUM(FILTER('Rubric Definition'!D:D,('Rubric Definition'!E:E=A17)*('Rubric Definition'!C:C="Final"))),"")</f>
        <v/>
      </c>
      <c r="D17">
        <f>IF(AND(B17&lt;&gt;"",C17&lt;&gt;""),0.4*B17+0.6*C17,IF(B17&lt;&gt;"",B17,C17))</f>
        <v/>
      </c>
      <c r="E17">
        <f>IF(D17="","",IF(D17&gt;=2.5,3,IF(D17&gt;=2,2,IF(D17&gt;=1.5,1,0))))</f>
        <v/>
      </c>
      <c r="F17">
        <f>IFERROR(TEXTJOIN(", ",TRUE,UNIQUE(FILTER('Rubric Definition'!F:F,'Rubric Definition'!E:E=A17))),"")</f>
        <v/>
      </c>
      <c r="G17">
        <f>IFERROR(TEXTJOIN(", ",TRUE,UNIQUE(FILTER('Rubric Definition'!G:G,'Rubric Definition'!E:E=A17))),"")</f>
        <v/>
      </c>
    </row>
    <row r="18">
      <c r="B18">
        <f>IFERROR(SUMPRODUCT(FILTER('Rubric Definition'!D:D,('Rubric Definition'!E:E=A18)*('Rubric Definition'!C:C="Continuous")),XLOOKUP(FILTER('Rubric Definition'!A:A,('Rubric Definition'!E:E=A18)*('Rubric Definition'!C:C="Continuous")),'Criterion Averages'!A:A,'Criterion Averages'!C:C)) / SUM(FILTER('Rubric Definition'!D:D,('Rubric Definition'!E:E=A18)*('Rubric Definition'!C:C="Continuous"))),"")</f>
        <v/>
      </c>
      <c r="C18">
        <f>IFERROR(SUMPRODUCT(FILTER('Rubric Definition'!D:D,('Rubric Definition'!E:E=A18)*('Rubric Definition'!C:C="Final")),XLOOKUP(FILTER('Rubric Definition'!A:A,('Rubric Definition'!E:E=A18)*('Rubric Definition'!C:C="Final")),'Criterion Averages'!A:A,'Criterion Averages'!C:C)) / SUM(FILTER('Rubric Definition'!D:D,('Rubric Definition'!E:E=A18)*('Rubric Definition'!C:C="Final"))),"")</f>
        <v/>
      </c>
      <c r="D18">
        <f>IF(AND(B18&lt;&gt;"",C18&lt;&gt;""),0.4*B18+0.6*C18,IF(B18&lt;&gt;"",B18,C18))</f>
        <v/>
      </c>
      <c r="E18">
        <f>IF(D18="","",IF(D18&gt;=2.5,3,IF(D18&gt;=2,2,IF(D18&gt;=1.5,1,0))))</f>
        <v/>
      </c>
      <c r="F18">
        <f>IFERROR(TEXTJOIN(", ",TRUE,UNIQUE(FILTER('Rubric Definition'!F:F,'Rubric Definition'!E:E=A18))),"")</f>
        <v/>
      </c>
      <c r="G18">
        <f>IFERROR(TEXTJOIN(", ",TRUE,UNIQUE(FILTER('Rubric Definition'!G:G,'Rubric Definition'!E:E=A18))),"")</f>
        <v/>
      </c>
    </row>
    <row r="19">
      <c r="B19">
        <f>IFERROR(SUMPRODUCT(FILTER('Rubric Definition'!D:D,('Rubric Definition'!E:E=A19)*('Rubric Definition'!C:C="Continuous")),XLOOKUP(FILTER('Rubric Definition'!A:A,('Rubric Definition'!E:E=A19)*('Rubric Definition'!C:C="Continuous")),'Criterion Averages'!A:A,'Criterion Averages'!C:C)) / SUM(FILTER('Rubric Definition'!D:D,('Rubric Definition'!E:E=A19)*('Rubric Definition'!C:C="Continuous"))),"")</f>
        <v/>
      </c>
      <c r="C19">
        <f>IFERROR(SUMPRODUCT(FILTER('Rubric Definition'!D:D,('Rubric Definition'!E:E=A19)*('Rubric Definition'!C:C="Final")),XLOOKUP(FILTER('Rubric Definition'!A:A,('Rubric Definition'!E:E=A19)*('Rubric Definition'!C:C="Final")),'Criterion Averages'!A:A,'Criterion Averages'!C:C)) / SUM(FILTER('Rubric Definition'!D:D,('Rubric Definition'!E:E=A19)*('Rubric Definition'!C:C="Final"))),"")</f>
        <v/>
      </c>
      <c r="D19">
        <f>IF(AND(B19&lt;&gt;"",C19&lt;&gt;""),0.4*B19+0.6*C19,IF(B19&lt;&gt;"",B19,C19))</f>
        <v/>
      </c>
      <c r="E19">
        <f>IF(D19="","",IF(D19&gt;=2.5,3,IF(D19&gt;=2,2,IF(D19&gt;=1.5,1,0))))</f>
        <v/>
      </c>
      <c r="F19">
        <f>IFERROR(TEXTJOIN(", ",TRUE,UNIQUE(FILTER('Rubric Definition'!F:F,'Rubric Definition'!E:E=A19))),"")</f>
        <v/>
      </c>
      <c r="G19">
        <f>IFERROR(TEXTJOIN(", ",TRUE,UNIQUE(FILTER('Rubric Definition'!G:G,'Rubric Definition'!E:E=A19))),"")</f>
        <v/>
      </c>
    </row>
    <row r="20">
      <c r="B20">
        <f>IFERROR(SUMPRODUCT(FILTER('Rubric Definition'!D:D,('Rubric Definition'!E:E=A20)*('Rubric Definition'!C:C="Continuous")),XLOOKUP(FILTER('Rubric Definition'!A:A,('Rubric Definition'!E:E=A20)*('Rubric Definition'!C:C="Continuous")),'Criterion Averages'!A:A,'Criterion Averages'!C:C)) / SUM(FILTER('Rubric Definition'!D:D,('Rubric Definition'!E:E=A20)*('Rubric Definition'!C:C="Continuous"))),"")</f>
        <v/>
      </c>
      <c r="C20">
        <f>IFERROR(SUMPRODUCT(FILTER('Rubric Definition'!D:D,('Rubric Definition'!E:E=A20)*('Rubric Definition'!C:C="Final")),XLOOKUP(FILTER('Rubric Definition'!A:A,('Rubric Definition'!E:E=A20)*('Rubric Definition'!C:C="Final")),'Criterion Averages'!A:A,'Criterion Averages'!C:C)) / SUM(FILTER('Rubric Definition'!D:D,('Rubric Definition'!E:E=A20)*('Rubric Definition'!C:C="Final"))),"")</f>
        <v/>
      </c>
      <c r="D20">
        <f>IF(AND(B20&lt;&gt;"",C20&lt;&gt;""),0.4*B20+0.6*C20,IF(B20&lt;&gt;"",B20,C20))</f>
        <v/>
      </c>
      <c r="E20">
        <f>IF(D20="","",IF(D20&gt;=2.5,3,IF(D20&gt;=2,2,IF(D20&gt;=1.5,1,0))))</f>
        <v/>
      </c>
      <c r="F20">
        <f>IFERROR(TEXTJOIN(", ",TRUE,UNIQUE(FILTER('Rubric Definition'!F:F,'Rubric Definition'!E:E=A20))),"")</f>
        <v/>
      </c>
      <c r="G20">
        <f>IFERROR(TEXTJOIN(", ",TRUE,UNIQUE(FILTER('Rubric Definition'!G:G,'Rubric Definition'!E:E=A20))),"")</f>
        <v/>
      </c>
    </row>
    <row r="21">
      <c r="B21">
        <f>IFERROR(SUMPRODUCT(FILTER('Rubric Definition'!D:D,('Rubric Definition'!E:E=A21)*('Rubric Definition'!C:C="Continuous")),XLOOKUP(FILTER('Rubric Definition'!A:A,('Rubric Definition'!E:E=A21)*('Rubric Definition'!C:C="Continuous")),'Criterion Averages'!A:A,'Criterion Averages'!C:C)) / SUM(FILTER('Rubric Definition'!D:D,('Rubric Definition'!E:E=A21)*('Rubric Definition'!C:C="Continuous"))),"")</f>
        <v/>
      </c>
      <c r="C21">
        <f>IFERROR(SUMPRODUCT(FILTER('Rubric Definition'!D:D,('Rubric Definition'!E:E=A21)*('Rubric Definition'!C:C="Final")),XLOOKUP(FILTER('Rubric Definition'!A:A,('Rubric Definition'!E:E=A21)*('Rubric Definition'!C:C="Final")),'Criterion Averages'!A:A,'Criterion Averages'!C:C)) / SUM(FILTER('Rubric Definition'!D:D,('Rubric Definition'!E:E=A21)*('Rubric Definition'!C:C="Final"))),"")</f>
        <v/>
      </c>
      <c r="D21">
        <f>IF(AND(B21&lt;&gt;"",C21&lt;&gt;""),0.4*B21+0.6*C21,IF(B21&lt;&gt;"",B21,C21))</f>
        <v/>
      </c>
      <c r="E21">
        <f>IF(D21="","",IF(D21&gt;=2.5,3,IF(D21&gt;=2,2,IF(D21&gt;=1.5,1,0))))</f>
        <v/>
      </c>
      <c r="F21">
        <f>IFERROR(TEXTJOIN(", ",TRUE,UNIQUE(FILTER('Rubric Definition'!F:F,'Rubric Definition'!E:E=A21))),"")</f>
        <v/>
      </c>
      <c r="G21">
        <f>IFERROR(TEXTJOIN(", ",TRUE,UNIQUE(FILTER('Rubric Definition'!G:G,'Rubric Definition'!E:E=A21))),"")</f>
        <v/>
      </c>
    </row>
    <row r="22">
      <c r="B22">
        <f>IFERROR(SUMPRODUCT(FILTER('Rubric Definition'!D:D,('Rubric Definition'!E:E=A22)*('Rubric Definition'!C:C="Continuous")),XLOOKUP(FILTER('Rubric Definition'!A:A,('Rubric Definition'!E:E=A22)*('Rubric Definition'!C:C="Continuous")),'Criterion Averages'!A:A,'Criterion Averages'!C:C)) / SUM(FILTER('Rubric Definition'!D:D,('Rubric Definition'!E:E=A22)*('Rubric Definition'!C:C="Continuous"))),"")</f>
        <v/>
      </c>
      <c r="C22">
        <f>IFERROR(SUMPRODUCT(FILTER('Rubric Definition'!D:D,('Rubric Definition'!E:E=A22)*('Rubric Definition'!C:C="Final")),XLOOKUP(FILTER('Rubric Definition'!A:A,('Rubric Definition'!E:E=A22)*('Rubric Definition'!C:C="Final")),'Criterion Averages'!A:A,'Criterion Averages'!C:C)) / SUM(FILTER('Rubric Definition'!D:D,('Rubric Definition'!E:E=A22)*('Rubric Definition'!C:C="Final"))),"")</f>
        <v/>
      </c>
      <c r="D22">
        <f>IF(AND(B22&lt;&gt;"",C22&lt;&gt;""),0.4*B22+0.6*C22,IF(B22&lt;&gt;"",B22,C22))</f>
        <v/>
      </c>
      <c r="E22">
        <f>IF(D22="","",IF(D22&gt;=2.5,3,IF(D22&gt;=2,2,IF(D22&gt;=1.5,1,0))))</f>
        <v/>
      </c>
      <c r="F22">
        <f>IFERROR(TEXTJOIN(", ",TRUE,UNIQUE(FILTER('Rubric Definition'!F:F,'Rubric Definition'!E:E=A22))),"")</f>
        <v/>
      </c>
      <c r="G22">
        <f>IFERROR(TEXTJOIN(", ",TRUE,UNIQUE(FILTER('Rubric Definition'!G:G,'Rubric Definition'!E:E=A22))),"")</f>
        <v/>
      </c>
    </row>
    <row r="23">
      <c r="B23">
        <f>IFERROR(SUMPRODUCT(FILTER('Rubric Definition'!D:D,('Rubric Definition'!E:E=A23)*('Rubric Definition'!C:C="Continuous")),XLOOKUP(FILTER('Rubric Definition'!A:A,('Rubric Definition'!E:E=A23)*('Rubric Definition'!C:C="Continuous")),'Criterion Averages'!A:A,'Criterion Averages'!C:C)) / SUM(FILTER('Rubric Definition'!D:D,('Rubric Definition'!E:E=A23)*('Rubric Definition'!C:C="Continuous"))),"")</f>
        <v/>
      </c>
      <c r="C23">
        <f>IFERROR(SUMPRODUCT(FILTER('Rubric Definition'!D:D,('Rubric Definition'!E:E=A23)*('Rubric Definition'!C:C="Final")),XLOOKUP(FILTER('Rubric Definition'!A:A,('Rubric Definition'!E:E=A23)*('Rubric Definition'!C:C="Final")),'Criterion Averages'!A:A,'Criterion Averages'!C:C)) / SUM(FILTER('Rubric Definition'!D:D,('Rubric Definition'!E:E=A23)*('Rubric Definition'!C:C="Final"))),"")</f>
        <v/>
      </c>
      <c r="D23">
        <f>IF(AND(B23&lt;&gt;"",C23&lt;&gt;""),0.4*B23+0.6*C23,IF(B23&lt;&gt;"",B23,C23))</f>
        <v/>
      </c>
      <c r="E23">
        <f>IF(D23="","",IF(D23&gt;=2.5,3,IF(D23&gt;=2,2,IF(D23&gt;=1.5,1,0))))</f>
        <v/>
      </c>
      <c r="F23">
        <f>IFERROR(TEXTJOIN(", ",TRUE,UNIQUE(FILTER('Rubric Definition'!F:F,'Rubric Definition'!E:E=A23))),"")</f>
        <v/>
      </c>
      <c r="G23">
        <f>IFERROR(TEXTJOIN(", ",TRUE,UNIQUE(FILTER('Rubric Definition'!G:G,'Rubric Definition'!E:E=A23))),"")</f>
        <v/>
      </c>
    </row>
    <row r="24">
      <c r="B24">
        <f>IFERROR(SUMPRODUCT(FILTER('Rubric Definition'!D:D,('Rubric Definition'!E:E=A24)*('Rubric Definition'!C:C="Continuous")),XLOOKUP(FILTER('Rubric Definition'!A:A,('Rubric Definition'!E:E=A24)*('Rubric Definition'!C:C="Continuous")),'Criterion Averages'!A:A,'Criterion Averages'!C:C)) / SUM(FILTER('Rubric Definition'!D:D,('Rubric Definition'!E:E=A24)*('Rubric Definition'!C:C="Continuous"))),"")</f>
        <v/>
      </c>
      <c r="C24">
        <f>IFERROR(SUMPRODUCT(FILTER('Rubric Definition'!D:D,('Rubric Definition'!E:E=A24)*('Rubric Definition'!C:C="Final")),XLOOKUP(FILTER('Rubric Definition'!A:A,('Rubric Definition'!E:E=A24)*('Rubric Definition'!C:C="Final")),'Criterion Averages'!A:A,'Criterion Averages'!C:C)) / SUM(FILTER('Rubric Definition'!D:D,('Rubric Definition'!E:E=A24)*('Rubric Definition'!C:C="Final"))),"")</f>
        <v/>
      </c>
      <c r="D24">
        <f>IF(AND(B24&lt;&gt;"",C24&lt;&gt;""),0.4*B24+0.6*C24,IF(B24&lt;&gt;"",B24,C24))</f>
        <v/>
      </c>
      <c r="E24">
        <f>IF(D24="","",IF(D24&gt;=2.5,3,IF(D24&gt;=2,2,IF(D24&gt;=1.5,1,0))))</f>
        <v/>
      </c>
      <c r="F24">
        <f>IFERROR(TEXTJOIN(", ",TRUE,UNIQUE(FILTER('Rubric Definition'!F:F,'Rubric Definition'!E:E=A24))),"")</f>
        <v/>
      </c>
      <c r="G24">
        <f>IFERROR(TEXTJOIN(", ",TRUE,UNIQUE(FILTER('Rubric Definition'!G:G,'Rubric Definition'!E:E=A24))),"")</f>
        <v/>
      </c>
    </row>
    <row r="25">
      <c r="B25">
        <f>IFERROR(SUMPRODUCT(FILTER('Rubric Definition'!D:D,('Rubric Definition'!E:E=A25)*('Rubric Definition'!C:C="Continuous")),XLOOKUP(FILTER('Rubric Definition'!A:A,('Rubric Definition'!E:E=A25)*('Rubric Definition'!C:C="Continuous")),'Criterion Averages'!A:A,'Criterion Averages'!C:C)) / SUM(FILTER('Rubric Definition'!D:D,('Rubric Definition'!E:E=A25)*('Rubric Definition'!C:C="Continuous"))),"")</f>
        <v/>
      </c>
      <c r="C25">
        <f>IFERROR(SUMPRODUCT(FILTER('Rubric Definition'!D:D,('Rubric Definition'!E:E=A25)*('Rubric Definition'!C:C="Final")),XLOOKUP(FILTER('Rubric Definition'!A:A,('Rubric Definition'!E:E=A25)*('Rubric Definition'!C:C="Final")),'Criterion Averages'!A:A,'Criterion Averages'!C:C)) / SUM(FILTER('Rubric Definition'!D:D,('Rubric Definition'!E:E=A25)*('Rubric Definition'!C:C="Final"))),"")</f>
        <v/>
      </c>
      <c r="D25">
        <f>IF(AND(B25&lt;&gt;"",C25&lt;&gt;""),0.4*B25+0.6*C25,IF(B25&lt;&gt;"",B25,C25))</f>
        <v/>
      </c>
      <c r="E25">
        <f>IF(D25="","",IF(D25&gt;=2.5,3,IF(D25&gt;=2,2,IF(D25&gt;=1.5,1,0))))</f>
        <v/>
      </c>
      <c r="F25">
        <f>IFERROR(TEXTJOIN(", ",TRUE,UNIQUE(FILTER('Rubric Definition'!F:F,'Rubric Definition'!E:E=A25))),"")</f>
        <v/>
      </c>
      <c r="G25">
        <f>IFERROR(TEXTJOIN(", ",TRUE,UNIQUE(FILTER('Rubric Definition'!G:G,'Rubric Definition'!E:E=A25))),"")</f>
        <v/>
      </c>
    </row>
    <row r="26">
      <c r="B26">
        <f>IFERROR(SUMPRODUCT(FILTER('Rubric Definition'!D:D,('Rubric Definition'!E:E=A26)*('Rubric Definition'!C:C="Continuous")),XLOOKUP(FILTER('Rubric Definition'!A:A,('Rubric Definition'!E:E=A26)*('Rubric Definition'!C:C="Continuous")),'Criterion Averages'!A:A,'Criterion Averages'!C:C)) / SUM(FILTER('Rubric Definition'!D:D,('Rubric Definition'!E:E=A26)*('Rubric Definition'!C:C="Continuous"))),"")</f>
        <v/>
      </c>
      <c r="C26">
        <f>IFERROR(SUMPRODUCT(FILTER('Rubric Definition'!D:D,('Rubric Definition'!E:E=A26)*('Rubric Definition'!C:C="Final")),XLOOKUP(FILTER('Rubric Definition'!A:A,('Rubric Definition'!E:E=A26)*('Rubric Definition'!C:C="Final")),'Criterion Averages'!A:A,'Criterion Averages'!C:C)) / SUM(FILTER('Rubric Definition'!D:D,('Rubric Definition'!E:E=A26)*('Rubric Definition'!C:C="Final"))),"")</f>
        <v/>
      </c>
      <c r="D26">
        <f>IF(AND(B26&lt;&gt;"",C26&lt;&gt;""),0.4*B26+0.6*C26,IF(B26&lt;&gt;"",B26,C26))</f>
        <v/>
      </c>
      <c r="E26">
        <f>IF(D26="","",IF(D26&gt;=2.5,3,IF(D26&gt;=2,2,IF(D26&gt;=1.5,1,0))))</f>
        <v/>
      </c>
      <c r="F26">
        <f>IFERROR(TEXTJOIN(", ",TRUE,UNIQUE(FILTER('Rubric Definition'!F:F,'Rubric Definition'!E:E=A26))),"")</f>
        <v/>
      </c>
      <c r="G26">
        <f>IFERROR(TEXTJOIN(", ",TRUE,UNIQUE(FILTER('Rubric Definition'!G:G,'Rubric Definition'!E:E=A26))),"")</f>
        <v/>
      </c>
    </row>
    <row r="27">
      <c r="B27">
        <f>IFERROR(SUMPRODUCT(FILTER('Rubric Definition'!D:D,('Rubric Definition'!E:E=A27)*('Rubric Definition'!C:C="Continuous")),XLOOKUP(FILTER('Rubric Definition'!A:A,('Rubric Definition'!E:E=A27)*('Rubric Definition'!C:C="Continuous")),'Criterion Averages'!A:A,'Criterion Averages'!C:C)) / SUM(FILTER('Rubric Definition'!D:D,('Rubric Definition'!E:E=A27)*('Rubric Definition'!C:C="Continuous"))),"")</f>
        <v/>
      </c>
      <c r="C27">
        <f>IFERROR(SUMPRODUCT(FILTER('Rubric Definition'!D:D,('Rubric Definition'!E:E=A27)*('Rubric Definition'!C:C="Final")),XLOOKUP(FILTER('Rubric Definition'!A:A,('Rubric Definition'!E:E=A27)*('Rubric Definition'!C:C="Final")),'Criterion Averages'!A:A,'Criterion Averages'!C:C)) / SUM(FILTER('Rubric Definition'!D:D,('Rubric Definition'!E:E=A27)*('Rubric Definition'!C:C="Final"))),"")</f>
        <v/>
      </c>
      <c r="D27">
        <f>IF(AND(B27&lt;&gt;"",C27&lt;&gt;""),0.4*B27+0.6*C27,IF(B27&lt;&gt;"",B27,C27))</f>
        <v/>
      </c>
      <c r="E27">
        <f>IF(D27="","",IF(D27&gt;=2.5,3,IF(D27&gt;=2,2,IF(D27&gt;=1.5,1,0))))</f>
        <v/>
      </c>
      <c r="F27">
        <f>IFERROR(TEXTJOIN(", ",TRUE,UNIQUE(FILTER('Rubric Definition'!F:F,'Rubric Definition'!E:E=A27))),"")</f>
        <v/>
      </c>
      <c r="G27">
        <f>IFERROR(TEXTJOIN(", ",TRUE,UNIQUE(FILTER('Rubric Definition'!G:G,'Rubric Definition'!E:E=A27))),"")</f>
        <v/>
      </c>
    </row>
    <row r="28">
      <c r="B28">
        <f>IFERROR(SUMPRODUCT(FILTER('Rubric Definition'!D:D,('Rubric Definition'!E:E=A28)*('Rubric Definition'!C:C="Continuous")),XLOOKUP(FILTER('Rubric Definition'!A:A,('Rubric Definition'!E:E=A28)*('Rubric Definition'!C:C="Continuous")),'Criterion Averages'!A:A,'Criterion Averages'!C:C)) / SUM(FILTER('Rubric Definition'!D:D,('Rubric Definition'!E:E=A28)*('Rubric Definition'!C:C="Continuous"))),"")</f>
        <v/>
      </c>
      <c r="C28">
        <f>IFERROR(SUMPRODUCT(FILTER('Rubric Definition'!D:D,('Rubric Definition'!E:E=A28)*('Rubric Definition'!C:C="Final")),XLOOKUP(FILTER('Rubric Definition'!A:A,('Rubric Definition'!E:E=A28)*('Rubric Definition'!C:C="Final")),'Criterion Averages'!A:A,'Criterion Averages'!C:C)) / SUM(FILTER('Rubric Definition'!D:D,('Rubric Definition'!E:E=A28)*('Rubric Definition'!C:C="Final"))),"")</f>
        <v/>
      </c>
      <c r="D28">
        <f>IF(AND(B28&lt;&gt;"",C28&lt;&gt;""),0.4*B28+0.6*C28,IF(B28&lt;&gt;"",B28,C28))</f>
        <v/>
      </c>
      <c r="E28">
        <f>IF(D28="","",IF(D28&gt;=2.5,3,IF(D28&gt;=2,2,IF(D28&gt;=1.5,1,0))))</f>
        <v/>
      </c>
      <c r="F28">
        <f>IFERROR(TEXTJOIN(", ",TRUE,UNIQUE(FILTER('Rubric Definition'!F:F,'Rubric Definition'!E:E=A28))),"")</f>
        <v/>
      </c>
      <c r="G28">
        <f>IFERROR(TEXTJOIN(", ",TRUE,UNIQUE(FILTER('Rubric Definition'!G:G,'Rubric Definition'!E:E=A28))),"")</f>
        <v/>
      </c>
    </row>
    <row r="29">
      <c r="B29">
        <f>IFERROR(SUMPRODUCT(FILTER('Rubric Definition'!D:D,('Rubric Definition'!E:E=A29)*('Rubric Definition'!C:C="Continuous")),XLOOKUP(FILTER('Rubric Definition'!A:A,('Rubric Definition'!E:E=A29)*('Rubric Definition'!C:C="Continuous")),'Criterion Averages'!A:A,'Criterion Averages'!C:C)) / SUM(FILTER('Rubric Definition'!D:D,('Rubric Definition'!E:E=A29)*('Rubric Definition'!C:C="Continuous"))),"")</f>
        <v/>
      </c>
      <c r="C29">
        <f>IFERROR(SUMPRODUCT(FILTER('Rubric Definition'!D:D,('Rubric Definition'!E:E=A29)*('Rubric Definition'!C:C="Final")),XLOOKUP(FILTER('Rubric Definition'!A:A,('Rubric Definition'!E:E=A29)*('Rubric Definition'!C:C="Final")),'Criterion Averages'!A:A,'Criterion Averages'!C:C)) / SUM(FILTER('Rubric Definition'!D:D,('Rubric Definition'!E:E=A29)*('Rubric Definition'!C:C="Final"))),"")</f>
        <v/>
      </c>
      <c r="D29">
        <f>IF(AND(B29&lt;&gt;"",C29&lt;&gt;""),0.4*B29+0.6*C29,IF(B29&lt;&gt;"",B29,C29))</f>
        <v/>
      </c>
      <c r="E29">
        <f>IF(D29="","",IF(D29&gt;=2.5,3,IF(D29&gt;=2,2,IF(D29&gt;=1.5,1,0))))</f>
        <v/>
      </c>
      <c r="F29">
        <f>IFERROR(TEXTJOIN(", ",TRUE,UNIQUE(FILTER('Rubric Definition'!F:F,'Rubric Definition'!E:E=A29))),"")</f>
        <v/>
      </c>
      <c r="G29">
        <f>IFERROR(TEXTJOIN(", ",TRUE,UNIQUE(FILTER('Rubric Definition'!G:G,'Rubric Definition'!E:E=A29))),"")</f>
        <v/>
      </c>
    </row>
    <row r="30">
      <c r="B30">
        <f>IFERROR(SUMPRODUCT(FILTER('Rubric Definition'!D:D,('Rubric Definition'!E:E=A30)*('Rubric Definition'!C:C="Continuous")),XLOOKUP(FILTER('Rubric Definition'!A:A,('Rubric Definition'!E:E=A30)*('Rubric Definition'!C:C="Continuous")),'Criterion Averages'!A:A,'Criterion Averages'!C:C)) / SUM(FILTER('Rubric Definition'!D:D,('Rubric Definition'!E:E=A30)*('Rubric Definition'!C:C="Continuous"))),"")</f>
        <v/>
      </c>
      <c r="C30">
        <f>IFERROR(SUMPRODUCT(FILTER('Rubric Definition'!D:D,('Rubric Definition'!E:E=A30)*('Rubric Definition'!C:C="Final")),XLOOKUP(FILTER('Rubric Definition'!A:A,('Rubric Definition'!E:E=A30)*('Rubric Definition'!C:C="Final")),'Criterion Averages'!A:A,'Criterion Averages'!C:C)) / SUM(FILTER('Rubric Definition'!D:D,('Rubric Definition'!E:E=A30)*('Rubric Definition'!C:C="Final"))),"")</f>
        <v/>
      </c>
      <c r="D30">
        <f>IF(AND(B30&lt;&gt;"",C30&lt;&gt;""),0.4*B30+0.6*C30,IF(B30&lt;&gt;"",B30,C30))</f>
        <v/>
      </c>
      <c r="E30">
        <f>IF(D30="","",IF(D30&gt;=2.5,3,IF(D30&gt;=2,2,IF(D30&gt;=1.5,1,0))))</f>
        <v/>
      </c>
      <c r="F30">
        <f>IFERROR(TEXTJOIN(", ",TRUE,UNIQUE(FILTER('Rubric Definition'!F:F,'Rubric Definition'!E:E=A30))),"")</f>
        <v/>
      </c>
      <c r="G30">
        <f>IFERROR(TEXTJOIN(", ",TRUE,UNIQUE(FILTER('Rubric Definition'!G:G,'Rubric Definition'!E:E=A30))),"")</f>
        <v/>
      </c>
    </row>
    <row r="31">
      <c r="B31">
        <f>IFERROR(SUMPRODUCT(FILTER('Rubric Definition'!D:D,('Rubric Definition'!E:E=A31)*('Rubric Definition'!C:C="Continuous")),XLOOKUP(FILTER('Rubric Definition'!A:A,('Rubric Definition'!E:E=A31)*('Rubric Definition'!C:C="Continuous")),'Criterion Averages'!A:A,'Criterion Averages'!C:C)) / SUM(FILTER('Rubric Definition'!D:D,('Rubric Definition'!E:E=A31)*('Rubric Definition'!C:C="Continuous"))),"")</f>
        <v/>
      </c>
      <c r="C31">
        <f>IFERROR(SUMPRODUCT(FILTER('Rubric Definition'!D:D,('Rubric Definition'!E:E=A31)*('Rubric Definition'!C:C="Final")),XLOOKUP(FILTER('Rubric Definition'!A:A,('Rubric Definition'!E:E=A31)*('Rubric Definition'!C:C="Final")),'Criterion Averages'!A:A,'Criterion Averages'!C:C)) / SUM(FILTER('Rubric Definition'!D:D,('Rubric Definition'!E:E=A31)*('Rubric Definition'!C:C="Final"))),"")</f>
        <v/>
      </c>
      <c r="D31">
        <f>IF(AND(B31&lt;&gt;"",C31&lt;&gt;""),0.4*B31+0.6*C31,IF(B31&lt;&gt;"",B31,C31))</f>
        <v/>
      </c>
      <c r="E31">
        <f>IF(D31="","",IF(D31&gt;=2.5,3,IF(D31&gt;=2,2,IF(D31&gt;=1.5,1,0))))</f>
        <v/>
      </c>
      <c r="F31">
        <f>IFERROR(TEXTJOIN(", ",TRUE,UNIQUE(FILTER('Rubric Definition'!F:F,'Rubric Definition'!E:E=A31))),"")</f>
        <v/>
      </c>
      <c r="G31">
        <f>IFERROR(TEXTJOIN(", ",TRUE,UNIQUE(FILTER('Rubric Definition'!G:G,'Rubric Definition'!E:E=A31))),"")</f>
        <v/>
      </c>
    </row>
    <row r="32">
      <c r="B32">
        <f>IFERROR(SUMPRODUCT(FILTER('Rubric Definition'!D:D,('Rubric Definition'!E:E=A32)*('Rubric Definition'!C:C="Continuous")),XLOOKUP(FILTER('Rubric Definition'!A:A,('Rubric Definition'!E:E=A32)*('Rubric Definition'!C:C="Continuous")),'Criterion Averages'!A:A,'Criterion Averages'!C:C)) / SUM(FILTER('Rubric Definition'!D:D,('Rubric Definition'!E:E=A32)*('Rubric Definition'!C:C="Continuous"))),"")</f>
        <v/>
      </c>
      <c r="C32">
        <f>IFERROR(SUMPRODUCT(FILTER('Rubric Definition'!D:D,('Rubric Definition'!E:E=A32)*('Rubric Definition'!C:C="Final")),XLOOKUP(FILTER('Rubric Definition'!A:A,('Rubric Definition'!E:E=A32)*('Rubric Definition'!C:C="Final")),'Criterion Averages'!A:A,'Criterion Averages'!C:C)) / SUM(FILTER('Rubric Definition'!D:D,('Rubric Definition'!E:E=A32)*('Rubric Definition'!C:C="Final"))),"")</f>
        <v/>
      </c>
      <c r="D32">
        <f>IF(AND(B32&lt;&gt;"",C32&lt;&gt;""),0.4*B32+0.6*C32,IF(B32&lt;&gt;"",B32,C32))</f>
        <v/>
      </c>
      <c r="E32">
        <f>IF(D32="","",IF(D32&gt;=2.5,3,IF(D32&gt;=2,2,IF(D32&gt;=1.5,1,0))))</f>
        <v/>
      </c>
      <c r="F32">
        <f>IFERROR(TEXTJOIN(", ",TRUE,UNIQUE(FILTER('Rubric Definition'!F:F,'Rubric Definition'!E:E=A32))),"")</f>
        <v/>
      </c>
      <c r="G32">
        <f>IFERROR(TEXTJOIN(", ",TRUE,UNIQUE(FILTER('Rubric Definition'!G:G,'Rubric Definition'!E:E=A32))),"")</f>
        <v/>
      </c>
    </row>
    <row r="33">
      <c r="B33">
        <f>IFERROR(SUMPRODUCT(FILTER('Rubric Definition'!D:D,('Rubric Definition'!E:E=A33)*('Rubric Definition'!C:C="Continuous")),XLOOKUP(FILTER('Rubric Definition'!A:A,('Rubric Definition'!E:E=A33)*('Rubric Definition'!C:C="Continuous")),'Criterion Averages'!A:A,'Criterion Averages'!C:C)) / SUM(FILTER('Rubric Definition'!D:D,('Rubric Definition'!E:E=A33)*('Rubric Definition'!C:C="Continuous"))),"")</f>
        <v/>
      </c>
      <c r="C33">
        <f>IFERROR(SUMPRODUCT(FILTER('Rubric Definition'!D:D,('Rubric Definition'!E:E=A33)*('Rubric Definition'!C:C="Final")),XLOOKUP(FILTER('Rubric Definition'!A:A,('Rubric Definition'!E:E=A33)*('Rubric Definition'!C:C="Final")),'Criterion Averages'!A:A,'Criterion Averages'!C:C)) / SUM(FILTER('Rubric Definition'!D:D,('Rubric Definition'!E:E=A33)*('Rubric Definition'!C:C="Final"))),"")</f>
        <v/>
      </c>
      <c r="D33">
        <f>IF(AND(B33&lt;&gt;"",C33&lt;&gt;""),0.4*B33+0.6*C33,IF(B33&lt;&gt;"",B33,C33))</f>
        <v/>
      </c>
      <c r="E33">
        <f>IF(D33="","",IF(D33&gt;=2.5,3,IF(D33&gt;=2,2,IF(D33&gt;=1.5,1,0))))</f>
        <v/>
      </c>
      <c r="F33">
        <f>IFERROR(TEXTJOIN(", ",TRUE,UNIQUE(FILTER('Rubric Definition'!F:F,'Rubric Definition'!E:E=A33))),"")</f>
        <v/>
      </c>
      <c r="G33">
        <f>IFERROR(TEXTJOIN(", ",TRUE,UNIQUE(FILTER('Rubric Definition'!G:G,'Rubric Definition'!E:E=A33))),"")</f>
        <v/>
      </c>
    </row>
    <row r="34">
      <c r="B34">
        <f>IFERROR(SUMPRODUCT(FILTER('Rubric Definition'!D:D,('Rubric Definition'!E:E=A34)*('Rubric Definition'!C:C="Continuous")),XLOOKUP(FILTER('Rubric Definition'!A:A,('Rubric Definition'!E:E=A34)*('Rubric Definition'!C:C="Continuous")),'Criterion Averages'!A:A,'Criterion Averages'!C:C)) / SUM(FILTER('Rubric Definition'!D:D,('Rubric Definition'!E:E=A34)*('Rubric Definition'!C:C="Continuous"))),"")</f>
        <v/>
      </c>
      <c r="C34">
        <f>IFERROR(SUMPRODUCT(FILTER('Rubric Definition'!D:D,('Rubric Definition'!E:E=A34)*('Rubric Definition'!C:C="Final")),XLOOKUP(FILTER('Rubric Definition'!A:A,('Rubric Definition'!E:E=A34)*('Rubric Definition'!C:C="Final")),'Criterion Averages'!A:A,'Criterion Averages'!C:C)) / SUM(FILTER('Rubric Definition'!D:D,('Rubric Definition'!E:E=A34)*('Rubric Definition'!C:C="Final"))),"")</f>
        <v/>
      </c>
      <c r="D34">
        <f>IF(AND(B34&lt;&gt;"",C34&lt;&gt;""),0.4*B34+0.6*C34,IF(B34&lt;&gt;"",B34,C34))</f>
        <v/>
      </c>
      <c r="E34">
        <f>IF(D34="","",IF(D34&gt;=2.5,3,IF(D34&gt;=2,2,IF(D34&gt;=1.5,1,0))))</f>
        <v/>
      </c>
      <c r="F34">
        <f>IFERROR(TEXTJOIN(", ",TRUE,UNIQUE(FILTER('Rubric Definition'!F:F,'Rubric Definition'!E:E=A34))),"")</f>
        <v/>
      </c>
      <c r="G34">
        <f>IFERROR(TEXTJOIN(", ",TRUE,UNIQUE(FILTER('Rubric Definition'!G:G,'Rubric Definition'!E:E=A34))),"")</f>
        <v/>
      </c>
    </row>
    <row r="35">
      <c r="B35">
        <f>IFERROR(SUMPRODUCT(FILTER('Rubric Definition'!D:D,('Rubric Definition'!E:E=A35)*('Rubric Definition'!C:C="Continuous")),XLOOKUP(FILTER('Rubric Definition'!A:A,('Rubric Definition'!E:E=A35)*('Rubric Definition'!C:C="Continuous")),'Criterion Averages'!A:A,'Criterion Averages'!C:C)) / SUM(FILTER('Rubric Definition'!D:D,('Rubric Definition'!E:E=A35)*('Rubric Definition'!C:C="Continuous"))),"")</f>
        <v/>
      </c>
      <c r="C35">
        <f>IFERROR(SUMPRODUCT(FILTER('Rubric Definition'!D:D,('Rubric Definition'!E:E=A35)*('Rubric Definition'!C:C="Final")),XLOOKUP(FILTER('Rubric Definition'!A:A,('Rubric Definition'!E:E=A35)*('Rubric Definition'!C:C="Final")),'Criterion Averages'!A:A,'Criterion Averages'!C:C)) / SUM(FILTER('Rubric Definition'!D:D,('Rubric Definition'!E:E=A35)*('Rubric Definition'!C:C="Final"))),"")</f>
        <v/>
      </c>
      <c r="D35">
        <f>IF(AND(B35&lt;&gt;"",C35&lt;&gt;""),0.4*B35+0.6*C35,IF(B35&lt;&gt;"",B35,C35))</f>
        <v/>
      </c>
      <c r="E35">
        <f>IF(D35="","",IF(D35&gt;=2.5,3,IF(D35&gt;=2,2,IF(D35&gt;=1.5,1,0))))</f>
        <v/>
      </c>
      <c r="F35">
        <f>IFERROR(TEXTJOIN(", ",TRUE,UNIQUE(FILTER('Rubric Definition'!F:F,'Rubric Definition'!E:E=A35))),"")</f>
        <v/>
      </c>
      <c r="G35">
        <f>IFERROR(TEXTJOIN(", ",TRUE,UNIQUE(FILTER('Rubric Definition'!G:G,'Rubric Definition'!E:E=A35))),"")</f>
        <v/>
      </c>
    </row>
    <row r="36">
      <c r="B36">
        <f>IFERROR(SUMPRODUCT(FILTER('Rubric Definition'!D:D,('Rubric Definition'!E:E=A36)*('Rubric Definition'!C:C="Continuous")),XLOOKUP(FILTER('Rubric Definition'!A:A,('Rubric Definition'!E:E=A36)*('Rubric Definition'!C:C="Continuous")),'Criterion Averages'!A:A,'Criterion Averages'!C:C)) / SUM(FILTER('Rubric Definition'!D:D,('Rubric Definition'!E:E=A36)*('Rubric Definition'!C:C="Continuous"))),"")</f>
        <v/>
      </c>
      <c r="C36">
        <f>IFERROR(SUMPRODUCT(FILTER('Rubric Definition'!D:D,('Rubric Definition'!E:E=A36)*('Rubric Definition'!C:C="Final")),XLOOKUP(FILTER('Rubric Definition'!A:A,('Rubric Definition'!E:E=A36)*('Rubric Definition'!C:C="Final")),'Criterion Averages'!A:A,'Criterion Averages'!C:C)) / SUM(FILTER('Rubric Definition'!D:D,('Rubric Definition'!E:E=A36)*('Rubric Definition'!C:C="Final"))),"")</f>
        <v/>
      </c>
      <c r="D36">
        <f>IF(AND(B36&lt;&gt;"",C36&lt;&gt;""),0.4*B36+0.6*C36,IF(B36&lt;&gt;"",B36,C36))</f>
        <v/>
      </c>
      <c r="E36">
        <f>IF(D36="","",IF(D36&gt;=2.5,3,IF(D36&gt;=2,2,IF(D36&gt;=1.5,1,0))))</f>
        <v/>
      </c>
      <c r="F36">
        <f>IFERROR(TEXTJOIN(", ",TRUE,UNIQUE(FILTER('Rubric Definition'!F:F,'Rubric Definition'!E:E=A36))),"")</f>
        <v/>
      </c>
      <c r="G36">
        <f>IFERROR(TEXTJOIN(", ",TRUE,UNIQUE(FILTER('Rubric Definition'!G:G,'Rubric Definition'!E:E=A36))),"")</f>
        <v/>
      </c>
    </row>
    <row r="37">
      <c r="B37">
        <f>IFERROR(SUMPRODUCT(FILTER('Rubric Definition'!D:D,('Rubric Definition'!E:E=A37)*('Rubric Definition'!C:C="Continuous")),XLOOKUP(FILTER('Rubric Definition'!A:A,('Rubric Definition'!E:E=A37)*('Rubric Definition'!C:C="Continuous")),'Criterion Averages'!A:A,'Criterion Averages'!C:C)) / SUM(FILTER('Rubric Definition'!D:D,('Rubric Definition'!E:E=A37)*('Rubric Definition'!C:C="Continuous"))),"")</f>
        <v/>
      </c>
      <c r="C37">
        <f>IFERROR(SUMPRODUCT(FILTER('Rubric Definition'!D:D,('Rubric Definition'!E:E=A37)*('Rubric Definition'!C:C="Final")),XLOOKUP(FILTER('Rubric Definition'!A:A,('Rubric Definition'!E:E=A37)*('Rubric Definition'!C:C="Final")),'Criterion Averages'!A:A,'Criterion Averages'!C:C)) / SUM(FILTER('Rubric Definition'!D:D,('Rubric Definition'!E:E=A37)*('Rubric Definition'!C:C="Final"))),"")</f>
        <v/>
      </c>
      <c r="D37">
        <f>IF(AND(B37&lt;&gt;"",C37&lt;&gt;""),0.4*B37+0.6*C37,IF(B37&lt;&gt;"",B37,C37))</f>
        <v/>
      </c>
      <c r="E37">
        <f>IF(D37="","",IF(D37&gt;=2.5,3,IF(D37&gt;=2,2,IF(D37&gt;=1.5,1,0))))</f>
        <v/>
      </c>
      <c r="F37">
        <f>IFERROR(TEXTJOIN(", ",TRUE,UNIQUE(FILTER('Rubric Definition'!F:F,'Rubric Definition'!E:E=A37))),"")</f>
        <v/>
      </c>
      <c r="G37">
        <f>IFERROR(TEXTJOIN(", ",TRUE,UNIQUE(FILTER('Rubric Definition'!G:G,'Rubric Definition'!E:E=A37))),"")</f>
        <v/>
      </c>
    </row>
    <row r="38">
      <c r="B38">
        <f>IFERROR(SUMPRODUCT(FILTER('Rubric Definition'!D:D,('Rubric Definition'!E:E=A38)*('Rubric Definition'!C:C="Continuous")),XLOOKUP(FILTER('Rubric Definition'!A:A,('Rubric Definition'!E:E=A38)*('Rubric Definition'!C:C="Continuous")),'Criterion Averages'!A:A,'Criterion Averages'!C:C)) / SUM(FILTER('Rubric Definition'!D:D,('Rubric Definition'!E:E=A38)*('Rubric Definition'!C:C="Continuous"))),"")</f>
        <v/>
      </c>
      <c r="C38">
        <f>IFERROR(SUMPRODUCT(FILTER('Rubric Definition'!D:D,('Rubric Definition'!E:E=A38)*('Rubric Definition'!C:C="Final")),XLOOKUP(FILTER('Rubric Definition'!A:A,('Rubric Definition'!E:E=A38)*('Rubric Definition'!C:C="Final")),'Criterion Averages'!A:A,'Criterion Averages'!C:C)) / SUM(FILTER('Rubric Definition'!D:D,('Rubric Definition'!E:E=A38)*('Rubric Definition'!C:C="Final"))),"")</f>
        <v/>
      </c>
      <c r="D38">
        <f>IF(AND(B38&lt;&gt;"",C38&lt;&gt;""),0.4*B38+0.6*C38,IF(B38&lt;&gt;"",B38,C38))</f>
        <v/>
      </c>
      <c r="E38">
        <f>IF(D38="","",IF(D38&gt;=2.5,3,IF(D38&gt;=2,2,IF(D38&gt;=1.5,1,0))))</f>
        <v/>
      </c>
      <c r="F38">
        <f>IFERROR(TEXTJOIN(", ",TRUE,UNIQUE(FILTER('Rubric Definition'!F:F,'Rubric Definition'!E:E=A38))),"")</f>
        <v/>
      </c>
      <c r="G38">
        <f>IFERROR(TEXTJOIN(", ",TRUE,UNIQUE(FILTER('Rubric Definition'!G:G,'Rubric Definition'!E:E=A38))),"")</f>
        <v/>
      </c>
    </row>
    <row r="39">
      <c r="B39">
        <f>IFERROR(SUMPRODUCT(FILTER('Rubric Definition'!D:D,('Rubric Definition'!E:E=A39)*('Rubric Definition'!C:C="Continuous")),XLOOKUP(FILTER('Rubric Definition'!A:A,('Rubric Definition'!E:E=A39)*('Rubric Definition'!C:C="Continuous")),'Criterion Averages'!A:A,'Criterion Averages'!C:C)) / SUM(FILTER('Rubric Definition'!D:D,('Rubric Definition'!E:E=A39)*('Rubric Definition'!C:C="Continuous"))),"")</f>
        <v/>
      </c>
      <c r="C39">
        <f>IFERROR(SUMPRODUCT(FILTER('Rubric Definition'!D:D,('Rubric Definition'!E:E=A39)*('Rubric Definition'!C:C="Final")),XLOOKUP(FILTER('Rubric Definition'!A:A,('Rubric Definition'!E:E=A39)*('Rubric Definition'!C:C="Final")),'Criterion Averages'!A:A,'Criterion Averages'!C:C)) / SUM(FILTER('Rubric Definition'!D:D,('Rubric Definition'!E:E=A39)*('Rubric Definition'!C:C="Final"))),"")</f>
        <v/>
      </c>
      <c r="D39">
        <f>IF(AND(B39&lt;&gt;"",C39&lt;&gt;""),0.4*B39+0.6*C39,IF(B39&lt;&gt;"",B39,C39))</f>
        <v/>
      </c>
      <c r="E39">
        <f>IF(D39="","",IF(D39&gt;=2.5,3,IF(D39&gt;=2,2,IF(D39&gt;=1.5,1,0))))</f>
        <v/>
      </c>
      <c r="F39">
        <f>IFERROR(TEXTJOIN(", ",TRUE,UNIQUE(FILTER('Rubric Definition'!F:F,'Rubric Definition'!E:E=A39))),"")</f>
        <v/>
      </c>
      <c r="G39">
        <f>IFERROR(TEXTJOIN(", ",TRUE,UNIQUE(FILTER('Rubric Definition'!G:G,'Rubric Definition'!E:E=A39))),"")</f>
        <v/>
      </c>
    </row>
    <row r="40">
      <c r="B40">
        <f>IFERROR(SUMPRODUCT(FILTER('Rubric Definition'!D:D,('Rubric Definition'!E:E=A40)*('Rubric Definition'!C:C="Continuous")),XLOOKUP(FILTER('Rubric Definition'!A:A,('Rubric Definition'!E:E=A40)*('Rubric Definition'!C:C="Continuous")),'Criterion Averages'!A:A,'Criterion Averages'!C:C)) / SUM(FILTER('Rubric Definition'!D:D,('Rubric Definition'!E:E=A40)*('Rubric Definition'!C:C="Continuous"))),"")</f>
        <v/>
      </c>
      <c r="C40">
        <f>IFERROR(SUMPRODUCT(FILTER('Rubric Definition'!D:D,('Rubric Definition'!E:E=A40)*('Rubric Definition'!C:C="Final")),XLOOKUP(FILTER('Rubric Definition'!A:A,('Rubric Definition'!E:E=A40)*('Rubric Definition'!C:C="Final")),'Criterion Averages'!A:A,'Criterion Averages'!C:C)) / SUM(FILTER('Rubric Definition'!D:D,('Rubric Definition'!E:E=A40)*('Rubric Definition'!C:C="Final"))),"")</f>
        <v/>
      </c>
      <c r="D40">
        <f>IF(AND(B40&lt;&gt;"",C40&lt;&gt;""),0.4*B40+0.6*C40,IF(B40&lt;&gt;"",B40,C40))</f>
        <v/>
      </c>
      <c r="E40">
        <f>IF(D40="","",IF(D40&gt;=2.5,3,IF(D40&gt;=2,2,IF(D40&gt;=1.5,1,0))))</f>
        <v/>
      </c>
      <c r="F40">
        <f>IFERROR(TEXTJOIN(", ",TRUE,UNIQUE(FILTER('Rubric Definition'!F:F,'Rubric Definition'!E:E=A40))),"")</f>
        <v/>
      </c>
      <c r="G40">
        <f>IFERROR(TEXTJOIN(", ",TRUE,UNIQUE(FILTER('Rubric Definition'!G:G,'Rubric Definition'!E:E=A40))),"")</f>
        <v/>
      </c>
    </row>
    <row r="41">
      <c r="B41">
        <f>IFERROR(SUMPRODUCT(FILTER('Rubric Definition'!D:D,('Rubric Definition'!E:E=A41)*('Rubric Definition'!C:C="Continuous")),XLOOKUP(FILTER('Rubric Definition'!A:A,('Rubric Definition'!E:E=A41)*('Rubric Definition'!C:C="Continuous")),'Criterion Averages'!A:A,'Criterion Averages'!C:C)) / SUM(FILTER('Rubric Definition'!D:D,('Rubric Definition'!E:E=A41)*('Rubric Definition'!C:C="Continuous"))),"")</f>
        <v/>
      </c>
      <c r="C41">
        <f>IFERROR(SUMPRODUCT(FILTER('Rubric Definition'!D:D,('Rubric Definition'!E:E=A41)*('Rubric Definition'!C:C="Final")),XLOOKUP(FILTER('Rubric Definition'!A:A,('Rubric Definition'!E:E=A41)*('Rubric Definition'!C:C="Final")),'Criterion Averages'!A:A,'Criterion Averages'!C:C)) / SUM(FILTER('Rubric Definition'!D:D,('Rubric Definition'!E:E=A41)*('Rubric Definition'!C:C="Final"))),"")</f>
        <v/>
      </c>
      <c r="D41">
        <f>IF(AND(B41&lt;&gt;"",C41&lt;&gt;""),0.4*B41+0.6*C41,IF(B41&lt;&gt;"",B41,C41))</f>
        <v/>
      </c>
      <c r="E41">
        <f>IF(D41="","",IF(D41&gt;=2.5,3,IF(D41&gt;=2,2,IF(D41&gt;=1.5,1,0))))</f>
        <v/>
      </c>
      <c r="F41">
        <f>IFERROR(TEXTJOIN(", ",TRUE,UNIQUE(FILTER('Rubric Definition'!F:F,'Rubric Definition'!E:E=A41))),"")</f>
        <v/>
      </c>
      <c r="G41">
        <f>IFERROR(TEXTJOIN(", ",TRUE,UNIQUE(FILTER('Rubric Definition'!G:G,'Rubric Definition'!E:E=A41))),"")</f>
        <v/>
      </c>
    </row>
    <row r="42">
      <c r="B42">
        <f>IFERROR(SUMPRODUCT(FILTER('Rubric Definition'!D:D,('Rubric Definition'!E:E=A42)*('Rubric Definition'!C:C="Continuous")),XLOOKUP(FILTER('Rubric Definition'!A:A,('Rubric Definition'!E:E=A42)*('Rubric Definition'!C:C="Continuous")),'Criterion Averages'!A:A,'Criterion Averages'!C:C)) / SUM(FILTER('Rubric Definition'!D:D,('Rubric Definition'!E:E=A42)*('Rubric Definition'!C:C="Continuous"))),"")</f>
        <v/>
      </c>
      <c r="C42">
        <f>IFERROR(SUMPRODUCT(FILTER('Rubric Definition'!D:D,('Rubric Definition'!E:E=A42)*('Rubric Definition'!C:C="Final")),XLOOKUP(FILTER('Rubric Definition'!A:A,('Rubric Definition'!E:E=A42)*('Rubric Definition'!C:C="Final")),'Criterion Averages'!A:A,'Criterion Averages'!C:C)) / SUM(FILTER('Rubric Definition'!D:D,('Rubric Definition'!E:E=A42)*('Rubric Definition'!C:C="Final"))),"")</f>
        <v/>
      </c>
      <c r="D42">
        <f>IF(AND(B42&lt;&gt;"",C42&lt;&gt;""),0.4*B42+0.6*C42,IF(B42&lt;&gt;"",B42,C42))</f>
        <v/>
      </c>
      <c r="E42">
        <f>IF(D42="","",IF(D42&gt;=2.5,3,IF(D42&gt;=2,2,IF(D42&gt;=1.5,1,0))))</f>
        <v/>
      </c>
      <c r="F42">
        <f>IFERROR(TEXTJOIN(", ",TRUE,UNIQUE(FILTER('Rubric Definition'!F:F,'Rubric Definition'!E:E=A42))),"")</f>
        <v/>
      </c>
      <c r="G42">
        <f>IFERROR(TEXTJOIN(", ",TRUE,UNIQUE(FILTER('Rubric Definition'!G:G,'Rubric Definition'!E:E=A42))),"")</f>
        <v/>
      </c>
    </row>
    <row r="43">
      <c r="B43">
        <f>IFERROR(SUMPRODUCT(FILTER('Rubric Definition'!D:D,('Rubric Definition'!E:E=A43)*('Rubric Definition'!C:C="Continuous")),XLOOKUP(FILTER('Rubric Definition'!A:A,('Rubric Definition'!E:E=A43)*('Rubric Definition'!C:C="Continuous")),'Criterion Averages'!A:A,'Criterion Averages'!C:C)) / SUM(FILTER('Rubric Definition'!D:D,('Rubric Definition'!E:E=A43)*('Rubric Definition'!C:C="Continuous"))),"")</f>
        <v/>
      </c>
      <c r="C43">
        <f>IFERROR(SUMPRODUCT(FILTER('Rubric Definition'!D:D,('Rubric Definition'!E:E=A43)*('Rubric Definition'!C:C="Final")),XLOOKUP(FILTER('Rubric Definition'!A:A,('Rubric Definition'!E:E=A43)*('Rubric Definition'!C:C="Final")),'Criterion Averages'!A:A,'Criterion Averages'!C:C)) / SUM(FILTER('Rubric Definition'!D:D,('Rubric Definition'!E:E=A43)*('Rubric Definition'!C:C="Final"))),"")</f>
        <v/>
      </c>
      <c r="D43">
        <f>IF(AND(B43&lt;&gt;"",C43&lt;&gt;""),0.4*B43+0.6*C43,IF(B43&lt;&gt;"",B43,C43))</f>
        <v/>
      </c>
      <c r="E43">
        <f>IF(D43="","",IF(D43&gt;=2.5,3,IF(D43&gt;=2,2,IF(D43&gt;=1.5,1,0))))</f>
        <v/>
      </c>
      <c r="F43">
        <f>IFERROR(TEXTJOIN(", ",TRUE,UNIQUE(FILTER('Rubric Definition'!F:F,'Rubric Definition'!E:E=A43))),"")</f>
        <v/>
      </c>
      <c r="G43">
        <f>IFERROR(TEXTJOIN(", ",TRUE,UNIQUE(FILTER('Rubric Definition'!G:G,'Rubric Definition'!E:E=A43))),"")</f>
        <v/>
      </c>
    </row>
    <row r="44">
      <c r="B44">
        <f>IFERROR(SUMPRODUCT(FILTER('Rubric Definition'!D:D,('Rubric Definition'!E:E=A44)*('Rubric Definition'!C:C="Continuous")),XLOOKUP(FILTER('Rubric Definition'!A:A,('Rubric Definition'!E:E=A44)*('Rubric Definition'!C:C="Continuous")),'Criterion Averages'!A:A,'Criterion Averages'!C:C)) / SUM(FILTER('Rubric Definition'!D:D,('Rubric Definition'!E:E=A44)*('Rubric Definition'!C:C="Continuous"))),"")</f>
        <v/>
      </c>
      <c r="C44">
        <f>IFERROR(SUMPRODUCT(FILTER('Rubric Definition'!D:D,('Rubric Definition'!E:E=A44)*('Rubric Definition'!C:C="Final")),XLOOKUP(FILTER('Rubric Definition'!A:A,('Rubric Definition'!E:E=A44)*('Rubric Definition'!C:C="Final")),'Criterion Averages'!A:A,'Criterion Averages'!C:C)) / SUM(FILTER('Rubric Definition'!D:D,('Rubric Definition'!E:E=A44)*('Rubric Definition'!C:C="Final"))),"")</f>
        <v/>
      </c>
      <c r="D44">
        <f>IF(AND(B44&lt;&gt;"",C44&lt;&gt;""),0.4*B44+0.6*C44,IF(B44&lt;&gt;"",B44,C44))</f>
        <v/>
      </c>
      <c r="E44">
        <f>IF(D44="","",IF(D44&gt;=2.5,3,IF(D44&gt;=2,2,IF(D44&gt;=1.5,1,0))))</f>
        <v/>
      </c>
      <c r="F44">
        <f>IFERROR(TEXTJOIN(", ",TRUE,UNIQUE(FILTER('Rubric Definition'!F:F,'Rubric Definition'!E:E=A44))),"")</f>
        <v/>
      </c>
      <c r="G44">
        <f>IFERROR(TEXTJOIN(", ",TRUE,UNIQUE(FILTER('Rubric Definition'!G:G,'Rubric Definition'!E:E=A44))),"")</f>
        <v/>
      </c>
    </row>
    <row r="45">
      <c r="B45">
        <f>IFERROR(SUMPRODUCT(FILTER('Rubric Definition'!D:D,('Rubric Definition'!E:E=A45)*('Rubric Definition'!C:C="Continuous")),XLOOKUP(FILTER('Rubric Definition'!A:A,('Rubric Definition'!E:E=A45)*('Rubric Definition'!C:C="Continuous")),'Criterion Averages'!A:A,'Criterion Averages'!C:C)) / SUM(FILTER('Rubric Definition'!D:D,('Rubric Definition'!E:E=A45)*('Rubric Definition'!C:C="Continuous"))),"")</f>
        <v/>
      </c>
      <c r="C45">
        <f>IFERROR(SUMPRODUCT(FILTER('Rubric Definition'!D:D,('Rubric Definition'!E:E=A45)*('Rubric Definition'!C:C="Final")),XLOOKUP(FILTER('Rubric Definition'!A:A,('Rubric Definition'!E:E=A45)*('Rubric Definition'!C:C="Final")),'Criterion Averages'!A:A,'Criterion Averages'!C:C)) / SUM(FILTER('Rubric Definition'!D:D,('Rubric Definition'!E:E=A45)*('Rubric Definition'!C:C="Final"))),"")</f>
        <v/>
      </c>
      <c r="D45">
        <f>IF(AND(B45&lt;&gt;"",C45&lt;&gt;""),0.4*B45+0.6*C45,IF(B45&lt;&gt;"",B45,C45))</f>
        <v/>
      </c>
      <c r="E45">
        <f>IF(D45="","",IF(D45&gt;=2.5,3,IF(D45&gt;=2,2,IF(D45&gt;=1.5,1,0))))</f>
        <v/>
      </c>
      <c r="F45">
        <f>IFERROR(TEXTJOIN(", ",TRUE,UNIQUE(FILTER('Rubric Definition'!F:F,'Rubric Definition'!E:E=A45))),"")</f>
        <v/>
      </c>
      <c r="G45">
        <f>IFERROR(TEXTJOIN(", ",TRUE,UNIQUE(FILTER('Rubric Definition'!G:G,'Rubric Definition'!E:E=A45))),"")</f>
        <v/>
      </c>
    </row>
    <row r="46">
      <c r="B46">
        <f>IFERROR(SUMPRODUCT(FILTER('Rubric Definition'!D:D,('Rubric Definition'!E:E=A46)*('Rubric Definition'!C:C="Continuous")),XLOOKUP(FILTER('Rubric Definition'!A:A,('Rubric Definition'!E:E=A46)*('Rubric Definition'!C:C="Continuous")),'Criterion Averages'!A:A,'Criterion Averages'!C:C)) / SUM(FILTER('Rubric Definition'!D:D,('Rubric Definition'!E:E=A46)*('Rubric Definition'!C:C="Continuous"))),"")</f>
        <v/>
      </c>
      <c r="C46">
        <f>IFERROR(SUMPRODUCT(FILTER('Rubric Definition'!D:D,('Rubric Definition'!E:E=A46)*('Rubric Definition'!C:C="Final")),XLOOKUP(FILTER('Rubric Definition'!A:A,('Rubric Definition'!E:E=A46)*('Rubric Definition'!C:C="Final")),'Criterion Averages'!A:A,'Criterion Averages'!C:C)) / SUM(FILTER('Rubric Definition'!D:D,('Rubric Definition'!E:E=A46)*('Rubric Definition'!C:C="Final"))),"")</f>
        <v/>
      </c>
      <c r="D46">
        <f>IF(AND(B46&lt;&gt;"",C46&lt;&gt;""),0.4*B46+0.6*C46,IF(B46&lt;&gt;"",B46,C46))</f>
        <v/>
      </c>
      <c r="E46">
        <f>IF(D46="","",IF(D46&gt;=2.5,3,IF(D46&gt;=2,2,IF(D46&gt;=1.5,1,0))))</f>
        <v/>
      </c>
      <c r="F46">
        <f>IFERROR(TEXTJOIN(", ",TRUE,UNIQUE(FILTER('Rubric Definition'!F:F,'Rubric Definition'!E:E=A46))),"")</f>
        <v/>
      </c>
      <c r="G46">
        <f>IFERROR(TEXTJOIN(", ",TRUE,UNIQUE(FILTER('Rubric Definition'!G:G,'Rubric Definition'!E:E=A46))),"")</f>
        <v/>
      </c>
    </row>
    <row r="47">
      <c r="B47">
        <f>IFERROR(SUMPRODUCT(FILTER('Rubric Definition'!D:D,('Rubric Definition'!E:E=A47)*('Rubric Definition'!C:C="Continuous")),XLOOKUP(FILTER('Rubric Definition'!A:A,('Rubric Definition'!E:E=A47)*('Rubric Definition'!C:C="Continuous")),'Criterion Averages'!A:A,'Criterion Averages'!C:C)) / SUM(FILTER('Rubric Definition'!D:D,('Rubric Definition'!E:E=A47)*('Rubric Definition'!C:C="Continuous"))),"")</f>
        <v/>
      </c>
      <c r="C47">
        <f>IFERROR(SUMPRODUCT(FILTER('Rubric Definition'!D:D,('Rubric Definition'!E:E=A47)*('Rubric Definition'!C:C="Final")),XLOOKUP(FILTER('Rubric Definition'!A:A,('Rubric Definition'!E:E=A47)*('Rubric Definition'!C:C="Final")),'Criterion Averages'!A:A,'Criterion Averages'!C:C)) / SUM(FILTER('Rubric Definition'!D:D,('Rubric Definition'!E:E=A47)*('Rubric Definition'!C:C="Final"))),"")</f>
        <v/>
      </c>
      <c r="D47">
        <f>IF(AND(B47&lt;&gt;"",C47&lt;&gt;""),0.4*B47+0.6*C47,IF(B47&lt;&gt;"",B47,C47))</f>
        <v/>
      </c>
      <c r="E47">
        <f>IF(D47="","",IF(D47&gt;=2.5,3,IF(D47&gt;=2,2,IF(D47&gt;=1.5,1,0))))</f>
        <v/>
      </c>
      <c r="F47">
        <f>IFERROR(TEXTJOIN(", ",TRUE,UNIQUE(FILTER('Rubric Definition'!F:F,'Rubric Definition'!E:E=A47))),"")</f>
        <v/>
      </c>
      <c r="G47">
        <f>IFERROR(TEXTJOIN(", ",TRUE,UNIQUE(FILTER('Rubric Definition'!G:G,'Rubric Definition'!E:E=A47))),"")</f>
        <v/>
      </c>
    </row>
    <row r="48">
      <c r="B48">
        <f>IFERROR(SUMPRODUCT(FILTER('Rubric Definition'!D:D,('Rubric Definition'!E:E=A48)*('Rubric Definition'!C:C="Continuous")),XLOOKUP(FILTER('Rubric Definition'!A:A,('Rubric Definition'!E:E=A48)*('Rubric Definition'!C:C="Continuous")),'Criterion Averages'!A:A,'Criterion Averages'!C:C)) / SUM(FILTER('Rubric Definition'!D:D,('Rubric Definition'!E:E=A48)*('Rubric Definition'!C:C="Continuous"))),"")</f>
        <v/>
      </c>
      <c r="C48">
        <f>IFERROR(SUMPRODUCT(FILTER('Rubric Definition'!D:D,('Rubric Definition'!E:E=A48)*('Rubric Definition'!C:C="Final")),XLOOKUP(FILTER('Rubric Definition'!A:A,('Rubric Definition'!E:E=A48)*('Rubric Definition'!C:C="Final")),'Criterion Averages'!A:A,'Criterion Averages'!C:C)) / SUM(FILTER('Rubric Definition'!D:D,('Rubric Definition'!E:E=A48)*('Rubric Definition'!C:C="Final"))),"")</f>
        <v/>
      </c>
      <c r="D48">
        <f>IF(AND(B48&lt;&gt;"",C48&lt;&gt;""),0.4*B48+0.6*C48,IF(B48&lt;&gt;"",B48,C48))</f>
        <v/>
      </c>
      <c r="E48">
        <f>IF(D48="","",IF(D48&gt;=2.5,3,IF(D48&gt;=2,2,IF(D48&gt;=1.5,1,0))))</f>
        <v/>
      </c>
      <c r="F48">
        <f>IFERROR(TEXTJOIN(", ",TRUE,UNIQUE(FILTER('Rubric Definition'!F:F,'Rubric Definition'!E:E=A48))),"")</f>
        <v/>
      </c>
      <c r="G48">
        <f>IFERROR(TEXTJOIN(", ",TRUE,UNIQUE(FILTER('Rubric Definition'!G:G,'Rubric Definition'!E:E=A48))),"")</f>
        <v/>
      </c>
    </row>
    <row r="49">
      <c r="B49">
        <f>IFERROR(SUMPRODUCT(FILTER('Rubric Definition'!D:D,('Rubric Definition'!E:E=A49)*('Rubric Definition'!C:C="Continuous")),XLOOKUP(FILTER('Rubric Definition'!A:A,('Rubric Definition'!E:E=A49)*('Rubric Definition'!C:C="Continuous")),'Criterion Averages'!A:A,'Criterion Averages'!C:C)) / SUM(FILTER('Rubric Definition'!D:D,('Rubric Definition'!E:E=A49)*('Rubric Definition'!C:C="Continuous"))),"")</f>
        <v/>
      </c>
      <c r="C49">
        <f>IFERROR(SUMPRODUCT(FILTER('Rubric Definition'!D:D,('Rubric Definition'!E:E=A49)*('Rubric Definition'!C:C="Final")),XLOOKUP(FILTER('Rubric Definition'!A:A,('Rubric Definition'!E:E=A49)*('Rubric Definition'!C:C="Final")),'Criterion Averages'!A:A,'Criterion Averages'!C:C)) / SUM(FILTER('Rubric Definition'!D:D,('Rubric Definition'!E:E=A49)*('Rubric Definition'!C:C="Final"))),"")</f>
        <v/>
      </c>
      <c r="D49">
        <f>IF(AND(B49&lt;&gt;"",C49&lt;&gt;""),0.4*B49+0.6*C49,IF(B49&lt;&gt;"",B49,C49))</f>
        <v/>
      </c>
      <c r="E49">
        <f>IF(D49="","",IF(D49&gt;=2.5,3,IF(D49&gt;=2,2,IF(D49&gt;=1.5,1,0))))</f>
        <v/>
      </c>
      <c r="F49">
        <f>IFERROR(TEXTJOIN(", ",TRUE,UNIQUE(FILTER('Rubric Definition'!F:F,'Rubric Definition'!E:E=A49))),"")</f>
        <v/>
      </c>
      <c r="G49">
        <f>IFERROR(TEXTJOIN(", ",TRUE,UNIQUE(FILTER('Rubric Definition'!G:G,'Rubric Definition'!E:E=A49))),"")</f>
        <v/>
      </c>
    </row>
    <row r="50">
      <c r="B50">
        <f>IFERROR(SUMPRODUCT(FILTER('Rubric Definition'!D:D,('Rubric Definition'!E:E=A50)*('Rubric Definition'!C:C="Continuous")),XLOOKUP(FILTER('Rubric Definition'!A:A,('Rubric Definition'!E:E=A50)*('Rubric Definition'!C:C="Continuous")),'Criterion Averages'!A:A,'Criterion Averages'!C:C)) / SUM(FILTER('Rubric Definition'!D:D,('Rubric Definition'!E:E=A50)*('Rubric Definition'!C:C="Continuous"))),"")</f>
        <v/>
      </c>
      <c r="C50">
        <f>IFERROR(SUMPRODUCT(FILTER('Rubric Definition'!D:D,('Rubric Definition'!E:E=A50)*('Rubric Definition'!C:C="Final")),XLOOKUP(FILTER('Rubric Definition'!A:A,('Rubric Definition'!E:E=A50)*('Rubric Definition'!C:C="Final")),'Criterion Averages'!A:A,'Criterion Averages'!C:C)) / SUM(FILTER('Rubric Definition'!D:D,('Rubric Definition'!E:E=A50)*('Rubric Definition'!C:C="Final"))),"")</f>
        <v/>
      </c>
      <c r="D50">
        <f>IF(AND(B50&lt;&gt;"",C50&lt;&gt;""),0.4*B50+0.6*C50,IF(B50&lt;&gt;"",B50,C50))</f>
        <v/>
      </c>
      <c r="E50">
        <f>IF(D50="","",IF(D50&gt;=2.5,3,IF(D50&gt;=2,2,IF(D50&gt;=1.5,1,0))))</f>
        <v/>
      </c>
      <c r="F50">
        <f>IFERROR(TEXTJOIN(", ",TRUE,UNIQUE(FILTER('Rubric Definition'!F:F,'Rubric Definition'!E:E=A50))),"")</f>
        <v/>
      </c>
      <c r="G50">
        <f>IFERROR(TEXTJOIN(", ",TRUE,UNIQUE(FILTER('Rubric Definition'!G:G,'Rubric Definition'!E:E=A50))),"")</f>
        <v/>
      </c>
    </row>
    <row r="51">
      <c r="B51">
        <f>IFERROR(SUMPRODUCT(FILTER('Rubric Definition'!D:D,('Rubric Definition'!E:E=A51)*('Rubric Definition'!C:C="Continuous")),XLOOKUP(FILTER('Rubric Definition'!A:A,('Rubric Definition'!E:E=A51)*('Rubric Definition'!C:C="Continuous")),'Criterion Averages'!A:A,'Criterion Averages'!C:C)) / SUM(FILTER('Rubric Definition'!D:D,('Rubric Definition'!E:E=A51)*('Rubric Definition'!C:C="Continuous"))),"")</f>
        <v/>
      </c>
      <c r="C51">
        <f>IFERROR(SUMPRODUCT(FILTER('Rubric Definition'!D:D,('Rubric Definition'!E:E=A51)*('Rubric Definition'!C:C="Final")),XLOOKUP(FILTER('Rubric Definition'!A:A,('Rubric Definition'!E:E=A51)*('Rubric Definition'!C:C="Final")),'Criterion Averages'!A:A,'Criterion Averages'!C:C)) / SUM(FILTER('Rubric Definition'!D:D,('Rubric Definition'!E:E=A51)*('Rubric Definition'!C:C="Final"))),"")</f>
        <v/>
      </c>
      <c r="D51">
        <f>IF(AND(B51&lt;&gt;"",C51&lt;&gt;""),0.4*B51+0.6*C51,IF(B51&lt;&gt;"",B51,C51))</f>
        <v/>
      </c>
      <c r="E51">
        <f>IF(D51="","",IF(D51&gt;=2.5,3,IF(D51&gt;=2,2,IF(D51&gt;=1.5,1,0))))</f>
        <v/>
      </c>
      <c r="F51">
        <f>IFERROR(TEXTJOIN(", ",TRUE,UNIQUE(FILTER('Rubric Definition'!F:F,'Rubric Definition'!E:E=A51))),"")</f>
        <v/>
      </c>
      <c r="G51">
        <f>IFERROR(TEXTJOIN(", ",TRUE,UNIQUE(FILTER('Rubric Definition'!G:G,'Rubric Definition'!E:E=A51))),"")</f>
        <v/>
      </c>
    </row>
    <row r="52">
      <c r="B52">
        <f>IFERROR(SUMPRODUCT(FILTER('Rubric Definition'!D:D,('Rubric Definition'!E:E=A52)*('Rubric Definition'!C:C="Continuous")),XLOOKUP(FILTER('Rubric Definition'!A:A,('Rubric Definition'!E:E=A52)*('Rubric Definition'!C:C="Continuous")),'Criterion Averages'!A:A,'Criterion Averages'!C:C)) / SUM(FILTER('Rubric Definition'!D:D,('Rubric Definition'!E:E=A52)*('Rubric Definition'!C:C="Continuous"))),"")</f>
        <v/>
      </c>
      <c r="C52">
        <f>IFERROR(SUMPRODUCT(FILTER('Rubric Definition'!D:D,('Rubric Definition'!E:E=A52)*('Rubric Definition'!C:C="Final")),XLOOKUP(FILTER('Rubric Definition'!A:A,('Rubric Definition'!E:E=A52)*('Rubric Definition'!C:C="Final")),'Criterion Averages'!A:A,'Criterion Averages'!C:C)) / SUM(FILTER('Rubric Definition'!D:D,('Rubric Definition'!E:E=A52)*('Rubric Definition'!C:C="Final"))),"")</f>
        <v/>
      </c>
      <c r="D52">
        <f>IF(AND(B52&lt;&gt;"",C52&lt;&gt;""),0.4*B52+0.6*C52,IF(B52&lt;&gt;"",B52,C52))</f>
        <v/>
      </c>
      <c r="E52">
        <f>IF(D52="","",IF(D52&gt;=2.5,3,IF(D52&gt;=2,2,IF(D52&gt;=1.5,1,0))))</f>
        <v/>
      </c>
      <c r="F52">
        <f>IFERROR(TEXTJOIN(", ",TRUE,UNIQUE(FILTER('Rubric Definition'!F:F,'Rubric Definition'!E:E=A52))),"")</f>
        <v/>
      </c>
      <c r="G52">
        <f>IFERROR(TEXTJOIN(", ",TRUE,UNIQUE(FILTER('Rubric Definition'!G:G,'Rubric Definition'!E:E=A52))),"")</f>
        <v/>
      </c>
    </row>
    <row r="53">
      <c r="B53">
        <f>IFERROR(SUMPRODUCT(FILTER('Rubric Definition'!D:D,('Rubric Definition'!E:E=A53)*('Rubric Definition'!C:C="Continuous")),XLOOKUP(FILTER('Rubric Definition'!A:A,('Rubric Definition'!E:E=A53)*('Rubric Definition'!C:C="Continuous")),'Criterion Averages'!A:A,'Criterion Averages'!C:C)) / SUM(FILTER('Rubric Definition'!D:D,('Rubric Definition'!E:E=A53)*('Rubric Definition'!C:C="Continuous"))),"")</f>
        <v/>
      </c>
      <c r="C53">
        <f>IFERROR(SUMPRODUCT(FILTER('Rubric Definition'!D:D,('Rubric Definition'!E:E=A53)*('Rubric Definition'!C:C="Final")),XLOOKUP(FILTER('Rubric Definition'!A:A,('Rubric Definition'!E:E=A53)*('Rubric Definition'!C:C="Final")),'Criterion Averages'!A:A,'Criterion Averages'!C:C)) / SUM(FILTER('Rubric Definition'!D:D,('Rubric Definition'!E:E=A53)*('Rubric Definition'!C:C="Final"))),"")</f>
        <v/>
      </c>
      <c r="D53">
        <f>IF(AND(B53&lt;&gt;"",C53&lt;&gt;""),0.4*B53+0.6*C53,IF(B53&lt;&gt;"",B53,C53))</f>
        <v/>
      </c>
      <c r="E53">
        <f>IF(D53="","",IF(D53&gt;=2.5,3,IF(D53&gt;=2,2,IF(D53&gt;=1.5,1,0))))</f>
        <v/>
      </c>
      <c r="F53">
        <f>IFERROR(TEXTJOIN(", ",TRUE,UNIQUE(FILTER('Rubric Definition'!F:F,'Rubric Definition'!E:E=A53))),"")</f>
        <v/>
      </c>
      <c r="G53">
        <f>IFERROR(TEXTJOIN(", ",TRUE,UNIQUE(FILTER('Rubric Definition'!G:G,'Rubric Definition'!E:E=A53))),"")</f>
        <v/>
      </c>
    </row>
    <row r="54">
      <c r="B54">
        <f>IFERROR(SUMPRODUCT(FILTER('Rubric Definition'!D:D,('Rubric Definition'!E:E=A54)*('Rubric Definition'!C:C="Continuous")),XLOOKUP(FILTER('Rubric Definition'!A:A,('Rubric Definition'!E:E=A54)*('Rubric Definition'!C:C="Continuous")),'Criterion Averages'!A:A,'Criterion Averages'!C:C)) / SUM(FILTER('Rubric Definition'!D:D,('Rubric Definition'!E:E=A54)*('Rubric Definition'!C:C="Continuous"))),"")</f>
        <v/>
      </c>
      <c r="C54">
        <f>IFERROR(SUMPRODUCT(FILTER('Rubric Definition'!D:D,('Rubric Definition'!E:E=A54)*('Rubric Definition'!C:C="Final")),XLOOKUP(FILTER('Rubric Definition'!A:A,('Rubric Definition'!E:E=A54)*('Rubric Definition'!C:C="Final")),'Criterion Averages'!A:A,'Criterion Averages'!C:C)) / SUM(FILTER('Rubric Definition'!D:D,('Rubric Definition'!E:E=A54)*('Rubric Definition'!C:C="Final"))),"")</f>
        <v/>
      </c>
      <c r="D54">
        <f>IF(AND(B54&lt;&gt;"",C54&lt;&gt;""),0.4*B54+0.6*C54,IF(B54&lt;&gt;"",B54,C54))</f>
        <v/>
      </c>
      <c r="E54">
        <f>IF(D54="","",IF(D54&gt;=2.5,3,IF(D54&gt;=2,2,IF(D54&gt;=1.5,1,0))))</f>
        <v/>
      </c>
      <c r="F54">
        <f>IFERROR(TEXTJOIN(", ",TRUE,UNIQUE(FILTER('Rubric Definition'!F:F,'Rubric Definition'!E:E=A54))),"")</f>
        <v/>
      </c>
      <c r="G54">
        <f>IFERROR(TEXTJOIN(", ",TRUE,UNIQUE(FILTER('Rubric Definition'!G:G,'Rubric Definition'!E:E=A54))),"")</f>
        <v/>
      </c>
    </row>
    <row r="55">
      <c r="B55">
        <f>IFERROR(SUMPRODUCT(FILTER('Rubric Definition'!D:D,('Rubric Definition'!E:E=A55)*('Rubric Definition'!C:C="Continuous")),XLOOKUP(FILTER('Rubric Definition'!A:A,('Rubric Definition'!E:E=A55)*('Rubric Definition'!C:C="Continuous")),'Criterion Averages'!A:A,'Criterion Averages'!C:C)) / SUM(FILTER('Rubric Definition'!D:D,('Rubric Definition'!E:E=A55)*('Rubric Definition'!C:C="Continuous"))),"")</f>
        <v/>
      </c>
      <c r="C55">
        <f>IFERROR(SUMPRODUCT(FILTER('Rubric Definition'!D:D,('Rubric Definition'!E:E=A55)*('Rubric Definition'!C:C="Final")),XLOOKUP(FILTER('Rubric Definition'!A:A,('Rubric Definition'!E:E=A55)*('Rubric Definition'!C:C="Final")),'Criterion Averages'!A:A,'Criterion Averages'!C:C)) / SUM(FILTER('Rubric Definition'!D:D,('Rubric Definition'!E:E=A55)*('Rubric Definition'!C:C="Final"))),"")</f>
        <v/>
      </c>
      <c r="D55">
        <f>IF(AND(B55&lt;&gt;"",C55&lt;&gt;""),0.4*B55+0.6*C55,IF(B55&lt;&gt;"",B55,C55))</f>
        <v/>
      </c>
      <c r="E55">
        <f>IF(D55="","",IF(D55&gt;=2.5,3,IF(D55&gt;=2,2,IF(D55&gt;=1.5,1,0))))</f>
        <v/>
      </c>
      <c r="F55">
        <f>IFERROR(TEXTJOIN(", ",TRUE,UNIQUE(FILTER('Rubric Definition'!F:F,'Rubric Definition'!E:E=A55))),"")</f>
        <v/>
      </c>
      <c r="G55">
        <f>IFERROR(TEXTJOIN(", ",TRUE,UNIQUE(FILTER('Rubric Definition'!G:G,'Rubric Definition'!E:E=A55))),"")</f>
        <v/>
      </c>
    </row>
    <row r="56">
      <c r="B56">
        <f>IFERROR(SUMPRODUCT(FILTER('Rubric Definition'!D:D,('Rubric Definition'!E:E=A56)*('Rubric Definition'!C:C="Continuous")),XLOOKUP(FILTER('Rubric Definition'!A:A,('Rubric Definition'!E:E=A56)*('Rubric Definition'!C:C="Continuous")),'Criterion Averages'!A:A,'Criterion Averages'!C:C)) / SUM(FILTER('Rubric Definition'!D:D,('Rubric Definition'!E:E=A56)*('Rubric Definition'!C:C="Continuous"))),"")</f>
        <v/>
      </c>
      <c r="C56">
        <f>IFERROR(SUMPRODUCT(FILTER('Rubric Definition'!D:D,('Rubric Definition'!E:E=A56)*('Rubric Definition'!C:C="Final")),XLOOKUP(FILTER('Rubric Definition'!A:A,('Rubric Definition'!E:E=A56)*('Rubric Definition'!C:C="Final")),'Criterion Averages'!A:A,'Criterion Averages'!C:C)) / SUM(FILTER('Rubric Definition'!D:D,('Rubric Definition'!E:E=A56)*('Rubric Definition'!C:C="Final"))),"")</f>
        <v/>
      </c>
      <c r="D56">
        <f>IF(AND(B56&lt;&gt;"",C56&lt;&gt;""),0.4*B56+0.6*C56,IF(B56&lt;&gt;"",B56,C56))</f>
        <v/>
      </c>
      <c r="E56">
        <f>IF(D56="","",IF(D56&gt;=2.5,3,IF(D56&gt;=2,2,IF(D56&gt;=1.5,1,0))))</f>
        <v/>
      </c>
      <c r="F56">
        <f>IFERROR(TEXTJOIN(", ",TRUE,UNIQUE(FILTER('Rubric Definition'!F:F,'Rubric Definition'!E:E=A56))),"")</f>
        <v/>
      </c>
      <c r="G56">
        <f>IFERROR(TEXTJOIN(", ",TRUE,UNIQUE(FILTER('Rubric Definition'!G:G,'Rubric Definition'!E:E=A56))),"")</f>
        <v/>
      </c>
    </row>
    <row r="57">
      <c r="B57">
        <f>IFERROR(SUMPRODUCT(FILTER('Rubric Definition'!D:D,('Rubric Definition'!E:E=A57)*('Rubric Definition'!C:C="Continuous")),XLOOKUP(FILTER('Rubric Definition'!A:A,('Rubric Definition'!E:E=A57)*('Rubric Definition'!C:C="Continuous")),'Criterion Averages'!A:A,'Criterion Averages'!C:C)) / SUM(FILTER('Rubric Definition'!D:D,('Rubric Definition'!E:E=A57)*('Rubric Definition'!C:C="Continuous"))),"")</f>
        <v/>
      </c>
      <c r="C57">
        <f>IFERROR(SUMPRODUCT(FILTER('Rubric Definition'!D:D,('Rubric Definition'!E:E=A57)*('Rubric Definition'!C:C="Final")),XLOOKUP(FILTER('Rubric Definition'!A:A,('Rubric Definition'!E:E=A57)*('Rubric Definition'!C:C="Final")),'Criterion Averages'!A:A,'Criterion Averages'!C:C)) / SUM(FILTER('Rubric Definition'!D:D,('Rubric Definition'!E:E=A57)*('Rubric Definition'!C:C="Final"))),"")</f>
        <v/>
      </c>
      <c r="D57">
        <f>IF(AND(B57&lt;&gt;"",C57&lt;&gt;""),0.4*B57+0.6*C57,IF(B57&lt;&gt;"",B57,C57))</f>
        <v/>
      </c>
      <c r="E57">
        <f>IF(D57="","",IF(D57&gt;=2.5,3,IF(D57&gt;=2,2,IF(D57&gt;=1.5,1,0))))</f>
        <v/>
      </c>
      <c r="F57">
        <f>IFERROR(TEXTJOIN(", ",TRUE,UNIQUE(FILTER('Rubric Definition'!F:F,'Rubric Definition'!E:E=A57))),"")</f>
        <v/>
      </c>
      <c r="G57">
        <f>IFERROR(TEXTJOIN(", ",TRUE,UNIQUE(FILTER('Rubric Definition'!G:G,'Rubric Definition'!E:E=A57))),"")</f>
        <v/>
      </c>
    </row>
    <row r="58">
      <c r="B58">
        <f>IFERROR(SUMPRODUCT(FILTER('Rubric Definition'!D:D,('Rubric Definition'!E:E=A58)*('Rubric Definition'!C:C="Continuous")),XLOOKUP(FILTER('Rubric Definition'!A:A,('Rubric Definition'!E:E=A58)*('Rubric Definition'!C:C="Continuous")),'Criterion Averages'!A:A,'Criterion Averages'!C:C)) / SUM(FILTER('Rubric Definition'!D:D,('Rubric Definition'!E:E=A58)*('Rubric Definition'!C:C="Continuous"))),"")</f>
        <v/>
      </c>
      <c r="C58">
        <f>IFERROR(SUMPRODUCT(FILTER('Rubric Definition'!D:D,('Rubric Definition'!E:E=A58)*('Rubric Definition'!C:C="Final")),XLOOKUP(FILTER('Rubric Definition'!A:A,('Rubric Definition'!E:E=A58)*('Rubric Definition'!C:C="Final")),'Criterion Averages'!A:A,'Criterion Averages'!C:C)) / SUM(FILTER('Rubric Definition'!D:D,('Rubric Definition'!E:E=A58)*('Rubric Definition'!C:C="Final"))),"")</f>
        <v/>
      </c>
      <c r="D58">
        <f>IF(AND(B58&lt;&gt;"",C58&lt;&gt;""),0.4*B58+0.6*C58,IF(B58&lt;&gt;"",B58,C58))</f>
        <v/>
      </c>
      <c r="E58">
        <f>IF(D58="","",IF(D58&gt;=2.5,3,IF(D58&gt;=2,2,IF(D58&gt;=1.5,1,0))))</f>
        <v/>
      </c>
      <c r="F58">
        <f>IFERROR(TEXTJOIN(", ",TRUE,UNIQUE(FILTER('Rubric Definition'!F:F,'Rubric Definition'!E:E=A58))),"")</f>
        <v/>
      </c>
      <c r="G58">
        <f>IFERROR(TEXTJOIN(", ",TRUE,UNIQUE(FILTER('Rubric Definition'!G:G,'Rubric Definition'!E:E=A58))),"")</f>
        <v/>
      </c>
    </row>
    <row r="59">
      <c r="B59">
        <f>IFERROR(SUMPRODUCT(FILTER('Rubric Definition'!D:D,('Rubric Definition'!E:E=A59)*('Rubric Definition'!C:C="Continuous")),XLOOKUP(FILTER('Rubric Definition'!A:A,('Rubric Definition'!E:E=A59)*('Rubric Definition'!C:C="Continuous")),'Criterion Averages'!A:A,'Criterion Averages'!C:C)) / SUM(FILTER('Rubric Definition'!D:D,('Rubric Definition'!E:E=A59)*('Rubric Definition'!C:C="Continuous"))),"")</f>
        <v/>
      </c>
      <c r="C59">
        <f>IFERROR(SUMPRODUCT(FILTER('Rubric Definition'!D:D,('Rubric Definition'!E:E=A59)*('Rubric Definition'!C:C="Final")),XLOOKUP(FILTER('Rubric Definition'!A:A,('Rubric Definition'!E:E=A59)*('Rubric Definition'!C:C="Final")),'Criterion Averages'!A:A,'Criterion Averages'!C:C)) / SUM(FILTER('Rubric Definition'!D:D,('Rubric Definition'!E:E=A59)*('Rubric Definition'!C:C="Final"))),"")</f>
        <v/>
      </c>
      <c r="D59">
        <f>IF(AND(B59&lt;&gt;"",C59&lt;&gt;""),0.4*B59+0.6*C59,IF(B59&lt;&gt;"",B59,C59))</f>
        <v/>
      </c>
      <c r="E59">
        <f>IF(D59="","",IF(D59&gt;=2.5,3,IF(D59&gt;=2,2,IF(D59&gt;=1.5,1,0))))</f>
        <v/>
      </c>
      <c r="F59">
        <f>IFERROR(TEXTJOIN(", ",TRUE,UNIQUE(FILTER('Rubric Definition'!F:F,'Rubric Definition'!E:E=A59))),"")</f>
        <v/>
      </c>
      <c r="G59">
        <f>IFERROR(TEXTJOIN(", ",TRUE,UNIQUE(FILTER('Rubric Definition'!G:G,'Rubric Definition'!E:E=A59))),"")</f>
        <v/>
      </c>
    </row>
    <row r="60">
      <c r="B60">
        <f>IFERROR(SUMPRODUCT(FILTER('Rubric Definition'!D:D,('Rubric Definition'!E:E=A60)*('Rubric Definition'!C:C="Continuous")),XLOOKUP(FILTER('Rubric Definition'!A:A,('Rubric Definition'!E:E=A60)*('Rubric Definition'!C:C="Continuous")),'Criterion Averages'!A:A,'Criterion Averages'!C:C)) / SUM(FILTER('Rubric Definition'!D:D,('Rubric Definition'!E:E=A60)*('Rubric Definition'!C:C="Continuous"))),"")</f>
        <v/>
      </c>
      <c r="C60">
        <f>IFERROR(SUMPRODUCT(FILTER('Rubric Definition'!D:D,('Rubric Definition'!E:E=A60)*('Rubric Definition'!C:C="Final")),XLOOKUP(FILTER('Rubric Definition'!A:A,('Rubric Definition'!E:E=A60)*('Rubric Definition'!C:C="Final")),'Criterion Averages'!A:A,'Criterion Averages'!C:C)) / SUM(FILTER('Rubric Definition'!D:D,('Rubric Definition'!E:E=A60)*('Rubric Definition'!C:C="Final"))),"")</f>
        <v/>
      </c>
      <c r="D60">
        <f>IF(AND(B60&lt;&gt;"",C60&lt;&gt;""),0.4*B60+0.6*C60,IF(B60&lt;&gt;"",B60,C60))</f>
        <v/>
      </c>
      <c r="E60">
        <f>IF(D60="","",IF(D60&gt;=2.5,3,IF(D60&gt;=2,2,IF(D60&gt;=1.5,1,0))))</f>
        <v/>
      </c>
      <c r="F60">
        <f>IFERROR(TEXTJOIN(", ",TRUE,UNIQUE(FILTER('Rubric Definition'!F:F,'Rubric Definition'!E:E=A60))),"")</f>
        <v/>
      </c>
      <c r="G60">
        <f>IFERROR(TEXTJOIN(", ",TRUE,UNIQUE(FILTER('Rubric Definition'!G:G,'Rubric Definition'!E:E=A60))),"")</f>
        <v/>
      </c>
    </row>
    <row r="61">
      <c r="B61">
        <f>IFERROR(SUMPRODUCT(FILTER('Rubric Definition'!D:D,('Rubric Definition'!E:E=A61)*('Rubric Definition'!C:C="Continuous")),XLOOKUP(FILTER('Rubric Definition'!A:A,('Rubric Definition'!E:E=A61)*('Rubric Definition'!C:C="Continuous")),'Criterion Averages'!A:A,'Criterion Averages'!C:C)) / SUM(FILTER('Rubric Definition'!D:D,('Rubric Definition'!E:E=A61)*('Rubric Definition'!C:C="Continuous"))),"")</f>
        <v/>
      </c>
      <c r="C61">
        <f>IFERROR(SUMPRODUCT(FILTER('Rubric Definition'!D:D,('Rubric Definition'!E:E=A61)*('Rubric Definition'!C:C="Final")),XLOOKUP(FILTER('Rubric Definition'!A:A,('Rubric Definition'!E:E=A61)*('Rubric Definition'!C:C="Final")),'Criterion Averages'!A:A,'Criterion Averages'!C:C)) / SUM(FILTER('Rubric Definition'!D:D,('Rubric Definition'!E:E=A61)*('Rubric Definition'!C:C="Final"))),"")</f>
        <v/>
      </c>
      <c r="D61">
        <f>IF(AND(B61&lt;&gt;"",C61&lt;&gt;""),0.4*B61+0.6*C61,IF(B61&lt;&gt;"",B61,C61))</f>
        <v/>
      </c>
      <c r="E61">
        <f>IF(D61="","",IF(D61&gt;=2.5,3,IF(D61&gt;=2,2,IF(D61&gt;=1.5,1,0))))</f>
        <v/>
      </c>
      <c r="F61">
        <f>IFERROR(TEXTJOIN(", ",TRUE,UNIQUE(FILTER('Rubric Definition'!F:F,'Rubric Definition'!E:E=A61))),"")</f>
        <v/>
      </c>
      <c r="G61">
        <f>IFERROR(TEXTJOIN(", ",TRUE,UNIQUE(FILTER('Rubric Definition'!G:G,'Rubric Definition'!E:E=A61))),"")</f>
        <v/>
      </c>
    </row>
    <row r="62">
      <c r="B62">
        <f>IFERROR(SUMPRODUCT(FILTER('Rubric Definition'!D:D,('Rubric Definition'!E:E=A62)*('Rubric Definition'!C:C="Continuous")),XLOOKUP(FILTER('Rubric Definition'!A:A,('Rubric Definition'!E:E=A62)*('Rubric Definition'!C:C="Continuous")),'Criterion Averages'!A:A,'Criterion Averages'!C:C)) / SUM(FILTER('Rubric Definition'!D:D,('Rubric Definition'!E:E=A62)*('Rubric Definition'!C:C="Continuous"))),"")</f>
        <v/>
      </c>
      <c r="C62">
        <f>IFERROR(SUMPRODUCT(FILTER('Rubric Definition'!D:D,('Rubric Definition'!E:E=A62)*('Rubric Definition'!C:C="Final")),XLOOKUP(FILTER('Rubric Definition'!A:A,('Rubric Definition'!E:E=A62)*('Rubric Definition'!C:C="Final")),'Criterion Averages'!A:A,'Criterion Averages'!C:C)) / SUM(FILTER('Rubric Definition'!D:D,('Rubric Definition'!E:E=A62)*('Rubric Definition'!C:C="Final"))),"")</f>
        <v/>
      </c>
      <c r="D62">
        <f>IF(AND(B62&lt;&gt;"",C62&lt;&gt;""),0.4*B62+0.6*C62,IF(B62&lt;&gt;"",B62,C62))</f>
        <v/>
      </c>
      <c r="E62">
        <f>IF(D62="","",IF(D62&gt;=2.5,3,IF(D62&gt;=2,2,IF(D62&gt;=1.5,1,0))))</f>
        <v/>
      </c>
      <c r="F62">
        <f>IFERROR(TEXTJOIN(", ",TRUE,UNIQUE(FILTER('Rubric Definition'!F:F,'Rubric Definition'!E:E=A62))),"")</f>
        <v/>
      </c>
      <c r="G62">
        <f>IFERROR(TEXTJOIN(", ",TRUE,UNIQUE(FILTER('Rubric Definition'!G:G,'Rubric Definition'!E:E=A62))),"")</f>
        <v/>
      </c>
    </row>
    <row r="63">
      <c r="B63">
        <f>IFERROR(SUMPRODUCT(FILTER('Rubric Definition'!D:D,('Rubric Definition'!E:E=A63)*('Rubric Definition'!C:C="Continuous")),XLOOKUP(FILTER('Rubric Definition'!A:A,('Rubric Definition'!E:E=A63)*('Rubric Definition'!C:C="Continuous")),'Criterion Averages'!A:A,'Criterion Averages'!C:C)) / SUM(FILTER('Rubric Definition'!D:D,('Rubric Definition'!E:E=A63)*('Rubric Definition'!C:C="Continuous"))),"")</f>
        <v/>
      </c>
      <c r="C63">
        <f>IFERROR(SUMPRODUCT(FILTER('Rubric Definition'!D:D,('Rubric Definition'!E:E=A63)*('Rubric Definition'!C:C="Final")),XLOOKUP(FILTER('Rubric Definition'!A:A,('Rubric Definition'!E:E=A63)*('Rubric Definition'!C:C="Final")),'Criterion Averages'!A:A,'Criterion Averages'!C:C)) / SUM(FILTER('Rubric Definition'!D:D,('Rubric Definition'!E:E=A63)*('Rubric Definition'!C:C="Final"))),"")</f>
        <v/>
      </c>
      <c r="D63">
        <f>IF(AND(B63&lt;&gt;"",C63&lt;&gt;""),0.4*B63+0.6*C63,IF(B63&lt;&gt;"",B63,C63))</f>
        <v/>
      </c>
      <c r="E63">
        <f>IF(D63="","",IF(D63&gt;=2.5,3,IF(D63&gt;=2,2,IF(D63&gt;=1.5,1,0))))</f>
        <v/>
      </c>
      <c r="F63">
        <f>IFERROR(TEXTJOIN(", ",TRUE,UNIQUE(FILTER('Rubric Definition'!F:F,'Rubric Definition'!E:E=A63))),"")</f>
        <v/>
      </c>
      <c r="G63">
        <f>IFERROR(TEXTJOIN(", ",TRUE,UNIQUE(FILTER('Rubric Definition'!G:G,'Rubric Definition'!E:E=A63))),"")</f>
        <v/>
      </c>
    </row>
    <row r="64">
      <c r="B64">
        <f>IFERROR(SUMPRODUCT(FILTER('Rubric Definition'!D:D,('Rubric Definition'!E:E=A64)*('Rubric Definition'!C:C="Continuous")),XLOOKUP(FILTER('Rubric Definition'!A:A,('Rubric Definition'!E:E=A64)*('Rubric Definition'!C:C="Continuous")),'Criterion Averages'!A:A,'Criterion Averages'!C:C)) / SUM(FILTER('Rubric Definition'!D:D,('Rubric Definition'!E:E=A64)*('Rubric Definition'!C:C="Continuous"))),"")</f>
        <v/>
      </c>
      <c r="C64">
        <f>IFERROR(SUMPRODUCT(FILTER('Rubric Definition'!D:D,('Rubric Definition'!E:E=A64)*('Rubric Definition'!C:C="Final")),XLOOKUP(FILTER('Rubric Definition'!A:A,('Rubric Definition'!E:E=A64)*('Rubric Definition'!C:C="Final")),'Criterion Averages'!A:A,'Criterion Averages'!C:C)) / SUM(FILTER('Rubric Definition'!D:D,('Rubric Definition'!E:E=A64)*('Rubric Definition'!C:C="Final"))),"")</f>
        <v/>
      </c>
      <c r="D64">
        <f>IF(AND(B64&lt;&gt;"",C64&lt;&gt;""),0.4*B64+0.6*C64,IF(B64&lt;&gt;"",B64,C64))</f>
        <v/>
      </c>
      <c r="E64">
        <f>IF(D64="","",IF(D64&gt;=2.5,3,IF(D64&gt;=2,2,IF(D64&gt;=1.5,1,0))))</f>
        <v/>
      </c>
      <c r="F64">
        <f>IFERROR(TEXTJOIN(", ",TRUE,UNIQUE(FILTER('Rubric Definition'!F:F,'Rubric Definition'!E:E=A64))),"")</f>
        <v/>
      </c>
      <c r="G64">
        <f>IFERROR(TEXTJOIN(", ",TRUE,UNIQUE(FILTER('Rubric Definition'!G:G,'Rubric Definition'!E:E=A64))),"")</f>
        <v/>
      </c>
    </row>
    <row r="65">
      <c r="B65">
        <f>IFERROR(SUMPRODUCT(FILTER('Rubric Definition'!D:D,('Rubric Definition'!E:E=A65)*('Rubric Definition'!C:C="Continuous")),XLOOKUP(FILTER('Rubric Definition'!A:A,('Rubric Definition'!E:E=A65)*('Rubric Definition'!C:C="Continuous")),'Criterion Averages'!A:A,'Criterion Averages'!C:C)) / SUM(FILTER('Rubric Definition'!D:D,('Rubric Definition'!E:E=A65)*('Rubric Definition'!C:C="Continuous"))),"")</f>
        <v/>
      </c>
      <c r="C65">
        <f>IFERROR(SUMPRODUCT(FILTER('Rubric Definition'!D:D,('Rubric Definition'!E:E=A65)*('Rubric Definition'!C:C="Final")),XLOOKUP(FILTER('Rubric Definition'!A:A,('Rubric Definition'!E:E=A65)*('Rubric Definition'!C:C="Final")),'Criterion Averages'!A:A,'Criterion Averages'!C:C)) / SUM(FILTER('Rubric Definition'!D:D,('Rubric Definition'!E:E=A65)*('Rubric Definition'!C:C="Final"))),"")</f>
        <v/>
      </c>
      <c r="D65">
        <f>IF(AND(B65&lt;&gt;"",C65&lt;&gt;""),0.4*B65+0.6*C65,IF(B65&lt;&gt;"",B65,C65))</f>
        <v/>
      </c>
      <c r="E65">
        <f>IF(D65="","",IF(D65&gt;=2.5,3,IF(D65&gt;=2,2,IF(D65&gt;=1.5,1,0))))</f>
        <v/>
      </c>
      <c r="F65">
        <f>IFERROR(TEXTJOIN(", ",TRUE,UNIQUE(FILTER('Rubric Definition'!F:F,'Rubric Definition'!E:E=A65))),"")</f>
        <v/>
      </c>
      <c r="G65">
        <f>IFERROR(TEXTJOIN(", ",TRUE,UNIQUE(FILTER('Rubric Definition'!G:G,'Rubric Definition'!E:E=A65))),"")</f>
        <v/>
      </c>
    </row>
    <row r="66">
      <c r="B66">
        <f>IFERROR(SUMPRODUCT(FILTER('Rubric Definition'!D:D,('Rubric Definition'!E:E=A66)*('Rubric Definition'!C:C="Continuous")),XLOOKUP(FILTER('Rubric Definition'!A:A,('Rubric Definition'!E:E=A66)*('Rubric Definition'!C:C="Continuous")),'Criterion Averages'!A:A,'Criterion Averages'!C:C)) / SUM(FILTER('Rubric Definition'!D:D,('Rubric Definition'!E:E=A66)*('Rubric Definition'!C:C="Continuous"))),"")</f>
        <v/>
      </c>
      <c r="C66">
        <f>IFERROR(SUMPRODUCT(FILTER('Rubric Definition'!D:D,('Rubric Definition'!E:E=A66)*('Rubric Definition'!C:C="Final")),XLOOKUP(FILTER('Rubric Definition'!A:A,('Rubric Definition'!E:E=A66)*('Rubric Definition'!C:C="Final")),'Criterion Averages'!A:A,'Criterion Averages'!C:C)) / SUM(FILTER('Rubric Definition'!D:D,('Rubric Definition'!E:E=A66)*('Rubric Definition'!C:C="Final"))),"")</f>
        <v/>
      </c>
      <c r="D66">
        <f>IF(AND(B66&lt;&gt;"",C66&lt;&gt;""),0.4*B66+0.6*C66,IF(B66&lt;&gt;"",B66,C66))</f>
        <v/>
      </c>
      <c r="E66">
        <f>IF(D66="","",IF(D66&gt;=2.5,3,IF(D66&gt;=2,2,IF(D66&gt;=1.5,1,0))))</f>
        <v/>
      </c>
      <c r="F66">
        <f>IFERROR(TEXTJOIN(", ",TRUE,UNIQUE(FILTER('Rubric Definition'!F:F,'Rubric Definition'!E:E=A66))),"")</f>
        <v/>
      </c>
      <c r="G66">
        <f>IFERROR(TEXTJOIN(", ",TRUE,UNIQUE(FILTER('Rubric Definition'!G:G,'Rubric Definition'!E:E=A66))),"")</f>
        <v/>
      </c>
    </row>
    <row r="67">
      <c r="B67">
        <f>IFERROR(SUMPRODUCT(FILTER('Rubric Definition'!D:D,('Rubric Definition'!E:E=A67)*('Rubric Definition'!C:C="Continuous")),XLOOKUP(FILTER('Rubric Definition'!A:A,('Rubric Definition'!E:E=A67)*('Rubric Definition'!C:C="Continuous")),'Criterion Averages'!A:A,'Criterion Averages'!C:C)) / SUM(FILTER('Rubric Definition'!D:D,('Rubric Definition'!E:E=A67)*('Rubric Definition'!C:C="Continuous"))),"")</f>
        <v/>
      </c>
      <c r="C67">
        <f>IFERROR(SUMPRODUCT(FILTER('Rubric Definition'!D:D,('Rubric Definition'!E:E=A67)*('Rubric Definition'!C:C="Final")),XLOOKUP(FILTER('Rubric Definition'!A:A,('Rubric Definition'!E:E=A67)*('Rubric Definition'!C:C="Final")),'Criterion Averages'!A:A,'Criterion Averages'!C:C)) / SUM(FILTER('Rubric Definition'!D:D,('Rubric Definition'!E:E=A67)*('Rubric Definition'!C:C="Final"))),"")</f>
        <v/>
      </c>
      <c r="D67">
        <f>IF(AND(B67&lt;&gt;"",C67&lt;&gt;""),0.4*B67+0.6*C67,IF(B67&lt;&gt;"",B67,C67))</f>
        <v/>
      </c>
      <c r="E67">
        <f>IF(D67="","",IF(D67&gt;=2.5,3,IF(D67&gt;=2,2,IF(D67&gt;=1.5,1,0))))</f>
        <v/>
      </c>
      <c r="F67">
        <f>IFERROR(TEXTJOIN(", ",TRUE,UNIQUE(FILTER('Rubric Definition'!F:F,'Rubric Definition'!E:E=A67))),"")</f>
        <v/>
      </c>
      <c r="G67">
        <f>IFERROR(TEXTJOIN(", ",TRUE,UNIQUE(FILTER('Rubric Definition'!G:G,'Rubric Definition'!E:E=A67))),"")</f>
        <v/>
      </c>
    </row>
    <row r="68">
      <c r="B68">
        <f>IFERROR(SUMPRODUCT(FILTER('Rubric Definition'!D:D,('Rubric Definition'!E:E=A68)*('Rubric Definition'!C:C="Continuous")),XLOOKUP(FILTER('Rubric Definition'!A:A,('Rubric Definition'!E:E=A68)*('Rubric Definition'!C:C="Continuous")),'Criterion Averages'!A:A,'Criterion Averages'!C:C)) / SUM(FILTER('Rubric Definition'!D:D,('Rubric Definition'!E:E=A68)*('Rubric Definition'!C:C="Continuous"))),"")</f>
        <v/>
      </c>
      <c r="C68">
        <f>IFERROR(SUMPRODUCT(FILTER('Rubric Definition'!D:D,('Rubric Definition'!E:E=A68)*('Rubric Definition'!C:C="Final")),XLOOKUP(FILTER('Rubric Definition'!A:A,('Rubric Definition'!E:E=A68)*('Rubric Definition'!C:C="Final")),'Criterion Averages'!A:A,'Criterion Averages'!C:C)) / SUM(FILTER('Rubric Definition'!D:D,('Rubric Definition'!E:E=A68)*('Rubric Definition'!C:C="Final"))),"")</f>
        <v/>
      </c>
      <c r="D68">
        <f>IF(AND(B68&lt;&gt;"",C68&lt;&gt;""),0.4*B68+0.6*C68,IF(B68&lt;&gt;"",B68,C68))</f>
        <v/>
      </c>
      <c r="E68">
        <f>IF(D68="","",IF(D68&gt;=2.5,3,IF(D68&gt;=2,2,IF(D68&gt;=1.5,1,0))))</f>
        <v/>
      </c>
      <c r="F68">
        <f>IFERROR(TEXTJOIN(", ",TRUE,UNIQUE(FILTER('Rubric Definition'!F:F,'Rubric Definition'!E:E=A68))),"")</f>
        <v/>
      </c>
      <c r="G68">
        <f>IFERROR(TEXTJOIN(", ",TRUE,UNIQUE(FILTER('Rubric Definition'!G:G,'Rubric Definition'!E:E=A68))),"")</f>
        <v/>
      </c>
    </row>
    <row r="69">
      <c r="B69">
        <f>IFERROR(SUMPRODUCT(FILTER('Rubric Definition'!D:D,('Rubric Definition'!E:E=A69)*('Rubric Definition'!C:C="Continuous")),XLOOKUP(FILTER('Rubric Definition'!A:A,('Rubric Definition'!E:E=A69)*('Rubric Definition'!C:C="Continuous")),'Criterion Averages'!A:A,'Criterion Averages'!C:C)) / SUM(FILTER('Rubric Definition'!D:D,('Rubric Definition'!E:E=A69)*('Rubric Definition'!C:C="Continuous"))),"")</f>
        <v/>
      </c>
      <c r="C69">
        <f>IFERROR(SUMPRODUCT(FILTER('Rubric Definition'!D:D,('Rubric Definition'!E:E=A69)*('Rubric Definition'!C:C="Final")),XLOOKUP(FILTER('Rubric Definition'!A:A,('Rubric Definition'!E:E=A69)*('Rubric Definition'!C:C="Final")),'Criterion Averages'!A:A,'Criterion Averages'!C:C)) / SUM(FILTER('Rubric Definition'!D:D,('Rubric Definition'!E:E=A69)*('Rubric Definition'!C:C="Final"))),"")</f>
        <v/>
      </c>
      <c r="D69">
        <f>IF(AND(B69&lt;&gt;"",C69&lt;&gt;""),0.4*B69+0.6*C69,IF(B69&lt;&gt;"",B69,C69))</f>
        <v/>
      </c>
      <c r="E69">
        <f>IF(D69="","",IF(D69&gt;=2.5,3,IF(D69&gt;=2,2,IF(D69&gt;=1.5,1,0))))</f>
        <v/>
      </c>
      <c r="F69">
        <f>IFERROR(TEXTJOIN(", ",TRUE,UNIQUE(FILTER('Rubric Definition'!F:F,'Rubric Definition'!E:E=A69))),"")</f>
        <v/>
      </c>
      <c r="G69">
        <f>IFERROR(TEXTJOIN(", ",TRUE,UNIQUE(FILTER('Rubric Definition'!G:G,'Rubric Definition'!E:E=A69))),"")</f>
        <v/>
      </c>
    </row>
    <row r="70">
      <c r="B70">
        <f>IFERROR(SUMPRODUCT(FILTER('Rubric Definition'!D:D,('Rubric Definition'!E:E=A70)*('Rubric Definition'!C:C="Continuous")),XLOOKUP(FILTER('Rubric Definition'!A:A,('Rubric Definition'!E:E=A70)*('Rubric Definition'!C:C="Continuous")),'Criterion Averages'!A:A,'Criterion Averages'!C:C)) / SUM(FILTER('Rubric Definition'!D:D,('Rubric Definition'!E:E=A70)*('Rubric Definition'!C:C="Continuous"))),"")</f>
        <v/>
      </c>
      <c r="C70">
        <f>IFERROR(SUMPRODUCT(FILTER('Rubric Definition'!D:D,('Rubric Definition'!E:E=A70)*('Rubric Definition'!C:C="Final")),XLOOKUP(FILTER('Rubric Definition'!A:A,('Rubric Definition'!E:E=A70)*('Rubric Definition'!C:C="Final")),'Criterion Averages'!A:A,'Criterion Averages'!C:C)) / SUM(FILTER('Rubric Definition'!D:D,('Rubric Definition'!E:E=A70)*('Rubric Definition'!C:C="Final"))),"")</f>
        <v/>
      </c>
      <c r="D70">
        <f>IF(AND(B70&lt;&gt;"",C70&lt;&gt;""),0.4*B70+0.6*C70,IF(B70&lt;&gt;"",B70,C70))</f>
        <v/>
      </c>
      <c r="E70">
        <f>IF(D70="","",IF(D70&gt;=2.5,3,IF(D70&gt;=2,2,IF(D70&gt;=1.5,1,0))))</f>
        <v/>
      </c>
      <c r="F70">
        <f>IFERROR(TEXTJOIN(", ",TRUE,UNIQUE(FILTER('Rubric Definition'!F:F,'Rubric Definition'!E:E=A70))),"")</f>
        <v/>
      </c>
      <c r="G70">
        <f>IFERROR(TEXTJOIN(", ",TRUE,UNIQUE(FILTER('Rubric Definition'!G:G,'Rubric Definition'!E:E=A70))),"")</f>
        <v/>
      </c>
    </row>
    <row r="71">
      <c r="B71">
        <f>IFERROR(SUMPRODUCT(FILTER('Rubric Definition'!D:D,('Rubric Definition'!E:E=A71)*('Rubric Definition'!C:C="Continuous")),XLOOKUP(FILTER('Rubric Definition'!A:A,('Rubric Definition'!E:E=A71)*('Rubric Definition'!C:C="Continuous")),'Criterion Averages'!A:A,'Criterion Averages'!C:C)) / SUM(FILTER('Rubric Definition'!D:D,('Rubric Definition'!E:E=A71)*('Rubric Definition'!C:C="Continuous"))),"")</f>
        <v/>
      </c>
      <c r="C71">
        <f>IFERROR(SUMPRODUCT(FILTER('Rubric Definition'!D:D,('Rubric Definition'!E:E=A71)*('Rubric Definition'!C:C="Final")),XLOOKUP(FILTER('Rubric Definition'!A:A,('Rubric Definition'!E:E=A71)*('Rubric Definition'!C:C="Final")),'Criterion Averages'!A:A,'Criterion Averages'!C:C)) / SUM(FILTER('Rubric Definition'!D:D,('Rubric Definition'!E:E=A71)*('Rubric Definition'!C:C="Final"))),"")</f>
        <v/>
      </c>
      <c r="D71">
        <f>IF(AND(B71&lt;&gt;"",C71&lt;&gt;""),0.4*B71+0.6*C71,IF(B71&lt;&gt;"",B71,C71))</f>
        <v/>
      </c>
      <c r="E71">
        <f>IF(D71="","",IF(D71&gt;=2.5,3,IF(D71&gt;=2,2,IF(D71&gt;=1.5,1,0))))</f>
        <v/>
      </c>
      <c r="F71">
        <f>IFERROR(TEXTJOIN(", ",TRUE,UNIQUE(FILTER('Rubric Definition'!F:F,'Rubric Definition'!E:E=A71))),"")</f>
        <v/>
      </c>
      <c r="G71">
        <f>IFERROR(TEXTJOIN(", ",TRUE,UNIQUE(FILTER('Rubric Definition'!G:G,'Rubric Definition'!E:E=A71))),"")</f>
        <v/>
      </c>
    </row>
    <row r="72">
      <c r="B72">
        <f>IFERROR(SUMPRODUCT(FILTER('Rubric Definition'!D:D,('Rubric Definition'!E:E=A72)*('Rubric Definition'!C:C="Continuous")),XLOOKUP(FILTER('Rubric Definition'!A:A,('Rubric Definition'!E:E=A72)*('Rubric Definition'!C:C="Continuous")),'Criterion Averages'!A:A,'Criterion Averages'!C:C)) / SUM(FILTER('Rubric Definition'!D:D,('Rubric Definition'!E:E=A72)*('Rubric Definition'!C:C="Continuous"))),"")</f>
        <v/>
      </c>
      <c r="C72">
        <f>IFERROR(SUMPRODUCT(FILTER('Rubric Definition'!D:D,('Rubric Definition'!E:E=A72)*('Rubric Definition'!C:C="Final")),XLOOKUP(FILTER('Rubric Definition'!A:A,('Rubric Definition'!E:E=A72)*('Rubric Definition'!C:C="Final")),'Criterion Averages'!A:A,'Criterion Averages'!C:C)) / SUM(FILTER('Rubric Definition'!D:D,('Rubric Definition'!E:E=A72)*('Rubric Definition'!C:C="Final"))),"")</f>
        <v/>
      </c>
      <c r="D72">
        <f>IF(AND(B72&lt;&gt;"",C72&lt;&gt;""),0.4*B72+0.6*C72,IF(B72&lt;&gt;"",B72,C72))</f>
        <v/>
      </c>
      <c r="E72">
        <f>IF(D72="","",IF(D72&gt;=2.5,3,IF(D72&gt;=2,2,IF(D72&gt;=1.5,1,0))))</f>
        <v/>
      </c>
      <c r="F72">
        <f>IFERROR(TEXTJOIN(", ",TRUE,UNIQUE(FILTER('Rubric Definition'!F:F,'Rubric Definition'!E:E=A72))),"")</f>
        <v/>
      </c>
      <c r="G72">
        <f>IFERROR(TEXTJOIN(", ",TRUE,UNIQUE(FILTER('Rubric Definition'!G:G,'Rubric Definition'!E:E=A72))),"")</f>
        <v/>
      </c>
    </row>
    <row r="73">
      <c r="B73">
        <f>IFERROR(SUMPRODUCT(FILTER('Rubric Definition'!D:D,('Rubric Definition'!E:E=A73)*('Rubric Definition'!C:C="Continuous")),XLOOKUP(FILTER('Rubric Definition'!A:A,('Rubric Definition'!E:E=A73)*('Rubric Definition'!C:C="Continuous")),'Criterion Averages'!A:A,'Criterion Averages'!C:C)) / SUM(FILTER('Rubric Definition'!D:D,('Rubric Definition'!E:E=A73)*('Rubric Definition'!C:C="Continuous"))),"")</f>
        <v/>
      </c>
      <c r="C73">
        <f>IFERROR(SUMPRODUCT(FILTER('Rubric Definition'!D:D,('Rubric Definition'!E:E=A73)*('Rubric Definition'!C:C="Final")),XLOOKUP(FILTER('Rubric Definition'!A:A,('Rubric Definition'!E:E=A73)*('Rubric Definition'!C:C="Final")),'Criterion Averages'!A:A,'Criterion Averages'!C:C)) / SUM(FILTER('Rubric Definition'!D:D,('Rubric Definition'!E:E=A73)*('Rubric Definition'!C:C="Final"))),"")</f>
        <v/>
      </c>
      <c r="D73">
        <f>IF(AND(B73&lt;&gt;"",C73&lt;&gt;""),0.4*B73+0.6*C73,IF(B73&lt;&gt;"",B73,C73))</f>
        <v/>
      </c>
      <c r="E73">
        <f>IF(D73="","",IF(D73&gt;=2.5,3,IF(D73&gt;=2,2,IF(D73&gt;=1.5,1,0))))</f>
        <v/>
      </c>
      <c r="F73">
        <f>IFERROR(TEXTJOIN(", ",TRUE,UNIQUE(FILTER('Rubric Definition'!F:F,'Rubric Definition'!E:E=A73))),"")</f>
        <v/>
      </c>
      <c r="G73">
        <f>IFERROR(TEXTJOIN(", ",TRUE,UNIQUE(FILTER('Rubric Definition'!G:G,'Rubric Definition'!E:E=A73))),"")</f>
        <v/>
      </c>
    </row>
    <row r="74">
      <c r="B74">
        <f>IFERROR(SUMPRODUCT(FILTER('Rubric Definition'!D:D,('Rubric Definition'!E:E=A74)*('Rubric Definition'!C:C="Continuous")),XLOOKUP(FILTER('Rubric Definition'!A:A,('Rubric Definition'!E:E=A74)*('Rubric Definition'!C:C="Continuous")),'Criterion Averages'!A:A,'Criterion Averages'!C:C)) / SUM(FILTER('Rubric Definition'!D:D,('Rubric Definition'!E:E=A74)*('Rubric Definition'!C:C="Continuous"))),"")</f>
        <v/>
      </c>
      <c r="C74">
        <f>IFERROR(SUMPRODUCT(FILTER('Rubric Definition'!D:D,('Rubric Definition'!E:E=A74)*('Rubric Definition'!C:C="Final")),XLOOKUP(FILTER('Rubric Definition'!A:A,('Rubric Definition'!E:E=A74)*('Rubric Definition'!C:C="Final")),'Criterion Averages'!A:A,'Criterion Averages'!C:C)) / SUM(FILTER('Rubric Definition'!D:D,('Rubric Definition'!E:E=A74)*('Rubric Definition'!C:C="Final"))),"")</f>
        <v/>
      </c>
      <c r="D74">
        <f>IF(AND(B74&lt;&gt;"",C74&lt;&gt;""),0.4*B74+0.6*C74,IF(B74&lt;&gt;"",B74,C74))</f>
        <v/>
      </c>
      <c r="E74">
        <f>IF(D74="","",IF(D74&gt;=2.5,3,IF(D74&gt;=2,2,IF(D74&gt;=1.5,1,0))))</f>
        <v/>
      </c>
      <c r="F74">
        <f>IFERROR(TEXTJOIN(", ",TRUE,UNIQUE(FILTER('Rubric Definition'!F:F,'Rubric Definition'!E:E=A74))),"")</f>
        <v/>
      </c>
      <c r="G74">
        <f>IFERROR(TEXTJOIN(", ",TRUE,UNIQUE(FILTER('Rubric Definition'!G:G,'Rubric Definition'!E:E=A74))),"")</f>
        <v/>
      </c>
    </row>
    <row r="75">
      <c r="B75">
        <f>IFERROR(SUMPRODUCT(FILTER('Rubric Definition'!D:D,('Rubric Definition'!E:E=A75)*('Rubric Definition'!C:C="Continuous")),XLOOKUP(FILTER('Rubric Definition'!A:A,('Rubric Definition'!E:E=A75)*('Rubric Definition'!C:C="Continuous")),'Criterion Averages'!A:A,'Criterion Averages'!C:C)) / SUM(FILTER('Rubric Definition'!D:D,('Rubric Definition'!E:E=A75)*('Rubric Definition'!C:C="Continuous"))),"")</f>
        <v/>
      </c>
      <c r="C75">
        <f>IFERROR(SUMPRODUCT(FILTER('Rubric Definition'!D:D,('Rubric Definition'!E:E=A75)*('Rubric Definition'!C:C="Final")),XLOOKUP(FILTER('Rubric Definition'!A:A,('Rubric Definition'!E:E=A75)*('Rubric Definition'!C:C="Final")),'Criterion Averages'!A:A,'Criterion Averages'!C:C)) / SUM(FILTER('Rubric Definition'!D:D,('Rubric Definition'!E:E=A75)*('Rubric Definition'!C:C="Final"))),"")</f>
        <v/>
      </c>
      <c r="D75">
        <f>IF(AND(B75&lt;&gt;"",C75&lt;&gt;""),0.4*B75+0.6*C75,IF(B75&lt;&gt;"",B75,C75))</f>
        <v/>
      </c>
      <c r="E75">
        <f>IF(D75="","",IF(D75&gt;=2.5,3,IF(D75&gt;=2,2,IF(D75&gt;=1.5,1,0))))</f>
        <v/>
      </c>
      <c r="F75">
        <f>IFERROR(TEXTJOIN(", ",TRUE,UNIQUE(FILTER('Rubric Definition'!F:F,'Rubric Definition'!E:E=A75))),"")</f>
        <v/>
      </c>
      <c r="G75">
        <f>IFERROR(TEXTJOIN(", ",TRUE,UNIQUE(FILTER('Rubric Definition'!G:G,'Rubric Definition'!E:E=A75))),"")</f>
        <v/>
      </c>
    </row>
    <row r="76">
      <c r="B76">
        <f>IFERROR(SUMPRODUCT(FILTER('Rubric Definition'!D:D,('Rubric Definition'!E:E=A76)*('Rubric Definition'!C:C="Continuous")),XLOOKUP(FILTER('Rubric Definition'!A:A,('Rubric Definition'!E:E=A76)*('Rubric Definition'!C:C="Continuous")),'Criterion Averages'!A:A,'Criterion Averages'!C:C)) / SUM(FILTER('Rubric Definition'!D:D,('Rubric Definition'!E:E=A76)*('Rubric Definition'!C:C="Continuous"))),"")</f>
        <v/>
      </c>
      <c r="C76">
        <f>IFERROR(SUMPRODUCT(FILTER('Rubric Definition'!D:D,('Rubric Definition'!E:E=A76)*('Rubric Definition'!C:C="Final")),XLOOKUP(FILTER('Rubric Definition'!A:A,('Rubric Definition'!E:E=A76)*('Rubric Definition'!C:C="Final")),'Criterion Averages'!A:A,'Criterion Averages'!C:C)) / SUM(FILTER('Rubric Definition'!D:D,('Rubric Definition'!E:E=A76)*('Rubric Definition'!C:C="Final"))),"")</f>
        <v/>
      </c>
      <c r="D76">
        <f>IF(AND(B76&lt;&gt;"",C76&lt;&gt;""),0.4*B76+0.6*C76,IF(B76&lt;&gt;"",B76,C76))</f>
        <v/>
      </c>
      <c r="E76">
        <f>IF(D76="","",IF(D76&gt;=2.5,3,IF(D76&gt;=2,2,IF(D76&gt;=1.5,1,0))))</f>
        <v/>
      </c>
      <c r="F76">
        <f>IFERROR(TEXTJOIN(", ",TRUE,UNIQUE(FILTER('Rubric Definition'!F:F,'Rubric Definition'!E:E=A76))),"")</f>
        <v/>
      </c>
      <c r="G76">
        <f>IFERROR(TEXTJOIN(", ",TRUE,UNIQUE(FILTER('Rubric Definition'!G:G,'Rubric Definition'!E:E=A76))),"")</f>
        <v/>
      </c>
    </row>
    <row r="77">
      <c r="B77">
        <f>IFERROR(SUMPRODUCT(FILTER('Rubric Definition'!D:D,('Rubric Definition'!E:E=A77)*('Rubric Definition'!C:C="Continuous")),XLOOKUP(FILTER('Rubric Definition'!A:A,('Rubric Definition'!E:E=A77)*('Rubric Definition'!C:C="Continuous")),'Criterion Averages'!A:A,'Criterion Averages'!C:C)) / SUM(FILTER('Rubric Definition'!D:D,('Rubric Definition'!E:E=A77)*('Rubric Definition'!C:C="Continuous"))),"")</f>
        <v/>
      </c>
      <c r="C77">
        <f>IFERROR(SUMPRODUCT(FILTER('Rubric Definition'!D:D,('Rubric Definition'!E:E=A77)*('Rubric Definition'!C:C="Final")),XLOOKUP(FILTER('Rubric Definition'!A:A,('Rubric Definition'!E:E=A77)*('Rubric Definition'!C:C="Final")),'Criterion Averages'!A:A,'Criterion Averages'!C:C)) / SUM(FILTER('Rubric Definition'!D:D,('Rubric Definition'!E:E=A77)*('Rubric Definition'!C:C="Final"))),"")</f>
        <v/>
      </c>
      <c r="D77">
        <f>IF(AND(B77&lt;&gt;"",C77&lt;&gt;""),0.4*B77+0.6*C77,IF(B77&lt;&gt;"",B77,C77))</f>
        <v/>
      </c>
      <c r="E77">
        <f>IF(D77="","",IF(D77&gt;=2.5,3,IF(D77&gt;=2,2,IF(D77&gt;=1.5,1,0))))</f>
        <v/>
      </c>
      <c r="F77">
        <f>IFERROR(TEXTJOIN(", ",TRUE,UNIQUE(FILTER('Rubric Definition'!F:F,'Rubric Definition'!E:E=A77))),"")</f>
        <v/>
      </c>
      <c r="G77">
        <f>IFERROR(TEXTJOIN(", ",TRUE,UNIQUE(FILTER('Rubric Definition'!G:G,'Rubric Definition'!E:E=A77))),"")</f>
        <v/>
      </c>
    </row>
    <row r="78">
      <c r="B78">
        <f>IFERROR(SUMPRODUCT(FILTER('Rubric Definition'!D:D,('Rubric Definition'!E:E=A78)*('Rubric Definition'!C:C="Continuous")),XLOOKUP(FILTER('Rubric Definition'!A:A,('Rubric Definition'!E:E=A78)*('Rubric Definition'!C:C="Continuous")),'Criterion Averages'!A:A,'Criterion Averages'!C:C)) / SUM(FILTER('Rubric Definition'!D:D,('Rubric Definition'!E:E=A78)*('Rubric Definition'!C:C="Continuous"))),"")</f>
        <v/>
      </c>
      <c r="C78">
        <f>IFERROR(SUMPRODUCT(FILTER('Rubric Definition'!D:D,('Rubric Definition'!E:E=A78)*('Rubric Definition'!C:C="Final")),XLOOKUP(FILTER('Rubric Definition'!A:A,('Rubric Definition'!E:E=A78)*('Rubric Definition'!C:C="Final")),'Criterion Averages'!A:A,'Criterion Averages'!C:C)) / SUM(FILTER('Rubric Definition'!D:D,('Rubric Definition'!E:E=A78)*('Rubric Definition'!C:C="Final"))),"")</f>
        <v/>
      </c>
      <c r="D78">
        <f>IF(AND(B78&lt;&gt;"",C78&lt;&gt;""),0.4*B78+0.6*C78,IF(B78&lt;&gt;"",B78,C78))</f>
        <v/>
      </c>
      <c r="E78">
        <f>IF(D78="","",IF(D78&gt;=2.5,3,IF(D78&gt;=2,2,IF(D78&gt;=1.5,1,0))))</f>
        <v/>
      </c>
      <c r="F78">
        <f>IFERROR(TEXTJOIN(", ",TRUE,UNIQUE(FILTER('Rubric Definition'!F:F,'Rubric Definition'!E:E=A78))),"")</f>
        <v/>
      </c>
      <c r="G78">
        <f>IFERROR(TEXTJOIN(", ",TRUE,UNIQUE(FILTER('Rubric Definition'!G:G,'Rubric Definition'!E:E=A78))),"")</f>
        <v/>
      </c>
    </row>
    <row r="79">
      <c r="B79">
        <f>IFERROR(SUMPRODUCT(FILTER('Rubric Definition'!D:D,('Rubric Definition'!E:E=A79)*('Rubric Definition'!C:C="Continuous")),XLOOKUP(FILTER('Rubric Definition'!A:A,('Rubric Definition'!E:E=A79)*('Rubric Definition'!C:C="Continuous")),'Criterion Averages'!A:A,'Criterion Averages'!C:C)) / SUM(FILTER('Rubric Definition'!D:D,('Rubric Definition'!E:E=A79)*('Rubric Definition'!C:C="Continuous"))),"")</f>
        <v/>
      </c>
      <c r="C79">
        <f>IFERROR(SUMPRODUCT(FILTER('Rubric Definition'!D:D,('Rubric Definition'!E:E=A79)*('Rubric Definition'!C:C="Final")),XLOOKUP(FILTER('Rubric Definition'!A:A,('Rubric Definition'!E:E=A79)*('Rubric Definition'!C:C="Final")),'Criterion Averages'!A:A,'Criterion Averages'!C:C)) / SUM(FILTER('Rubric Definition'!D:D,('Rubric Definition'!E:E=A79)*('Rubric Definition'!C:C="Final"))),"")</f>
        <v/>
      </c>
      <c r="D79">
        <f>IF(AND(B79&lt;&gt;"",C79&lt;&gt;""),0.4*B79+0.6*C79,IF(B79&lt;&gt;"",B79,C79))</f>
        <v/>
      </c>
      <c r="E79">
        <f>IF(D79="","",IF(D79&gt;=2.5,3,IF(D79&gt;=2,2,IF(D79&gt;=1.5,1,0))))</f>
        <v/>
      </c>
      <c r="F79">
        <f>IFERROR(TEXTJOIN(", ",TRUE,UNIQUE(FILTER('Rubric Definition'!F:F,'Rubric Definition'!E:E=A79))),"")</f>
        <v/>
      </c>
      <c r="G79">
        <f>IFERROR(TEXTJOIN(", ",TRUE,UNIQUE(FILTER('Rubric Definition'!G:G,'Rubric Definition'!E:E=A79))),"")</f>
        <v/>
      </c>
    </row>
    <row r="80">
      <c r="B80">
        <f>IFERROR(SUMPRODUCT(FILTER('Rubric Definition'!D:D,('Rubric Definition'!E:E=A80)*('Rubric Definition'!C:C="Continuous")),XLOOKUP(FILTER('Rubric Definition'!A:A,('Rubric Definition'!E:E=A80)*('Rubric Definition'!C:C="Continuous")),'Criterion Averages'!A:A,'Criterion Averages'!C:C)) / SUM(FILTER('Rubric Definition'!D:D,('Rubric Definition'!E:E=A80)*('Rubric Definition'!C:C="Continuous"))),"")</f>
        <v/>
      </c>
      <c r="C80">
        <f>IFERROR(SUMPRODUCT(FILTER('Rubric Definition'!D:D,('Rubric Definition'!E:E=A80)*('Rubric Definition'!C:C="Final")),XLOOKUP(FILTER('Rubric Definition'!A:A,('Rubric Definition'!E:E=A80)*('Rubric Definition'!C:C="Final")),'Criterion Averages'!A:A,'Criterion Averages'!C:C)) / SUM(FILTER('Rubric Definition'!D:D,('Rubric Definition'!E:E=A80)*('Rubric Definition'!C:C="Final"))),"")</f>
        <v/>
      </c>
      <c r="D80">
        <f>IF(AND(B80&lt;&gt;"",C80&lt;&gt;""),0.4*B80+0.6*C80,IF(B80&lt;&gt;"",B80,C80))</f>
        <v/>
      </c>
      <c r="E80">
        <f>IF(D80="","",IF(D80&gt;=2.5,3,IF(D80&gt;=2,2,IF(D80&gt;=1.5,1,0))))</f>
        <v/>
      </c>
      <c r="F80">
        <f>IFERROR(TEXTJOIN(", ",TRUE,UNIQUE(FILTER('Rubric Definition'!F:F,'Rubric Definition'!E:E=A80))),"")</f>
        <v/>
      </c>
      <c r="G80">
        <f>IFERROR(TEXTJOIN(", ",TRUE,UNIQUE(FILTER('Rubric Definition'!G:G,'Rubric Definition'!E:E=A80))),"")</f>
        <v/>
      </c>
    </row>
    <row r="81">
      <c r="B81">
        <f>IFERROR(SUMPRODUCT(FILTER('Rubric Definition'!D:D,('Rubric Definition'!E:E=A81)*('Rubric Definition'!C:C="Continuous")),XLOOKUP(FILTER('Rubric Definition'!A:A,('Rubric Definition'!E:E=A81)*('Rubric Definition'!C:C="Continuous")),'Criterion Averages'!A:A,'Criterion Averages'!C:C)) / SUM(FILTER('Rubric Definition'!D:D,('Rubric Definition'!E:E=A81)*('Rubric Definition'!C:C="Continuous"))),"")</f>
        <v/>
      </c>
      <c r="C81">
        <f>IFERROR(SUMPRODUCT(FILTER('Rubric Definition'!D:D,('Rubric Definition'!E:E=A81)*('Rubric Definition'!C:C="Final")),XLOOKUP(FILTER('Rubric Definition'!A:A,('Rubric Definition'!E:E=A81)*('Rubric Definition'!C:C="Final")),'Criterion Averages'!A:A,'Criterion Averages'!C:C)) / SUM(FILTER('Rubric Definition'!D:D,('Rubric Definition'!E:E=A81)*('Rubric Definition'!C:C="Final"))),"")</f>
        <v/>
      </c>
      <c r="D81">
        <f>IF(AND(B81&lt;&gt;"",C81&lt;&gt;""),0.4*B81+0.6*C81,IF(B81&lt;&gt;"",B81,C81))</f>
        <v/>
      </c>
      <c r="E81">
        <f>IF(D81="","",IF(D81&gt;=2.5,3,IF(D81&gt;=2,2,IF(D81&gt;=1.5,1,0))))</f>
        <v/>
      </c>
      <c r="F81">
        <f>IFERROR(TEXTJOIN(", ",TRUE,UNIQUE(FILTER('Rubric Definition'!F:F,'Rubric Definition'!E:E=A81))),"")</f>
        <v/>
      </c>
      <c r="G81">
        <f>IFERROR(TEXTJOIN(", ",TRUE,UNIQUE(FILTER('Rubric Definition'!G:G,'Rubric Definition'!E:E=A81))),"")</f>
        <v/>
      </c>
    </row>
    <row r="82">
      <c r="B82">
        <f>IFERROR(SUMPRODUCT(FILTER('Rubric Definition'!D:D,('Rubric Definition'!E:E=A82)*('Rubric Definition'!C:C="Continuous")),XLOOKUP(FILTER('Rubric Definition'!A:A,('Rubric Definition'!E:E=A82)*('Rubric Definition'!C:C="Continuous")),'Criterion Averages'!A:A,'Criterion Averages'!C:C)) / SUM(FILTER('Rubric Definition'!D:D,('Rubric Definition'!E:E=A82)*('Rubric Definition'!C:C="Continuous"))),"")</f>
        <v/>
      </c>
      <c r="C82">
        <f>IFERROR(SUMPRODUCT(FILTER('Rubric Definition'!D:D,('Rubric Definition'!E:E=A82)*('Rubric Definition'!C:C="Final")),XLOOKUP(FILTER('Rubric Definition'!A:A,('Rubric Definition'!E:E=A82)*('Rubric Definition'!C:C="Final")),'Criterion Averages'!A:A,'Criterion Averages'!C:C)) / SUM(FILTER('Rubric Definition'!D:D,('Rubric Definition'!E:E=A82)*('Rubric Definition'!C:C="Final"))),"")</f>
        <v/>
      </c>
      <c r="D82">
        <f>IF(AND(B82&lt;&gt;"",C82&lt;&gt;""),0.4*B82+0.6*C82,IF(B82&lt;&gt;"",B82,C82))</f>
        <v/>
      </c>
      <c r="E82">
        <f>IF(D82="","",IF(D82&gt;=2.5,3,IF(D82&gt;=2,2,IF(D82&gt;=1.5,1,0))))</f>
        <v/>
      </c>
      <c r="F82">
        <f>IFERROR(TEXTJOIN(", ",TRUE,UNIQUE(FILTER('Rubric Definition'!F:F,'Rubric Definition'!E:E=A82))),"")</f>
        <v/>
      </c>
      <c r="G82">
        <f>IFERROR(TEXTJOIN(", ",TRUE,UNIQUE(FILTER('Rubric Definition'!G:G,'Rubric Definition'!E:E=A82))),"")</f>
        <v/>
      </c>
    </row>
    <row r="83">
      <c r="B83">
        <f>IFERROR(SUMPRODUCT(FILTER('Rubric Definition'!D:D,('Rubric Definition'!E:E=A83)*('Rubric Definition'!C:C="Continuous")),XLOOKUP(FILTER('Rubric Definition'!A:A,('Rubric Definition'!E:E=A83)*('Rubric Definition'!C:C="Continuous")),'Criterion Averages'!A:A,'Criterion Averages'!C:C)) / SUM(FILTER('Rubric Definition'!D:D,('Rubric Definition'!E:E=A83)*('Rubric Definition'!C:C="Continuous"))),"")</f>
        <v/>
      </c>
      <c r="C83">
        <f>IFERROR(SUMPRODUCT(FILTER('Rubric Definition'!D:D,('Rubric Definition'!E:E=A83)*('Rubric Definition'!C:C="Final")),XLOOKUP(FILTER('Rubric Definition'!A:A,('Rubric Definition'!E:E=A83)*('Rubric Definition'!C:C="Final")),'Criterion Averages'!A:A,'Criterion Averages'!C:C)) / SUM(FILTER('Rubric Definition'!D:D,('Rubric Definition'!E:E=A83)*('Rubric Definition'!C:C="Final"))),"")</f>
        <v/>
      </c>
      <c r="D83">
        <f>IF(AND(B83&lt;&gt;"",C83&lt;&gt;""),0.4*B83+0.6*C83,IF(B83&lt;&gt;"",B83,C83))</f>
        <v/>
      </c>
      <c r="E83">
        <f>IF(D83="","",IF(D83&gt;=2.5,3,IF(D83&gt;=2,2,IF(D83&gt;=1.5,1,0))))</f>
        <v/>
      </c>
      <c r="F83">
        <f>IFERROR(TEXTJOIN(", ",TRUE,UNIQUE(FILTER('Rubric Definition'!F:F,'Rubric Definition'!E:E=A83))),"")</f>
        <v/>
      </c>
      <c r="G83">
        <f>IFERROR(TEXTJOIN(", ",TRUE,UNIQUE(FILTER('Rubric Definition'!G:G,'Rubric Definition'!E:E=A83))),"")</f>
        <v/>
      </c>
    </row>
    <row r="84">
      <c r="B84">
        <f>IFERROR(SUMPRODUCT(FILTER('Rubric Definition'!D:D,('Rubric Definition'!E:E=A84)*('Rubric Definition'!C:C="Continuous")),XLOOKUP(FILTER('Rubric Definition'!A:A,('Rubric Definition'!E:E=A84)*('Rubric Definition'!C:C="Continuous")),'Criterion Averages'!A:A,'Criterion Averages'!C:C)) / SUM(FILTER('Rubric Definition'!D:D,('Rubric Definition'!E:E=A84)*('Rubric Definition'!C:C="Continuous"))),"")</f>
        <v/>
      </c>
      <c r="C84">
        <f>IFERROR(SUMPRODUCT(FILTER('Rubric Definition'!D:D,('Rubric Definition'!E:E=A84)*('Rubric Definition'!C:C="Final")),XLOOKUP(FILTER('Rubric Definition'!A:A,('Rubric Definition'!E:E=A84)*('Rubric Definition'!C:C="Final")),'Criterion Averages'!A:A,'Criterion Averages'!C:C)) / SUM(FILTER('Rubric Definition'!D:D,('Rubric Definition'!E:E=A84)*('Rubric Definition'!C:C="Final"))),"")</f>
        <v/>
      </c>
      <c r="D84">
        <f>IF(AND(B84&lt;&gt;"",C84&lt;&gt;""),0.4*B84+0.6*C84,IF(B84&lt;&gt;"",B84,C84))</f>
        <v/>
      </c>
      <c r="E84">
        <f>IF(D84="","",IF(D84&gt;=2.5,3,IF(D84&gt;=2,2,IF(D84&gt;=1.5,1,0))))</f>
        <v/>
      </c>
      <c r="F84">
        <f>IFERROR(TEXTJOIN(", ",TRUE,UNIQUE(FILTER('Rubric Definition'!F:F,'Rubric Definition'!E:E=A84))),"")</f>
        <v/>
      </c>
      <c r="G84">
        <f>IFERROR(TEXTJOIN(", ",TRUE,UNIQUE(FILTER('Rubric Definition'!G:G,'Rubric Definition'!E:E=A84))),"")</f>
        <v/>
      </c>
    </row>
    <row r="85">
      <c r="B85">
        <f>IFERROR(SUMPRODUCT(FILTER('Rubric Definition'!D:D,('Rubric Definition'!E:E=A85)*('Rubric Definition'!C:C="Continuous")),XLOOKUP(FILTER('Rubric Definition'!A:A,('Rubric Definition'!E:E=A85)*('Rubric Definition'!C:C="Continuous")),'Criterion Averages'!A:A,'Criterion Averages'!C:C)) / SUM(FILTER('Rubric Definition'!D:D,('Rubric Definition'!E:E=A85)*('Rubric Definition'!C:C="Continuous"))),"")</f>
        <v/>
      </c>
      <c r="C85">
        <f>IFERROR(SUMPRODUCT(FILTER('Rubric Definition'!D:D,('Rubric Definition'!E:E=A85)*('Rubric Definition'!C:C="Final")),XLOOKUP(FILTER('Rubric Definition'!A:A,('Rubric Definition'!E:E=A85)*('Rubric Definition'!C:C="Final")),'Criterion Averages'!A:A,'Criterion Averages'!C:C)) / SUM(FILTER('Rubric Definition'!D:D,('Rubric Definition'!E:E=A85)*('Rubric Definition'!C:C="Final"))),"")</f>
        <v/>
      </c>
      <c r="D85">
        <f>IF(AND(B85&lt;&gt;"",C85&lt;&gt;""),0.4*B85+0.6*C85,IF(B85&lt;&gt;"",B85,C85))</f>
        <v/>
      </c>
      <c r="E85">
        <f>IF(D85="","",IF(D85&gt;=2.5,3,IF(D85&gt;=2,2,IF(D85&gt;=1.5,1,0))))</f>
        <v/>
      </c>
      <c r="F85">
        <f>IFERROR(TEXTJOIN(", ",TRUE,UNIQUE(FILTER('Rubric Definition'!F:F,'Rubric Definition'!E:E=A85))),"")</f>
        <v/>
      </c>
      <c r="G85">
        <f>IFERROR(TEXTJOIN(", ",TRUE,UNIQUE(FILTER('Rubric Definition'!G:G,'Rubric Definition'!E:E=A85))),"")</f>
        <v/>
      </c>
    </row>
    <row r="86">
      <c r="B86">
        <f>IFERROR(SUMPRODUCT(FILTER('Rubric Definition'!D:D,('Rubric Definition'!E:E=A86)*('Rubric Definition'!C:C="Continuous")),XLOOKUP(FILTER('Rubric Definition'!A:A,('Rubric Definition'!E:E=A86)*('Rubric Definition'!C:C="Continuous")),'Criterion Averages'!A:A,'Criterion Averages'!C:C)) / SUM(FILTER('Rubric Definition'!D:D,('Rubric Definition'!E:E=A86)*('Rubric Definition'!C:C="Continuous"))),"")</f>
        <v/>
      </c>
      <c r="C86">
        <f>IFERROR(SUMPRODUCT(FILTER('Rubric Definition'!D:D,('Rubric Definition'!E:E=A86)*('Rubric Definition'!C:C="Final")),XLOOKUP(FILTER('Rubric Definition'!A:A,('Rubric Definition'!E:E=A86)*('Rubric Definition'!C:C="Final")),'Criterion Averages'!A:A,'Criterion Averages'!C:C)) / SUM(FILTER('Rubric Definition'!D:D,('Rubric Definition'!E:E=A86)*('Rubric Definition'!C:C="Final"))),"")</f>
        <v/>
      </c>
      <c r="D86">
        <f>IF(AND(B86&lt;&gt;"",C86&lt;&gt;""),0.4*B86+0.6*C86,IF(B86&lt;&gt;"",B86,C86))</f>
        <v/>
      </c>
      <c r="E86">
        <f>IF(D86="","",IF(D86&gt;=2.5,3,IF(D86&gt;=2,2,IF(D86&gt;=1.5,1,0))))</f>
        <v/>
      </c>
      <c r="F86">
        <f>IFERROR(TEXTJOIN(", ",TRUE,UNIQUE(FILTER('Rubric Definition'!F:F,'Rubric Definition'!E:E=A86))),"")</f>
        <v/>
      </c>
      <c r="G86">
        <f>IFERROR(TEXTJOIN(", ",TRUE,UNIQUE(FILTER('Rubric Definition'!G:G,'Rubric Definition'!E:E=A86))),"")</f>
        <v/>
      </c>
    </row>
    <row r="87">
      <c r="B87">
        <f>IFERROR(SUMPRODUCT(FILTER('Rubric Definition'!D:D,('Rubric Definition'!E:E=A87)*('Rubric Definition'!C:C="Continuous")),XLOOKUP(FILTER('Rubric Definition'!A:A,('Rubric Definition'!E:E=A87)*('Rubric Definition'!C:C="Continuous")),'Criterion Averages'!A:A,'Criterion Averages'!C:C)) / SUM(FILTER('Rubric Definition'!D:D,('Rubric Definition'!E:E=A87)*('Rubric Definition'!C:C="Continuous"))),"")</f>
        <v/>
      </c>
      <c r="C87">
        <f>IFERROR(SUMPRODUCT(FILTER('Rubric Definition'!D:D,('Rubric Definition'!E:E=A87)*('Rubric Definition'!C:C="Final")),XLOOKUP(FILTER('Rubric Definition'!A:A,('Rubric Definition'!E:E=A87)*('Rubric Definition'!C:C="Final")),'Criterion Averages'!A:A,'Criterion Averages'!C:C)) / SUM(FILTER('Rubric Definition'!D:D,('Rubric Definition'!E:E=A87)*('Rubric Definition'!C:C="Final"))),"")</f>
        <v/>
      </c>
      <c r="D87">
        <f>IF(AND(B87&lt;&gt;"",C87&lt;&gt;""),0.4*B87+0.6*C87,IF(B87&lt;&gt;"",B87,C87))</f>
        <v/>
      </c>
      <c r="E87">
        <f>IF(D87="","",IF(D87&gt;=2.5,3,IF(D87&gt;=2,2,IF(D87&gt;=1.5,1,0))))</f>
        <v/>
      </c>
      <c r="F87">
        <f>IFERROR(TEXTJOIN(", ",TRUE,UNIQUE(FILTER('Rubric Definition'!F:F,'Rubric Definition'!E:E=A87))),"")</f>
        <v/>
      </c>
      <c r="G87">
        <f>IFERROR(TEXTJOIN(", ",TRUE,UNIQUE(FILTER('Rubric Definition'!G:G,'Rubric Definition'!E:E=A87))),"")</f>
        <v/>
      </c>
    </row>
    <row r="88">
      <c r="B88">
        <f>IFERROR(SUMPRODUCT(FILTER('Rubric Definition'!D:D,('Rubric Definition'!E:E=A88)*('Rubric Definition'!C:C="Continuous")),XLOOKUP(FILTER('Rubric Definition'!A:A,('Rubric Definition'!E:E=A88)*('Rubric Definition'!C:C="Continuous")),'Criterion Averages'!A:A,'Criterion Averages'!C:C)) / SUM(FILTER('Rubric Definition'!D:D,('Rubric Definition'!E:E=A88)*('Rubric Definition'!C:C="Continuous"))),"")</f>
        <v/>
      </c>
      <c r="C88">
        <f>IFERROR(SUMPRODUCT(FILTER('Rubric Definition'!D:D,('Rubric Definition'!E:E=A88)*('Rubric Definition'!C:C="Final")),XLOOKUP(FILTER('Rubric Definition'!A:A,('Rubric Definition'!E:E=A88)*('Rubric Definition'!C:C="Final")),'Criterion Averages'!A:A,'Criterion Averages'!C:C)) / SUM(FILTER('Rubric Definition'!D:D,('Rubric Definition'!E:E=A88)*('Rubric Definition'!C:C="Final"))),"")</f>
        <v/>
      </c>
      <c r="D88">
        <f>IF(AND(B88&lt;&gt;"",C88&lt;&gt;""),0.4*B88+0.6*C88,IF(B88&lt;&gt;"",B88,C88))</f>
        <v/>
      </c>
      <c r="E88">
        <f>IF(D88="","",IF(D88&gt;=2.5,3,IF(D88&gt;=2,2,IF(D88&gt;=1.5,1,0))))</f>
        <v/>
      </c>
      <c r="F88">
        <f>IFERROR(TEXTJOIN(", ",TRUE,UNIQUE(FILTER('Rubric Definition'!F:F,'Rubric Definition'!E:E=A88))),"")</f>
        <v/>
      </c>
      <c r="G88">
        <f>IFERROR(TEXTJOIN(", ",TRUE,UNIQUE(FILTER('Rubric Definition'!G:G,'Rubric Definition'!E:E=A88))),"")</f>
        <v/>
      </c>
    </row>
    <row r="89">
      <c r="B89">
        <f>IFERROR(SUMPRODUCT(FILTER('Rubric Definition'!D:D,('Rubric Definition'!E:E=A89)*('Rubric Definition'!C:C="Continuous")),XLOOKUP(FILTER('Rubric Definition'!A:A,('Rubric Definition'!E:E=A89)*('Rubric Definition'!C:C="Continuous")),'Criterion Averages'!A:A,'Criterion Averages'!C:C)) / SUM(FILTER('Rubric Definition'!D:D,('Rubric Definition'!E:E=A89)*('Rubric Definition'!C:C="Continuous"))),"")</f>
        <v/>
      </c>
      <c r="C89">
        <f>IFERROR(SUMPRODUCT(FILTER('Rubric Definition'!D:D,('Rubric Definition'!E:E=A89)*('Rubric Definition'!C:C="Final")),XLOOKUP(FILTER('Rubric Definition'!A:A,('Rubric Definition'!E:E=A89)*('Rubric Definition'!C:C="Final")),'Criterion Averages'!A:A,'Criterion Averages'!C:C)) / SUM(FILTER('Rubric Definition'!D:D,('Rubric Definition'!E:E=A89)*('Rubric Definition'!C:C="Final"))),"")</f>
        <v/>
      </c>
      <c r="D89">
        <f>IF(AND(B89&lt;&gt;"",C89&lt;&gt;""),0.4*B89+0.6*C89,IF(B89&lt;&gt;"",B89,C89))</f>
        <v/>
      </c>
      <c r="E89">
        <f>IF(D89="","",IF(D89&gt;=2.5,3,IF(D89&gt;=2,2,IF(D89&gt;=1.5,1,0))))</f>
        <v/>
      </c>
      <c r="F89">
        <f>IFERROR(TEXTJOIN(", ",TRUE,UNIQUE(FILTER('Rubric Definition'!F:F,'Rubric Definition'!E:E=A89))),"")</f>
        <v/>
      </c>
      <c r="G89">
        <f>IFERROR(TEXTJOIN(", ",TRUE,UNIQUE(FILTER('Rubric Definition'!G:G,'Rubric Definition'!E:E=A89))),"")</f>
        <v/>
      </c>
    </row>
    <row r="90">
      <c r="B90">
        <f>IFERROR(SUMPRODUCT(FILTER('Rubric Definition'!D:D,('Rubric Definition'!E:E=A90)*('Rubric Definition'!C:C="Continuous")),XLOOKUP(FILTER('Rubric Definition'!A:A,('Rubric Definition'!E:E=A90)*('Rubric Definition'!C:C="Continuous")),'Criterion Averages'!A:A,'Criterion Averages'!C:C)) / SUM(FILTER('Rubric Definition'!D:D,('Rubric Definition'!E:E=A90)*('Rubric Definition'!C:C="Continuous"))),"")</f>
        <v/>
      </c>
      <c r="C90">
        <f>IFERROR(SUMPRODUCT(FILTER('Rubric Definition'!D:D,('Rubric Definition'!E:E=A90)*('Rubric Definition'!C:C="Final")),XLOOKUP(FILTER('Rubric Definition'!A:A,('Rubric Definition'!E:E=A90)*('Rubric Definition'!C:C="Final")),'Criterion Averages'!A:A,'Criterion Averages'!C:C)) / SUM(FILTER('Rubric Definition'!D:D,('Rubric Definition'!E:E=A90)*('Rubric Definition'!C:C="Final"))),"")</f>
        <v/>
      </c>
      <c r="D90">
        <f>IF(AND(B90&lt;&gt;"",C90&lt;&gt;""),0.4*B90+0.6*C90,IF(B90&lt;&gt;"",B90,C90))</f>
        <v/>
      </c>
      <c r="E90">
        <f>IF(D90="","",IF(D90&gt;=2.5,3,IF(D90&gt;=2,2,IF(D90&gt;=1.5,1,0))))</f>
        <v/>
      </c>
      <c r="F90">
        <f>IFERROR(TEXTJOIN(", ",TRUE,UNIQUE(FILTER('Rubric Definition'!F:F,'Rubric Definition'!E:E=A90))),"")</f>
        <v/>
      </c>
      <c r="G90">
        <f>IFERROR(TEXTJOIN(", ",TRUE,UNIQUE(FILTER('Rubric Definition'!G:G,'Rubric Definition'!E:E=A90))),"")</f>
        <v/>
      </c>
    </row>
    <row r="91">
      <c r="B91">
        <f>IFERROR(SUMPRODUCT(FILTER('Rubric Definition'!D:D,('Rubric Definition'!E:E=A91)*('Rubric Definition'!C:C="Continuous")),XLOOKUP(FILTER('Rubric Definition'!A:A,('Rubric Definition'!E:E=A91)*('Rubric Definition'!C:C="Continuous")),'Criterion Averages'!A:A,'Criterion Averages'!C:C)) / SUM(FILTER('Rubric Definition'!D:D,('Rubric Definition'!E:E=A91)*('Rubric Definition'!C:C="Continuous"))),"")</f>
        <v/>
      </c>
      <c r="C91">
        <f>IFERROR(SUMPRODUCT(FILTER('Rubric Definition'!D:D,('Rubric Definition'!E:E=A91)*('Rubric Definition'!C:C="Final")),XLOOKUP(FILTER('Rubric Definition'!A:A,('Rubric Definition'!E:E=A91)*('Rubric Definition'!C:C="Final")),'Criterion Averages'!A:A,'Criterion Averages'!C:C)) / SUM(FILTER('Rubric Definition'!D:D,('Rubric Definition'!E:E=A91)*('Rubric Definition'!C:C="Final"))),"")</f>
        <v/>
      </c>
      <c r="D91">
        <f>IF(AND(B91&lt;&gt;"",C91&lt;&gt;""),0.4*B91+0.6*C91,IF(B91&lt;&gt;"",B91,C91))</f>
        <v/>
      </c>
      <c r="E91">
        <f>IF(D91="","",IF(D91&gt;=2.5,3,IF(D91&gt;=2,2,IF(D91&gt;=1.5,1,0))))</f>
        <v/>
      </c>
      <c r="F91">
        <f>IFERROR(TEXTJOIN(", ",TRUE,UNIQUE(FILTER('Rubric Definition'!F:F,'Rubric Definition'!E:E=A91))),"")</f>
        <v/>
      </c>
      <c r="G91">
        <f>IFERROR(TEXTJOIN(", ",TRUE,UNIQUE(FILTER('Rubric Definition'!G:G,'Rubric Definition'!E:E=A91))),"")</f>
        <v/>
      </c>
    </row>
    <row r="92">
      <c r="B92">
        <f>IFERROR(SUMPRODUCT(FILTER('Rubric Definition'!D:D,('Rubric Definition'!E:E=A92)*('Rubric Definition'!C:C="Continuous")),XLOOKUP(FILTER('Rubric Definition'!A:A,('Rubric Definition'!E:E=A92)*('Rubric Definition'!C:C="Continuous")),'Criterion Averages'!A:A,'Criterion Averages'!C:C)) / SUM(FILTER('Rubric Definition'!D:D,('Rubric Definition'!E:E=A92)*('Rubric Definition'!C:C="Continuous"))),"")</f>
        <v/>
      </c>
      <c r="C92">
        <f>IFERROR(SUMPRODUCT(FILTER('Rubric Definition'!D:D,('Rubric Definition'!E:E=A92)*('Rubric Definition'!C:C="Final")),XLOOKUP(FILTER('Rubric Definition'!A:A,('Rubric Definition'!E:E=A92)*('Rubric Definition'!C:C="Final")),'Criterion Averages'!A:A,'Criterion Averages'!C:C)) / SUM(FILTER('Rubric Definition'!D:D,('Rubric Definition'!E:E=A92)*('Rubric Definition'!C:C="Final"))),"")</f>
        <v/>
      </c>
      <c r="D92">
        <f>IF(AND(B92&lt;&gt;"",C92&lt;&gt;""),0.4*B92+0.6*C92,IF(B92&lt;&gt;"",B92,C92))</f>
        <v/>
      </c>
      <c r="E92">
        <f>IF(D92="","",IF(D92&gt;=2.5,3,IF(D92&gt;=2,2,IF(D92&gt;=1.5,1,0))))</f>
        <v/>
      </c>
      <c r="F92">
        <f>IFERROR(TEXTJOIN(", ",TRUE,UNIQUE(FILTER('Rubric Definition'!F:F,'Rubric Definition'!E:E=A92))),"")</f>
        <v/>
      </c>
      <c r="G92">
        <f>IFERROR(TEXTJOIN(", ",TRUE,UNIQUE(FILTER('Rubric Definition'!G:G,'Rubric Definition'!E:E=A92))),"")</f>
        <v/>
      </c>
    </row>
    <row r="93">
      <c r="B93">
        <f>IFERROR(SUMPRODUCT(FILTER('Rubric Definition'!D:D,('Rubric Definition'!E:E=A93)*('Rubric Definition'!C:C="Continuous")),XLOOKUP(FILTER('Rubric Definition'!A:A,('Rubric Definition'!E:E=A93)*('Rubric Definition'!C:C="Continuous")),'Criterion Averages'!A:A,'Criterion Averages'!C:C)) / SUM(FILTER('Rubric Definition'!D:D,('Rubric Definition'!E:E=A93)*('Rubric Definition'!C:C="Continuous"))),"")</f>
        <v/>
      </c>
      <c r="C93">
        <f>IFERROR(SUMPRODUCT(FILTER('Rubric Definition'!D:D,('Rubric Definition'!E:E=A93)*('Rubric Definition'!C:C="Final")),XLOOKUP(FILTER('Rubric Definition'!A:A,('Rubric Definition'!E:E=A93)*('Rubric Definition'!C:C="Final")),'Criterion Averages'!A:A,'Criterion Averages'!C:C)) / SUM(FILTER('Rubric Definition'!D:D,('Rubric Definition'!E:E=A93)*('Rubric Definition'!C:C="Final"))),"")</f>
        <v/>
      </c>
      <c r="D93">
        <f>IF(AND(B93&lt;&gt;"",C93&lt;&gt;""),0.4*B93+0.6*C93,IF(B93&lt;&gt;"",B93,C93))</f>
        <v/>
      </c>
      <c r="E93">
        <f>IF(D93="","",IF(D93&gt;=2.5,3,IF(D93&gt;=2,2,IF(D93&gt;=1.5,1,0))))</f>
        <v/>
      </c>
      <c r="F93">
        <f>IFERROR(TEXTJOIN(", ",TRUE,UNIQUE(FILTER('Rubric Definition'!F:F,'Rubric Definition'!E:E=A93))),"")</f>
        <v/>
      </c>
      <c r="G93">
        <f>IFERROR(TEXTJOIN(", ",TRUE,UNIQUE(FILTER('Rubric Definition'!G:G,'Rubric Definition'!E:E=A93))),"")</f>
        <v/>
      </c>
    </row>
    <row r="94">
      <c r="B94">
        <f>IFERROR(SUMPRODUCT(FILTER('Rubric Definition'!D:D,('Rubric Definition'!E:E=A94)*('Rubric Definition'!C:C="Continuous")),XLOOKUP(FILTER('Rubric Definition'!A:A,('Rubric Definition'!E:E=A94)*('Rubric Definition'!C:C="Continuous")),'Criterion Averages'!A:A,'Criterion Averages'!C:C)) / SUM(FILTER('Rubric Definition'!D:D,('Rubric Definition'!E:E=A94)*('Rubric Definition'!C:C="Continuous"))),"")</f>
        <v/>
      </c>
      <c r="C94">
        <f>IFERROR(SUMPRODUCT(FILTER('Rubric Definition'!D:D,('Rubric Definition'!E:E=A94)*('Rubric Definition'!C:C="Final")),XLOOKUP(FILTER('Rubric Definition'!A:A,('Rubric Definition'!E:E=A94)*('Rubric Definition'!C:C="Final")),'Criterion Averages'!A:A,'Criterion Averages'!C:C)) / SUM(FILTER('Rubric Definition'!D:D,('Rubric Definition'!E:E=A94)*('Rubric Definition'!C:C="Final"))),"")</f>
        <v/>
      </c>
      <c r="D94">
        <f>IF(AND(B94&lt;&gt;"",C94&lt;&gt;""),0.4*B94+0.6*C94,IF(B94&lt;&gt;"",B94,C94))</f>
        <v/>
      </c>
      <c r="E94">
        <f>IF(D94="","",IF(D94&gt;=2.5,3,IF(D94&gt;=2,2,IF(D94&gt;=1.5,1,0))))</f>
        <v/>
      </c>
      <c r="F94">
        <f>IFERROR(TEXTJOIN(", ",TRUE,UNIQUE(FILTER('Rubric Definition'!F:F,'Rubric Definition'!E:E=A94))),"")</f>
        <v/>
      </c>
      <c r="G94">
        <f>IFERROR(TEXTJOIN(", ",TRUE,UNIQUE(FILTER('Rubric Definition'!G:G,'Rubric Definition'!E:E=A94))),"")</f>
        <v/>
      </c>
    </row>
    <row r="95">
      <c r="B95">
        <f>IFERROR(SUMPRODUCT(FILTER('Rubric Definition'!D:D,('Rubric Definition'!E:E=A95)*('Rubric Definition'!C:C="Continuous")),XLOOKUP(FILTER('Rubric Definition'!A:A,('Rubric Definition'!E:E=A95)*('Rubric Definition'!C:C="Continuous")),'Criterion Averages'!A:A,'Criterion Averages'!C:C)) / SUM(FILTER('Rubric Definition'!D:D,('Rubric Definition'!E:E=A95)*('Rubric Definition'!C:C="Continuous"))),"")</f>
        <v/>
      </c>
      <c r="C95">
        <f>IFERROR(SUMPRODUCT(FILTER('Rubric Definition'!D:D,('Rubric Definition'!E:E=A95)*('Rubric Definition'!C:C="Final")),XLOOKUP(FILTER('Rubric Definition'!A:A,('Rubric Definition'!E:E=A95)*('Rubric Definition'!C:C="Final")),'Criterion Averages'!A:A,'Criterion Averages'!C:C)) / SUM(FILTER('Rubric Definition'!D:D,('Rubric Definition'!E:E=A95)*('Rubric Definition'!C:C="Final"))),"")</f>
        <v/>
      </c>
      <c r="D95">
        <f>IF(AND(B95&lt;&gt;"",C95&lt;&gt;""),0.4*B95+0.6*C95,IF(B95&lt;&gt;"",B95,C95))</f>
        <v/>
      </c>
      <c r="E95">
        <f>IF(D95="","",IF(D95&gt;=2.5,3,IF(D95&gt;=2,2,IF(D95&gt;=1.5,1,0))))</f>
        <v/>
      </c>
      <c r="F95">
        <f>IFERROR(TEXTJOIN(", ",TRUE,UNIQUE(FILTER('Rubric Definition'!F:F,'Rubric Definition'!E:E=A95))),"")</f>
        <v/>
      </c>
      <c r="G95">
        <f>IFERROR(TEXTJOIN(", ",TRUE,UNIQUE(FILTER('Rubric Definition'!G:G,'Rubric Definition'!E:E=A95))),"")</f>
        <v/>
      </c>
    </row>
    <row r="96">
      <c r="B96">
        <f>IFERROR(SUMPRODUCT(FILTER('Rubric Definition'!D:D,('Rubric Definition'!E:E=A96)*('Rubric Definition'!C:C="Continuous")),XLOOKUP(FILTER('Rubric Definition'!A:A,('Rubric Definition'!E:E=A96)*('Rubric Definition'!C:C="Continuous")),'Criterion Averages'!A:A,'Criterion Averages'!C:C)) / SUM(FILTER('Rubric Definition'!D:D,('Rubric Definition'!E:E=A96)*('Rubric Definition'!C:C="Continuous"))),"")</f>
        <v/>
      </c>
      <c r="C96">
        <f>IFERROR(SUMPRODUCT(FILTER('Rubric Definition'!D:D,('Rubric Definition'!E:E=A96)*('Rubric Definition'!C:C="Final")),XLOOKUP(FILTER('Rubric Definition'!A:A,('Rubric Definition'!E:E=A96)*('Rubric Definition'!C:C="Final")),'Criterion Averages'!A:A,'Criterion Averages'!C:C)) / SUM(FILTER('Rubric Definition'!D:D,('Rubric Definition'!E:E=A96)*('Rubric Definition'!C:C="Final"))),"")</f>
        <v/>
      </c>
      <c r="D96">
        <f>IF(AND(B96&lt;&gt;"",C96&lt;&gt;""),0.4*B96+0.6*C96,IF(B96&lt;&gt;"",B96,C96))</f>
        <v/>
      </c>
      <c r="E96">
        <f>IF(D96="","",IF(D96&gt;=2.5,3,IF(D96&gt;=2,2,IF(D96&gt;=1.5,1,0))))</f>
        <v/>
      </c>
      <c r="F96">
        <f>IFERROR(TEXTJOIN(", ",TRUE,UNIQUE(FILTER('Rubric Definition'!F:F,'Rubric Definition'!E:E=A96))),"")</f>
        <v/>
      </c>
      <c r="G96">
        <f>IFERROR(TEXTJOIN(", ",TRUE,UNIQUE(FILTER('Rubric Definition'!G:G,'Rubric Definition'!E:E=A96))),"")</f>
        <v/>
      </c>
    </row>
    <row r="97">
      <c r="B97">
        <f>IFERROR(SUMPRODUCT(FILTER('Rubric Definition'!D:D,('Rubric Definition'!E:E=A97)*('Rubric Definition'!C:C="Continuous")),XLOOKUP(FILTER('Rubric Definition'!A:A,('Rubric Definition'!E:E=A97)*('Rubric Definition'!C:C="Continuous")),'Criterion Averages'!A:A,'Criterion Averages'!C:C)) / SUM(FILTER('Rubric Definition'!D:D,('Rubric Definition'!E:E=A97)*('Rubric Definition'!C:C="Continuous"))),"")</f>
        <v/>
      </c>
      <c r="C97">
        <f>IFERROR(SUMPRODUCT(FILTER('Rubric Definition'!D:D,('Rubric Definition'!E:E=A97)*('Rubric Definition'!C:C="Final")),XLOOKUP(FILTER('Rubric Definition'!A:A,('Rubric Definition'!E:E=A97)*('Rubric Definition'!C:C="Final")),'Criterion Averages'!A:A,'Criterion Averages'!C:C)) / SUM(FILTER('Rubric Definition'!D:D,('Rubric Definition'!E:E=A97)*('Rubric Definition'!C:C="Final"))),"")</f>
        <v/>
      </c>
      <c r="D97">
        <f>IF(AND(B97&lt;&gt;"",C97&lt;&gt;""),0.4*B97+0.6*C97,IF(B97&lt;&gt;"",B97,C97))</f>
        <v/>
      </c>
      <c r="E97">
        <f>IF(D97="","",IF(D97&gt;=2.5,3,IF(D97&gt;=2,2,IF(D97&gt;=1.5,1,0))))</f>
        <v/>
      </c>
      <c r="F97">
        <f>IFERROR(TEXTJOIN(", ",TRUE,UNIQUE(FILTER('Rubric Definition'!F:F,'Rubric Definition'!E:E=A97))),"")</f>
        <v/>
      </c>
      <c r="G97">
        <f>IFERROR(TEXTJOIN(", ",TRUE,UNIQUE(FILTER('Rubric Definition'!G:G,'Rubric Definition'!E:E=A97))),"")</f>
        <v/>
      </c>
    </row>
    <row r="98">
      <c r="B98">
        <f>IFERROR(SUMPRODUCT(FILTER('Rubric Definition'!D:D,('Rubric Definition'!E:E=A98)*('Rubric Definition'!C:C="Continuous")),XLOOKUP(FILTER('Rubric Definition'!A:A,('Rubric Definition'!E:E=A98)*('Rubric Definition'!C:C="Continuous")),'Criterion Averages'!A:A,'Criterion Averages'!C:C)) / SUM(FILTER('Rubric Definition'!D:D,('Rubric Definition'!E:E=A98)*('Rubric Definition'!C:C="Continuous"))),"")</f>
        <v/>
      </c>
      <c r="C98">
        <f>IFERROR(SUMPRODUCT(FILTER('Rubric Definition'!D:D,('Rubric Definition'!E:E=A98)*('Rubric Definition'!C:C="Final")),XLOOKUP(FILTER('Rubric Definition'!A:A,('Rubric Definition'!E:E=A98)*('Rubric Definition'!C:C="Final")),'Criterion Averages'!A:A,'Criterion Averages'!C:C)) / SUM(FILTER('Rubric Definition'!D:D,('Rubric Definition'!E:E=A98)*('Rubric Definition'!C:C="Final"))),"")</f>
        <v/>
      </c>
      <c r="D98">
        <f>IF(AND(B98&lt;&gt;"",C98&lt;&gt;""),0.4*B98+0.6*C98,IF(B98&lt;&gt;"",B98,C98))</f>
        <v/>
      </c>
      <c r="E98">
        <f>IF(D98="","",IF(D98&gt;=2.5,3,IF(D98&gt;=2,2,IF(D98&gt;=1.5,1,0))))</f>
        <v/>
      </c>
      <c r="F98">
        <f>IFERROR(TEXTJOIN(", ",TRUE,UNIQUE(FILTER('Rubric Definition'!F:F,'Rubric Definition'!E:E=A98))),"")</f>
        <v/>
      </c>
      <c r="G98">
        <f>IFERROR(TEXTJOIN(", ",TRUE,UNIQUE(FILTER('Rubric Definition'!G:G,'Rubric Definition'!E:E=A98))),"")</f>
        <v/>
      </c>
    </row>
    <row r="99">
      <c r="B99">
        <f>IFERROR(SUMPRODUCT(FILTER('Rubric Definition'!D:D,('Rubric Definition'!E:E=A99)*('Rubric Definition'!C:C="Continuous")),XLOOKUP(FILTER('Rubric Definition'!A:A,('Rubric Definition'!E:E=A99)*('Rubric Definition'!C:C="Continuous")),'Criterion Averages'!A:A,'Criterion Averages'!C:C)) / SUM(FILTER('Rubric Definition'!D:D,('Rubric Definition'!E:E=A99)*('Rubric Definition'!C:C="Continuous"))),"")</f>
        <v/>
      </c>
      <c r="C99">
        <f>IFERROR(SUMPRODUCT(FILTER('Rubric Definition'!D:D,('Rubric Definition'!E:E=A99)*('Rubric Definition'!C:C="Final")),XLOOKUP(FILTER('Rubric Definition'!A:A,('Rubric Definition'!E:E=A99)*('Rubric Definition'!C:C="Final")),'Criterion Averages'!A:A,'Criterion Averages'!C:C)) / SUM(FILTER('Rubric Definition'!D:D,('Rubric Definition'!E:E=A99)*('Rubric Definition'!C:C="Final"))),"")</f>
        <v/>
      </c>
      <c r="D99">
        <f>IF(AND(B99&lt;&gt;"",C99&lt;&gt;""),0.4*B99+0.6*C99,IF(B99&lt;&gt;"",B99,C99))</f>
        <v/>
      </c>
      <c r="E99">
        <f>IF(D99="","",IF(D99&gt;=2.5,3,IF(D99&gt;=2,2,IF(D99&gt;=1.5,1,0))))</f>
        <v/>
      </c>
      <c r="F99">
        <f>IFERROR(TEXTJOIN(", ",TRUE,UNIQUE(FILTER('Rubric Definition'!F:F,'Rubric Definition'!E:E=A99))),"")</f>
        <v/>
      </c>
      <c r="G99">
        <f>IFERROR(TEXTJOIN(", ",TRUE,UNIQUE(FILTER('Rubric Definition'!G:G,'Rubric Definition'!E:E=A99))),"")</f>
        <v/>
      </c>
    </row>
    <row r="100">
      <c r="B100">
        <f>IFERROR(SUMPRODUCT(FILTER('Rubric Definition'!D:D,('Rubric Definition'!E:E=A100)*('Rubric Definition'!C:C="Continuous")),XLOOKUP(FILTER('Rubric Definition'!A:A,('Rubric Definition'!E:E=A100)*('Rubric Definition'!C:C="Continuous")),'Criterion Averages'!A:A,'Criterion Averages'!C:C)) / SUM(FILTER('Rubric Definition'!D:D,('Rubric Definition'!E:E=A100)*('Rubric Definition'!C:C="Continuous"))),"")</f>
        <v/>
      </c>
      <c r="C100">
        <f>IFERROR(SUMPRODUCT(FILTER('Rubric Definition'!D:D,('Rubric Definition'!E:E=A100)*('Rubric Definition'!C:C="Final")),XLOOKUP(FILTER('Rubric Definition'!A:A,('Rubric Definition'!E:E=A100)*('Rubric Definition'!C:C="Final")),'Criterion Averages'!A:A,'Criterion Averages'!C:C)) / SUM(FILTER('Rubric Definition'!D:D,('Rubric Definition'!E:E=A100)*('Rubric Definition'!C:C="Final"))),"")</f>
        <v/>
      </c>
      <c r="D100">
        <f>IF(AND(B100&lt;&gt;"",C100&lt;&gt;""),0.4*B100+0.6*C100,IF(B100&lt;&gt;"",B100,C100))</f>
        <v/>
      </c>
      <c r="E100">
        <f>IF(D100="","",IF(D100&gt;=2.5,3,IF(D100&gt;=2,2,IF(D100&gt;=1.5,1,0))))</f>
        <v/>
      </c>
      <c r="F100">
        <f>IFERROR(TEXTJOIN(", ",TRUE,UNIQUE(FILTER('Rubric Definition'!F:F,'Rubric Definition'!E:E=A100))),"")</f>
        <v/>
      </c>
      <c r="G100">
        <f>IFERROR(TEXTJOIN(", ",TRUE,UNIQUE(FILTER('Rubric Definition'!G:G,'Rubric Definition'!E:E=A100))),"")</f>
        <v/>
      </c>
    </row>
    <row r="101">
      <c r="B101">
        <f>IFERROR(SUMPRODUCT(FILTER('Rubric Definition'!D:D,('Rubric Definition'!E:E=A101)*('Rubric Definition'!C:C="Continuous")),XLOOKUP(FILTER('Rubric Definition'!A:A,('Rubric Definition'!E:E=A101)*('Rubric Definition'!C:C="Continuous")),'Criterion Averages'!A:A,'Criterion Averages'!C:C)) / SUM(FILTER('Rubric Definition'!D:D,('Rubric Definition'!E:E=A101)*('Rubric Definition'!C:C="Continuous"))),"")</f>
        <v/>
      </c>
      <c r="C101">
        <f>IFERROR(SUMPRODUCT(FILTER('Rubric Definition'!D:D,('Rubric Definition'!E:E=A101)*('Rubric Definition'!C:C="Final")),XLOOKUP(FILTER('Rubric Definition'!A:A,('Rubric Definition'!E:E=A101)*('Rubric Definition'!C:C="Final")),'Criterion Averages'!A:A,'Criterion Averages'!C:C)) / SUM(FILTER('Rubric Definition'!D:D,('Rubric Definition'!E:E=A101)*('Rubric Definition'!C:C="Final"))),"")</f>
        <v/>
      </c>
      <c r="D101">
        <f>IF(AND(B101&lt;&gt;"",C101&lt;&gt;""),0.4*B101+0.6*C101,IF(B101&lt;&gt;"",B101,C101))</f>
        <v/>
      </c>
      <c r="E101">
        <f>IF(D101="","",IF(D101&gt;=2.5,3,IF(D101&gt;=2,2,IF(D101&gt;=1.5,1,0))))</f>
        <v/>
      </c>
      <c r="F101">
        <f>IFERROR(TEXTJOIN(", ",TRUE,UNIQUE(FILTER('Rubric Definition'!F:F,'Rubric Definition'!E:E=A101))),"")</f>
        <v/>
      </c>
      <c r="G101">
        <f>IFERROR(TEXTJOIN(", ",TRUE,UNIQUE(FILTER('Rubric Definition'!G:G,'Rubric Definition'!E:E=A101))),"")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4" customWidth="1" min="5" max="5"/>
    <col width="18" customWidth="1" min="6" max="6"/>
    <col width="26" customWidth="1" min="7" max="7"/>
    <col width="18" customWidth="1" min="8" max="8"/>
    <col width="30" customWidth="1" min="9" max="9"/>
  </cols>
  <sheetData>
    <row r="1">
      <c r="A1" s="3" t="inlineStr">
        <is>
          <t>Project Seminar Schedule &amp; Viva Records (Signed by Panel)</t>
        </is>
      </c>
    </row>
    <row r="3">
      <c r="A3" s="2" t="inlineStr">
        <is>
          <t>Section A — Seminar Schedule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Project ID</t>
        </is>
      </c>
      <c r="D4" s="1" t="inlineStr">
        <is>
          <t>Project Title</t>
        </is>
      </c>
      <c r="E4" s="1" t="inlineStr">
        <is>
          <t>Student(s)</t>
        </is>
      </c>
      <c r="F4" s="1" t="inlineStr">
        <is>
          <t>Guide</t>
        </is>
      </c>
      <c r="G4" s="1" t="inlineStr">
        <is>
          <t>Panel Members</t>
        </is>
      </c>
      <c r="H4" s="1" t="inlineStr">
        <is>
          <t>Venue/Mode</t>
        </is>
      </c>
      <c r="I4" s="1" t="inlineStr">
        <is>
          <t>Evidence Link (PPT/Report)</t>
        </is>
      </c>
    </row>
    <row r="5">
      <c r="A5" t="inlineStr">
        <is>
          <t>20-Jun</t>
        </is>
      </c>
      <c r="B5" t="inlineStr">
        <is>
          <t>10:00 AM</t>
        </is>
      </c>
      <c r="C5" t="inlineStr">
        <is>
          <t>PJT001</t>
        </is>
      </c>
      <c r="D5" t="inlineStr">
        <is>
          <t>AI-based Quality Control</t>
        </is>
      </c>
      <c r="E5" t="inlineStr">
        <is>
          <t>INT101, INT102</t>
        </is>
      </c>
      <c r="F5" t="inlineStr">
        <is>
          <t>Dr. A. Rao</t>
        </is>
      </c>
      <c r="G5" t="inlineStr">
        <is>
          <t>Prof. X, Dr. Y (External)</t>
        </is>
      </c>
      <c r="H5" t="inlineStr">
        <is>
          <t>Seminar Hall 1</t>
        </is>
      </c>
      <c r="I5" t="inlineStr">
        <is>
          <t>PJT001_PPT.pdf</t>
        </is>
      </c>
    </row>
    <row r="6">
      <c r="A6" t="inlineStr">
        <is>
          <t>20-Jun</t>
        </is>
      </c>
      <c r="B6" t="inlineStr">
        <is>
          <t>10:30 AM</t>
        </is>
      </c>
      <c r="C6" t="inlineStr">
        <is>
          <t>PJT002</t>
        </is>
      </c>
      <c r="D6" t="inlineStr">
        <is>
          <t>IoT Smart Agriculture</t>
        </is>
      </c>
      <c r="E6" t="inlineStr">
        <is>
          <t>INT103, INT104</t>
        </is>
      </c>
      <c r="F6" t="inlineStr">
        <is>
          <t>Prof. S. Gupta</t>
        </is>
      </c>
      <c r="G6" t="inlineStr">
        <is>
          <t>Prof. X, Dr. Y (External)</t>
        </is>
      </c>
      <c r="H6" t="inlineStr">
        <is>
          <t>Seminar Hall 1</t>
        </is>
      </c>
      <c r="I6" t="inlineStr">
        <is>
          <t>PJT002_PPT.pdf</t>
        </is>
      </c>
    </row>
    <row r="10">
      <c r="A10" s="2" t="inlineStr">
        <is>
          <t>Section B — Viva Records (Signed by Panel)</t>
        </is>
      </c>
    </row>
    <row r="11">
      <c r="A11" s="1" t="inlineStr">
        <is>
          <t>Student ID</t>
        </is>
      </c>
      <c r="B11" s="1" t="inlineStr">
        <is>
          <t>Project ID</t>
        </is>
      </c>
      <c r="C11" s="1" t="inlineStr">
        <is>
          <t>Report (F1)</t>
        </is>
      </c>
      <c r="D11" s="1" t="inlineStr">
        <is>
          <t>Implementation (F2)</t>
        </is>
      </c>
      <c r="E11" s="1" t="inlineStr">
        <is>
          <t>Originality (F3)</t>
        </is>
      </c>
      <c r="F11" s="1" t="inlineStr">
        <is>
          <t>Presentation (F4)</t>
        </is>
      </c>
      <c r="G11" s="1" t="inlineStr">
        <is>
          <t>Societal Aspects (F5)</t>
        </is>
      </c>
      <c r="H11" s="1" t="inlineStr">
        <is>
          <t>Total (Weighted)</t>
        </is>
      </c>
      <c r="I11" s="1" t="inlineStr">
        <is>
          <t>Level (0–3)</t>
        </is>
      </c>
      <c r="J11" s="1" t="inlineStr">
        <is>
          <t>Panel Signatures</t>
        </is>
      </c>
      <c r="K11" s="1" t="inlineStr">
        <is>
          <t>Remarks</t>
        </is>
      </c>
      <c r="L11" s="1" t="inlineStr">
        <is>
          <t>Evidence File</t>
        </is>
      </c>
    </row>
    <row r="12">
      <c r="A12" t="inlineStr">
        <is>
          <t>INT101</t>
        </is>
      </c>
      <c r="B12" t="inlineStr">
        <is>
          <t>PJT001</t>
        </is>
      </c>
      <c r="C12" t="n">
        <v>3</v>
      </c>
      <c r="D12" t="n">
        <v>3</v>
      </c>
      <c r="E12" t="n">
        <v>2</v>
      </c>
      <c r="F12" t="n">
        <v>3</v>
      </c>
      <c r="G12" t="n">
        <v>2</v>
      </c>
      <c r="H12" t="n">
        <v>2.7</v>
      </c>
      <c r="I12" t="n">
        <v>3</v>
      </c>
      <c r="J12" t="inlineStr">
        <is>
          <t>✔ Internal, ✔ External</t>
        </is>
      </c>
      <c r="K12" t="inlineStr">
        <is>
          <t>Excellent</t>
        </is>
      </c>
      <c r="L12" t="inlineStr">
        <is>
          <t>PJT001_Viva.pdf</t>
        </is>
      </c>
    </row>
    <row r="13">
      <c r="A13" t="inlineStr">
        <is>
          <t>INT103</t>
        </is>
      </c>
      <c r="B13" t="inlineStr">
        <is>
          <t>PJT002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1.9</v>
      </c>
      <c r="I13" t="n">
        <v>1</v>
      </c>
      <c r="J13" t="inlineStr">
        <is>
          <t>✔ Internal, ✔ External</t>
        </is>
      </c>
      <c r="K13" t="inlineStr">
        <is>
          <t>Needs improvement</t>
        </is>
      </c>
      <c r="L13" t="inlineStr">
        <is>
          <t>PJT002_Viva.pdf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4" customWidth="1" min="4" max="4"/>
    <col width="18" customWidth="1" min="5" max="5"/>
    <col width="18" customWidth="1" min="6" max="6"/>
    <col width="20" customWidth="1" min="7" max="7"/>
    <col width="16" customWidth="1" min="8" max="8"/>
    <col width="20" customWidth="1" min="9" max="9"/>
    <col width="20" customWidth="1" min="10" max="10"/>
    <col width="16" customWidth="1" min="11" max="11"/>
    <col width="20" customWidth="1" min="12" max="12"/>
    <col width="28" customWidth="1" min="13" max="13"/>
    <col width="18" customWidth="1" min="14" max="14"/>
    <col width="32" customWidth="1" min="15" max="15"/>
  </cols>
  <sheetData>
    <row r="1">
      <c r="A1" s="3" t="inlineStr">
        <is>
          <t>Project Progress Reviews (Mentor Evaluations &amp; Periodic Forms)</t>
        </is>
      </c>
    </row>
    <row r="2">
      <c r="A2" s="7" t="inlineStr">
        <is>
          <t>Note: Conduct at least 3 progress reviews; upload signed forms &amp; link here for audit evidence.</t>
        </is>
      </c>
    </row>
    <row r="3">
      <c r="A3" s="1" t="inlineStr">
        <is>
          <t>Review Date</t>
        </is>
      </c>
      <c r="B3" s="1" t="inlineStr">
        <is>
          <t>Project ID</t>
        </is>
      </c>
      <c r="C3" s="1" t="inlineStr">
        <is>
          <t>Project Title</t>
        </is>
      </c>
      <c r="D3" s="1" t="inlineStr">
        <is>
          <t>Student(s)</t>
        </is>
      </c>
      <c r="E3" s="1" t="inlineStr">
        <is>
          <t>Mentor</t>
        </is>
      </c>
      <c r="F3" s="1" t="inlineStr">
        <is>
          <t>C1 Problem ID (0–3)</t>
        </is>
      </c>
      <c r="G3" s="1" t="inlineStr">
        <is>
          <t>C2 Methodology (0–3)</t>
        </is>
      </c>
      <c r="H3" s="1" t="inlineStr">
        <is>
          <t>C3 Progress (0–3)</t>
        </is>
      </c>
      <c r="I3" s="1" t="inlineStr">
        <is>
          <t>C4 Innovation (0–3)</t>
        </is>
      </c>
      <c r="J3" s="1" t="inlineStr">
        <is>
          <t>C5 Teamwork (0–3)</t>
        </is>
      </c>
      <c r="K3" s="1" t="inlineStr">
        <is>
          <t>C6 Review (0–3)</t>
        </is>
      </c>
      <c r="L3" s="1" t="inlineStr">
        <is>
          <t>Total (Weighted)</t>
        </is>
      </c>
      <c r="M3" s="1" t="inlineStr">
        <is>
          <t>Remarks</t>
        </is>
      </c>
      <c r="N3" s="1" t="inlineStr">
        <is>
          <t>Mentor Signature</t>
        </is>
      </c>
      <c r="O3" s="1" t="inlineStr">
        <is>
          <t>Evidence File (Scan/Link)</t>
        </is>
      </c>
    </row>
    <row r="4">
      <c r="A4" t="inlineStr">
        <is>
          <t>10-Jun</t>
        </is>
      </c>
      <c r="B4" t="inlineStr">
        <is>
          <t>PJT001</t>
        </is>
      </c>
      <c r="C4" t="inlineStr">
        <is>
          <t>AI-based Quality Control</t>
        </is>
      </c>
      <c r="D4" t="inlineStr">
        <is>
          <t>INT101, INT102</t>
        </is>
      </c>
      <c r="E4" t="inlineStr">
        <is>
          <t>Dr. A. Rao</t>
        </is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2.8</v>
      </c>
      <c r="M4" t="inlineStr">
        <is>
          <t>Good progress, continue</t>
        </is>
      </c>
      <c r="N4" t="inlineStr">
        <is>
          <t>✔</t>
        </is>
      </c>
      <c r="O4" t="inlineStr">
        <is>
          <t>PJT001_Review1.pdf</t>
        </is>
      </c>
    </row>
    <row r="5">
      <c r="A5" t="inlineStr">
        <is>
          <t>24-Jun</t>
        </is>
      </c>
      <c r="B5" t="inlineStr">
        <is>
          <t>PJT001</t>
        </is>
      </c>
      <c r="C5" t="inlineStr">
        <is>
          <t>AI-based Quality Control</t>
        </is>
      </c>
      <c r="D5" t="inlineStr">
        <is>
          <t>INT101, INT102</t>
        </is>
      </c>
      <c r="E5" t="inlineStr">
        <is>
          <t>Dr. A. Rao</t>
        </is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3</v>
      </c>
      <c r="L5" t="n">
        <v>2.5</v>
      </c>
      <c r="M5" t="inlineStr">
        <is>
          <t>Methodology needs strengthening</t>
        </is>
      </c>
      <c r="N5" t="inlineStr">
        <is>
          <t>✔</t>
        </is>
      </c>
      <c r="O5" t="inlineStr">
        <is>
          <t>PJT001_Review2.pdf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2" customWidth="1" min="4" max="4"/>
    <col width="20" customWidth="1" min="5" max="5"/>
    <col width="30" customWidth="1" min="6" max="6"/>
  </cols>
  <sheetData>
    <row r="1">
      <c r="A1" s="3" t="inlineStr">
        <is>
          <t>Project Prototype/Demo Evidence Log (Photos, Code, Video Links)</t>
        </is>
      </c>
    </row>
    <row r="2">
      <c r="A2" s="7" t="inlineStr">
        <is>
          <t>Note: Maintain prototype/demo evidence for all projects; attach photos, code links, or video demos.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Prototype Type</t>
        </is>
      </c>
      <c r="D3" s="1" t="inlineStr">
        <is>
          <t>Evidence Link (Photo/Code/Video)</t>
        </is>
      </c>
      <c r="E3" s="1" t="inlineStr">
        <is>
          <t>Verified By</t>
        </is>
      </c>
      <c r="F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Python Code + GUI Demo</t>
        </is>
      </c>
      <c r="D4" t="inlineStr">
        <is>
          <t>https://github.com/college/PJT001</t>
        </is>
      </c>
      <c r="E4" t="inlineStr">
        <is>
          <t>Dr. A. Rao</t>
        </is>
      </c>
      <c r="F4" t="inlineStr">
        <is>
          <t>Working prototype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IoT Hardware + Cloud Dashboard</t>
        </is>
      </c>
      <c r="D5" t="inlineStr">
        <is>
          <t>PJT002_DemoVideo.mp4</t>
        </is>
      </c>
      <c r="E5" t="inlineStr">
        <is>
          <t>Prof. S. Gupta</t>
        </is>
      </c>
      <c r="F5" t="inlineStr">
        <is>
          <t>Successfully tested</t>
        </is>
      </c>
    </row>
    <row r="6">
      <c r="A6" t="inlineStr">
        <is>
          <t>PJT003</t>
        </is>
      </c>
      <c r="B6" t="inlineStr">
        <is>
          <t>Renewable Energy Monitoring</t>
        </is>
      </c>
      <c r="C6" t="inlineStr">
        <is>
          <t>Arduino Prototype</t>
        </is>
      </c>
      <c r="D6" t="inlineStr">
        <is>
          <t>PJT003_Photos.pdf</t>
        </is>
      </c>
      <c r="E6" t="inlineStr">
        <is>
          <t>Dr. K. Menon</t>
        </is>
      </c>
      <c r="F6" t="inlineStr">
        <is>
          <t>Needs improvement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36" customWidth="1" min="5" max="5"/>
    <col width="22" customWidth="1" min="6" max="6"/>
    <col width="36" customWidth="1" min="7" max="7"/>
  </cols>
  <sheetData>
    <row r="1">
      <c r="A1" s="3" t="inlineStr">
        <is>
          <t>Project Final Reports Log (High, Medium, Low Achievers)</t>
        </is>
      </c>
    </row>
    <row r="2">
      <c r="A2" s="7" t="inlineStr">
        <is>
          <t>Note: Maintain at least 3 signed final reports (High, Medium, Low achievers) with PDF evidence linked here.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Category (High/Medium/Low)</t>
        </is>
      </c>
      <c r="E3" s="1" t="inlineStr">
        <is>
          <t>Evidence File (Report PDF)</t>
        </is>
      </c>
      <c r="F3" s="1" t="inlineStr">
        <is>
          <t>Verified By</t>
        </is>
      </c>
      <c r="G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High Achiever</t>
        </is>
      </c>
      <c r="E4" t="inlineStr">
        <is>
          <t>PJT001_FinalReport.pdf</t>
        </is>
      </c>
      <c r="F4" t="inlineStr">
        <is>
          <t>Dr. A. Rao</t>
        </is>
      </c>
      <c r="G4" t="inlineStr">
        <is>
          <t>Excellent work, potential for publication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Medium Achiever</t>
        </is>
      </c>
      <c r="E5" t="inlineStr">
        <is>
          <t>PJT002_FinalReport.pdf</t>
        </is>
      </c>
      <c r="F5" t="inlineStr">
        <is>
          <t>Prof. S. Gupta</t>
        </is>
      </c>
      <c r="G5" t="inlineStr">
        <is>
          <t>Functional prototype, moderate report quality</t>
        </is>
      </c>
    </row>
    <row r="6">
      <c r="A6" t="inlineStr">
        <is>
          <t>PJT003</t>
        </is>
      </c>
      <c r="B6" t="inlineStr">
        <is>
          <t>Renewable Energy Monitoring</t>
        </is>
      </c>
      <c r="C6" t="inlineStr">
        <is>
          <t>INT105, INT106</t>
        </is>
      </c>
      <c r="D6" t="inlineStr">
        <is>
          <t>Low Achiever</t>
        </is>
      </c>
      <c r="E6" t="inlineStr">
        <is>
          <t>PJT003_FinalReport.pdf</t>
        </is>
      </c>
      <c r="F6" t="inlineStr">
        <is>
          <t>Dr. K. Menon</t>
        </is>
      </c>
      <c r="G6" t="inlineStr">
        <is>
          <t>Weak methodology, incomplete analysis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Criterion ID</t>
        </is>
      </c>
      <c r="B1" s="2" t="inlineStr">
        <is>
          <t>Phase</t>
        </is>
      </c>
      <c r="C1" s="2" t="inlineStr">
        <is>
          <t>Average Score (0–3)</t>
        </is>
      </c>
    </row>
    <row r="2">
      <c r="A2" t="inlineStr">
        <is>
          <t>C1</t>
        </is>
      </c>
      <c r="B2" t="inlineStr">
        <is>
          <t>Continuous</t>
        </is>
      </c>
      <c r="C2">
        <f>IFERROR(AVERAGE(='Continuous Evaluation'!C2:C200),"")</f>
        <v/>
      </c>
    </row>
    <row r="3">
      <c r="A3" t="inlineStr">
        <is>
          <t>C2</t>
        </is>
      </c>
      <c r="B3" t="inlineStr">
        <is>
          <t>Continuous</t>
        </is>
      </c>
      <c r="C3">
        <f>IFERROR(AVERAGE(='Continuous Evaluation'!D2:D200),"")</f>
        <v/>
      </c>
    </row>
    <row r="4">
      <c r="A4" t="inlineStr">
        <is>
          <t>C3</t>
        </is>
      </c>
      <c r="B4" t="inlineStr">
        <is>
          <t>Continuous</t>
        </is>
      </c>
      <c r="C4">
        <f>IFERROR(AVERAGE(='Continuous Evaluation'!E2:E200),"")</f>
        <v/>
      </c>
    </row>
    <row r="5">
      <c r="A5" t="inlineStr">
        <is>
          <t>C4</t>
        </is>
      </c>
      <c r="B5" t="inlineStr">
        <is>
          <t>Continuous</t>
        </is>
      </c>
      <c r="C5">
        <f>IFERROR(AVERAGE(='Continuous Evaluation'!F2:F200),"")</f>
        <v/>
      </c>
    </row>
    <row r="6">
      <c r="A6" t="inlineStr">
        <is>
          <t>C5</t>
        </is>
      </c>
      <c r="B6" t="inlineStr">
        <is>
          <t>Continuous</t>
        </is>
      </c>
      <c r="C6">
        <f>IFERROR(AVERAGE(='Continuous Evaluation'!G2:G200),"")</f>
        <v/>
      </c>
    </row>
    <row r="7">
      <c r="A7" t="inlineStr">
        <is>
          <t>C6</t>
        </is>
      </c>
      <c r="B7" t="inlineStr">
        <is>
          <t>Continuous</t>
        </is>
      </c>
      <c r="C7">
        <f>IFERROR(AVERAGE(='Continuous Evaluation'!H2:H200),"")</f>
        <v/>
      </c>
    </row>
    <row r="8">
      <c r="A8" t="inlineStr">
        <is>
          <t>F1</t>
        </is>
      </c>
      <c r="B8" t="inlineStr">
        <is>
          <t>Final</t>
        </is>
      </c>
      <c r="C8">
        <f>IFERROR(AVERAGE(='Final Evaluation'!C2:C200),"")</f>
        <v/>
      </c>
    </row>
    <row r="9">
      <c r="A9" t="inlineStr">
        <is>
          <t>F2</t>
        </is>
      </c>
      <c r="B9" t="inlineStr">
        <is>
          <t>Final</t>
        </is>
      </c>
      <c r="C9">
        <f>IFERROR(AVERAGE(='Final Evaluation'!D2:D200),"")</f>
        <v/>
      </c>
    </row>
    <row r="10">
      <c r="A10" t="inlineStr">
        <is>
          <t>F3</t>
        </is>
      </c>
      <c r="B10" t="inlineStr">
        <is>
          <t>Final</t>
        </is>
      </c>
      <c r="C10">
        <f>IFERROR(AVERAGE(='Final Evaluation'!E2:E200),"")</f>
        <v/>
      </c>
    </row>
    <row r="11">
      <c r="A11" t="inlineStr">
        <is>
          <t>F4</t>
        </is>
      </c>
      <c r="B11" t="inlineStr">
        <is>
          <t>Final</t>
        </is>
      </c>
      <c r="C11">
        <f>IFERROR(AVERAGE(='Final Evaluation'!F2:F200),"")</f>
        <v/>
      </c>
    </row>
    <row r="12">
      <c r="A12" t="inlineStr">
        <is>
          <t>F5</t>
        </is>
      </c>
      <c r="B12" t="inlineStr">
        <is>
          <t>Final</t>
        </is>
      </c>
      <c r="C12">
        <f>IFERROR(AVERAGE(='Final Evaluation'!G2:G200),"")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