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s Organize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40" customWidth="1" min="3" max="3"/>
    <col width="26" customWidth="1" min="4" max="4"/>
    <col width="32" customWidth="1" min="5" max="5"/>
    <col width="22" customWidth="1" min="6" max="6"/>
    <col width="22" customWidth="1" min="7" max="7"/>
    <col width="22" customWidth="1" min="8" max="8"/>
    <col width="20" customWidth="1" min="9" max="9"/>
    <col width="34" customWidth="1" min="10" max="10"/>
    <col width="36" customWidth="1" min="11" max="11"/>
    <col width="46" customWidth="1" min="12" max="12"/>
    <col width="20" customWidth="1" min="13" max="13"/>
  </cols>
  <sheetData>
    <row r="1">
      <c r="A1" s="1" t="inlineStr">
        <is>
          <t>S.N.</t>
        </is>
      </c>
      <c r="B1" s="1" t="inlineStr">
        <is>
          <t>Program Type (Workshop/FDP/STTP/Industrial Training)</t>
        </is>
      </c>
      <c r="C1" s="1" t="inlineStr">
        <is>
          <t>Program Title</t>
        </is>
      </c>
      <c r="D1" s="1" t="inlineStr">
        <is>
          <t>Audience (Students/Faculty/Both)</t>
        </is>
      </c>
      <c r="E1" s="1" t="inlineStr">
        <is>
          <t>Organizer / Industry Partner</t>
        </is>
      </c>
      <c r="F1" s="1" t="inlineStr">
        <is>
          <t>Dates (From–To)</t>
        </is>
      </c>
      <c r="G1" s="1" t="inlineStr">
        <is>
          <t>Duration (Days/Hours)</t>
        </is>
      </c>
      <c r="H1" s="1" t="inlineStr">
        <is>
          <t>Mode (Online/Offline/Hybrid)</t>
        </is>
      </c>
      <c r="I1" s="1" t="inlineStr">
        <is>
          <t>No. of Participants</t>
        </is>
      </c>
      <c r="J1" s="1" t="inlineStr">
        <is>
          <t>Resource Persons (Names/Org.)</t>
        </is>
      </c>
      <c r="K1" s="1" t="inlineStr">
        <is>
          <t>Funding/Sponsorship (AICTE/ISTE/UGC/Industry/None)</t>
        </is>
      </c>
      <c r="L1" s="1" t="inlineStr">
        <is>
          <t>Evidence Link (Brochure/Report/Photos/Certificates)</t>
        </is>
      </c>
      <c r="M1" s="1" t="inlineStr">
        <is>
          <t>Year (CAY/CAYm1/CAYm2/CAYm3)</t>
        </is>
      </c>
    </row>
  </sheetData>
  <dataValidations count="5">
    <dataValidation sqref="B2:B1000" showErrorMessage="1" showInputMessage="1" allowBlank="1" type="list">
      <formula1>"Workshop,FDP,STTP,Industrial Training"</formula1>
    </dataValidation>
    <dataValidation sqref="D2:D1000" showErrorMessage="1" showInputMessage="1" allowBlank="1" type="list">
      <formula1>"Students,Faculty,Both"</formula1>
    </dataValidation>
    <dataValidation sqref="H2:H1000" showErrorMessage="1" showInputMessage="1" allowBlank="1" type="list">
      <formula1>"Online,Offline,Hybrid"</formula1>
    </dataValidation>
    <dataValidation sqref="K2:K1000" showErrorMessage="1" showInputMessage="1" allowBlank="1" type="list">
      <formula1>"AICTE,ISTE,UGC,Industry,None"</formula1>
    </dataValidation>
    <dataValidation sqref="M2:M1000" showErrorMessage="1" showInputMessage="1" allowBlank="1" type="list">
      <formula1>"CAY,CAYm1,CAYm2,CAYm3"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Definition</t>
        </is>
      </c>
      <c r="C1" s="1" t="inlineStr">
        <is>
          <t>CAY</t>
        </is>
      </c>
      <c r="D1" s="1" t="inlineStr">
        <is>
          <t>CAYm1</t>
        </is>
      </c>
      <c r="E1" s="1" t="inlineStr">
        <is>
          <t>CAYm2</t>
        </is>
      </c>
      <c r="F1" s="1" t="inlineStr">
        <is>
          <t>CAYm3</t>
        </is>
      </c>
    </row>
    <row r="2">
      <c r="A2" s="2" t="inlineStr">
        <is>
          <t>Total Programs</t>
        </is>
      </c>
      <c r="B2" s="2" t="inlineStr">
        <is>
          <t>Count of all programs organized</t>
        </is>
      </c>
      <c r="C2" s="2">
        <f>COUNTIF('Programs Organized'!M2:M1000,"CAY")</f>
        <v/>
      </c>
      <c r="D2" s="2">
        <f>COUNTIF('Programs Organized'!M2:M1000,"CAYm1")</f>
        <v/>
      </c>
      <c r="E2" s="2">
        <f>COUNTIF('Programs Organized'!M2:M1000,"CAYm2")</f>
        <v/>
      </c>
      <c r="F2" s="2">
        <f>COUNTIF('Programs Organized'!M2:M1000,"CAYm3")</f>
        <v/>
      </c>
    </row>
    <row r="3">
      <c r="A3" s="2" t="inlineStr">
        <is>
          <t>Workshops</t>
        </is>
      </c>
      <c r="B3" s="2" t="inlineStr">
        <is>
          <t>Programs where Type = "Workshop"</t>
        </is>
      </c>
      <c r="C3" s="2">
        <f>COUNTIFS('Programs Organized'!M2:M1000,"CAY",'Programs Organized'!B2:B1000,"Workshop")</f>
        <v/>
      </c>
      <c r="D3" s="2">
        <f>COUNTIFS('Programs Organized'!M2:M1000,"CAYm1",'Programs Organized'!B2:B1000,"Workshop")</f>
        <v/>
      </c>
      <c r="E3" s="2">
        <f>COUNTIFS('Programs Organized'!M2:M1000,"CAYm2",'Programs Organized'!B2:B1000,"Workshop")</f>
        <v/>
      </c>
      <c r="F3" s="2">
        <f>COUNTIFS('Programs Organized'!M2:M1000,"CAYm3",'Programs Organized'!B2:B1000,"Workshop")</f>
        <v/>
      </c>
    </row>
    <row r="4">
      <c r="A4" s="2" t="inlineStr">
        <is>
          <t>FDPs</t>
        </is>
      </c>
      <c r="B4" s="2" t="inlineStr">
        <is>
          <t>Programs where Type = "FDP"</t>
        </is>
      </c>
      <c r="C4" s="2">
        <f>COUNTIFS('Programs Organized'!M2:M1000,"CAY",'Programs Organized'!B2:B1000,"FDP")</f>
        <v/>
      </c>
      <c r="D4" s="2">
        <f>COUNTIFS('Programs Organized'!M2:M1000,"CAYm1",'Programs Organized'!B2:B1000,"FDP")</f>
        <v/>
      </c>
      <c r="E4" s="2">
        <f>COUNTIFS('Programs Organized'!M2:M1000,"CAYm2",'Programs Organized'!B2:B1000,"FDP")</f>
        <v/>
      </c>
      <c r="F4" s="2">
        <f>COUNTIFS('Programs Organized'!M2:M1000,"CAYm3",'Programs Organized'!B2:B1000,"FDP")</f>
        <v/>
      </c>
    </row>
    <row r="5">
      <c r="A5" s="2" t="inlineStr">
        <is>
          <t>STTPs</t>
        </is>
      </c>
      <c r="B5" s="2" t="inlineStr">
        <is>
          <t>Programs where Type = "STTP"</t>
        </is>
      </c>
      <c r="C5" s="2">
        <f>COUNTIFS('Programs Organized'!M2:M1000,"CAY",'Programs Organized'!B2:B1000,"STTP")</f>
        <v/>
      </c>
      <c r="D5" s="2">
        <f>COUNTIFS('Programs Organized'!M2:M1000,"CAYm1",'Programs Organized'!B2:B1000,"STTP")</f>
        <v/>
      </c>
      <c r="E5" s="2">
        <f>COUNTIFS('Programs Organized'!M2:M1000,"CAYm2",'Programs Organized'!B2:B1000,"STTP")</f>
        <v/>
      </c>
      <c r="F5" s="2">
        <f>COUNTIFS('Programs Organized'!M2:M1000,"CAYm3",'Programs Organized'!B2:B1000,"STTP")</f>
        <v/>
      </c>
    </row>
    <row r="6">
      <c r="A6" s="2" t="inlineStr">
        <is>
          <t>Industrial Trainings</t>
        </is>
      </c>
      <c r="B6" s="2" t="inlineStr">
        <is>
          <t>Programs where Type = "Industrial Training"</t>
        </is>
      </c>
      <c r="C6" s="2">
        <f>COUNTIFS('Programs Organized'!M2:M1000,"CAY",'Programs Organized'!B2:B1000,"Industrial Training")</f>
        <v/>
      </c>
      <c r="D6" s="2">
        <f>COUNTIFS('Programs Organized'!M2:M1000,"CAYm1",'Programs Organized'!B2:B1000,"Industrial Training")</f>
        <v/>
      </c>
      <c r="E6" s="2">
        <f>COUNTIFS('Programs Organized'!M2:M1000,"CAYm2",'Programs Organized'!B2:B1000,"Industrial Training")</f>
        <v/>
      </c>
      <c r="F6" s="2">
        <f>COUNTIFS('Programs Organized'!M2:M1000,"CAYm3",'Programs Organized'!B2:B1000,"Industrial Training")</f>
        <v/>
      </c>
    </row>
    <row r="7">
      <c r="A7" s="2" t="inlineStr">
        <is>
          <t>Audience: Students</t>
        </is>
      </c>
      <c r="B7" s="2" t="inlineStr">
        <is>
          <t>Programs conducted for Students</t>
        </is>
      </c>
      <c r="C7" s="2">
        <f>COUNTIFS('Programs Organized'!M2:M1000,"CAY",'Programs Organized'!D2:D1000,"Students")</f>
        <v/>
      </c>
      <c r="D7" s="2">
        <f>COUNTIFS('Programs Organized'!M2:M1000,"CAYm1",'Programs Organized'!D2:D1000,"Students")</f>
        <v/>
      </c>
      <c r="E7" s="2">
        <f>COUNTIFS('Programs Organized'!M2:M1000,"CAYm2",'Programs Organized'!D2:D1000,"Students")</f>
        <v/>
      </c>
      <c r="F7" s="2">
        <f>COUNTIFS('Programs Organized'!M2:M1000,"CAYm3",'Programs Organized'!D2:D1000,"Students")</f>
        <v/>
      </c>
    </row>
    <row r="8">
      <c r="A8" s="2" t="inlineStr">
        <is>
          <t>Audience: Faculty</t>
        </is>
      </c>
      <c r="B8" s="2" t="inlineStr">
        <is>
          <t>Programs conducted for Faculty</t>
        </is>
      </c>
      <c r="C8" s="2">
        <f>COUNTIFS('Programs Organized'!M2:M1000,"CAY",'Programs Organized'!D2:D1000,"Faculty")</f>
        <v/>
      </c>
      <c r="D8" s="2">
        <f>COUNTIFS('Programs Organized'!M2:M1000,"CAYm1",'Programs Organized'!D2:D1000,"Faculty")</f>
        <v/>
      </c>
      <c r="E8" s="2">
        <f>COUNTIFS('Programs Organized'!M2:M1000,"CAYm2",'Programs Organized'!D2:D1000,"Faculty")</f>
        <v/>
      </c>
      <c r="F8" s="2">
        <f>COUNTIFS('Programs Organized'!M2:M1000,"CAYm3",'Programs Organized'!D2:D1000,"Faculty")</f>
        <v/>
      </c>
    </row>
    <row r="9">
      <c r="A9" s="2" t="inlineStr">
        <is>
          <t>Audience: Both</t>
        </is>
      </c>
      <c r="B9" s="2" t="inlineStr">
        <is>
          <t>Programs conducted for Both</t>
        </is>
      </c>
      <c r="C9" s="2">
        <f>COUNTIFS('Programs Organized'!M2:M1000,"CAY",'Programs Organized'!D2:D1000,"Both")</f>
        <v/>
      </c>
      <c r="D9" s="2">
        <f>COUNTIFS('Programs Organized'!M2:M1000,"CAYm1",'Programs Organized'!D2:D1000,"Both")</f>
        <v/>
      </c>
      <c r="E9" s="2">
        <f>COUNTIFS('Programs Organized'!M2:M1000,"CAYm2",'Programs Organized'!D2:D1000,"Both")</f>
        <v/>
      </c>
      <c r="F9" s="2">
        <f>COUNTIFS('Programs Organized'!M2:M1000,"CAYm3",'Programs Organized'!D2:D1000,"Both")</f>
        <v/>
      </c>
    </row>
    <row r="10">
      <c r="A10" s="2" t="inlineStr">
        <is>
          <t>Mode: Online</t>
        </is>
      </c>
      <c r="B10" s="2" t="inlineStr">
        <is>
          <t>Programs conducted in Online mode</t>
        </is>
      </c>
      <c r="C10" s="2">
        <f>COUNTIFS('Programs Organized'!M2:M1000,"CAY",'Programs Organized'!H2:H1000,"Online")</f>
        <v/>
      </c>
      <c r="D10" s="2">
        <f>COUNTIFS('Programs Organized'!M2:M1000,"CAYm1",'Programs Organized'!H2:H1000,"Online")</f>
        <v/>
      </c>
      <c r="E10" s="2">
        <f>COUNTIFS('Programs Organized'!M2:M1000,"CAYm2",'Programs Organized'!H2:H1000,"Online")</f>
        <v/>
      </c>
      <c r="F10" s="2">
        <f>COUNTIFS('Programs Organized'!M2:M1000,"CAYm3",'Programs Organized'!H2:H1000,"Online")</f>
        <v/>
      </c>
    </row>
    <row r="11">
      <c r="A11" s="2" t="inlineStr">
        <is>
          <t>Mode: Offline</t>
        </is>
      </c>
      <c r="B11" s="2" t="inlineStr">
        <is>
          <t>Programs conducted in Offline mode</t>
        </is>
      </c>
      <c r="C11" s="2">
        <f>COUNTIFS('Programs Organized'!M2:M1000,"CAY",'Programs Organized'!H2:H1000,"Offline")</f>
        <v/>
      </c>
      <c r="D11" s="2">
        <f>COUNTIFS('Programs Organized'!M2:M1000,"CAYm1",'Programs Organized'!H2:H1000,"Offline")</f>
        <v/>
      </c>
      <c r="E11" s="2">
        <f>COUNTIFS('Programs Organized'!M2:M1000,"CAYm2",'Programs Organized'!H2:H1000,"Offline")</f>
        <v/>
      </c>
      <c r="F11" s="2">
        <f>COUNTIFS('Programs Organized'!M2:M1000,"CAYm3",'Programs Organized'!H2:H1000,"Offline")</f>
        <v/>
      </c>
    </row>
    <row r="12">
      <c r="A12" s="2" t="inlineStr">
        <is>
          <t>Mode: Hybrid</t>
        </is>
      </c>
      <c r="B12" s="2" t="inlineStr">
        <is>
          <t>Programs conducted in Hybrid mode</t>
        </is>
      </c>
      <c r="C12" s="2">
        <f>COUNTIFS('Programs Organized'!M2:M1000,"CAY",'Programs Organized'!H2:H1000,"Hybrid")</f>
        <v/>
      </c>
      <c r="D12" s="2">
        <f>COUNTIFS('Programs Organized'!M2:M1000,"CAYm1",'Programs Organized'!H2:H1000,"Hybrid")</f>
        <v/>
      </c>
      <c r="E12" s="2">
        <f>COUNTIFS('Programs Organized'!M2:M1000,"CAYm2",'Programs Organized'!H2:H1000,"Hybrid")</f>
        <v/>
      </c>
      <c r="F12" s="2">
        <f>COUNTIFS('Programs Organized'!M2:M1000,"CAYm3",'Programs Organized'!H2:H1000,"Hybrid")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2025-08-29T08:40:08Z</dcterms:created>
  <dcterms:modified xmlns:dcterms="http://purl.org/dc/terms/" xmlns:xsi="http://www.w3.org/2001/XMLSchema-instance" xsi:type="dcterms:W3CDTF">2025-08-29T08:40:08Z</dcterms:modified>
</cp:coreProperties>
</file>