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  <sheet xmlns:r="http://schemas.openxmlformats.org/officeDocument/2006/relationships" name="CO Score Sheets" sheetId="12" state="visible" r:id="rId12"/>
    <sheet xmlns:r="http://schemas.openxmlformats.org/officeDocument/2006/relationships" name="CO–PO Mapping &amp; Attainment" sheetId="13" state="visible" r:id="rId13"/>
    <sheet xmlns:r="http://schemas.openxmlformats.org/officeDocument/2006/relationships" name="Attainment Calc Sheets" sheetId="14" state="visible" r:id="rId14"/>
    <sheet xmlns:r="http://schemas.openxmlformats.org/officeDocument/2006/relationships" name="Assignment-wise Attainment" sheetId="15" state="visible" r:id="rId15"/>
    <sheet xmlns:r="http://schemas.openxmlformats.org/officeDocument/2006/relationships" name="CO Attainment Summary" sheetId="16" state="visible" r:id="rId16"/>
    <sheet xmlns:r="http://schemas.openxmlformats.org/officeDocument/2006/relationships" name="Unit Test-wise Attainmen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  <c r="I1" s="1" t="inlineStr">
        <is>
          <t>Avg % – Assignments (Auto)</t>
        </is>
      </c>
      <c r="J1" s="1" t="inlineStr">
        <is>
          <t>Avg % – Unit Tests (Auto)</t>
        </is>
      </c>
      <c r="K1" s="1" t="inlineStr">
        <is>
          <t>Avg % – Mid-Terms (Auto)</t>
        </is>
      </c>
      <c r="L1" s="1" t="inlineStr">
        <is>
          <t>Weighted Avg % (Auto)</t>
        </is>
      </c>
      <c r="M1" s="1" t="inlineStr">
        <is>
          <t>Direct Attainment Level (0–3) (Auto)</t>
        </is>
      </c>
      <c r="N1" s="1" t="inlineStr">
        <is>
          <t>Indirect Attainment Level (Auto)</t>
        </is>
      </c>
      <c r="O1" s="1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 s="5">
        <f>IFERROR(AVERAGEIFS('Continuous Assessment Records'!L:L,'Continuous Assessment Records'!A:A,$A2,'Continuous Assessment Records'!F:F,$B2,'Continuous Assessment Records'!C:C,"Assignment"),"")</f>
        <v/>
      </c>
      <c r="J2" s="5">
        <f>IFERROR(AVERAGEIFS('Continuous Assessment Records'!L:L,'Continuous Assessment Records'!A:A,$A2,'Continuous Assessment Records'!F:F,$B2,'Continuous Assessment Records'!C:C,"Unit Test"),"")</f>
        <v/>
      </c>
      <c r="K2" s="5">
        <f>IFERROR(AVERAGEIFS('Continuous Assessment Records'!L:L,'Continuous Assessment Records'!A:A,$A2,'Continuous Assessment Records'!F:F,$B2,'Continuous Assessment Records'!C:C,"Mid-Term"),"")</f>
        <v/>
      </c>
      <c r="L2" s="5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 s="5">
        <f>IFERROR(AVERAGEIFS('Continuous Assessment Records'!L:L,'Continuous Assessment Records'!A:A,$A3,'Continuous Assessment Records'!F:F,$B3,'Continuous Assessment Records'!C:C,"Assignment"),"")</f>
        <v/>
      </c>
      <c r="J3" s="5">
        <f>IFERROR(AVERAGEIFS('Continuous Assessment Records'!L:L,'Continuous Assessment Records'!A:A,$A3,'Continuous Assessment Records'!F:F,$B3,'Continuous Assessment Records'!C:C,"Unit Test"),"")</f>
        <v/>
      </c>
      <c r="K3" s="5">
        <f>IFERROR(AVERAGEIFS('Continuous Assessment Records'!L:L,'Continuous Assessment Records'!A:A,$A3,'Continuous Assessment Records'!F:F,$B3,'Continuous Assessment Records'!C:C,"Mid-Term"),"")</f>
        <v/>
      </c>
      <c r="L3" s="5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 s="5">
        <f>IFERROR(AVERAGEIFS('Continuous Assessment Records'!L:L,'Continuous Assessment Records'!A:A,$A4,'Continuous Assessment Records'!F:F,$B4,'Continuous Assessment Records'!C:C,"Assignment"),"")</f>
        <v/>
      </c>
      <c r="J4" s="5">
        <f>IFERROR(AVERAGEIFS('Continuous Assessment Records'!L:L,'Continuous Assessment Records'!A:A,$A4,'Continuous Assessment Records'!F:F,$B4,'Continuous Assessment Records'!C:C,"Unit Test"),"")</f>
        <v/>
      </c>
      <c r="K4" s="5">
        <f>IFERROR(AVERAGEIFS('Continuous Assessment Records'!L:L,'Continuous Assessment Records'!A:A,$A4,'Continuous Assessment Records'!F:F,$B4,'Continuous Assessment Records'!C:C,"Mid-Term"),"")</f>
        <v/>
      </c>
      <c r="L4" s="5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 s="5">
        <f>IFERROR(AVERAGEIFS('Continuous Assessment Records'!L:L,'Continuous Assessment Records'!A:A,$A5,'Continuous Assessment Records'!F:F,$B5,'Continuous Assessment Records'!C:C,"Assignment"),"")</f>
        <v/>
      </c>
      <c r="J5" s="5">
        <f>IFERROR(AVERAGEIFS('Continuous Assessment Records'!L:L,'Continuous Assessment Records'!A:A,$A5,'Continuous Assessment Records'!F:F,$B5,'Continuous Assessment Records'!C:C,"Unit Test"),"")</f>
        <v/>
      </c>
      <c r="K5" s="5">
        <f>IFERROR(AVERAGEIFS('Continuous Assessment Records'!L:L,'Continuous Assessment Records'!A:A,$A5,'Continuous Assessment Records'!F:F,$B5,'Continuous Assessment Records'!C:C,"Mid-Term"),"")</f>
        <v/>
      </c>
      <c r="L5" s="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 s="5">
        <f>IFERROR(AVERAGEIFS('Continuous Assessment Records'!L:L,'Continuous Assessment Records'!A:A,$A6,'Continuous Assessment Records'!F:F,$B6,'Continuous Assessment Records'!C:C,"Assignment"),"")</f>
        <v/>
      </c>
      <c r="J6" s="5">
        <f>IFERROR(AVERAGEIFS('Continuous Assessment Records'!L:L,'Continuous Assessment Records'!A:A,$A6,'Continuous Assessment Records'!F:F,$B6,'Continuous Assessment Records'!C:C,"Unit Test"),"")</f>
        <v/>
      </c>
      <c r="K6" s="5">
        <f>IFERROR(AVERAGEIFS('Continuous Assessment Records'!L:L,'Continuous Assessment Records'!A:A,$A6,'Continuous Assessment Records'!F:F,$B6,'Continuous Assessment Records'!C:C,"Mid-Term"),"")</f>
        <v/>
      </c>
      <c r="L6" s="5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 s="5">
        <f>IFERROR(AVERAGEIFS('Continuous Assessment Records'!L:L,'Continuous Assessment Records'!A:A,$A7,'Continuous Assessment Records'!F:F,$B7,'Continuous Assessment Records'!C:C,"Assignment"),"")</f>
        <v/>
      </c>
      <c r="J7" s="5">
        <f>IFERROR(AVERAGEIFS('Continuous Assessment Records'!L:L,'Continuous Assessment Records'!A:A,$A7,'Continuous Assessment Records'!F:F,$B7,'Continuous Assessment Records'!C:C,"Unit Test"),"")</f>
        <v/>
      </c>
      <c r="K7" s="5">
        <f>IFERROR(AVERAGEIFS('Continuous Assessment Records'!L:L,'Continuous Assessment Records'!A:A,$A7,'Continuous Assessment Records'!F:F,$B7,'Continuous Assessment Records'!C:C,"Mid-Term"),"")</f>
        <v/>
      </c>
      <c r="L7" s="5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 s="5">
        <f>IFERROR(AVERAGEIFS('Continuous Assessment Records'!L:L,'Continuous Assessment Records'!A:A,$A8,'Continuous Assessment Records'!F:F,$B8,'Continuous Assessment Records'!C:C,"Assignment"),"")</f>
        <v/>
      </c>
      <c r="J8" s="5">
        <f>IFERROR(AVERAGEIFS('Continuous Assessment Records'!L:L,'Continuous Assessment Records'!A:A,$A8,'Continuous Assessment Records'!F:F,$B8,'Continuous Assessment Records'!C:C,"Unit Test"),"")</f>
        <v/>
      </c>
      <c r="K8" s="5">
        <f>IFERROR(AVERAGEIFS('Continuous Assessment Records'!L:L,'Continuous Assessment Records'!A:A,$A8,'Continuous Assessment Records'!F:F,$B8,'Continuous Assessment Records'!C:C,"Mid-Term"),"")</f>
        <v/>
      </c>
      <c r="L8" s="5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 s="5">
        <f>IFERROR(AVERAGEIFS('Continuous Assessment Records'!L:L,'Continuous Assessment Records'!A:A,$A9,'Continuous Assessment Records'!F:F,$B9,'Continuous Assessment Records'!C:C,"Assignment"),"")</f>
        <v/>
      </c>
      <c r="J9" s="5">
        <f>IFERROR(AVERAGEIFS('Continuous Assessment Records'!L:L,'Continuous Assessment Records'!A:A,$A9,'Continuous Assessment Records'!F:F,$B9,'Continuous Assessment Records'!C:C,"Unit Test"),"")</f>
        <v/>
      </c>
      <c r="K9" s="5">
        <f>IFERROR(AVERAGEIFS('Continuous Assessment Records'!L:L,'Continuous Assessment Records'!A:A,$A9,'Continuous Assessment Records'!F:F,$B9,'Continuous Assessment Records'!C:C,"Mid-Term"),"")</f>
        <v/>
      </c>
      <c r="L9" s="5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 s="5">
        <f>IFERROR(AVERAGEIFS('Continuous Assessment Records'!L:L,'Continuous Assessment Records'!A:A,$A10,'Continuous Assessment Records'!F:F,$B10,'Continuous Assessment Records'!C:C,"Assignment"),"")</f>
        <v/>
      </c>
      <c r="J10" s="5">
        <f>IFERROR(AVERAGEIFS('Continuous Assessment Records'!L:L,'Continuous Assessment Records'!A:A,$A10,'Continuous Assessment Records'!F:F,$B10,'Continuous Assessment Records'!C:C,"Unit Test"),"")</f>
        <v/>
      </c>
      <c r="K10" s="5">
        <f>IFERROR(AVERAGEIFS('Continuous Assessment Records'!L:L,'Continuous Assessment Records'!A:A,$A10,'Continuous Assessment Records'!F:F,$B10,'Continuous Assessment Records'!C:C,"Mid-Term"),"")</f>
        <v/>
      </c>
      <c r="L10" s="5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 s="5">
        <f>IFERROR(AVERAGEIFS('Continuous Assessment Records'!L:L,'Continuous Assessment Records'!A:A,$A11,'Continuous Assessment Records'!F:F,$B11,'Continuous Assessment Records'!C:C,"Assignment"),"")</f>
        <v/>
      </c>
      <c r="J11" s="5">
        <f>IFERROR(AVERAGEIFS('Continuous Assessment Records'!L:L,'Continuous Assessment Records'!A:A,$A11,'Continuous Assessment Records'!F:F,$B11,'Continuous Assessment Records'!C:C,"Unit Test"),"")</f>
        <v/>
      </c>
      <c r="K11" s="5">
        <f>IFERROR(AVERAGEIFS('Continuous Assessment Records'!L:L,'Continuous Assessment Records'!A:A,$A11,'Continuous Assessment Records'!F:F,$B11,'Continuous Assessment Records'!C:C,"Mid-Term"),"")</f>
        <v/>
      </c>
      <c r="L11" s="5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 s="5">
        <f>IFERROR(AVERAGEIFS('Continuous Assessment Records'!L:L,'Continuous Assessment Records'!A:A,$A12,'Continuous Assessment Records'!F:F,$B12,'Continuous Assessment Records'!C:C,"Assignment"),"")</f>
        <v/>
      </c>
      <c r="J12" s="5">
        <f>IFERROR(AVERAGEIFS('Continuous Assessment Records'!L:L,'Continuous Assessment Records'!A:A,$A12,'Continuous Assessment Records'!F:F,$B12,'Continuous Assessment Records'!C:C,"Unit Test"),"")</f>
        <v/>
      </c>
      <c r="K12" s="5">
        <f>IFERROR(AVERAGEIFS('Continuous Assessment Records'!L:L,'Continuous Assessment Records'!A:A,$A12,'Continuous Assessment Records'!F:F,$B12,'Continuous Assessment Records'!C:C,"Mid-Term"),"")</f>
        <v/>
      </c>
      <c r="L12" s="5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 s="5">
        <f>IFERROR(AVERAGEIFS('Continuous Assessment Records'!L:L,'Continuous Assessment Records'!A:A,$A13,'Continuous Assessment Records'!F:F,$B13,'Continuous Assessment Records'!C:C,"Assignment"),"")</f>
        <v/>
      </c>
      <c r="J13" s="5">
        <f>IFERROR(AVERAGEIFS('Continuous Assessment Records'!L:L,'Continuous Assessment Records'!A:A,$A13,'Continuous Assessment Records'!F:F,$B13,'Continuous Assessment Records'!C:C,"Unit Test"),"")</f>
        <v/>
      </c>
      <c r="K13" s="5">
        <f>IFERROR(AVERAGEIFS('Continuous Assessment Records'!L:L,'Continuous Assessment Records'!A:A,$A13,'Continuous Assessment Records'!F:F,$B13,'Continuous Assessment Records'!C:C,"Mid-Term"),"")</f>
        <v/>
      </c>
      <c r="L13" s="5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 s="5">
        <f>IFERROR(AVERAGEIFS('Continuous Assessment Records'!L:L,'Continuous Assessment Records'!A:A,$A14,'Continuous Assessment Records'!F:F,$B14,'Continuous Assessment Records'!C:C,"Assignment"),"")</f>
        <v/>
      </c>
      <c r="J14" s="5">
        <f>IFERROR(AVERAGEIFS('Continuous Assessment Records'!L:L,'Continuous Assessment Records'!A:A,$A14,'Continuous Assessment Records'!F:F,$B14,'Continuous Assessment Records'!C:C,"Unit Test"),"")</f>
        <v/>
      </c>
      <c r="K14" s="5">
        <f>IFERROR(AVERAGEIFS('Continuous Assessment Records'!L:L,'Continuous Assessment Records'!A:A,$A14,'Continuous Assessment Records'!F:F,$B14,'Continuous Assessment Records'!C:C,"Mid-Term"),"")</f>
        <v/>
      </c>
      <c r="L14" s="5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 s="5">
        <f>IFERROR(AVERAGEIFS('Continuous Assessment Records'!L:L,'Continuous Assessment Records'!A:A,$A15,'Continuous Assessment Records'!F:F,$B15,'Continuous Assessment Records'!C:C,"Assignment"),"")</f>
        <v/>
      </c>
      <c r="J15" s="5">
        <f>IFERROR(AVERAGEIFS('Continuous Assessment Records'!L:L,'Continuous Assessment Records'!A:A,$A15,'Continuous Assessment Records'!F:F,$B15,'Continuous Assessment Records'!C:C,"Unit Test"),"")</f>
        <v/>
      </c>
      <c r="K15" s="5">
        <f>IFERROR(AVERAGEIFS('Continuous Assessment Records'!L:L,'Continuous Assessment Records'!A:A,$A15,'Continuous Assessment Records'!F:F,$B15,'Continuous Assessment Records'!C:C,"Mid-Term"),"")</f>
        <v/>
      </c>
      <c r="L15" s="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 s="5">
        <f>IFERROR(AVERAGEIFS('Continuous Assessment Records'!L:L,'Continuous Assessment Records'!A:A,$A16,'Continuous Assessment Records'!F:F,$B16,'Continuous Assessment Records'!C:C,"Assignment"),"")</f>
        <v/>
      </c>
      <c r="J16" s="5">
        <f>IFERROR(AVERAGEIFS('Continuous Assessment Records'!L:L,'Continuous Assessment Records'!A:A,$A16,'Continuous Assessment Records'!F:F,$B16,'Continuous Assessment Records'!C:C,"Unit Test"),"")</f>
        <v/>
      </c>
      <c r="K16" s="5">
        <f>IFERROR(AVERAGEIFS('Continuous Assessment Records'!L:L,'Continuous Assessment Records'!A:A,$A16,'Continuous Assessment Records'!F:F,$B16,'Continuous Assessment Records'!C:C,"Mid-Term"),"")</f>
        <v/>
      </c>
      <c r="L16" s="5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 s="5">
        <f>IFERROR(AVERAGEIFS('Continuous Assessment Records'!L:L,'Continuous Assessment Records'!A:A,$A17,'Continuous Assessment Records'!F:F,$B17,'Continuous Assessment Records'!C:C,"Assignment"),"")</f>
        <v/>
      </c>
      <c r="J17" s="5">
        <f>IFERROR(AVERAGEIFS('Continuous Assessment Records'!L:L,'Continuous Assessment Records'!A:A,$A17,'Continuous Assessment Records'!F:F,$B17,'Continuous Assessment Records'!C:C,"Unit Test"),"")</f>
        <v/>
      </c>
      <c r="K17" s="5">
        <f>IFERROR(AVERAGEIFS('Continuous Assessment Records'!L:L,'Continuous Assessment Records'!A:A,$A17,'Continuous Assessment Records'!F:F,$B17,'Continuous Assessment Records'!C:C,"Mid-Term"),"")</f>
        <v/>
      </c>
      <c r="L17" s="5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 s="5">
        <f>IFERROR(AVERAGEIFS('Continuous Assessment Records'!L:L,'Continuous Assessment Records'!A:A,$A18,'Continuous Assessment Records'!F:F,$B18,'Continuous Assessment Records'!C:C,"Assignment"),"")</f>
        <v/>
      </c>
      <c r="J18" s="5">
        <f>IFERROR(AVERAGEIFS('Continuous Assessment Records'!L:L,'Continuous Assessment Records'!A:A,$A18,'Continuous Assessment Records'!F:F,$B18,'Continuous Assessment Records'!C:C,"Unit Test"),"")</f>
        <v/>
      </c>
      <c r="K18" s="5">
        <f>IFERROR(AVERAGEIFS('Continuous Assessment Records'!L:L,'Continuous Assessment Records'!A:A,$A18,'Continuous Assessment Records'!F:F,$B18,'Continuous Assessment Records'!C:C,"Mid-Term"),"")</f>
        <v/>
      </c>
      <c r="L18" s="5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 s="5">
        <f>IFERROR(AVERAGEIFS('Continuous Assessment Records'!L:L,'Continuous Assessment Records'!A:A,$A19,'Continuous Assessment Records'!F:F,$B19,'Continuous Assessment Records'!C:C,"Assignment"),"")</f>
        <v/>
      </c>
      <c r="J19" s="5">
        <f>IFERROR(AVERAGEIFS('Continuous Assessment Records'!L:L,'Continuous Assessment Records'!A:A,$A19,'Continuous Assessment Records'!F:F,$B19,'Continuous Assessment Records'!C:C,"Unit Test"),"")</f>
        <v/>
      </c>
      <c r="K19" s="5">
        <f>IFERROR(AVERAGEIFS('Continuous Assessment Records'!L:L,'Continuous Assessment Records'!A:A,$A19,'Continuous Assessment Records'!F:F,$B19,'Continuous Assessment Records'!C:C,"Mid-Term"),"")</f>
        <v/>
      </c>
      <c r="L19" s="5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 s="5">
        <f>IFERROR(AVERAGEIFS('Continuous Assessment Records'!L:L,'Continuous Assessment Records'!A:A,$A20,'Continuous Assessment Records'!F:F,$B20,'Continuous Assessment Records'!C:C,"Assignment"),"")</f>
        <v/>
      </c>
      <c r="J20" s="5">
        <f>IFERROR(AVERAGEIFS('Continuous Assessment Records'!L:L,'Continuous Assessment Records'!A:A,$A20,'Continuous Assessment Records'!F:F,$B20,'Continuous Assessment Records'!C:C,"Unit Test"),"")</f>
        <v/>
      </c>
      <c r="K20" s="5">
        <f>IFERROR(AVERAGEIFS('Continuous Assessment Records'!L:L,'Continuous Assessment Records'!A:A,$A20,'Continuous Assessment Records'!F:F,$B20,'Continuous Assessment Records'!C:C,"Mid-Term"),"")</f>
        <v/>
      </c>
      <c r="L20" s="5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 s="5">
        <f>IFERROR(AVERAGEIFS('Continuous Assessment Records'!L:L,'Continuous Assessment Records'!A:A,$A21,'Continuous Assessment Records'!F:F,$B21,'Continuous Assessment Records'!C:C,"Assignment"),"")</f>
        <v/>
      </c>
      <c r="J21" s="5">
        <f>IFERROR(AVERAGEIFS('Continuous Assessment Records'!L:L,'Continuous Assessment Records'!A:A,$A21,'Continuous Assessment Records'!F:F,$B21,'Continuous Assessment Records'!C:C,"Unit Test"),"")</f>
        <v/>
      </c>
      <c r="K21" s="5">
        <f>IFERROR(AVERAGEIFS('Continuous Assessment Records'!L:L,'Continuous Assessment Records'!A:A,$A21,'Continuous Assessment Records'!F:F,$B21,'Continuous Assessment Records'!C:C,"Mid-Term"),"")</f>
        <v/>
      </c>
      <c r="L21" s="5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 s="5">
        <f>IFERROR(AVERAGEIFS('Continuous Assessment Records'!L:L,'Continuous Assessment Records'!A:A,$A22,'Continuous Assessment Records'!F:F,$B22,'Continuous Assessment Records'!C:C,"Assignment"),"")</f>
        <v/>
      </c>
      <c r="J22" s="5">
        <f>IFERROR(AVERAGEIFS('Continuous Assessment Records'!L:L,'Continuous Assessment Records'!A:A,$A22,'Continuous Assessment Records'!F:F,$B22,'Continuous Assessment Records'!C:C,"Unit Test"),"")</f>
        <v/>
      </c>
      <c r="K22" s="5">
        <f>IFERROR(AVERAGEIFS('Continuous Assessment Records'!L:L,'Continuous Assessment Records'!A:A,$A22,'Continuous Assessment Records'!F:F,$B22,'Continuous Assessment Records'!C:C,"Mid-Term"),"")</f>
        <v/>
      </c>
      <c r="L22" s="5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 s="5">
        <f>IFERROR(AVERAGEIFS('Continuous Assessment Records'!L:L,'Continuous Assessment Records'!A:A,$A23,'Continuous Assessment Records'!F:F,$B23,'Continuous Assessment Records'!C:C,"Assignment"),"")</f>
        <v/>
      </c>
      <c r="J23" s="5">
        <f>IFERROR(AVERAGEIFS('Continuous Assessment Records'!L:L,'Continuous Assessment Records'!A:A,$A23,'Continuous Assessment Records'!F:F,$B23,'Continuous Assessment Records'!C:C,"Unit Test"),"")</f>
        <v/>
      </c>
      <c r="K23" s="5">
        <f>IFERROR(AVERAGEIFS('Continuous Assessment Records'!L:L,'Continuous Assessment Records'!A:A,$A23,'Continuous Assessment Records'!F:F,$B23,'Continuous Assessment Records'!C:C,"Mid-Term"),"")</f>
        <v/>
      </c>
      <c r="L23" s="5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 s="5">
        <f>IFERROR(AVERAGEIFS('Continuous Assessment Records'!L:L,'Continuous Assessment Records'!A:A,$A24,'Continuous Assessment Records'!F:F,$B24,'Continuous Assessment Records'!C:C,"Assignment"),"")</f>
        <v/>
      </c>
      <c r="J24" s="5">
        <f>IFERROR(AVERAGEIFS('Continuous Assessment Records'!L:L,'Continuous Assessment Records'!A:A,$A24,'Continuous Assessment Records'!F:F,$B24,'Continuous Assessment Records'!C:C,"Unit Test"),"")</f>
        <v/>
      </c>
      <c r="K24" s="5">
        <f>IFERROR(AVERAGEIFS('Continuous Assessment Records'!L:L,'Continuous Assessment Records'!A:A,$A24,'Continuous Assessment Records'!F:F,$B24,'Continuous Assessment Records'!C:C,"Mid-Term"),"")</f>
        <v/>
      </c>
      <c r="L24" s="5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 s="5">
        <f>IFERROR(AVERAGEIFS('Continuous Assessment Records'!L:L,'Continuous Assessment Records'!A:A,$A25,'Continuous Assessment Records'!F:F,$B25,'Continuous Assessment Records'!C:C,"Assignment"),"")</f>
        <v/>
      </c>
      <c r="J25" s="5">
        <f>IFERROR(AVERAGEIFS('Continuous Assessment Records'!L:L,'Continuous Assessment Records'!A:A,$A25,'Continuous Assessment Records'!F:F,$B25,'Continuous Assessment Records'!C:C,"Unit Test"),"")</f>
        <v/>
      </c>
      <c r="K25" s="5">
        <f>IFERROR(AVERAGEIFS('Continuous Assessment Records'!L:L,'Continuous Assessment Records'!A:A,$A25,'Continuous Assessment Records'!F:F,$B25,'Continuous Assessment Records'!C:C,"Mid-Term"),"")</f>
        <v/>
      </c>
      <c r="L25" s="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 s="5">
        <f>IFERROR(AVERAGEIFS('Continuous Assessment Records'!L:L,'Continuous Assessment Records'!A:A,$A26,'Continuous Assessment Records'!F:F,$B26,'Continuous Assessment Records'!C:C,"Assignment"),"")</f>
        <v/>
      </c>
      <c r="J26" s="5">
        <f>IFERROR(AVERAGEIFS('Continuous Assessment Records'!L:L,'Continuous Assessment Records'!A:A,$A26,'Continuous Assessment Records'!F:F,$B26,'Continuous Assessment Records'!C:C,"Unit Test"),"")</f>
        <v/>
      </c>
      <c r="K26" s="5">
        <f>IFERROR(AVERAGEIFS('Continuous Assessment Records'!L:L,'Continuous Assessment Records'!A:A,$A26,'Continuous Assessment Records'!F:F,$B26,'Continuous Assessment Records'!C:C,"Mid-Term"),"")</f>
        <v/>
      </c>
      <c r="L26" s="5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 s="5">
        <f>IFERROR(AVERAGEIFS('Continuous Assessment Records'!L:L,'Continuous Assessment Records'!A:A,$A27,'Continuous Assessment Records'!F:F,$B27,'Continuous Assessment Records'!C:C,"Assignment"),"")</f>
        <v/>
      </c>
      <c r="J27" s="5">
        <f>IFERROR(AVERAGEIFS('Continuous Assessment Records'!L:L,'Continuous Assessment Records'!A:A,$A27,'Continuous Assessment Records'!F:F,$B27,'Continuous Assessment Records'!C:C,"Unit Test"),"")</f>
        <v/>
      </c>
      <c r="K27" s="5">
        <f>IFERROR(AVERAGEIFS('Continuous Assessment Records'!L:L,'Continuous Assessment Records'!A:A,$A27,'Continuous Assessment Records'!F:F,$B27,'Continuous Assessment Records'!C:C,"Mid-Term"),"")</f>
        <v/>
      </c>
      <c r="L27" s="5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 s="5">
        <f>IFERROR(AVERAGEIFS('Continuous Assessment Records'!L:L,'Continuous Assessment Records'!A:A,$A28,'Continuous Assessment Records'!F:F,$B28,'Continuous Assessment Records'!C:C,"Assignment"),"")</f>
        <v/>
      </c>
      <c r="J28" s="5">
        <f>IFERROR(AVERAGEIFS('Continuous Assessment Records'!L:L,'Continuous Assessment Records'!A:A,$A28,'Continuous Assessment Records'!F:F,$B28,'Continuous Assessment Records'!C:C,"Unit Test"),"")</f>
        <v/>
      </c>
      <c r="K28" s="5">
        <f>IFERROR(AVERAGEIFS('Continuous Assessment Records'!L:L,'Continuous Assessment Records'!A:A,$A28,'Continuous Assessment Records'!F:F,$B28,'Continuous Assessment Records'!C:C,"Mid-Term"),"")</f>
        <v/>
      </c>
      <c r="L28" s="5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 s="5">
        <f>IFERROR(AVERAGEIFS('Continuous Assessment Records'!L:L,'Continuous Assessment Records'!A:A,$A29,'Continuous Assessment Records'!F:F,$B29,'Continuous Assessment Records'!C:C,"Assignment"),"")</f>
        <v/>
      </c>
      <c r="J29" s="5">
        <f>IFERROR(AVERAGEIFS('Continuous Assessment Records'!L:L,'Continuous Assessment Records'!A:A,$A29,'Continuous Assessment Records'!F:F,$B29,'Continuous Assessment Records'!C:C,"Unit Test"),"")</f>
        <v/>
      </c>
      <c r="K29" s="5">
        <f>IFERROR(AVERAGEIFS('Continuous Assessment Records'!L:L,'Continuous Assessment Records'!A:A,$A29,'Continuous Assessment Records'!F:F,$B29,'Continuous Assessment Records'!C:C,"Mid-Term"),"")</f>
        <v/>
      </c>
      <c r="L29" s="5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 s="5">
        <f>IFERROR(AVERAGEIFS('Continuous Assessment Records'!L:L,'Continuous Assessment Records'!A:A,$A30,'Continuous Assessment Records'!F:F,$B30,'Continuous Assessment Records'!C:C,"Assignment"),"")</f>
        <v/>
      </c>
      <c r="J30" s="5">
        <f>IFERROR(AVERAGEIFS('Continuous Assessment Records'!L:L,'Continuous Assessment Records'!A:A,$A30,'Continuous Assessment Records'!F:F,$B30,'Continuous Assessment Records'!C:C,"Unit Test"),"")</f>
        <v/>
      </c>
      <c r="K30" s="5">
        <f>IFERROR(AVERAGEIFS('Continuous Assessment Records'!L:L,'Continuous Assessment Records'!A:A,$A30,'Continuous Assessment Records'!F:F,$B30,'Continuous Assessment Records'!C:C,"Mid-Term"),"")</f>
        <v/>
      </c>
      <c r="L30" s="5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 s="5">
        <f>IFERROR(AVERAGEIFS('Continuous Assessment Records'!L:L,'Continuous Assessment Records'!A:A,$A31,'Continuous Assessment Records'!F:F,$B31,'Continuous Assessment Records'!C:C,"Assignment"),"")</f>
        <v/>
      </c>
      <c r="J31" s="5">
        <f>IFERROR(AVERAGEIFS('Continuous Assessment Records'!L:L,'Continuous Assessment Records'!A:A,$A31,'Continuous Assessment Records'!F:F,$B31,'Continuous Assessment Records'!C:C,"Unit Test"),"")</f>
        <v/>
      </c>
      <c r="K31" s="5">
        <f>IFERROR(AVERAGEIFS('Continuous Assessment Records'!L:L,'Continuous Assessment Records'!A:A,$A31,'Continuous Assessment Records'!F:F,$B31,'Continuous Assessment Records'!C:C,"Mid-Term"),"")</f>
        <v/>
      </c>
      <c r="L31" s="5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 s="5">
        <f>IFERROR(AVERAGEIFS('Continuous Assessment Records'!L:L,'Continuous Assessment Records'!A:A,$A32,'Continuous Assessment Records'!F:F,$B32,'Continuous Assessment Records'!C:C,"Assignment"),"")</f>
        <v/>
      </c>
      <c r="J32" s="5">
        <f>IFERROR(AVERAGEIFS('Continuous Assessment Records'!L:L,'Continuous Assessment Records'!A:A,$A32,'Continuous Assessment Records'!F:F,$B32,'Continuous Assessment Records'!C:C,"Unit Test"),"")</f>
        <v/>
      </c>
      <c r="K32" s="5">
        <f>IFERROR(AVERAGEIFS('Continuous Assessment Records'!L:L,'Continuous Assessment Records'!A:A,$A32,'Continuous Assessment Records'!F:F,$B32,'Continuous Assessment Records'!C:C,"Mid-Term"),"")</f>
        <v/>
      </c>
      <c r="L32" s="5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 s="5">
        <f>IFERROR(AVERAGEIFS('Continuous Assessment Records'!L:L,'Continuous Assessment Records'!A:A,$A33,'Continuous Assessment Records'!F:F,$B33,'Continuous Assessment Records'!C:C,"Assignment"),"")</f>
        <v/>
      </c>
      <c r="J33" s="5">
        <f>IFERROR(AVERAGEIFS('Continuous Assessment Records'!L:L,'Continuous Assessment Records'!A:A,$A33,'Continuous Assessment Records'!F:F,$B33,'Continuous Assessment Records'!C:C,"Unit Test"),"")</f>
        <v/>
      </c>
      <c r="K33" s="5">
        <f>IFERROR(AVERAGEIFS('Continuous Assessment Records'!L:L,'Continuous Assessment Records'!A:A,$A33,'Continuous Assessment Records'!F:F,$B33,'Continuous Assessment Records'!C:C,"Mid-Term"),"")</f>
        <v/>
      </c>
      <c r="L33" s="5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 s="5">
        <f>IFERROR(AVERAGEIFS('Continuous Assessment Records'!L:L,'Continuous Assessment Records'!A:A,$A34,'Continuous Assessment Records'!F:F,$B34,'Continuous Assessment Records'!C:C,"Assignment"),"")</f>
        <v/>
      </c>
      <c r="J34" s="5">
        <f>IFERROR(AVERAGEIFS('Continuous Assessment Records'!L:L,'Continuous Assessment Records'!A:A,$A34,'Continuous Assessment Records'!F:F,$B34,'Continuous Assessment Records'!C:C,"Unit Test"),"")</f>
        <v/>
      </c>
      <c r="K34" s="5">
        <f>IFERROR(AVERAGEIFS('Continuous Assessment Records'!L:L,'Continuous Assessment Records'!A:A,$A34,'Continuous Assessment Records'!F:F,$B34,'Continuous Assessment Records'!C:C,"Mid-Term"),"")</f>
        <v/>
      </c>
      <c r="L34" s="5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 s="5">
        <f>IFERROR(AVERAGEIFS('Continuous Assessment Records'!L:L,'Continuous Assessment Records'!A:A,$A35,'Continuous Assessment Records'!F:F,$B35,'Continuous Assessment Records'!C:C,"Assignment"),"")</f>
        <v/>
      </c>
      <c r="J35" s="5">
        <f>IFERROR(AVERAGEIFS('Continuous Assessment Records'!L:L,'Continuous Assessment Records'!A:A,$A35,'Continuous Assessment Records'!F:F,$B35,'Continuous Assessment Records'!C:C,"Unit Test"),"")</f>
        <v/>
      </c>
      <c r="K35" s="5">
        <f>IFERROR(AVERAGEIFS('Continuous Assessment Records'!L:L,'Continuous Assessment Records'!A:A,$A35,'Continuous Assessment Records'!F:F,$B35,'Continuous Assessment Records'!C:C,"Mid-Term"),"")</f>
        <v/>
      </c>
      <c r="L35" s="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 s="5">
        <f>IFERROR(AVERAGEIFS('Continuous Assessment Records'!L:L,'Continuous Assessment Records'!A:A,$A36,'Continuous Assessment Records'!F:F,$B36,'Continuous Assessment Records'!C:C,"Assignment"),"")</f>
        <v/>
      </c>
      <c r="J36" s="5">
        <f>IFERROR(AVERAGEIFS('Continuous Assessment Records'!L:L,'Continuous Assessment Records'!A:A,$A36,'Continuous Assessment Records'!F:F,$B36,'Continuous Assessment Records'!C:C,"Unit Test"),"")</f>
        <v/>
      </c>
      <c r="K36" s="5">
        <f>IFERROR(AVERAGEIFS('Continuous Assessment Records'!L:L,'Continuous Assessment Records'!A:A,$A36,'Continuous Assessment Records'!F:F,$B36,'Continuous Assessment Records'!C:C,"Mid-Term"),"")</f>
        <v/>
      </c>
      <c r="L36" s="5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 s="5">
        <f>IFERROR(AVERAGEIFS('Continuous Assessment Records'!L:L,'Continuous Assessment Records'!A:A,$A37,'Continuous Assessment Records'!F:F,$B37,'Continuous Assessment Records'!C:C,"Assignment"),"")</f>
        <v/>
      </c>
      <c r="J37" s="5">
        <f>IFERROR(AVERAGEIFS('Continuous Assessment Records'!L:L,'Continuous Assessment Records'!A:A,$A37,'Continuous Assessment Records'!F:F,$B37,'Continuous Assessment Records'!C:C,"Unit Test"),"")</f>
        <v/>
      </c>
      <c r="K37" s="5">
        <f>IFERROR(AVERAGEIFS('Continuous Assessment Records'!L:L,'Continuous Assessment Records'!A:A,$A37,'Continuous Assessment Records'!F:F,$B37,'Continuous Assessment Records'!C:C,"Mid-Term"),"")</f>
        <v/>
      </c>
      <c r="L37" s="5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 s="5">
        <f>IFERROR(AVERAGEIFS('Continuous Assessment Records'!L:L,'Continuous Assessment Records'!A:A,$A38,'Continuous Assessment Records'!F:F,$B38,'Continuous Assessment Records'!C:C,"Assignment"),"")</f>
        <v/>
      </c>
      <c r="J38" s="5">
        <f>IFERROR(AVERAGEIFS('Continuous Assessment Records'!L:L,'Continuous Assessment Records'!A:A,$A38,'Continuous Assessment Records'!F:F,$B38,'Continuous Assessment Records'!C:C,"Unit Test"),"")</f>
        <v/>
      </c>
      <c r="K38" s="5">
        <f>IFERROR(AVERAGEIFS('Continuous Assessment Records'!L:L,'Continuous Assessment Records'!A:A,$A38,'Continuous Assessment Records'!F:F,$B38,'Continuous Assessment Records'!C:C,"Mid-Term"),"")</f>
        <v/>
      </c>
      <c r="L38" s="5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 s="5">
        <f>IFERROR(AVERAGEIFS('Continuous Assessment Records'!L:L,'Continuous Assessment Records'!A:A,$A39,'Continuous Assessment Records'!F:F,$B39,'Continuous Assessment Records'!C:C,"Assignment"),"")</f>
        <v/>
      </c>
      <c r="J39" s="5">
        <f>IFERROR(AVERAGEIFS('Continuous Assessment Records'!L:L,'Continuous Assessment Records'!A:A,$A39,'Continuous Assessment Records'!F:F,$B39,'Continuous Assessment Records'!C:C,"Unit Test"),"")</f>
        <v/>
      </c>
      <c r="K39" s="5">
        <f>IFERROR(AVERAGEIFS('Continuous Assessment Records'!L:L,'Continuous Assessment Records'!A:A,$A39,'Continuous Assessment Records'!F:F,$B39,'Continuous Assessment Records'!C:C,"Mid-Term"),"")</f>
        <v/>
      </c>
      <c r="L39" s="5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 s="5">
        <f>IFERROR(AVERAGEIFS('Continuous Assessment Records'!L:L,'Continuous Assessment Records'!A:A,$A40,'Continuous Assessment Records'!F:F,$B40,'Continuous Assessment Records'!C:C,"Assignment"),"")</f>
        <v/>
      </c>
      <c r="J40" s="5">
        <f>IFERROR(AVERAGEIFS('Continuous Assessment Records'!L:L,'Continuous Assessment Records'!A:A,$A40,'Continuous Assessment Records'!F:F,$B40,'Continuous Assessment Records'!C:C,"Unit Test"),"")</f>
        <v/>
      </c>
      <c r="K40" s="5">
        <f>IFERROR(AVERAGEIFS('Continuous Assessment Records'!L:L,'Continuous Assessment Records'!A:A,$A40,'Continuous Assessment Records'!F:F,$B40,'Continuous Assessment Records'!C:C,"Mid-Term"),"")</f>
        <v/>
      </c>
      <c r="L40" s="5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 s="5">
        <f>IFERROR(AVERAGEIFS('Continuous Assessment Records'!L:L,'Continuous Assessment Records'!A:A,$A41,'Continuous Assessment Records'!F:F,$B41,'Continuous Assessment Records'!C:C,"Assignment"),"")</f>
        <v/>
      </c>
      <c r="J41" s="5">
        <f>IFERROR(AVERAGEIFS('Continuous Assessment Records'!L:L,'Continuous Assessment Records'!A:A,$A41,'Continuous Assessment Records'!F:F,$B41,'Continuous Assessment Records'!C:C,"Unit Test"),"")</f>
        <v/>
      </c>
      <c r="K41" s="5">
        <f>IFERROR(AVERAGEIFS('Continuous Assessment Records'!L:L,'Continuous Assessment Records'!A:A,$A41,'Continuous Assessment Records'!F:F,$B41,'Continuous Assessment Records'!C:C,"Mid-Term"),"")</f>
        <v/>
      </c>
      <c r="L41" s="5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 s="5">
        <f>IFERROR(AVERAGEIFS('Continuous Assessment Records'!L:L,'Continuous Assessment Records'!A:A,$A42,'Continuous Assessment Records'!F:F,$B42,'Continuous Assessment Records'!C:C,"Assignment"),"")</f>
        <v/>
      </c>
      <c r="J42" s="5">
        <f>IFERROR(AVERAGEIFS('Continuous Assessment Records'!L:L,'Continuous Assessment Records'!A:A,$A42,'Continuous Assessment Records'!F:F,$B42,'Continuous Assessment Records'!C:C,"Unit Test"),"")</f>
        <v/>
      </c>
      <c r="K42" s="5">
        <f>IFERROR(AVERAGEIFS('Continuous Assessment Records'!L:L,'Continuous Assessment Records'!A:A,$A42,'Continuous Assessment Records'!F:F,$B42,'Continuous Assessment Records'!C:C,"Mid-Term"),"")</f>
        <v/>
      </c>
      <c r="L42" s="5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 s="5">
        <f>IFERROR(AVERAGEIFS('Continuous Assessment Records'!L:L,'Continuous Assessment Records'!A:A,$A43,'Continuous Assessment Records'!F:F,$B43,'Continuous Assessment Records'!C:C,"Assignment"),"")</f>
        <v/>
      </c>
      <c r="J43" s="5">
        <f>IFERROR(AVERAGEIFS('Continuous Assessment Records'!L:L,'Continuous Assessment Records'!A:A,$A43,'Continuous Assessment Records'!F:F,$B43,'Continuous Assessment Records'!C:C,"Unit Test"),"")</f>
        <v/>
      </c>
      <c r="K43" s="5">
        <f>IFERROR(AVERAGEIFS('Continuous Assessment Records'!L:L,'Continuous Assessment Records'!A:A,$A43,'Continuous Assessment Records'!F:F,$B43,'Continuous Assessment Records'!C:C,"Mid-Term"),"")</f>
        <v/>
      </c>
      <c r="L43" s="5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 s="5">
        <f>IFERROR(AVERAGEIFS('Continuous Assessment Records'!L:L,'Continuous Assessment Records'!A:A,$A44,'Continuous Assessment Records'!F:F,$B44,'Continuous Assessment Records'!C:C,"Assignment"),"")</f>
        <v/>
      </c>
      <c r="J44" s="5">
        <f>IFERROR(AVERAGEIFS('Continuous Assessment Records'!L:L,'Continuous Assessment Records'!A:A,$A44,'Continuous Assessment Records'!F:F,$B44,'Continuous Assessment Records'!C:C,"Unit Test"),"")</f>
        <v/>
      </c>
      <c r="K44" s="5">
        <f>IFERROR(AVERAGEIFS('Continuous Assessment Records'!L:L,'Continuous Assessment Records'!A:A,$A44,'Continuous Assessment Records'!F:F,$B44,'Continuous Assessment Records'!C:C,"Mid-Term"),"")</f>
        <v/>
      </c>
      <c r="L44" s="5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 s="5">
        <f>IFERROR(AVERAGEIFS('Continuous Assessment Records'!L:L,'Continuous Assessment Records'!A:A,$A45,'Continuous Assessment Records'!F:F,$B45,'Continuous Assessment Records'!C:C,"Assignment"),"")</f>
        <v/>
      </c>
      <c r="J45" s="5">
        <f>IFERROR(AVERAGEIFS('Continuous Assessment Records'!L:L,'Continuous Assessment Records'!A:A,$A45,'Continuous Assessment Records'!F:F,$B45,'Continuous Assessment Records'!C:C,"Unit Test"),"")</f>
        <v/>
      </c>
      <c r="K45" s="5">
        <f>IFERROR(AVERAGEIFS('Continuous Assessment Records'!L:L,'Continuous Assessment Records'!A:A,$A45,'Continuous Assessment Records'!F:F,$B45,'Continuous Assessment Records'!C:C,"Mid-Term"),"")</f>
        <v/>
      </c>
      <c r="L45" s="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 s="5">
        <f>IFERROR(AVERAGEIFS('Continuous Assessment Records'!L:L,'Continuous Assessment Records'!A:A,$A46,'Continuous Assessment Records'!F:F,$B46,'Continuous Assessment Records'!C:C,"Assignment"),"")</f>
        <v/>
      </c>
      <c r="J46" s="5">
        <f>IFERROR(AVERAGEIFS('Continuous Assessment Records'!L:L,'Continuous Assessment Records'!A:A,$A46,'Continuous Assessment Records'!F:F,$B46,'Continuous Assessment Records'!C:C,"Unit Test"),"")</f>
        <v/>
      </c>
      <c r="K46" s="5">
        <f>IFERROR(AVERAGEIFS('Continuous Assessment Records'!L:L,'Continuous Assessment Records'!A:A,$A46,'Continuous Assessment Records'!F:F,$B46,'Continuous Assessment Records'!C:C,"Mid-Term"),"")</f>
        <v/>
      </c>
      <c r="L46" s="5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 s="5">
        <f>IFERROR(AVERAGEIFS('Continuous Assessment Records'!L:L,'Continuous Assessment Records'!A:A,$A47,'Continuous Assessment Records'!F:F,$B47,'Continuous Assessment Records'!C:C,"Assignment"),"")</f>
        <v/>
      </c>
      <c r="J47" s="5">
        <f>IFERROR(AVERAGEIFS('Continuous Assessment Records'!L:L,'Continuous Assessment Records'!A:A,$A47,'Continuous Assessment Records'!F:F,$B47,'Continuous Assessment Records'!C:C,"Unit Test"),"")</f>
        <v/>
      </c>
      <c r="K47" s="5">
        <f>IFERROR(AVERAGEIFS('Continuous Assessment Records'!L:L,'Continuous Assessment Records'!A:A,$A47,'Continuous Assessment Records'!F:F,$B47,'Continuous Assessment Records'!C:C,"Mid-Term"),"")</f>
        <v/>
      </c>
      <c r="L47" s="5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 s="5">
        <f>IFERROR(AVERAGEIFS('Continuous Assessment Records'!L:L,'Continuous Assessment Records'!A:A,$A48,'Continuous Assessment Records'!F:F,$B48,'Continuous Assessment Records'!C:C,"Assignment"),"")</f>
        <v/>
      </c>
      <c r="J48" s="5">
        <f>IFERROR(AVERAGEIFS('Continuous Assessment Records'!L:L,'Continuous Assessment Records'!A:A,$A48,'Continuous Assessment Records'!F:F,$B48,'Continuous Assessment Records'!C:C,"Unit Test"),"")</f>
        <v/>
      </c>
      <c r="K48" s="5">
        <f>IFERROR(AVERAGEIFS('Continuous Assessment Records'!L:L,'Continuous Assessment Records'!A:A,$A48,'Continuous Assessment Records'!F:F,$B48,'Continuous Assessment Records'!C:C,"Mid-Term"),"")</f>
        <v/>
      </c>
      <c r="L48" s="5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 s="5">
        <f>IFERROR(AVERAGEIFS('Continuous Assessment Records'!L:L,'Continuous Assessment Records'!A:A,$A49,'Continuous Assessment Records'!F:F,$B49,'Continuous Assessment Records'!C:C,"Assignment"),"")</f>
        <v/>
      </c>
      <c r="J49" s="5">
        <f>IFERROR(AVERAGEIFS('Continuous Assessment Records'!L:L,'Continuous Assessment Records'!A:A,$A49,'Continuous Assessment Records'!F:F,$B49,'Continuous Assessment Records'!C:C,"Unit Test"),"")</f>
        <v/>
      </c>
      <c r="K49" s="5">
        <f>IFERROR(AVERAGEIFS('Continuous Assessment Records'!L:L,'Continuous Assessment Records'!A:A,$A49,'Continuous Assessment Records'!F:F,$B49,'Continuous Assessment Records'!C:C,"Mid-Term"),"")</f>
        <v/>
      </c>
      <c r="L49" s="5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 s="5">
        <f>IFERROR(AVERAGEIFS('Continuous Assessment Records'!L:L,'Continuous Assessment Records'!A:A,$A50,'Continuous Assessment Records'!F:F,$B50,'Continuous Assessment Records'!C:C,"Assignment"),"")</f>
        <v/>
      </c>
      <c r="J50" s="5">
        <f>IFERROR(AVERAGEIFS('Continuous Assessment Records'!L:L,'Continuous Assessment Records'!A:A,$A50,'Continuous Assessment Records'!F:F,$B50,'Continuous Assessment Records'!C:C,"Unit Test"),"")</f>
        <v/>
      </c>
      <c r="K50" s="5">
        <f>IFERROR(AVERAGEIFS('Continuous Assessment Records'!L:L,'Continuous Assessment Records'!A:A,$A50,'Continuous Assessment Records'!F:F,$B50,'Continuous Assessment Records'!C:C,"Mid-Term"),"")</f>
        <v/>
      </c>
      <c r="L50" s="5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 s="5">
        <f>IFERROR(AVERAGEIFS('Continuous Assessment Records'!L:L,'Continuous Assessment Records'!A:A,$A51,'Continuous Assessment Records'!F:F,$B51,'Continuous Assessment Records'!C:C,"Assignment"),"")</f>
        <v/>
      </c>
      <c r="J51" s="5">
        <f>IFERROR(AVERAGEIFS('Continuous Assessment Records'!L:L,'Continuous Assessment Records'!A:A,$A51,'Continuous Assessment Records'!F:F,$B51,'Continuous Assessment Records'!C:C,"Unit Test"),"")</f>
        <v/>
      </c>
      <c r="K51" s="5">
        <f>IFERROR(AVERAGEIFS('Continuous Assessment Records'!L:L,'Continuous Assessment Records'!A:A,$A51,'Continuous Assessment Records'!F:F,$B51,'Continuous Assessment Records'!C:C,"Mid-Term"),"")</f>
        <v/>
      </c>
      <c r="L51" s="5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 s="5">
        <f>IFERROR(AVERAGEIFS('Continuous Assessment Records'!L:L,'Continuous Assessment Records'!A:A,$A52,'Continuous Assessment Records'!F:F,$B52,'Continuous Assessment Records'!C:C,"Assignment"),"")</f>
        <v/>
      </c>
      <c r="J52" s="5">
        <f>IFERROR(AVERAGEIFS('Continuous Assessment Records'!L:L,'Continuous Assessment Records'!A:A,$A52,'Continuous Assessment Records'!F:F,$B52,'Continuous Assessment Records'!C:C,"Unit Test"),"")</f>
        <v/>
      </c>
      <c r="K52" s="5">
        <f>IFERROR(AVERAGEIFS('Continuous Assessment Records'!L:L,'Continuous Assessment Records'!A:A,$A52,'Continuous Assessment Records'!F:F,$B52,'Continuous Assessment Records'!C:C,"Mid-Term"),"")</f>
        <v/>
      </c>
      <c r="L52" s="5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 s="5">
        <f>IFERROR(AVERAGEIFS('Continuous Assessment Records'!L:L,'Continuous Assessment Records'!A:A,$A53,'Continuous Assessment Records'!F:F,$B53,'Continuous Assessment Records'!C:C,"Assignment"),"")</f>
        <v/>
      </c>
      <c r="J53" s="5">
        <f>IFERROR(AVERAGEIFS('Continuous Assessment Records'!L:L,'Continuous Assessment Records'!A:A,$A53,'Continuous Assessment Records'!F:F,$B53,'Continuous Assessment Records'!C:C,"Unit Test"),"")</f>
        <v/>
      </c>
      <c r="K53" s="5">
        <f>IFERROR(AVERAGEIFS('Continuous Assessment Records'!L:L,'Continuous Assessment Records'!A:A,$A53,'Continuous Assessment Records'!F:F,$B53,'Continuous Assessment Records'!C:C,"Mid-Term"),"")</f>
        <v/>
      </c>
      <c r="L53" s="5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 s="5">
        <f>IFERROR(AVERAGEIFS('Continuous Assessment Records'!L:L,'Continuous Assessment Records'!A:A,$A54,'Continuous Assessment Records'!F:F,$B54,'Continuous Assessment Records'!C:C,"Assignment"),"")</f>
        <v/>
      </c>
      <c r="J54" s="5">
        <f>IFERROR(AVERAGEIFS('Continuous Assessment Records'!L:L,'Continuous Assessment Records'!A:A,$A54,'Continuous Assessment Records'!F:F,$B54,'Continuous Assessment Records'!C:C,"Unit Test"),"")</f>
        <v/>
      </c>
      <c r="K54" s="5">
        <f>IFERROR(AVERAGEIFS('Continuous Assessment Records'!L:L,'Continuous Assessment Records'!A:A,$A54,'Continuous Assessment Records'!F:F,$B54,'Continuous Assessment Records'!C:C,"Mid-Term"),"")</f>
        <v/>
      </c>
      <c r="L54" s="5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 s="5">
        <f>IFERROR(AVERAGEIFS('Continuous Assessment Records'!L:L,'Continuous Assessment Records'!A:A,$A55,'Continuous Assessment Records'!F:F,$B55,'Continuous Assessment Records'!C:C,"Assignment"),"")</f>
        <v/>
      </c>
      <c r="J55" s="5">
        <f>IFERROR(AVERAGEIFS('Continuous Assessment Records'!L:L,'Continuous Assessment Records'!A:A,$A55,'Continuous Assessment Records'!F:F,$B55,'Continuous Assessment Records'!C:C,"Unit Test"),"")</f>
        <v/>
      </c>
      <c r="K55" s="5">
        <f>IFERROR(AVERAGEIFS('Continuous Assessment Records'!L:L,'Continuous Assessment Records'!A:A,$A55,'Continuous Assessment Records'!F:F,$B55,'Continuous Assessment Records'!C:C,"Mid-Term"),"")</f>
        <v/>
      </c>
      <c r="L55" s="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 s="5">
        <f>IFERROR(AVERAGEIFS('Continuous Assessment Records'!L:L,'Continuous Assessment Records'!A:A,$A56,'Continuous Assessment Records'!F:F,$B56,'Continuous Assessment Records'!C:C,"Assignment"),"")</f>
        <v/>
      </c>
      <c r="J56" s="5">
        <f>IFERROR(AVERAGEIFS('Continuous Assessment Records'!L:L,'Continuous Assessment Records'!A:A,$A56,'Continuous Assessment Records'!F:F,$B56,'Continuous Assessment Records'!C:C,"Unit Test"),"")</f>
        <v/>
      </c>
      <c r="K56" s="5">
        <f>IFERROR(AVERAGEIFS('Continuous Assessment Records'!L:L,'Continuous Assessment Records'!A:A,$A56,'Continuous Assessment Records'!F:F,$B56,'Continuous Assessment Records'!C:C,"Mid-Term"),"")</f>
        <v/>
      </c>
      <c r="L56" s="5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 s="5">
        <f>IFERROR(AVERAGEIFS('Continuous Assessment Records'!L:L,'Continuous Assessment Records'!A:A,$A57,'Continuous Assessment Records'!F:F,$B57,'Continuous Assessment Records'!C:C,"Assignment"),"")</f>
        <v/>
      </c>
      <c r="J57" s="5">
        <f>IFERROR(AVERAGEIFS('Continuous Assessment Records'!L:L,'Continuous Assessment Records'!A:A,$A57,'Continuous Assessment Records'!F:F,$B57,'Continuous Assessment Records'!C:C,"Unit Test"),"")</f>
        <v/>
      </c>
      <c r="K57" s="5">
        <f>IFERROR(AVERAGEIFS('Continuous Assessment Records'!L:L,'Continuous Assessment Records'!A:A,$A57,'Continuous Assessment Records'!F:F,$B57,'Continuous Assessment Records'!C:C,"Mid-Term"),"")</f>
        <v/>
      </c>
      <c r="L57" s="5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 s="5">
        <f>IFERROR(AVERAGEIFS('Continuous Assessment Records'!L:L,'Continuous Assessment Records'!A:A,$A58,'Continuous Assessment Records'!F:F,$B58,'Continuous Assessment Records'!C:C,"Assignment"),"")</f>
        <v/>
      </c>
      <c r="J58" s="5">
        <f>IFERROR(AVERAGEIFS('Continuous Assessment Records'!L:L,'Continuous Assessment Records'!A:A,$A58,'Continuous Assessment Records'!F:F,$B58,'Continuous Assessment Records'!C:C,"Unit Test"),"")</f>
        <v/>
      </c>
      <c r="K58" s="5">
        <f>IFERROR(AVERAGEIFS('Continuous Assessment Records'!L:L,'Continuous Assessment Records'!A:A,$A58,'Continuous Assessment Records'!F:F,$B58,'Continuous Assessment Records'!C:C,"Mid-Term"),"")</f>
        <v/>
      </c>
      <c r="L58" s="5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 s="5">
        <f>IFERROR(AVERAGEIFS('Continuous Assessment Records'!L:L,'Continuous Assessment Records'!A:A,$A59,'Continuous Assessment Records'!F:F,$B59,'Continuous Assessment Records'!C:C,"Assignment"),"")</f>
        <v/>
      </c>
      <c r="J59" s="5">
        <f>IFERROR(AVERAGEIFS('Continuous Assessment Records'!L:L,'Continuous Assessment Records'!A:A,$A59,'Continuous Assessment Records'!F:F,$B59,'Continuous Assessment Records'!C:C,"Unit Test"),"")</f>
        <v/>
      </c>
      <c r="K59" s="5">
        <f>IFERROR(AVERAGEIFS('Continuous Assessment Records'!L:L,'Continuous Assessment Records'!A:A,$A59,'Continuous Assessment Records'!F:F,$B59,'Continuous Assessment Records'!C:C,"Mid-Term"),"")</f>
        <v/>
      </c>
      <c r="L59" s="5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 s="5">
        <f>IFERROR(AVERAGEIFS('Continuous Assessment Records'!L:L,'Continuous Assessment Records'!A:A,$A60,'Continuous Assessment Records'!F:F,$B60,'Continuous Assessment Records'!C:C,"Assignment"),"")</f>
        <v/>
      </c>
      <c r="J60" s="5">
        <f>IFERROR(AVERAGEIFS('Continuous Assessment Records'!L:L,'Continuous Assessment Records'!A:A,$A60,'Continuous Assessment Records'!F:F,$B60,'Continuous Assessment Records'!C:C,"Unit Test"),"")</f>
        <v/>
      </c>
      <c r="K60" s="5">
        <f>IFERROR(AVERAGEIFS('Continuous Assessment Records'!L:L,'Continuous Assessment Records'!A:A,$A60,'Continuous Assessment Records'!F:F,$B60,'Continuous Assessment Records'!C:C,"Mid-Term"),"")</f>
        <v/>
      </c>
      <c r="L60" s="5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 s="5">
        <f>IFERROR(AVERAGEIFS('Continuous Assessment Records'!L:L,'Continuous Assessment Records'!A:A,$A61,'Continuous Assessment Records'!F:F,$B61,'Continuous Assessment Records'!C:C,"Assignment"),"")</f>
        <v/>
      </c>
      <c r="J61" s="5">
        <f>IFERROR(AVERAGEIFS('Continuous Assessment Records'!L:L,'Continuous Assessment Records'!A:A,$A61,'Continuous Assessment Records'!F:F,$B61,'Continuous Assessment Records'!C:C,"Unit Test"),"")</f>
        <v/>
      </c>
      <c r="K61" s="5">
        <f>IFERROR(AVERAGEIFS('Continuous Assessment Records'!L:L,'Continuous Assessment Records'!A:A,$A61,'Continuous Assessment Records'!F:F,$B61,'Continuous Assessment Records'!C:C,"Mid-Term"),"")</f>
        <v/>
      </c>
      <c r="L61" s="5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 s="5">
        <f>IFERROR(AVERAGEIFS('Continuous Assessment Records'!L:L,'Continuous Assessment Records'!A:A,$A62,'Continuous Assessment Records'!F:F,$B62,'Continuous Assessment Records'!C:C,"Assignment"),"")</f>
        <v/>
      </c>
      <c r="J62" s="5">
        <f>IFERROR(AVERAGEIFS('Continuous Assessment Records'!L:L,'Continuous Assessment Records'!A:A,$A62,'Continuous Assessment Records'!F:F,$B62,'Continuous Assessment Records'!C:C,"Unit Test"),"")</f>
        <v/>
      </c>
      <c r="K62" s="5">
        <f>IFERROR(AVERAGEIFS('Continuous Assessment Records'!L:L,'Continuous Assessment Records'!A:A,$A62,'Continuous Assessment Records'!F:F,$B62,'Continuous Assessment Records'!C:C,"Mid-Term"),"")</f>
        <v/>
      </c>
      <c r="L62" s="5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 s="5">
        <f>IFERROR(AVERAGEIFS('Continuous Assessment Records'!L:L,'Continuous Assessment Records'!A:A,$A63,'Continuous Assessment Records'!F:F,$B63,'Continuous Assessment Records'!C:C,"Assignment"),"")</f>
        <v/>
      </c>
      <c r="J63" s="5">
        <f>IFERROR(AVERAGEIFS('Continuous Assessment Records'!L:L,'Continuous Assessment Records'!A:A,$A63,'Continuous Assessment Records'!F:F,$B63,'Continuous Assessment Records'!C:C,"Unit Test"),"")</f>
        <v/>
      </c>
      <c r="K63" s="5">
        <f>IFERROR(AVERAGEIFS('Continuous Assessment Records'!L:L,'Continuous Assessment Records'!A:A,$A63,'Continuous Assessment Records'!F:F,$B63,'Continuous Assessment Records'!C:C,"Mid-Term"),"")</f>
        <v/>
      </c>
      <c r="L63" s="5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 s="5">
        <f>IFERROR(AVERAGEIFS('Continuous Assessment Records'!L:L,'Continuous Assessment Records'!A:A,$A64,'Continuous Assessment Records'!F:F,$B64,'Continuous Assessment Records'!C:C,"Assignment"),"")</f>
        <v/>
      </c>
      <c r="J64" s="5">
        <f>IFERROR(AVERAGEIFS('Continuous Assessment Records'!L:L,'Continuous Assessment Records'!A:A,$A64,'Continuous Assessment Records'!F:F,$B64,'Continuous Assessment Records'!C:C,"Unit Test"),"")</f>
        <v/>
      </c>
      <c r="K64" s="5">
        <f>IFERROR(AVERAGEIFS('Continuous Assessment Records'!L:L,'Continuous Assessment Records'!A:A,$A64,'Continuous Assessment Records'!F:F,$B64,'Continuous Assessment Records'!C:C,"Mid-Term"),"")</f>
        <v/>
      </c>
      <c r="L64" s="5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 s="5">
        <f>IFERROR(AVERAGEIFS('Continuous Assessment Records'!L:L,'Continuous Assessment Records'!A:A,$A65,'Continuous Assessment Records'!F:F,$B65,'Continuous Assessment Records'!C:C,"Assignment"),"")</f>
        <v/>
      </c>
      <c r="J65" s="5">
        <f>IFERROR(AVERAGEIFS('Continuous Assessment Records'!L:L,'Continuous Assessment Records'!A:A,$A65,'Continuous Assessment Records'!F:F,$B65,'Continuous Assessment Records'!C:C,"Unit Test"),"")</f>
        <v/>
      </c>
      <c r="K65" s="5">
        <f>IFERROR(AVERAGEIFS('Continuous Assessment Records'!L:L,'Continuous Assessment Records'!A:A,$A65,'Continuous Assessment Records'!F:F,$B65,'Continuous Assessment Records'!C:C,"Mid-Term"),"")</f>
        <v/>
      </c>
      <c r="L65" s="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 s="5">
        <f>IFERROR(AVERAGEIFS('Continuous Assessment Records'!L:L,'Continuous Assessment Records'!A:A,$A66,'Continuous Assessment Records'!F:F,$B66,'Continuous Assessment Records'!C:C,"Assignment"),"")</f>
        <v/>
      </c>
      <c r="J66" s="5">
        <f>IFERROR(AVERAGEIFS('Continuous Assessment Records'!L:L,'Continuous Assessment Records'!A:A,$A66,'Continuous Assessment Records'!F:F,$B66,'Continuous Assessment Records'!C:C,"Unit Test"),"")</f>
        <v/>
      </c>
      <c r="K66" s="5">
        <f>IFERROR(AVERAGEIFS('Continuous Assessment Records'!L:L,'Continuous Assessment Records'!A:A,$A66,'Continuous Assessment Records'!F:F,$B66,'Continuous Assessment Records'!C:C,"Mid-Term"),"")</f>
        <v/>
      </c>
      <c r="L66" s="5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 s="5">
        <f>IFERROR(AVERAGEIFS('Continuous Assessment Records'!L:L,'Continuous Assessment Records'!A:A,$A67,'Continuous Assessment Records'!F:F,$B67,'Continuous Assessment Records'!C:C,"Assignment"),"")</f>
        <v/>
      </c>
      <c r="J67" s="5">
        <f>IFERROR(AVERAGEIFS('Continuous Assessment Records'!L:L,'Continuous Assessment Records'!A:A,$A67,'Continuous Assessment Records'!F:F,$B67,'Continuous Assessment Records'!C:C,"Unit Test"),"")</f>
        <v/>
      </c>
      <c r="K67" s="5">
        <f>IFERROR(AVERAGEIFS('Continuous Assessment Records'!L:L,'Continuous Assessment Records'!A:A,$A67,'Continuous Assessment Records'!F:F,$B67,'Continuous Assessment Records'!C:C,"Mid-Term"),"")</f>
        <v/>
      </c>
      <c r="L67" s="5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 s="5">
        <f>IFERROR(AVERAGEIFS('Continuous Assessment Records'!L:L,'Continuous Assessment Records'!A:A,$A68,'Continuous Assessment Records'!F:F,$B68,'Continuous Assessment Records'!C:C,"Assignment"),"")</f>
        <v/>
      </c>
      <c r="J68" s="5">
        <f>IFERROR(AVERAGEIFS('Continuous Assessment Records'!L:L,'Continuous Assessment Records'!A:A,$A68,'Continuous Assessment Records'!F:F,$B68,'Continuous Assessment Records'!C:C,"Unit Test"),"")</f>
        <v/>
      </c>
      <c r="K68" s="5">
        <f>IFERROR(AVERAGEIFS('Continuous Assessment Records'!L:L,'Continuous Assessment Records'!A:A,$A68,'Continuous Assessment Records'!F:F,$B68,'Continuous Assessment Records'!C:C,"Mid-Term"),"")</f>
        <v/>
      </c>
      <c r="L68" s="5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 s="5">
        <f>IFERROR(AVERAGEIFS('Continuous Assessment Records'!L:L,'Continuous Assessment Records'!A:A,$A69,'Continuous Assessment Records'!F:F,$B69,'Continuous Assessment Records'!C:C,"Assignment"),"")</f>
        <v/>
      </c>
      <c r="J69" s="5">
        <f>IFERROR(AVERAGEIFS('Continuous Assessment Records'!L:L,'Continuous Assessment Records'!A:A,$A69,'Continuous Assessment Records'!F:F,$B69,'Continuous Assessment Records'!C:C,"Unit Test"),"")</f>
        <v/>
      </c>
      <c r="K69" s="5">
        <f>IFERROR(AVERAGEIFS('Continuous Assessment Records'!L:L,'Continuous Assessment Records'!A:A,$A69,'Continuous Assessment Records'!F:F,$B69,'Continuous Assessment Records'!C:C,"Mid-Term"),"")</f>
        <v/>
      </c>
      <c r="L69" s="5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 s="5">
        <f>IFERROR(AVERAGEIFS('Continuous Assessment Records'!L:L,'Continuous Assessment Records'!A:A,$A70,'Continuous Assessment Records'!F:F,$B70,'Continuous Assessment Records'!C:C,"Assignment"),"")</f>
        <v/>
      </c>
      <c r="J70" s="5">
        <f>IFERROR(AVERAGEIFS('Continuous Assessment Records'!L:L,'Continuous Assessment Records'!A:A,$A70,'Continuous Assessment Records'!F:F,$B70,'Continuous Assessment Records'!C:C,"Unit Test"),"")</f>
        <v/>
      </c>
      <c r="K70" s="5">
        <f>IFERROR(AVERAGEIFS('Continuous Assessment Records'!L:L,'Continuous Assessment Records'!A:A,$A70,'Continuous Assessment Records'!F:F,$B70,'Continuous Assessment Records'!C:C,"Mid-Term"),"")</f>
        <v/>
      </c>
      <c r="L70" s="5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 s="5">
        <f>IFERROR(AVERAGEIFS('Continuous Assessment Records'!L:L,'Continuous Assessment Records'!A:A,$A71,'Continuous Assessment Records'!F:F,$B71,'Continuous Assessment Records'!C:C,"Assignment"),"")</f>
        <v/>
      </c>
      <c r="J71" s="5">
        <f>IFERROR(AVERAGEIFS('Continuous Assessment Records'!L:L,'Continuous Assessment Records'!A:A,$A71,'Continuous Assessment Records'!F:F,$B71,'Continuous Assessment Records'!C:C,"Unit Test"),"")</f>
        <v/>
      </c>
      <c r="K71" s="5">
        <f>IFERROR(AVERAGEIFS('Continuous Assessment Records'!L:L,'Continuous Assessment Records'!A:A,$A71,'Continuous Assessment Records'!F:F,$B71,'Continuous Assessment Records'!C:C,"Mid-Term"),"")</f>
        <v/>
      </c>
      <c r="L71" s="5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 s="5">
        <f>IFERROR(AVERAGEIFS('Continuous Assessment Records'!L:L,'Continuous Assessment Records'!A:A,$A72,'Continuous Assessment Records'!F:F,$B72,'Continuous Assessment Records'!C:C,"Assignment"),"")</f>
        <v/>
      </c>
      <c r="J72" s="5">
        <f>IFERROR(AVERAGEIFS('Continuous Assessment Records'!L:L,'Continuous Assessment Records'!A:A,$A72,'Continuous Assessment Records'!F:F,$B72,'Continuous Assessment Records'!C:C,"Unit Test"),"")</f>
        <v/>
      </c>
      <c r="K72" s="5">
        <f>IFERROR(AVERAGEIFS('Continuous Assessment Records'!L:L,'Continuous Assessment Records'!A:A,$A72,'Continuous Assessment Records'!F:F,$B72,'Continuous Assessment Records'!C:C,"Mid-Term"),"")</f>
        <v/>
      </c>
      <c r="L72" s="5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 s="5">
        <f>IFERROR(AVERAGEIFS('Continuous Assessment Records'!L:L,'Continuous Assessment Records'!A:A,$A73,'Continuous Assessment Records'!F:F,$B73,'Continuous Assessment Records'!C:C,"Assignment"),"")</f>
        <v/>
      </c>
      <c r="J73" s="5">
        <f>IFERROR(AVERAGEIFS('Continuous Assessment Records'!L:L,'Continuous Assessment Records'!A:A,$A73,'Continuous Assessment Records'!F:F,$B73,'Continuous Assessment Records'!C:C,"Unit Test"),"")</f>
        <v/>
      </c>
      <c r="K73" s="5">
        <f>IFERROR(AVERAGEIFS('Continuous Assessment Records'!L:L,'Continuous Assessment Records'!A:A,$A73,'Continuous Assessment Records'!F:F,$B73,'Continuous Assessment Records'!C:C,"Mid-Term"),"")</f>
        <v/>
      </c>
      <c r="L73" s="5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 s="5">
        <f>IFERROR(AVERAGEIFS('Continuous Assessment Records'!L:L,'Continuous Assessment Records'!A:A,$A74,'Continuous Assessment Records'!F:F,$B74,'Continuous Assessment Records'!C:C,"Assignment"),"")</f>
        <v/>
      </c>
      <c r="J74" s="5">
        <f>IFERROR(AVERAGEIFS('Continuous Assessment Records'!L:L,'Continuous Assessment Records'!A:A,$A74,'Continuous Assessment Records'!F:F,$B74,'Continuous Assessment Records'!C:C,"Unit Test"),"")</f>
        <v/>
      </c>
      <c r="K74" s="5">
        <f>IFERROR(AVERAGEIFS('Continuous Assessment Records'!L:L,'Continuous Assessment Records'!A:A,$A74,'Continuous Assessment Records'!F:F,$B74,'Continuous Assessment Records'!C:C,"Mid-Term"),"")</f>
        <v/>
      </c>
      <c r="L74" s="5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 s="5">
        <f>IFERROR(AVERAGEIFS('Continuous Assessment Records'!L:L,'Continuous Assessment Records'!A:A,$A75,'Continuous Assessment Records'!F:F,$B75,'Continuous Assessment Records'!C:C,"Assignment"),"")</f>
        <v/>
      </c>
      <c r="J75" s="5">
        <f>IFERROR(AVERAGEIFS('Continuous Assessment Records'!L:L,'Continuous Assessment Records'!A:A,$A75,'Continuous Assessment Records'!F:F,$B75,'Continuous Assessment Records'!C:C,"Unit Test"),"")</f>
        <v/>
      </c>
      <c r="K75" s="5">
        <f>IFERROR(AVERAGEIFS('Continuous Assessment Records'!L:L,'Continuous Assessment Records'!A:A,$A75,'Continuous Assessment Records'!F:F,$B75,'Continuous Assessment Records'!C:C,"Mid-Term"),"")</f>
        <v/>
      </c>
      <c r="L75" s="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 s="5">
        <f>IFERROR(AVERAGEIFS('Continuous Assessment Records'!L:L,'Continuous Assessment Records'!A:A,$A76,'Continuous Assessment Records'!F:F,$B76,'Continuous Assessment Records'!C:C,"Assignment"),"")</f>
        <v/>
      </c>
      <c r="J76" s="5">
        <f>IFERROR(AVERAGEIFS('Continuous Assessment Records'!L:L,'Continuous Assessment Records'!A:A,$A76,'Continuous Assessment Records'!F:F,$B76,'Continuous Assessment Records'!C:C,"Unit Test"),"")</f>
        <v/>
      </c>
      <c r="K76" s="5">
        <f>IFERROR(AVERAGEIFS('Continuous Assessment Records'!L:L,'Continuous Assessment Records'!A:A,$A76,'Continuous Assessment Records'!F:F,$B76,'Continuous Assessment Records'!C:C,"Mid-Term"),"")</f>
        <v/>
      </c>
      <c r="L76" s="5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 s="5">
        <f>IFERROR(AVERAGEIFS('Continuous Assessment Records'!L:L,'Continuous Assessment Records'!A:A,$A77,'Continuous Assessment Records'!F:F,$B77,'Continuous Assessment Records'!C:C,"Assignment"),"")</f>
        <v/>
      </c>
      <c r="J77" s="5">
        <f>IFERROR(AVERAGEIFS('Continuous Assessment Records'!L:L,'Continuous Assessment Records'!A:A,$A77,'Continuous Assessment Records'!F:F,$B77,'Continuous Assessment Records'!C:C,"Unit Test"),"")</f>
        <v/>
      </c>
      <c r="K77" s="5">
        <f>IFERROR(AVERAGEIFS('Continuous Assessment Records'!L:L,'Continuous Assessment Records'!A:A,$A77,'Continuous Assessment Records'!F:F,$B77,'Continuous Assessment Records'!C:C,"Mid-Term"),"")</f>
        <v/>
      </c>
      <c r="L77" s="5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 s="5">
        <f>IFERROR(AVERAGEIFS('Continuous Assessment Records'!L:L,'Continuous Assessment Records'!A:A,$A78,'Continuous Assessment Records'!F:F,$B78,'Continuous Assessment Records'!C:C,"Assignment"),"")</f>
        <v/>
      </c>
      <c r="J78" s="5">
        <f>IFERROR(AVERAGEIFS('Continuous Assessment Records'!L:L,'Continuous Assessment Records'!A:A,$A78,'Continuous Assessment Records'!F:F,$B78,'Continuous Assessment Records'!C:C,"Unit Test"),"")</f>
        <v/>
      </c>
      <c r="K78" s="5">
        <f>IFERROR(AVERAGEIFS('Continuous Assessment Records'!L:L,'Continuous Assessment Records'!A:A,$A78,'Continuous Assessment Records'!F:F,$B78,'Continuous Assessment Records'!C:C,"Mid-Term"),"")</f>
        <v/>
      </c>
      <c r="L78" s="5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 s="5">
        <f>IFERROR(AVERAGEIFS('Continuous Assessment Records'!L:L,'Continuous Assessment Records'!A:A,$A79,'Continuous Assessment Records'!F:F,$B79,'Continuous Assessment Records'!C:C,"Assignment"),"")</f>
        <v/>
      </c>
      <c r="J79" s="5">
        <f>IFERROR(AVERAGEIFS('Continuous Assessment Records'!L:L,'Continuous Assessment Records'!A:A,$A79,'Continuous Assessment Records'!F:F,$B79,'Continuous Assessment Records'!C:C,"Unit Test"),"")</f>
        <v/>
      </c>
      <c r="K79" s="5">
        <f>IFERROR(AVERAGEIFS('Continuous Assessment Records'!L:L,'Continuous Assessment Records'!A:A,$A79,'Continuous Assessment Records'!F:F,$B79,'Continuous Assessment Records'!C:C,"Mid-Term"),"")</f>
        <v/>
      </c>
      <c r="L79" s="5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 s="5">
        <f>IFERROR(AVERAGEIFS('Continuous Assessment Records'!L:L,'Continuous Assessment Records'!A:A,$A80,'Continuous Assessment Records'!F:F,$B80,'Continuous Assessment Records'!C:C,"Assignment"),"")</f>
        <v/>
      </c>
      <c r="J80" s="5">
        <f>IFERROR(AVERAGEIFS('Continuous Assessment Records'!L:L,'Continuous Assessment Records'!A:A,$A80,'Continuous Assessment Records'!F:F,$B80,'Continuous Assessment Records'!C:C,"Unit Test"),"")</f>
        <v/>
      </c>
      <c r="K80" s="5">
        <f>IFERROR(AVERAGEIFS('Continuous Assessment Records'!L:L,'Continuous Assessment Records'!A:A,$A80,'Continuous Assessment Records'!F:F,$B80,'Continuous Assessment Records'!C:C,"Mid-Term"),"")</f>
        <v/>
      </c>
      <c r="L80" s="5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 s="5">
        <f>IFERROR(AVERAGEIFS('Continuous Assessment Records'!L:L,'Continuous Assessment Records'!A:A,$A81,'Continuous Assessment Records'!F:F,$B81,'Continuous Assessment Records'!C:C,"Assignment"),"")</f>
        <v/>
      </c>
      <c r="J81" s="5">
        <f>IFERROR(AVERAGEIFS('Continuous Assessment Records'!L:L,'Continuous Assessment Records'!A:A,$A81,'Continuous Assessment Records'!F:F,$B81,'Continuous Assessment Records'!C:C,"Unit Test"),"")</f>
        <v/>
      </c>
      <c r="K81" s="5">
        <f>IFERROR(AVERAGEIFS('Continuous Assessment Records'!L:L,'Continuous Assessment Records'!A:A,$A81,'Continuous Assessment Records'!F:F,$B81,'Continuous Assessment Records'!C:C,"Mid-Term"),"")</f>
        <v/>
      </c>
      <c r="L81" s="5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 s="5">
        <f>IFERROR(AVERAGEIFS('Continuous Assessment Records'!L:L,'Continuous Assessment Records'!A:A,$A82,'Continuous Assessment Records'!F:F,$B82,'Continuous Assessment Records'!C:C,"Assignment"),"")</f>
        <v/>
      </c>
      <c r="J82" s="5">
        <f>IFERROR(AVERAGEIFS('Continuous Assessment Records'!L:L,'Continuous Assessment Records'!A:A,$A82,'Continuous Assessment Records'!F:F,$B82,'Continuous Assessment Records'!C:C,"Unit Test"),"")</f>
        <v/>
      </c>
      <c r="K82" s="5">
        <f>IFERROR(AVERAGEIFS('Continuous Assessment Records'!L:L,'Continuous Assessment Records'!A:A,$A82,'Continuous Assessment Records'!F:F,$B82,'Continuous Assessment Records'!C:C,"Mid-Term"),"")</f>
        <v/>
      </c>
      <c r="L82" s="5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 s="5">
        <f>IFERROR(AVERAGEIFS('Continuous Assessment Records'!L:L,'Continuous Assessment Records'!A:A,$A83,'Continuous Assessment Records'!F:F,$B83,'Continuous Assessment Records'!C:C,"Assignment"),"")</f>
        <v/>
      </c>
      <c r="J83" s="5">
        <f>IFERROR(AVERAGEIFS('Continuous Assessment Records'!L:L,'Continuous Assessment Records'!A:A,$A83,'Continuous Assessment Records'!F:F,$B83,'Continuous Assessment Records'!C:C,"Unit Test"),"")</f>
        <v/>
      </c>
      <c r="K83" s="5">
        <f>IFERROR(AVERAGEIFS('Continuous Assessment Records'!L:L,'Continuous Assessment Records'!A:A,$A83,'Continuous Assessment Records'!F:F,$B83,'Continuous Assessment Records'!C:C,"Mid-Term"),"")</f>
        <v/>
      </c>
      <c r="L83" s="5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 s="5">
        <f>IFERROR(AVERAGEIFS('Continuous Assessment Records'!L:L,'Continuous Assessment Records'!A:A,$A84,'Continuous Assessment Records'!F:F,$B84,'Continuous Assessment Records'!C:C,"Assignment"),"")</f>
        <v/>
      </c>
      <c r="J84" s="5">
        <f>IFERROR(AVERAGEIFS('Continuous Assessment Records'!L:L,'Continuous Assessment Records'!A:A,$A84,'Continuous Assessment Records'!F:F,$B84,'Continuous Assessment Records'!C:C,"Unit Test"),"")</f>
        <v/>
      </c>
      <c r="K84" s="5">
        <f>IFERROR(AVERAGEIFS('Continuous Assessment Records'!L:L,'Continuous Assessment Records'!A:A,$A84,'Continuous Assessment Records'!F:F,$B84,'Continuous Assessment Records'!C:C,"Mid-Term"),"")</f>
        <v/>
      </c>
      <c r="L84" s="5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 s="5">
        <f>IFERROR(AVERAGEIFS('Continuous Assessment Records'!L:L,'Continuous Assessment Records'!A:A,$A85,'Continuous Assessment Records'!F:F,$B85,'Continuous Assessment Records'!C:C,"Assignment"),"")</f>
        <v/>
      </c>
      <c r="J85" s="5">
        <f>IFERROR(AVERAGEIFS('Continuous Assessment Records'!L:L,'Continuous Assessment Records'!A:A,$A85,'Continuous Assessment Records'!F:F,$B85,'Continuous Assessment Records'!C:C,"Unit Test"),"")</f>
        <v/>
      </c>
      <c r="K85" s="5">
        <f>IFERROR(AVERAGEIFS('Continuous Assessment Records'!L:L,'Continuous Assessment Records'!A:A,$A85,'Continuous Assessment Records'!F:F,$B85,'Continuous Assessment Records'!C:C,"Mid-Term"),"")</f>
        <v/>
      </c>
      <c r="L85" s="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 s="5">
        <f>IFERROR(AVERAGEIFS('Continuous Assessment Records'!L:L,'Continuous Assessment Records'!A:A,$A86,'Continuous Assessment Records'!F:F,$B86,'Continuous Assessment Records'!C:C,"Assignment"),"")</f>
        <v/>
      </c>
      <c r="J86" s="5">
        <f>IFERROR(AVERAGEIFS('Continuous Assessment Records'!L:L,'Continuous Assessment Records'!A:A,$A86,'Continuous Assessment Records'!F:F,$B86,'Continuous Assessment Records'!C:C,"Unit Test"),"")</f>
        <v/>
      </c>
      <c r="K86" s="5">
        <f>IFERROR(AVERAGEIFS('Continuous Assessment Records'!L:L,'Continuous Assessment Records'!A:A,$A86,'Continuous Assessment Records'!F:F,$B86,'Continuous Assessment Records'!C:C,"Mid-Term"),"")</f>
        <v/>
      </c>
      <c r="L86" s="5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 s="5">
        <f>IFERROR(AVERAGEIFS('Continuous Assessment Records'!L:L,'Continuous Assessment Records'!A:A,$A87,'Continuous Assessment Records'!F:F,$B87,'Continuous Assessment Records'!C:C,"Assignment"),"")</f>
        <v/>
      </c>
      <c r="J87" s="5">
        <f>IFERROR(AVERAGEIFS('Continuous Assessment Records'!L:L,'Continuous Assessment Records'!A:A,$A87,'Continuous Assessment Records'!F:F,$B87,'Continuous Assessment Records'!C:C,"Unit Test"),"")</f>
        <v/>
      </c>
      <c r="K87" s="5">
        <f>IFERROR(AVERAGEIFS('Continuous Assessment Records'!L:L,'Continuous Assessment Records'!A:A,$A87,'Continuous Assessment Records'!F:F,$B87,'Continuous Assessment Records'!C:C,"Mid-Term"),"")</f>
        <v/>
      </c>
      <c r="L87" s="5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 s="5">
        <f>IFERROR(AVERAGEIFS('Continuous Assessment Records'!L:L,'Continuous Assessment Records'!A:A,$A88,'Continuous Assessment Records'!F:F,$B88,'Continuous Assessment Records'!C:C,"Assignment"),"")</f>
        <v/>
      </c>
      <c r="J88" s="5">
        <f>IFERROR(AVERAGEIFS('Continuous Assessment Records'!L:L,'Continuous Assessment Records'!A:A,$A88,'Continuous Assessment Records'!F:F,$B88,'Continuous Assessment Records'!C:C,"Unit Test"),"")</f>
        <v/>
      </c>
      <c r="K88" s="5">
        <f>IFERROR(AVERAGEIFS('Continuous Assessment Records'!L:L,'Continuous Assessment Records'!A:A,$A88,'Continuous Assessment Records'!F:F,$B88,'Continuous Assessment Records'!C:C,"Mid-Term"),"")</f>
        <v/>
      </c>
      <c r="L88" s="5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 s="5">
        <f>IFERROR(AVERAGEIFS('Continuous Assessment Records'!L:L,'Continuous Assessment Records'!A:A,$A89,'Continuous Assessment Records'!F:F,$B89,'Continuous Assessment Records'!C:C,"Assignment"),"")</f>
        <v/>
      </c>
      <c r="J89" s="5">
        <f>IFERROR(AVERAGEIFS('Continuous Assessment Records'!L:L,'Continuous Assessment Records'!A:A,$A89,'Continuous Assessment Records'!F:F,$B89,'Continuous Assessment Records'!C:C,"Unit Test"),"")</f>
        <v/>
      </c>
      <c r="K89" s="5">
        <f>IFERROR(AVERAGEIFS('Continuous Assessment Records'!L:L,'Continuous Assessment Records'!A:A,$A89,'Continuous Assessment Records'!F:F,$B89,'Continuous Assessment Records'!C:C,"Mid-Term"),"")</f>
        <v/>
      </c>
      <c r="L89" s="5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 s="5">
        <f>IFERROR(AVERAGEIFS('Continuous Assessment Records'!L:L,'Continuous Assessment Records'!A:A,$A90,'Continuous Assessment Records'!F:F,$B90,'Continuous Assessment Records'!C:C,"Assignment"),"")</f>
        <v/>
      </c>
      <c r="J90" s="5">
        <f>IFERROR(AVERAGEIFS('Continuous Assessment Records'!L:L,'Continuous Assessment Records'!A:A,$A90,'Continuous Assessment Records'!F:F,$B90,'Continuous Assessment Records'!C:C,"Unit Test"),"")</f>
        <v/>
      </c>
      <c r="K90" s="5">
        <f>IFERROR(AVERAGEIFS('Continuous Assessment Records'!L:L,'Continuous Assessment Records'!A:A,$A90,'Continuous Assessment Records'!F:F,$B90,'Continuous Assessment Records'!C:C,"Mid-Term"),"")</f>
        <v/>
      </c>
      <c r="L90" s="5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 s="5">
        <f>IFERROR(AVERAGEIFS('Continuous Assessment Records'!L:L,'Continuous Assessment Records'!A:A,$A91,'Continuous Assessment Records'!F:F,$B91,'Continuous Assessment Records'!C:C,"Assignment"),"")</f>
        <v/>
      </c>
      <c r="J91" s="5">
        <f>IFERROR(AVERAGEIFS('Continuous Assessment Records'!L:L,'Continuous Assessment Records'!A:A,$A91,'Continuous Assessment Records'!F:F,$B91,'Continuous Assessment Records'!C:C,"Unit Test"),"")</f>
        <v/>
      </c>
      <c r="K91" s="5">
        <f>IFERROR(AVERAGEIFS('Continuous Assessment Records'!L:L,'Continuous Assessment Records'!A:A,$A91,'Continuous Assessment Records'!F:F,$B91,'Continuous Assessment Records'!C:C,"Mid-Term"),"")</f>
        <v/>
      </c>
      <c r="L91" s="5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 s="5">
        <f>IFERROR(AVERAGEIFS('Continuous Assessment Records'!L:L,'Continuous Assessment Records'!A:A,$A92,'Continuous Assessment Records'!F:F,$B92,'Continuous Assessment Records'!C:C,"Assignment"),"")</f>
        <v/>
      </c>
      <c r="J92" s="5">
        <f>IFERROR(AVERAGEIFS('Continuous Assessment Records'!L:L,'Continuous Assessment Records'!A:A,$A92,'Continuous Assessment Records'!F:F,$B92,'Continuous Assessment Records'!C:C,"Unit Test"),"")</f>
        <v/>
      </c>
      <c r="K92" s="5">
        <f>IFERROR(AVERAGEIFS('Continuous Assessment Records'!L:L,'Continuous Assessment Records'!A:A,$A92,'Continuous Assessment Records'!F:F,$B92,'Continuous Assessment Records'!C:C,"Mid-Term"),"")</f>
        <v/>
      </c>
      <c r="L92" s="5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 s="5">
        <f>IFERROR(AVERAGEIFS('Continuous Assessment Records'!L:L,'Continuous Assessment Records'!A:A,$A93,'Continuous Assessment Records'!F:F,$B93,'Continuous Assessment Records'!C:C,"Assignment"),"")</f>
        <v/>
      </c>
      <c r="J93" s="5">
        <f>IFERROR(AVERAGEIFS('Continuous Assessment Records'!L:L,'Continuous Assessment Records'!A:A,$A93,'Continuous Assessment Records'!F:F,$B93,'Continuous Assessment Records'!C:C,"Unit Test"),"")</f>
        <v/>
      </c>
      <c r="K93" s="5">
        <f>IFERROR(AVERAGEIFS('Continuous Assessment Records'!L:L,'Continuous Assessment Records'!A:A,$A93,'Continuous Assessment Records'!F:F,$B93,'Continuous Assessment Records'!C:C,"Mid-Term"),"")</f>
        <v/>
      </c>
      <c r="L93" s="5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 s="5">
        <f>IFERROR(AVERAGEIFS('Continuous Assessment Records'!L:L,'Continuous Assessment Records'!A:A,$A94,'Continuous Assessment Records'!F:F,$B94,'Continuous Assessment Records'!C:C,"Assignment"),"")</f>
        <v/>
      </c>
      <c r="J94" s="5">
        <f>IFERROR(AVERAGEIFS('Continuous Assessment Records'!L:L,'Continuous Assessment Records'!A:A,$A94,'Continuous Assessment Records'!F:F,$B94,'Continuous Assessment Records'!C:C,"Unit Test"),"")</f>
        <v/>
      </c>
      <c r="K94" s="5">
        <f>IFERROR(AVERAGEIFS('Continuous Assessment Records'!L:L,'Continuous Assessment Records'!A:A,$A94,'Continuous Assessment Records'!F:F,$B94,'Continuous Assessment Records'!C:C,"Mid-Term"),"")</f>
        <v/>
      </c>
      <c r="L94" s="5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 s="5">
        <f>IFERROR(AVERAGEIFS('Continuous Assessment Records'!L:L,'Continuous Assessment Records'!A:A,$A95,'Continuous Assessment Records'!F:F,$B95,'Continuous Assessment Records'!C:C,"Assignment"),"")</f>
        <v/>
      </c>
      <c r="J95" s="5">
        <f>IFERROR(AVERAGEIFS('Continuous Assessment Records'!L:L,'Continuous Assessment Records'!A:A,$A95,'Continuous Assessment Records'!F:F,$B95,'Continuous Assessment Records'!C:C,"Unit Test"),"")</f>
        <v/>
      </c>
      <c r="K95" s="5">
        <f>IFERROR(AVERAGEIFS('Continuous Assessment Records'!L:L,'Continuous Assessment Records'!A:A,$A95,'Continuous Assessment Records'!F:F,$B95,'Continuous Assessment Records'!C:C,"Mid-Term"),"")</f>
        <v/>
      </c>
      <c r="L95" s="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 s="5">
        <f>IFERROR(AVERAGEIFS('Continuous Assessment Records'!L:L,'Continuous Assessment Records'!A:A,$A96,'Continuous Assessment Records'!F:F,$B96,'Continuous Assessment Records'!C:C,"Assignment"),"")</f>
        <v/>
      </c>
      <c r="J96" s="5">
        <f>IFERROR(AVERAGEIFS('Continuous Assessment Records'!L:L,'Continuous Assessment Records'!A:A,$A96,'Continuous Assessment Records'!F:F,$B96,'Continuous Assessment Records'!C:C,"Unit Test"),"")</f>
        <v/>
      </c>
      <c r="K96" s="5">
        <f>IFERROR(AVERAGEIFS('Continuous Assessment Records'!L:L,'Continuous Assessment Records'!A:A,$A96,'Continuous Assessment Records'!F:F,$B96,'Continuous Assessment Records'!C:C,"Mid-Term"),"")</f>
        <v/>
      </c>
      <c r="L96" s="5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 s="5">
        <f>IFERROR(AVERAGEIFS('Continuous Assessment Records'!L:L,'Continuous Assessment Records'!A:A,$A97,'Continuous Assessment Records'!F:F,$B97,'Continuous Assessment Records'!C:C,"Assignment"),"")</f>
        <v/>
      </c>
      <c r="J97" s="5">
        <f>IFERROR(AVERAGEIFS('Continuous Assessment Records'!L:L,'Continuous Assessment Records'!A:A,$A97,'Continuous Assessment Records'!F:F,$B97,'Continuous Assessment Records'!C:C,"Unit Test"),"")</f>
        <v/>
      </c>
      <c r="K97" s="5">
        <f>IFERROR(AVERAGEIFS('Continuous Assessment Records'!L:L,'Continuous Assessment Records'!A:A,$A97,'Continuous Assessment Records'!F:F,$B97,'Continuous Assessment Records'!C:C,"Mid-Term"),"")</f>
        <v/>
      </c>
      <c r="L97" s="5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 s="5">
        <f>IFERROR(AVERAGEIFS('Continuous Assessment Records'!L:L,'Continuous Assessment Records'!A:A,$A98,'Continuous Assessment Records'!F:F,$B98,'Continuous Assessment Records'!C:C,"Assignment"),"")</f>
        <v/>
      </c>
      <c r="J98" s="5">
        <f>IFERROR(AVERAGEIFS('Continuous Assessment Records'!L:L,'Continuous Assessment Records'!A:A,$A98,'Continuous Assessment Records'!F:F,$B98,'Continuous Assessment Records'!C:C,"Unit Test"),"")</f>
        <v/>
      </c>
      <c r="K98" s="5">
        <f>IFERROR(AVERAGEIFS('Continuous Assessment Records'!L:L,'Continuous Assessment Records'!A:A,$A98,'Continuous Assessment Records'!F:F,$B98,'Continuous Assessment Records'!C:C,"Mid-Term"),"")</f>
        <v/>
      </c>
      <c r="L98" s="5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 s="5">
        <f>IFERROR(AVERAGEIFS('Continuous Assessment Records'!L:L,'Continuous Assessment Records'!A:A,$A99,'Continuous Assessment Records'!F:F,$B99,'Continuous Assessment Records'!C:C,"Assignment"),"")</f>
        <v/>
      </c>
      <c r="J99" s="5">
        <f>IFERROR(AVERAGEIFS('Continuous Assessment Records'!L:L,'Continuous Assessment Records'!A:A,$A99,'Continuous Assessment Records'!F:F,$B99,'Continuous Assessment Records'!C:C,"Unit Test"),"")</f>
        <v/>
      </c>
      <c r="K99" s="5">
        <f>IFERROR(AVERAGEIFS('Continuous Assessment Records'!L:L,'Continuous Assessment Records'!A:A,$A99,'Continuous Assessment Records'!F:F,$B99,'Continuous Assessment Records'!C:C,"Mid-Term"),"")</f>
        <v/>
      </c>
      <c r="L99" s="5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 s="5">
        <f>IFERROR(AVERAGEIFS('Continuous Assessment Records'!L:L,'Continuous Assessment Records'!A:A,$A100,'Continuous Assessment Records'!F:F,$B100,'Continuous Assessment Records'!C:C,"Assignment"),"")</f>
        <v/>
      </c>
      <c r="J100" s="5">
        <f>IFERROR(AVERAGEIFS('Continuous Assessment Records'!L:L,'Continuous Assessment Records'!A:A,$A100,'Continuous Assessment Records'!F:F,$B100,'Continuous Assessment Records'!C:C,"Unit Test"),"")</f>
        <v/>
      </c>
      <c r="K100" s="5">
        <f>IFERROR(AVERAGEIFS('Continuous Assessment Records'!L:L,'Continuous Assessment Records'!A:A,$A100,'Continuous Assessment Records'!F:F,$B100,'Continuous Assessment Records'!C:C,"Mid-Term"),"")</f>
        <v/>
      </c>
      <c r="L100" s="5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 s="5">
        <f>IFERROR(AVERAGEIFS('Continuous Assessment Records'!L:L,'Continuous Assessment Records'!A:A,$A101,'Continuous Assessment Records'!F:F,$B101,'Continuous Assessment Records'!C:C,"Assignment"),"")</f>
        <v/>
      </c>
      <c r="J101" s="5">
        <f>IFERROR(AVERAGEIFS('Continuous Assessment Records'!L:L,'Continuous Assessment Records'!A:A,$A101,'Continuous Assessment Records'!F:F,$B101,'Continuous Assessment Records'!C:C,"Unit Test"),"")</f>
        <v/>
      </c>
      <c r="K101" s="5">
        <f>IFERROR(AVERAGEIFS('Continuous Assessment Records'!L:L,'Continuous Assessment Records'!A:A,$A101,'Continuous Assessment Records'!F:F,$B101,'Continuous Assessment Records'!C:C,"Mid-Term"),"")</f>
        <v/>
      </c>
      <c r="L101" s="5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 s="5">
        <f>IFERROR(AVERAGEIFS('Continuous Assessment Records'!L:L,'Continuous Assessment Records'!A:A,$A102,'Continuous Assessment Records'!F:F,$B102,'Continuous Assessment Records'!C:C,"Assignment"),"")</f>
        <v/>
      </c>
      <c r="J102" s="5">
        <f>IFERROR(AVERAGEIFS('Continuous Assessment Records'!L:L,'Continuous Assessment Records'!A:A,$A102,'Continuous Assessment Records'!F:F,$B102,'Continuous Assessment Records'!C:C,"Unit Test"),"")</f>
        <v/>
      </c>
      <c r="K102" s="5">
        <f>IFERROR(AVERAGEIFS('Continuous Assessment Records'!L:L,'Continuous Assessment Records'!A:A,$A102,'Continuous Assessment Records'!F:F,$B102,'Continuous Assessment Records'!C:C,"Mid-Term"),"")</f>
        <v/>
      </c>
      <c r="L102" s="5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 s="5">
        <f>IFERROR(AVERAGEIFS('Continuous Assessment Records'!L:L,'Continuous Assessment Records'!A:A,$A103,'Continuous Assessment Records'!F:F,$B103,'Continuous Assessment Records'!C:C,"Assignment"),"")</f>
        <v/>
      </c>
      <c r="J103" s="5">
        <f>IFERROR(AVERAGEIFS('Continuous Assessment Records'!L:L,'Continuous Assessment Records'!A:A,$A103,'Continuous Assessment Records'!F:F,$B103,'Continuous Assessment Records'!C:C,"Unit Test"),"")</f>
        <v/>
      </c>
      <c r="K103" s="5">
        <f>IFERROR(AVERAGEIFS('Continuous Assessment Records'!L:L,'Continuous Assessment Records'!A:A,$A103,'Continuous Assessment Records'!F:F,$B103,'Continuous Assessment Records'!C:C,"Mid-Term"),"")</f>
        <v/>
      </c>
      <c r="L103" s="5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 s="5">
        <f>IFERROR(AVERAGEIFS('Continuous Assessment Records'!L:L,'Continuous Assessment Records'!A:A,$A104,'Continuous Assessment Records'!F:F,$B104,'Continuous Assessment Records'!C:C,"Assignment"),"")</f>
        <v/>
      </c>
      <c r="J104" s="5">
        <f>IFERROR(AVERAGEIFS('Continuous Assessment Records'!L:L,'Continuous Assessment Records'!A:A,$A104,'Continuous Assessment Records'!F:F,$B104,'Continuous Assessment Records'!C:C,"Unit Test"),"")</f>
        <v/>
      </c>
      <c r="K104" s="5">
        <f>IFERROR(AVERAGEIFS('Continuous Assessment Records'!L:L,'Continuous Assessment Records'!A:A,$A104,'Continuous Assessment Records'!F:F,$B104,'Continuous Assessment Records'!C:C,"Mid-Term"),"")</f>
        <v/>
      </c>
      <c r="L104" s="5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 s="5">
        <f>IFERROR(AVERAGEIFS('Continuous Assessment Records'!L:L,'Continuous Assessment Records'!A:A,$A105,'Continuous Assessment Records'!F:F,$B105,'Continuous Assessment Records'!C:C,"Assignment"),"")</f>
        <v/>
      </c>
      <c r="J105" s="5">
        <f>IFERROR(AVERAGEIFS('Continuous Assessment Records'!L:L,'Continuous Assessment Records'!A:A,$A105,'Continuous Assessment Records'!F:F,$B105,'Continuous Assessment Records'!C:C,"Unit Test"),"")</f>
        <v/>
      </c>
      <c r="K105" s="5">
        <f>IFERROR(AVERAGEIFS('Continuous Assessment Records'!L:L,'Continuous Assessment Records'!A:A,$A105,'Continuous Assessment Records'!F:F,$B105,'Continuous Assessment Records'!C:C,"Mid-Term"),"")</f>
        <v/>
      </c>
      <c r="L105" s="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 s="5">
        <f>IFERROR(AVERAGEIFS('Continuous Assessment Records'!L:L,'Continuous Assessment Records'!A:A,$A106,'Continuous Assessment Records'!F:F,$B106,'Continuous Assessment Records'!C:C,"Assignment"),"")</f>
        <v/>
      </c>
      <c r="J106" s="5">
        <f>IFERROR(AVERAGEIFS('Continuous Assessment Records'!L:L,'Continuous Assessment Records'!A:A,$A106,'Continuous Assessment Records'!F:F,$B106,'Continuous Assessment Records'!C:C,"Unit Test"),"")</f>
        <v/>
      </c>
      <c r="K106" s="5">
        <f>IFERROR(AVERAGEIFS('Continuous Assessment Records'!L:L,'Continuous Assessment Records'!A:A,$A106,'Continuous Assessment Records'!F:F,$B106,'Continuous Assessment Records'!C:C,"Mid-Term"),"")</f>
        <v/>
      </c>
      <c r="L106" s="5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 s="5">
        <f>IFERROR(AVERAGEIFS('Continuous Assessment Records'!L:L,'Continuous Assessment Records'!A:A,$A107,'Continuous Assessment Records'!F:F,$B107,'Continuous Assessment Records'!C:C,"Assignment"),"")</f>
        <v/>
      </c>
      <c r="J107" s="5">
        <f>IFERROR(AVERAGEIFS('Continuous Assessment Records'!L:L,'Continuous Assessment Records'!A:A,$A107,'Continuous Assessment Records'!F:F,$B107,'Continuous Assessment Records'!C:C,"Unit Test"),"")</f>
        <v/>
      </c>
      <c r="K107" s="5">
        <f>IFERROR(AVERAGEIFS('Continuous Assessment Records'!L:L,'Continuous Assessment Records'!A:A,$A107,'Continuous Assessment Records'!F:F,$B107,'Continuous Assessment Records'!C:C,"Mid-Term"),"")</f>
        <v/>
      </c>
      <c r="L107" s="5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 s="5">
        <f>IFERROR(AVERAGEIFS('Continuous Assessment Records'!L:L,'Continuous Assessment Records'!A:A,$A108,'Continuous Assessment Records'!F:F,$B108,'Continuous Assessment Records'!C:C,"Assignment"),"")</f>
        <v/>
      </c>
      <c r="J108" s="5">
        <f>IFERROR(AVERAGEIFS('Continuous Assessment Records'!L:L,'Continuous Assessment Records'!A:A,$A108,'Continuous Assessment Records'!F:F,$B108,'Continuous Assessment Records'!C:C,"Unit Test"),"")</f>
        <v/>
      </c>
      <c r="K108" s="5">
        <f>IFERROR(AVERAGEIFS('Continuous Assessment Records'!L:L,'Continuous Assessment Records'!A:A,$A108,'Continuous Assessment Records'!F:F,$B108,'Continuous Assessment Records'!C:C,"Mid-Term"),"")</f>
        <v/>
      </c>
      <c r="L108" s="5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 s="5">
        <f>IFERROR(AVERAGEIFS('Continuous Assessment Records'!L:L,'Continuous Assessment Records'!A:A,$A109,'Continuous Assessment Records'!F:F,$B109,'Continuous Assessment Records'!C:C,"Assignment"),"")</f>
        <v/>
      </c>
      <c r="J109" s="5">
        <f>IFERROR(AVERAGEIFS('Continuous Assessment Records'!L:L,'Continuous Assessment Records'!A:A,$A109,'Continuous Assessment Records'!F:F,$B109,'Continuous Assessment Records'!C:C,"Unit Test"),"")</f>
        <v/>
      </c>
      <c r="K109" s="5">
        <f>IFERROR(AVERAGEIFS('Continuous Assessment Records'!L:L,'Continuous Assessment Records'!A:A,$A109,'Continuous Assessment Records'!F:F,$B109,'Continuous Assessment Records'!C:C,"Mid-Term"),"")</f>
        <v/>
      </c>
      <c r="L109" s="5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 s="5">
        <f>IFERROR(AVERAGEIFS('Continuous Assessment Records'!L:L,'Continuous Assessment Records'!A:A,$A110,'Continuous Assessment Records'!F:F,$B110,'Continuous Assessment Records'!C:C,"Assignment"),"")</f>
        <v/>
      </c>
      <c r="J110" s="5">
        <f>IFERROR(AVERAGEIFS('Continuous Assessment Records'!L:L,'Continuous Assessment Records'!A:A,$A110,'Continuous Assessment Records'!F:F,$B110,'Continuous Assessment Records'!C:C,"Unit Test"),"")</f>
        <v/>
      </c>
      <c r="K110" s="5">
        <f>IFERROR(AVERAGEIFS('Continuous Assessment Records'!L:L,'Continuous Assessment Records'!A:A,$A110,'Continuous Assessment Records'!F:F,$B110,'Continuous Assessment Records'!C:C,"Mid-Term"),"")</f>
        <v/>
      </c>
      <c r="L110" s="5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 s="5">
        <f>IFERROR(AVERAGEIFS('Continuous Assessment Records'!L:L,'Continuous Assessment Records'!A:A,$A111,'Continuous Assessment Records'!F:F,$B111,'Continuous Assessment Records'!C:C,"Assignment"),"")</f>
        <v/>
      </c>
      <c r="J111" s="5">
        <f>IFERROR(AVERAGEIFS('Continuous Assessment Records'!L:L,'Continuous Assessment Records'!A:A,$A111,'Continuous Assessment Records'!F:F,$B111,'Continuous Assessment Records'!C:C,"Unit Test"),"")</f>
        <v/>
      </c>
      <c r="K111" s="5">
        <f>IFERROR(AVERAGEIFS('Continuous Assessment Records'!L:L,'Continuous Assessment Records'!A:A,$A111,'Continuous Assessment Records'!F:F,$B111,'Continuous Assessment Records'!C:C,"Mid-Term"),"")</f>
        <v/>
      </c>
      <c r="L111" s="5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 s="5">
        <f>IFERROR(AVERAGEIFS('Continuous Assessment Records'!L:L,'Continuous Assessment Records'!A:A,$A112,'Continuous Assessment Records'!F:F,$B112,'Continuous Assessment Records'!C:C,"Assignment"),"")</f>
        <v/>
      </c>
      <c r="J112" s="5">
        <f>IFERROR(AVERAGEIFS('Continuous Assessment Records'!L:L,'Continuous Assessment Records'!A:A,$A112,'Continuous Assessment Records'!F:F,$B112,'Continuous Assessment Records'!C:C,"Unit Test"),"")</f>
        <v/>
      </c>
      <c r="K112" s="5">
        <f>IFERROR(AVERAGEIFS('Continuous Assessment Records'!L:L,'Continuous Assessment Records'!A:A,$A112,'Continuous Assessment Records'!F:F,$B112,'Continuous Assessment Records'!C:C,"Mid-Term"),"")</f>
        <v/>
      </c>
      <c r="L112" s="5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 s="5">
        <f>IFERROR(AVERAGEIFS('Continuous Assessment Records'!L:L,'Continuous Assessment Records'!A:A,$A113,'Continuous Assessment Records'!F:F,$B113,'Continuous Assessment Records'!C:C,"Assignment"),"")</f>
        <v/>
      </c>
      <c r="J113" s="5">
        <f>IFERROR(AVERAGEIFS('Continuous Assessment Records'!L:L,'Continuous Assessment Records'!A:A,$A113,'Continuous Assessment Records'!F:F,$B113,'Continuous Assessment Records'!C:C,"Unit Test"),"")</f>
        <v/>
      </c>
      <c r="K113" s="5">
        <f>IFERROR(AVERAGEIFS('Continuous Assessment Records'!L:L,'Continuous Assessment Records'!A:A,$A113,'Continuous Assessment Records'!F:F,$B113,'Continuous Assessment Records'!C:C,"Mid-Term"),"")</f>
        <v/>
      </c>
      <c r="L113" s="5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 s="5">
        <f>IFERROR(AVERAGEIFS('Continuous Assessment Records'!L:L,'Continuous Assessment Records'!A:A,$A114,'Continuous Assessment Records'!F:F,$B114,'Continuous Assessment Records'!C:C,"Assignment"),"")</f>
        <v/>
      </c>
      <c r="J114" s="5">
        <f>IFERROR(AVERAGEIFS('Continuous Assessment Records'!L:L,'Continuous Assessment Records'!A:A,$A114,'Continuous Assessment Records'!F:F,$B114,'Continuous Assessment Records'!C:C,"Unit Test"),"")</f>
        <v/>
      </c>
      <c r="K114" s="5">
        <f>IFERROR(AVERAGEIFS('Continuous Assessment Records'!L:L,'Continuous Assessment Records'!A:A,$A114,'Continuous Assessment Records'!F:F,$B114,'Continuous Assessment Records'!C:C,"Mid-Term"),"")</f>
        <v/>
      </c>
      <c r="L114" s="5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 s="5">
        <f>IFERROR(AVERAGEIFS('Continuous Assessment Records'!L:L,'Continuous Assessment Records'!A:A,$A115,'Continuous Assessment Records'!F:F,$B115,'Continuous Assessment Records'!C:C,"Assignment"),"")</f>
        <v/>
      </c>
      <c r="J115" s="5">
        <f>IFERROR(AVERAGEIFS('Continuous Assessment Records'!L:L,'Continuous Assessment Records'!A:A,$A115,'Continuous Assessment Records'!F:F,$B115,'Continuous Assessment Records'!C:C,"Unit Test"),"")</f>
        <v/>
      </c>
      <c r="K115" s="5">
        <f>IFERROR(AVERAGEIFS('Continuous Assessment Records'!L:L,'Continuous Assessment Records'!A:A,$A115,'Continuous Assessment Records'!F:F,$B115,'Continuous Assessment Records'!C:C,"Mid-Term"),"")</f>
        <v/>
      </c>
      <c r="L115" s="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 s="5">
        <f>IFERROR(AVERAGEIFS('Continuous Assessment Records'!L:L,'Continuous Assessment Records'!A:A,$A116,'Continuous Assessment Records'!F:F,$B116,'Continuous Assessment Records'!C:C,"Assignment"),"")</f>
        <v/>
      </c>
      <c r="J116" s="5">
        <f>IFERROR(AVERAGEIFS('Continuous Assessment Records'!L:L,'Continuous Assessment Records'!A:A,$A116,'Continuous Assessment Records'!F:F,$B116,'Continuous Assessment Records'!C:C,"Unit Test"),"")</f>
        <v/>
      </c>
      <c r="K116" s="5">
        <f>IFERROR(AVERAGEIFS('Continuous Assessment Records'!L:L,'Continuous Assessment Records'!A:A,$A116,'Continuous Assessment Records'!F:F,$B116,'Continuous Assessment Records'!C:C,"Mid-Term"),"")</f>
        <v/>
      </c>
      <c r="L116" s="5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 s="5">
        <f>IFERROR(AVERAGEIFS('Continuous Assessment Records'!L:L,'Continuous Assessment Records'!A:A,$A117,'Continuous Assessment Records'!F:F,$B117,'Continuous Assessment Records'!C:C,"Assignment"),"")</f>
        <v/>
      </c>
      <c r="J117" s="5">
        <f>IFERROR(AVERAGEIFS('Continuous Assessment Records'!L:L,'Continuous Assessment Records'!A:A,$A117,'Continuous Assessment Records'!F:F,$B117,'Continuous Assessment Records'!C:C,"Unit Test"),"")</f>
        <v/>
      </c>
      <c r="K117" s="5">
        <f>IFERROR(AVERAGEIFS('Continuous Assessment Records'!L:L,'Continuous Assessment Records'!A:A,$A117,'Continuous Assessment Records'!F:F,$B117,'Continuous Assessment Records'!C:C,"Mid-Term"),"")</f>
        <v/>
      </c>
      <c r="L117" s="5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 s="5">
        <f>IFERROR(AVERAGEIFS('Continuous Assessment Records'!L:L,'Continuous Assessment Records'!A:A,$A118,'Continuous Assessment Records'!F:F,$B118,'Continuous Assessment Records'!C:C,"Assignment"),"")</f>
        <v/>
      </c>
      <c r="J118" s="5">
        <f>IFERROR(AVERAGEIFS('Continuous Assessment Records'!L:L,'Continuous Assessment Records'!A:A,$A118,'Continuous Assessment Records'!F:F,$B118,'Continuous Assessment Records'!C:C,"Unit Test"),"")</f>
        <v/>
      </c>
      <c r="K118" s="5">
        <f>IFERROR(AVERAGEIFS('Continuous Assessment Records'!L:L,'Continuous Assessment Records'!A:A,$A118,'Continuous Assessment Records'!F:F,$B118,'Continuous Assessment Records'!C:C,"Mid-Term"),"")</f>
        <v/>
      </c>
      <c r="L118" s="5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 s="5">
        <f>IFERROR(AVERAGEIFS('Continuous Assessment Records'!L:L,'Continuous Assessment Records'!A:A,$A119,'Continuous Assessment Records'!F:F,$B119,'Continuous Assessment Records'!C:C,"Assignment"),"")</f>
        <v/>
      </c>
      <c r="J119" s="5">
        <f>IFERROR(AVERAGEIFS('Continuous Assessment Records'!L:L,'Continuous Assessment Records'!A:A,$A119,'Continuous Assessment Records'!F:F,$B119,'Continuous Assessment Records'!C:C,"Unit Test"),"")</f>
        <v/>
      </c>
      <c r="K119" s="5">
        <f>IFERROR(AVERAGEIFS('Continuous Assessment Records'!L:L,'Continuous Assessment Records'!A:A,$A119,'Continuous Assessment Records'!F:F,$B119,'Continuous Assessment Records'!C:C,"Mid-Term"),"")</f>
        <v/>
      </c>
      <c r="L119" s="5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 s="5">
        <f>IFERROR(AVERAGEIFS('Continuous Assessment Records'!L:L,'Continuous Assessment Records'!A:A,$A120,'Continuous Assessment Records'!F:F,$B120,'Continuous Assessment Records'!C:C,"Assignment"),"")</f>
        <v/>
      </c>
      <c r="J120" s="5">
        <f>IFERROR(AVERAGEIFS('Continuous Assessment Records'!L:L,'Continuous Assessment Records'!A:A,$A120,'Continuous Assessment Records'!F:F,$B120,'Continuous Assessment Records'!C:C,"Unit Test"),"")</f>
        <v/>
      </c>
      <c r="K120" s="5">
        <f>IFERROR(AVERAGEIFS('Continuous Assessment Records'!L:L,'Continuous Assessment Records'!A:A,$A120,'Continuous Assessment Records'!F:F,$B120,'Continuous Assessment Records'!C:C,"Mid-Term"),"")</f>
        <v/>
      </c>
      <c r="L120" s="5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 s="5">
        <f>IFERROR(AVERAGEIFS('Continuous Assessment Records'!L:L,'Continuous Assessment Records'!A:A,$A121,'Continuous Assessment Records'!F:F,$B121,'Continuous Assessment Records'!C:C,"Assignment"),"")</f>
        <v/>
      </c>
      <c r="J121" s="5">
        <f>IFERROR(AVERAGEIFS('Continuous Assessment Records'!L:L,'Continuous Assessment Records'!A:A,$A121,'Continuous Assessment Records'!F:F,$B121,'Continuous Assessment Records'!C:C,"Unit Test"),"")</f>
        <v/>
      </c>
      <c r="K121" s="5">
        <f>IFERROR(AVERAGEIFS('Continuous Assessment Records'!L:L,'Continuous Assessment Records'!A:A,$A121,'Continuous Assessment Records'!F:F,$B121,'Continuous Assessment Records'!C:C,"Mid-Term"),"")</f>
        <v/>
      </c>
      <c r="L121" s="5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 s="5">
        <f>IFERROR(AVERAGEIFS('Continuous Assessment Records'!L:L,'Continuous Assessment Records'!A:A,$A122,'Continuous Assessment Records'!F:F,$B122,'Continuous Assessment Records'!C:C,"Assignment"),"")</f>
        <v/>
      </c>
      <c r="J122" s="5">
        <f>IFERROR(AVERAGEIFS('Continuous Assessment Records'!L:L,'Continuous Assessment Records'!A:A,$A122,'Continuous Assessment Records'!F:F,$B122,'Continuous Assessment Records'!C:C,"Unit Test"),"")</f>
        <v/>
      </c>
      <c r="K122" s="5">
        <f>IFERROR(AVERAGEIFS('Continuous Assessment Records'!L:L,'Continuous Assessment Records'!A:A,$A122,'Continuous Assessment Records'!F:F,$B122,'Continuous Assessment Records'!C:C,"Mid-Term"),"")</f>
        <v/>
      </c>
      <c r="L122" s="5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 s="5">
        <f>IFERROR(AVERAGEIFS('Continuous Assessment Records'!L:L,'Continuous Assessment Records'!A:A,$A123,'Continuous Assessment Records'!F:F,$B123,'Continuous Assessment Records'!C:C,"Assignment"),"")</f>
        <v/>
      </c>
      <c r="J123" s="5">
        <f>IFERROR(AVERAGEIFS('Continuous Assessment Records'!L:L,'Continuous Assessment Records'!A:A,$A123,'Continuous Assessment Records'!F:F,$B123,'Continuous Assessment Records'!C:C,"Unit Test"),"")</f>
        <v/>
      </c>
      <c r="K123" s="5">
        <f>IFERROR(AVERAGEIFS('Continuous Assessment Records'!L:L,'Continuous Assessment Records'!A:A,$A123,'Continuous Assessment Records'!F:F,$B123,'Continuous Assessment Records'!C:C,"Mid-Term"),"")</f>
        <v/>
      </c>
      <c r="L123" s="5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 s="5">
        <f>IFERROR(AVERAGEIFS('Continuous Assessment Records'!L:L,'Continuous Assessment Records'!A:A,$A124,'Continuous Assessment Records'!F:F,$B124,'Continuous Assessment Records'!C:C,"Assignment"),"")</f>
        <v/>
      </c>
      <c r="J124" s="5">
        <f>IFERROR(AVERAGEIFS('Continuous Assessment Records'!L:L,'Continuous Assessment Records'!A:A,$A124,'Continuous Assessment Records'!F:F,$B124,'Continuous Assessment Records'!C:C,"Unit Test"),"")</f>
        <v/>
      </c>
      <c r="K124" s="5">
        <f>IFERROR(AVERAGEIFS('Continuous Assessment Records'!L:L,'Continuous Assessment Records'!A:A,$A124,'Continuous Assessment Records'!F:F,$B124,'Continuous Assessment Records'!C:C,"Mid-Term"),"")</f>
        <v/>
      </c>
      <c r="L124" s="5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 s="5">
        <f>IFERROR(AVERAGEIFS('Continuous Assessment Records'!L:L,'Continuous Assessment Records'!A:A,$A125,'Continuous Assessment Records'!F:F,$B125,'Continuous Assessment Records'!C:C,"Assignment"),"")</f>
        <v/>
      </c>
      <c r="J125" s="5">
        <f>IFERROR(AVERAGEIFS('Continuous Assessment Records'!L:L,'Continuous Assessment Records'!A:A,$A125,'Continuous Assessment Records'!F:F,$B125,'Continuous Assessment Records'!C:C,"Unit Test"),"")</f>
        <v/>
      </c>
      <c r="K125" s="5">
        <f>IFERROR(AVERAGEIFS('Continuous Assessment Records'!L:L,'Continuous Assessment Records'!A:A,$A125,'Continuous Assessment Records'!F:F,$B125,'Continuous Assessment Records'!C:C,"Mid-Term"),"")</f>
        <v/>
      </c>
      <c r="L125" s="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 s="5">
        <f>IFERROR(AVERAGEIFS('Continuous Assessment Records'!L:L,'Continuous Assessment Records'!A:A,$A126,'Continuous Assessment Records'!F:F,$B126,'Continuous Assessment Records'!C:C,"Assignment"),"")</f>
        <v/>
      </c>
      <c r="J126" s="5">
        <f>IFERROR(AVERAGEIFS('Continuous Assessment Records'!L:L,'Continuous Assessment Records'!A:A,$A126,'Continuous Assessment Records'!F:F,$B126,'Continuous Assessment Records'!C:C,"Unit Test"),"")</f>
        <v/>
      </c>
      <c r="K126" s="5">
        <f>IFERROR(AVERAGEIFS('Continuous Assessment Records'!L:L,'Continuous Assessment Records'!A:A,$A126,'Continuous Assessment Records'!F:F,$B126,'Continuous Assessment Records'!C:C,"Mid-Term"),"")</f>
        <v/>
      </c>
      <c r="L126" s="5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 s="5">
        <f>IFERROR(AVERAGEIFS('Continuous Assessment Records'!L:L,'Continuous Assessment Records'!A:A,$A127,'Continuous Assessment Records'!F:F,$B127,'Continuous Assessment Records'!C:C,"Assignment"),"")</f>
        <v/>
      </c>
      <c r="J127" s="5">
        <f>IFERROR(AVERAGEIFS('Continuous Assessment Records'!L:L,'Continuous Assessment Records'!A:A,$A127,'Continuous Assessment Records'!F:F,$B127,'Continuous Assessment Records'!C:C,"Unit Test"),"")</f>
        <v/>
      </c>
      <c r="K127" s="5">
        <f>IFERROR(AVERAGEIFS('Continuous Assessment Records'!L:L,'Continuous Assessment Records'!A:A,$A127,'Continuous Assessment Records'!F:F,$B127,'Continuous Assessment Records'!C:C,"Mid-Term"),"")</f>
        <v/>
      </c>
      <c r="L127" s="5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 s="5">
        <f>IFERROR(AVERAGEIFS('Continuous Assessment Records'!L:L,'Continuous Assessment Records'!A:A,$A128,'Continuous Assessment Records'!F:F,$B128,'Continuous Assessment Records'!C:C,"Assignment"),"")</f>
        <v/>
      </c>
      <c r="J128" s="5">
        <f>IFERROR(AVERAGEIFS('Continuous Assessment Records'!L:L,'Continuous Assessment Records'!A:A,$A128,'Continuous Assessment Records'!F:F,$B128,'Continuous Assessment Records'!C:C,"Unit Test"),"")</f>
        <v/>
      </c>
      <c r="K128" s="5">
        <f>IFERROR(AVERAGEIFS('Continuous Assessment Records'!L:L,'Continuous Assessment Records'!A:A,$A128,'Continuous Assessment Records'!F:F,$B128,'Continuous Assessment Records'!C:C,"Mid-Term"),"")</f>
        <v/>
      </c>
      <c r="L128" s="5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 s="5">
        <f>IFERROR(AVERAGEIFS('Continuous Assessment Records'!L:L,'Continuous Assessment Records'!A:A,$A129,'Continuous Assessment Records'!F:F,$B129,'Continuous Assessment Records'!C:C,"Assignment"),"")</f>
        <v/>
      </c>
      <c r="J129" s="5">
        <f>IFERROR(AVERAGEIFS('Continuous Assessment Records'!L:L,'Continuous Assessment Records'!A:A,$A129,'Continuous Assessment Records'!F:F,$B129,'Continuous Assessment Records'!C:C,"Unit Test"),"")</f>
        <v/>
      </c>
      <c r="K129" s="5">
        <f>IFERROR(AVERAGEIFS('Continuous Assessment Records'!L:L,'Continuous Assessment Records'!A:A,$A129,'Continuous Assessment Records'!F:F,$B129,'Continuous Assessment Records'!C:C,"Mid-Term"),"")</f>
        <v/>
      </c>
      <c r="L129" s="5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 s="5">
        <f>IFERROR(AVERAGEIFS('Continuous Assessment Records'!L:L,'Continuous Assessment Records'!A:A,$A130,'Continuous Assessment Records'!F:F,$B130,'Continuous Assessment Records'!C:C,"Assignment"),"")</f>
        <v/>
      </c>
      <c r="J130" s="5">
        <f>IFERROR(AVERAGEIFS('Continuous Assessment Records'!L:L,'Continuous Assessment Records'!A:A,$A130,'Continuous Assessment Records'!F:F,$B130,'Continuous Assessment Records'!C:C,"Unit Test"),"")</f>
        <v/>
      </c>
      <c r="K130" s="5">
        <f>IFERROR(AVERAGEIFS('Continuous Assessment Records'!L:L,'Continuous Assessment Records'!A:A,$A130,'Continuous Assessment Records'!F:F,$B130,'Continuous Assessment Records'!C:C,"Mid-Term"),"")</f>
        <v/>
      </c>
      <c r="L130" s="5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 s="5">
        <f>IFERROR(AVERAGEIFS('Continuous Assessment Records'!L:L,'Continuous Assessment Records'!A:A,$A131,'Continuous Assessment Records'!F:F,$B131,'Continuous Assessment Records'!C:C,"Assignment"),"")</f>
        <v/>
      </c>
      <c r="J131" s="5">
        <f>IFERROR(AVERAGEIFS('Continuous Assessment Records'!L:L,'Continuous Assessment Records'!A:A,$A131,'Continuous Assessment Records'!F:F,$B131,'Continuous Assessment Records'!C:C,"Unit Test"),"")</f>
        <v/>
      </c>
      <c r="K131" s="5">
        <f>IFERROR(AVERAGEIFS('Continuous Assessment Records'!L:L,'Continuous Assessment Records'!A:A,$A131,'Continuous Assessment Records'!F:F,$B131,'Continuous Assessment Records'!C:C,"Mid-Term"),"")</f>
        <v/>
      </c>
      <c r="L131" s="5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 s="5">
        <f>IFERROR(AVERAGEIFS('Continuous Assessment Records'!L:L,'Continuous Assessment Records'!A:A,$A132,'Continuous Assessment Records'!F:F,$B132,'Continuous Assessment Records'!C:C,"Assignment"),"")</f>
        <v/>
      </c>
      <c r="J132" s="5">
        <f>IFERROR(AVERAGEIFS('Continuous Assessment Records'!L:L,'Continuous Assessment Records'!A:A,$A132,'Continuous Assessment Records'!F:F,$B132,'Continuous Assessment Records'!C:C,"Unit Test"),"")</f>
        <v/>
      </c>
      <c r="K132" s="5">
        <f>IFERROR(AVERAGEIFS('Continuous Assessment Records'!L:L,'Continuous Assessment Records'!A:A,$A132,'Continuous Assessment Records'!F:F,$B132,'Continuous Assessment Records'!C:C,"Mid-Term"),"")</f>
        <v/>
      </c>
      <c r="L132" s="5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 s="5">
        <f>IFERROR(AVERAGEIFS('Continuous Assessment Records'!L:L,'Continuous Assessment Records'!A:A,$A133,'Continuous Assessment Records'!F:F,$B133,'Continuous Assessment Records'!C:C,"Assignment"),"")</f>
        <v/>
      </c>
      <c r="J133" s="5">
        <f>IFERROR(AVERAGEIFS('Continuous Assessment Records'!L:L,'Continuous Assessment Records'!A:A,$A133,'Continuous Assessment Records'!F:F,$B133,'Continuous Assessment Records'!C:C,"Unit Test"),"")</f>
        <v/>
      </c>
      <c r="K133" s="5">
        <f>IFERROR(AVERAGEIFS('Continuous Assessment Records'!L:L,'Continuous Assessment Records'!A:A,$A133,'Continuous Assessment Records'!F:F,$B133,'Continuous Assessment Records'!C:C,"Mid-Term"),"")</f>
        <v/>
      </c>
      <c r="L133" s="5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 s="5">
        <f>IFERROR(AVERAGEIFS('Continuous Assessment Records'!L:L,'Continuous Assessment Records'!A:A,$A134,'Continuous Assessment Records'!F:F,$B134,'Continuous Assessment Records'!C:C,"Assignment"),"")</f>
        <v/>
      </c>
      <c r="J134" s="5">
        <f>IFERROR(AVERAGEIFS('Continuous Assessment Records'!L:L,'Continuous Assessment Records'!A:A,$A134,'Continuous Assessment Records'!F:F,$B134,'Continuous Assessment Records'!C:C,"Unit Test"),"")</f>
        <v/>
      </c>
      <c r="K134" s="5">
        <f>IFERROR(AVERAGEIFS('Continuous Assessment Records'!L:L,'Continuous Assessment Records'!A:A,$A134,'Continuous Assessment Records'!F:F,$B134,'Continuous Assessment Records'!C:C,"Mid-Term"),"")</f>
        <v/>
      </c>
      <c r="L134" s="5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 s="5">
        <f>IFERROR(AVERAGEIFS('Continuous Assessment Records'!L:L,'Continuous Assessment Records'!A:A,$A135,'Continuous Assessment Records'!F:F,$B135,'Continuous Assessment Records'!C:C,"Assignment"),"")</f>
        <v/>
      </c>
      <c r="J135" s="5">
        <f>IFERROR(AVERAGEIFS('Continuous Assessment Records'!L:L,'Continuous Assessment Records'!A:A,$A135,'Continuous Assessment Records'!F:F,$B135,'Continuous Assessment Records'!C:C,"Unit Test"),"")</f>
        <v/>
      </c>
      <c r="K135" s="5">
        <f>IFERROR(AVERAGEIFS('Continuous Assessment Records'!L:L,'Continuous Assessment Records'!A:A,$A135,'Continuous Assessment Records'!F:F,$B135,'Continuous Assessment Records'!C:C,"Mid-Term"),"")</f>
        <v/>
      </c>
      <c r="L135" s="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 s="5">
        <f>IFERROR(AVERAGEIFS('Continuous Assessment Records'!L:L,'Continuous Assessment Records'!A:A,$A136,'Continuous Assessment Records'!F:F,$B136,'Continuous Assessment Records'!C:C,"Assignment"),"")</f>
        <v/>
      </c>
      <c r="J136" s="5">
        <f>IFERROR(AVERAGEIFS('Continuous Assessment Records'!L:L,'Continuous Assessment Records'!A:A,$A136,'Continuous Assessment Records'!F:F,$B136,'Continuous Assessment Records'!C:C,"Unit Test"),"")</f>
        <v/>
      </c>
      <c r="K136" s="5">
        <f>IFERROR(AVERAGEIFS('Continuous Assessment Records'!L:L,'Continuous Assessment Records'!A:A,$A136,'Continuous Assessment Records'!F:F,$B136,'Continuous Assessment Records'!C:C,"Mid-Term"),"")</f>
        <v/>
      </c>
      <c r="L136" s="5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 s="5">
        <f>IFERROR(AVERAGEIFS('Continuous Assessment Records'!L:L,'Continuous Assessment Records'!A:A,$A137,'Continuous Assessment Records'!F:F,$B137,'Continuous Assessment Records'!C:C,"Assignment"),"")</f>
        <v/>
      </c>
      <c r="J137" s="5">
        <f>IFERROR(AVERAGEIFS('Continuous Assessment Records'!L:L,'Continuous Assessment Records'!A:A,$A137,'Continuous Assessment Records'!F:F,$B137,'Continuous Assessment Records'!C:C,"Unit Test"),"")</f>
        <v/>
      </c>
      <c r="K137" s="5">
        <f>IFERROR(AVERAGEIFS('Continuous Assessment Records'!L:L,'Continuous Assessment Records'!A:A,$A137,'Continuous Assessment Records'!F:F,$B137,'Continuous Assessment Records'!C:C,"Mid-Term"),"")</f>
        <v/>
      </c>
      <c r="L137" s="5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 s="5">
        <f>IFERROR(AVERAGEIFS('Continuous Assessment Records'!L:L,'Continuous Assessment Records'!A:A,$A138,'Continuous Assessment Records'!F:F,$B138,'Continuous Assessment Records'!C:C,"Assignment"),"")</f>
        <v/>
      </c>
      <c r="J138" s="5">
        <f>IFERROR(AVERAGEIFS('Continuous Assessment Records'!L:L,'Continuous Assessment Records'!A:A,$A138,'Continuous Assessment Records'!F:F,$B138,'Continuous Assessment Records'!C:C,"Unit Test"),"")</f>
        <v/>
      </c>
      <c r="K138" s="5">
        <f>IFERROR(AVERAGEIFS('Continuous Assessment Records'!L:L,'Continuous Assessment Records'!A:A,$A138,'Continuous Assessment Records'!F:F,$B138,'Continuous Assessment Records'!C:C,"Mid-Term"),"")</f>
        <v/>
      </c>
      <c r="L138" s="5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 s="5">
        <f>IFERROR(AVERAGEIFS('Continuous Assessment Records'!L:L,'Continuous Assessment Records'!A:A,$A139,'Continuous Assessment Records'!F:F,$B139,'Continuous Assessment Records'!C:C,"Assignment"),"")</f>
        <v/>
      </c>
      <c r="J139" s="5">
        <f>IFERROR(AVERAGEIFS('Continuous Assessment Records'!L:L,'Continuous Assessment Records'!A:A,$A139,'Continuous Assessment Records'!F:F,$B139,'Continuous Assessment Records'!C:C,"Unit Test"),"")</f>
        <v/>
      </c>
      <c r="K139" s="5">
        <f>IFERROR(AVERAGEIFS('Continuous Assessment Records'!L:L,'Continuous Assessment Records'!A:A,$A139,'Continuous Assessment Records'!F:F,$B139,'Continuous Assessment Records'!C:C,"Mid-Term"),"")</f>
        <v/>
      </c>
      <c r="L139" s="5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 s="5">
        <f>IFERROR(AVERAGEIFS('Continuous Assessment Records'!L:L,'Continuous Assessment Records'!A:A,$A140,'Continuous Assessment Records'!F:F,$B140,'Continuous Assessment Records'!C:C,"Assignment"),"")</f>
        <v/>
      </c>
      <c r="J140" s="5">
        <f>IFERROR(AVERAGEIFS('Continuous Assessment Records'!L:L,'Continuous Assessment Records'!A:A,$A140,'Continuous Assessment Records'!F:F,$B140,'Continuous Assessment Records'!C:C,"Unit Test"),"")</f>
        <v/>
      </c>
      <c r="K140" s="5">
        <f>IFERROR(AVERAGEIFS('Continuous Assessment Records'!L:L,'Continuous Assessment Records'!A:A,$A140,'Continuous Assessment Records'!F:F,$B140,'Continuous Assessment Records'!C:C,"Mid-Term"),"")</f>
        <v/>
      </c>
      <c r="L140" s="5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 s="5">
        <f>IFERROR(AVERAGEIFS('Continuous Assessment Records'!L:L,'Continuous Assessment Records'!A:A,$A141,'Continuous Assessment Records'!F:F,$B141,'Continuous Assessment Records'!C:C,"Assignment"),"")</f>
        <v/>
      </c>
      <c r="J141" s="5">
        <f>IFERROR(AVERAGEIFS('Continuous Assessment Records'!L:L,'Continuous Assessment Records'!A:A,$A141,'Continuous Assessment Records'!F:F,$B141,'Continuous Assessment Records'!C:C,"Unit Test"),"")</f>
        <v/>
      </c>
      <c r="K141" s="5">
        <f>IFERROR(AVERAGEIFS('Continuous Assessment Records'!L:L,'Continuous Assessment Records'!A:A,$A141,'Continuous Assessment Records'!F:F,$B141,'Continuous Assessment Records'!C:C,"Mid-Term"),"")</f>
        <v/>
      </c>
      <c r="L141" s="5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 s="5">
        <f>IFERROR(AVERAGEIFS('Continuous Assessment Records'!L:L,'Continuous Assessment Records'!A:A,$A142,'Continuous Assessment Records'!F:F,$B142,'Continuous Assessment Records'!C:C,"Assignment"),"")</f>
        <v/>
      </c>
      <c r="J142" s="5">
        <f>IFERROR(AVERAGEIFS('Continuous Assessment Records'!L:L,'Continuous Assessment Records'!A:A,$A142,'Continuous Assessment Records'!F:F,$B142,'Continuous Assessment Records'!C:C,"Unit Test"),"")</f>
        <v/>
      </c>
      <c r="K142" s="5">
        <f>IFERROR(AVERAGEIFS('Continuous Assessment Records'!L:L,'Continuous Assessment Records'!A:A,$A142,'Continuous Assessment Records'!F:F,$B142,'Continuous Assessment Records'!C:C,"Mid-Term"),"")</f>
        <v/>
      </c>
      <c r="L142" s="5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 s="5">
        <f>IFERROR(AVERAGEIFS('Continuous Assessment Records'!L:L,'Continuous Assessment Records'!A:A,$A143,'Continuous Assessment Records'!F:F,$B143,'Continuous Assessment Records'!C:C,"Assignment"),"")</f>
        <v/>
      </c>
      <c r="J143" s="5">
        <f>IFERROR(AVERAGEIFS('Continuous Assessment Records'!L:L,'Continuous Assessment Records'!A:A,$A143,'Continuous Assessment Records'!F:F,$B143,'Continuous Assessment Records'!C:C,"Unit Test"),"")</f>
        <v/>
      </c>
      <c r="K143" s="5">
        <f>IFERROR(AVERAGEIFS('Continuous Assessment Records'!L:L,'Continuous Assessment Records'!A:A,$A143,'Continuous Assessment Records'!F:F,$B143,'Continuous Assessment Records'!C:C,"Mid-Term"),"")</f>
        <v/>
      </c>
      <c r="L143" s="5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 s="5">
        <f>IFERROR(AVERAGEIFS('Continuous Assessment Records'!L:L,'Continuous Assessment Records'!A:A,$A144,'Continuous Assessment Records'!F:F,$B144,'Continuous Assessment Records'!C:C,"Assignment"),"")</f>
        <v/>
      </c>
      <c r="J144" s="5">
        <f>IFERROR(AVERAGEIFS('Continuous Assessment Records'!L:L,'Continuous Assessment Records'!A:A,$A144,'Continuous Assessment Records'!F:F,$B144,'Continuous Assessment Records'!C:C,"Unit Test"),"")</f>
        <v/>
      </c>
      <c r="K144" s="5">
        <f>IFERROR(AVERAGEIFS('Continuous Assessment Records'!L:L,'Continuous Assessment Records'!A:A,$A144,'Continuous Assessment Records'!F:F,$B144,'Continuous Assessment Records'!C:C,"Mid-Term"),"")</f>
        <v/>
      </c>
      <c r="L144" s="5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 s="5">
        <f>IFERROR(AVERAGEIFS('Continuous Assessment Records'!L:L,'Continuous Assessment Records'!A:A,$A145,'Continuous Assessment Records'!F:F,$B145,'Continuous Assessment Records'!C:C,"Assignment"),"")</f>
        <v/>
      </c>
      <c r="J145" s="5">
        <f>IFERROR(AVERAGEIFS('Continuous Assessment Records'!L:L,'Continuous Assessment Records'!A:A,$A145,'Continuous Assessment Records'!F:F,$B145,'Continuous Assessment Records'!C:C,"Unit Test"),"")</f>
        <v/>
      </c>
      <c r="K145" s="5">
        <f>IFERROR(AVERAGEIFS('Continuous Assessment Records'!L:L,'Continuous Assessment Records'!A:A,$A145,'Continuous Assessment Records'!F:F,$B145,'Continuous Assessment Records'!C:C,"Mid-Term"),"")</f>
        <v/>
      </c>
      <c r="L145" s="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 s="5">
        <f>IFERROR(AVERAGEIFS('Continuous Assessment Records'!L:L,'Continuous Assessment Records'!A:A,$A146,'Continuous Assessment Records'!F:F,$B146,'Continuous Assessment Records'!C:C,"Assignment"),"")</f>
        <v/>
      </c>
      <c r="J146" s="5">
        <f>IFERROR(AVERAGEIFS('Continuous Assessment Records'!L:L,'Continuous Assessment Records'!A:A,$A146,'Continuous Assessment Records'!F:F,$B146,'Continuous Assessment Records'!C:C,"Unit Test"),"")</f>
        <v/>
      </c>
      <c r="K146" s="5">
        <f>IFERROR(AVERAGEIFS('Continuous Assessment Records'!L:L,'Continuous Assessment Records'!A:A,$A146,'Continuous Assessment Records'!F:F,$B146,'Continuous Assessment Records'!C:C,"Mid-Term"),"")</f>
        <v/>
      </c>
      <c r="L146" s="5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 s="5">
        <f>IFERROR(AVERAGEIFS('Continuous Assessment Records'!L:L,'Continuous Assessment Records'!A:A,$A147,'Continuous Assessment Records'!F:F,$B147,'Continuous Assessment Records'!C:C,"Assignment"),"")</f>
        <v/>
      </c>
      <c r="J147" s="5">
        <f>IFERROR(AVERAGEIFS('Continuous Assessment Records'!L:L,'Continuous Assessment Records'!A:A,$A147,'Continuous Assessment Records'!F:F,$B147,'Continuous Assessment Records'!C:C,"Unit Test"),"")</f>
        <v/>
      </c>
      <c r="K147" s="5">
        <f>IFERROR(AVERAGEIFS('Continuous Assessment Records'!L:L,'Continuous Assessment Records'!A:A,$A147,'Continuous Assessment Records'!F:F,$B147,'Continuous Assessment Records'!C:C,"Mid-Term"),"")</f>
        <v/>
      </c>
      <c r="L147" s="5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 s="5">
        <f>IFERROR(AVERAGEIFS('Continuous Assessment Records'!L:L,'Continuous Assessment Records'!A:A,$A148,'Continuous Assessment Records'!F:F,$B148,'Continuous Assessment Records'!C:C,"Assignment"),"")</f>
        <v/>
      </c>
      <c r="J148" s="5">
        <f>IFERROR(AVERAGEIFS('Continuous Assessment Records'!L:L,'Continuous Assessment Records'!A:A,$A148,'Continuous Assessment Records'!F:F,$B148,'Continuous Assessment Records'!C:C,"Unit Test"),"")</f>
        <v/>
      </c>
      <c r="K148" s="5">
        <f>IFERROR(AVERAGEIFS('Continuous Assessment Records'!L:L,'Continuous Assessment Records'!A:A,$A148,'Continuous Assessment Records'!F:F,$B148,'Continuous Assessment Records'!C:C,"Mid-Term"),"")</f>
        <v/>
      </c>
      <c r="L148" s="5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 s="5">
        <f>IFERROR(AVERAGEIFS('Continuous Assessment Records'!L:L,'Continuous Assessment Records'!A:A,$A149,'Continuous Assessment Records'!F:F,$B149,'Continuous Assessment Records'!C:C,"Assignment"),"")</f>
        <v/>
      </c>
      <c r="J149" s="5">
        <f>IFERROR(AVERAGEIFS('Continuous Assessment Records'!L:L,'Continuous Assessment Records'!A:A,$A149,'Continuous Assessment Records'!F:F,$B149,'Continuous Assessment Records'!C:C,"Unit Test"),"")</f>
        <v/>
      </c>
      <c r="K149" s="5">
        <f>IFERROR(AVERAGEIFS('Continuous Assessment Records'!L:L,'Continuous Assessment Records'!A:A,$A149,'Continuous Assessment Records'!F:F,$B149,'Continuous Assessment Records'!C:C,"Mid-Term"),"")</f>
        <v/>
      </c>
      <c r="L149" s="5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 s="5">
        <f>IFERROR(AVERAGEIFS('Continuous Assessment Records'!L:L,'Continuous Assessment Records'!A:A,$A150,'Continuous Assessment Records'!F:F,$B150,'Continuous Assessment Records'!C:C,"Assignment"),"")</f>
        <v/>
      </c>
      <c r="J150" s="5">
        <f>IFERROR(AVERAGEIFS('Continuous Assessment Records'!L:L,'Continuous Assessment Records'!A:A,$A150,'Continuous Assessment Records'!F:F,$B150,'Continuous Assessment Records'!C:C,"Unit Test"),"")</f>
        <v/>
      </c>
      <c r="K150" s="5">
        <f>IFERROR(AVERAGEIFS('Continuous Assessment Records'!L:L,'Continuous Assessment Records'!A:A,$A150,'Continuous Assessment Records'!F:F,$B150,'Continuous Assessment Records'!C:C,"Mid-Term"),"")</f>
        <v/>
      </c>
      <c r="L150" s="5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 s="5">
        <f>IFERROR(AVERAGEIFS('Continuous Assessment Records'!L:L,'Continuous Assessment Records'!A:A,$A151,'Continuous Assessment Records'!F:F,$B151,'Continuous Assessment Records'!C:C,"Assignment"),"")</f>
        <v/>
      </c>
      <c r="J151" s="5">
        <f>IFERROR(AVERAGEIFS('Continuous Assessment Records'!L:L,'Continuous Assessment Records'!A:A,$A151,'Continuous Assessment Records'!F:F,$B151,'Continuous Assessment Records'!C:C,"Unit Test"),"")</f>
        <v/>
      </c>
      <c r="K151" s="5">
        <f>IFERROR(AVERAGEIFS('Continuous Assessment Records'!L:L,'Continuous Assessment Records'!A:A,$A151,'Continuous Assessment Records'!F:F,$B151,'Continuous Assessment Records'!C:C,"Mid-Term"),"")</f>
        <v/>
      </c>
      <c r="L151" s="5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 s="5">
        <f>IFERROR(AVERAGEIFS('Continuous Assessment Records'!L:L,'Continuous Assessment Records'!A:A,$A152,'Continuous Assessment Records'!F:F,$B152,'Continuous Assessment Records'!C:C,"Assignment"),"")</f>
        <v/>
      </c>
      <c r="J152" s="5">
        <f>IFERROR(AVERAGEIFS('Continuous Assessment Records'!L:L,'Continuous Assessment Records'!A:A,$A152,'Continuous Assessment Records'!F:F,$B152,'Continuous Assessment Records'!C:C,"Unit Test"),"")</f>
        <v/>
      </c>
      <c r="K152" s="5">
        <f>IFERROR(AVERAGEIFS('Continuous Assessment Records'!L:L,'Continuous Assessment Records'!A:A,$A152,'Continuous Assessment Records'!F:F,$B152,'Continuous Assessment Records'!C:C,"Mid-Term"),"")</f>
        <v/>
      </c>
      <c r="L152" s="5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 s="5">
        <f>IFERROR(AVERAGEIFS('Continuous Assessment Records'!L:L,'Continuous Assessment Records'!A:A,$A153,'Continuous Assessment Records'!F:F,$B153,'Continuous Assessment Records'!C:C,"Assignment"),"")</f>
        <v/>
      </c>
      <c r="J153" s="5">
        <f>IFERROR(AVERAGEIFS('Continuous Assessment Records'!L:L,'Continuous Assessment Records'!A:A,$A153,'Continuous Assessment Records'!F:F,$B153,'Continuous Assessment Records'!C:C,"Unit Test"),"")</f>
        <v/>
      </c>
      <c r="K153" s="5">
        <f>IFERROR(AVERAGEIFS('Continuous Assessment Records'!L:L,'Continuous Assessment Records'!A:A,$A153,'Continuous Assessment Records'!F:F,$B153,'Continuous Assessment Records'!C:C,"Mid-Term"),"")</f>
        <v/>
      </c>
      <c r="L153" s="5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 s="5">
        <f>IFERROR(AVERAGEIFS('Continuous Assessment Records'!L:L,'Continuous Assessment Records'!A:A,$A154,'Continuous Assessment Records'!F:F,$B154,'Continuous Assessment Records'!C:C,"Assignment"),"")</f>
        <v/>
      </c>
      <c r="J154" s="5">
        <f>IFERROR(AVERAGEIFS('Continuous Assessment Records'!L:L,'Continuous Assessment Records'!A:A,$A154,'Continuous Assessment Records'!F:F,$B154,'Continuous Assessment Records'!C:C,"Unit Test"),"")</f>
        <v/>
      </c>
      <c r="K154" s="5">
        <f>IFERROR(AVERAGEIFS('Continuous Assessment Records'!L:L,'Continuous Assessment Records'!A:A,$A154,'Continuous Assessment Records'!F:F,$B154,'Continuous Assessment Records'!C:C,"Mid-Term"),"")</f>
        <v/>
      </c>
      <c r="L154" s="5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 s="5">
        <f>IFERROR(AVERAGEIFS('Continuous Assessment Records'!L:L,'Continuous Assessment Records'!A:A,$A155,'Continuous Assessment Records'!F:F,$B155,'Continuous Assessment Records'!C:C,"Assignment"),"")</f>
        <v/>
      </c>
      <c r="J155" s="5">
        <f>IFERROR(AVERAGEIFS('Continuous Assessment Records'!L:L,'Continuous Assessment Records'!A:A,$A155,'Continuous Assessment Records'!F:F,$B155,'Continuous Assessment Records'!C:C,"Unit Test"),"")</f>
        <v/>
      </c>
      <c r="K155" s="5">
        <f>IFERROR(AVERAGEIFS('Continuous Assessment Records'!L:L,'Continuous Assessment Records'!A:A,$A155,'Continuous Assessment Records'!F:F,$B155,'Continuous Assessment Records'!C:C,"Mid-Term"),"")</f>
        <v/>
      </c>
      <c r="L155" s="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 s="5">
        <f>IFERROR(AVERAGEIFS('Continuous Assessment Records'!L:L,'Continuous Assessment Records'!A:A,$A156,'Continuous Assessment Records'!F:F,$B156,'Continuous Assessment Records'!C:C,"Assignment"),"")</f>
        <v/>
      </c>
      <c r="J156" s="5">
        <f>IFERROR(AVERAGEIFS('Continuous Assessment Records'!L:L,'Continuous Assessment Records'!A:A,$A156,'Continuous Assessment Records'!F:F,$B156,'Continuous Assessment Records'!C:C,"Unit Test"),"")</f>
        <v/>
      </c>
      <c r="K156" s="5">
        <f>IFERROR(AVERAGEIFS('Continuous Assessment Records'!L:L,'Continuous Assessment Records'!A:A,$A156,'Continuous Assessment Records'!F:F,$B156,'Continuous Assessment Records'!C:C,"Mid-Term"),"")</f>
        <v/>
      </c>
      <c r="L156" s="5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 s="5">
        <f>IFERROR(AVERAGEIFS('Continuous Assessment Records'!L:L,'Continuous Assessment Records'!A:A,$A157,'Continuous Assessment Records'!F:F,$B157,'Continuous Assessment Records'!C:C,"Assignment"),"")</f>
        <v/>
      </c>
      <c r="J157" s="5">
        <f>IFERROR(AVERAGEIFS('Continuous Assessment Records'!L:L,'Continuous Assessment Records'!A:A,$A157,'Continuous Assessment Records'!F:F,$B157,'Continuous Assessment Records'!C:C,"Unit Test"),"")</f>
        <v/>
      </c>
      <c r="K157" s="5">
        <f>IFERROR(AVERAGEIFS('Continuous Assessment Records'!L:L,'Continuous Assessment Records'!A:A,$A157,'Continuous Assessment Records'!F:F,$B157,'Continuous Assessment Records'!C:C,"Mid-Term"),"")</f>
        <v/>
      </c>
      <c r="L157" s="5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 s="5">
        <f>IFERROR(AVERAGEIFS('Continuous Assessment Records'!L:L,'Continuous Assessment Records'!A:A,$A158,'Continuous Assessment Records'!F:F,$B158,'Continuous Assessment Records'!C:C,"Assignment"),"")</f>
        <v/>
      </c>
      <c r="J158" s="5">
        <f>IFERROR(AVERAGEIFS('Continuous Assessment Records'!L:L,'Continuous Assessment Records'!A:A,$A158,'Continuous Assessment Records'!F:F,$B158,'Continuous Assessment Records'!C:C,"Unit Test"),"")</f>
        <v/>
      </c>
      <c r="K158" s="5">
        <f>IFERROR(AVERAGEIFS('Continuous Assessment Records'!L:L,'Continuous Assessment Records'!A:A,$A158,'Continuous Assessment Records'!F:F,$B158,'Continuous Assessment Records'!C:C,"Mid-Term"),"")</f>
        <v/>
      </c>
      <c r="L158" s="5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 s="5">
        <f>IFERROR(AVERAGEIFS('Continuous Assessment Records'!L:L,'Continuous Assessment Records'!A:A,$A159,'Continuous Assessment Records'!F:F,$B159,'Continuous Assessment Records'!C:C,"Assignment"),"")</f>
        <v/>
      </c>
      <c r="J159" s="5">
        <f>IFERROR(AVERAGEIFS('Continuous Assessment Records'!L:L,'Continuous Assessment Records'!A:A,$A159,'Continuous Assessment Records'!F:F,$B159,'Continuous Assessment Records'!C:C,"Unit Test"),"")</f>
        <v/>
      </c>
      <c r="K159" s="5">
        <f>IFERROR(AVERAGEIFS('Continuous Assessment Records'!L:L,'Continuous Assessment Records'!A:A,$A159,'Continuous Assessment Records'!F:F,$B159,'Continuous Assessment Records'!C:C,"Mid-Term"),"")</f>
        <v/>
      </c>
      <c r="L159" s="5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 s="5">
        <f>IFERROR(AVERAGEIFS('Continuous Assessment Records'!L:L,'Continuous Assessment Records'!A:A,$A160,'Continuous Assessment Records'!F:F,$B160,'Continuous Assessment Records'!C:C,"Assignment"),"")</f>
        <v/>
      </c>
      <c r="J160" s="5">
        <f>IFERROR(AVERAGEIFS('Continuous Assessment Records'!L:L,'Continuous Assessment Records'!A:A,$A160,'Continuous Assessment Records'!F:F,$B160,'Continuous Assessment Records'!C:C,"Unit Test"),"")</f>
        <v/>
      </c>
      <c r="K160" s="5">
        <f>IFERROR(AVERAGEIFS('Continuous Assessment Records'!L:L,'Continuous Assessment Records'!A:A,$A160,'Continuous Assessment Records'!F:F,$B160,'Continuous Assessment Records'!C:C,"Mid-Term"),"")</f>
        <v/>
      </c>
      <c r="L160" s="5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 s="5">
        <f>IFERROR(AVERAGEIFS('Continuous Assessment Records'!L:L,'Continuous Assessment Records'!A:A,$A161,'Continuous Assessment Records'!F:F,$B161,'Continuous Assessment Records'!C:C,"Assignment"),"")</f>
        <v/>
      </c>
      <c r="J161" s="5">
        <f>IFERROR(AVERAGEIFS('Continuous Assessment Records'!L:L,'Continuous Assessment Records'!A:A,$A161,'Continuous Assessment Records'!F:F,$B161,'Continuous Assessment Records'!C:C,"Unit Test"),"")</f>
        <v/>
      </c>
      <c r="K161" s="5">
        <f>IFERROR(AVERAGEIFS('Continuous Assessment Records'!L:L,'Continuous Assessment Records'!A:A,$A161,'Continuous Assessment Records'!F:F,$B161,'Continuous Assessment Records'!C:C,"Mid-Term"),"")</f>
        <v/>
      </c>
      <c r="L161" s="5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 s="5">
        <f>IFERROR(AVERAGEIFS('Continuous Assessment Records'!L:L,'Continuous Assessment Records'!A:A,$A162,'Continuous Assessment Records'!F:F,$B162,'Continuous Assessment Records'!C:C,"Assignment"),"")</f>
        <v/>
      </c>
      <c r="J162" s="5">
        <f>IFERROR(AVERAGEIFS('Continuous Assessment Records'!L:L,'Continuous Assessment Records'!A:A,$A162,'Continuous Assessment Records'!F:F,$B162,'Continuous Assessment Records'!C:C,"Unit Test"),"")</f>
        <v/>
      </c>
      <c r="K162" s="5">
        <f>IFERROR(AVERAGEIFS('Continuous Assessment Records'!L:L,'Continuous Assessment Records'!A:A,$A162,'Continuous Assessment Records'!F:F,$B162,'Continuous Assessment Records'!C:C,"Mid-Term"),"")</f>
        <v/>
      </c>
      <c r="L162" s="5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 s="5">
        <f>IFERROR(AVERAGEIFS('Continuous Assessment Records'!L:L,'Continuous Assessment Records'!A:A,$A163,'Continuous Assessment Records'!F:F,$B163,'Continuous Assessment Records'!C:C,"Assignment"),"")</f>
        <v/>
      </c>
      <c r="J163" s="5">
        <f>IFERROR(AVERAGEIFS('Continuous Assessment Records'!L:L,'Continuous Assessment Records'!A:A,$A163,'Continuous Assessment Records'!F:F,$B163,'Continuous Assessment Records'!C:C,"Unit Test"),"")</f>
        <v/>
      </c>
      <c r="K163" s="5">
        <f>IFERROR(AVERAGEIFS('Continuous Assessment Records'!L:L,'Continuous Assessment Records'!A:A,$A163,'Continuous Assessment Records'!F:F,$B163,'Continuous Assessment Records'!C:C,"Mid-Term"),"")</f>
        <v/>
      </c>
      <c r="L163" s="5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 s="5">
        <f>IFERROR(AVERAGEIFS('Continuous Assessment Records'!L:L,'Continuous Assessment Records'!A:A,$A164,'Continuous Assessment Records'!F:F,$B164,'Continuous Assessment Records'!C:C,"Assignment"),"")</f>
        <v/>
      </c>
      <c r="J164" s="5">
        <f>IFERROR(AVERAGEIFS('Continuous Assessment Records'!L:L,'Continuous Assessment Records'!A:A,$A164,'Continuous Assessment Records'!F:F,$B164,'Continuous Assessment Records'!C:C,"Unit Test"),"")</f>
        <v/>
      </c>
      <c r="K164" s="5">
        <f>IFERROR(AVERAGEIFS('Continuous Assessment Records'!L:L,'Continuous Assessment Records'!A:A,$A164,'Continuous Assessment Records'!F:F,$B164,'Continuous Assessment Records'!C:C,"Mid-Term"),"")</f>
        <v/>
      </c>
      <c r="L164" s="5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 s="5">
        <f>IFERROR(AVERAGEIFS('Continuous Assessment Records'!L:L,'Continuous Assessment Records'!A:A,$A165,'Continuous Assessment Records'!F:F,$B165,'Continuous Assessment Records'!C:C,"Assignment"),"")</f>
        <v/>
      </c>
      <c r="J165" s="5">
        <f>IFERROR(AVERAGEIFS('Continuous Assessment Records'!L:L,'Continuous Assessment Records'!A:A,$A165,'Continuous Assessment Records'!F:F,$B165,'Continuous Assessment Records'!C:C,"Unit Test"),"")</f>
        <v/>
      </c>
      <c r="K165" s="5">
        <f>IFERROR(AVERAGEIFS('Continuous Assessment Records'!L:L,'Continuous Assessment Records'!A:A,$A165,'Continuous Assessment Records'!F:F,$B165,'Continuous Assessment Records'!C:C,"Mid-Term"),"")</f>
        <v/>
      </c>
      <c r="L165" s="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 s="5">
        <f>IFERROR(AVERAGEIFS('Continuous Assessment Records'!L:L,'Continuous Assessment Records'!A:A,$A166,'Continuous Assessment Records'!F:F,$B166,'Continuous Assessment Records'!C:C,"Assignment"),"")</f>
        <v/>
      </c>
      <c r="J166" s="5">
        <f>IFERROR(AVERAGEIFS('Continuous Assessment Records'!L:L,'Continuous Assessment Records'!A:A,$A166,'Continuous Assessment Records'!F:F,$B166,'Continuous Assessment Records'!C:C,"Unit Test"),"")</f>
        <v/>
      </c>
      <c r="K166" s="5">
        <f>IFERROR(AVERAGEIFS('Continuous Assessment Records'!L:L,'Continuous Assessment Records'!A:A,$A166,'Continuous Assessment Records'!F:F,$B166,'Continuous Assessment Records'!C:C,"Mid-Term"),"")</f>
        <v/>
      </c>
      <c r="L166" s="5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 s="5">
        <f>IFERROR(AVERAGEIFS('Continuous Assessment Records'!L:L,'Continuous Assessment Records'!A:A,$A167,'Continuous Assessment Records'!F:F,$B167,'Continuous Assessment Records'!C:C,"Assignment"),"")</f>
        <v/>
      </c>
      <c r="J167" s="5">
        <f>IFERROR(AVERAGEIFS('Continuous Assessment Records'!L:L,'Continuous Assessment Records'!A:A,$A167,'Continuous Assessment Records'!F:F,$B167,'Continuous Assessment Records'!C:C,"Unit Test"),"")</f>
        <v/>
      </c>
      <c r="K167" s="5">
        <f>IFERROR(AVERAGEIFS('Continuous Assessment Records'!L:L,'Continuous Assessment Records'!A:A,$A167,'Continuous Assessment Records'!F:F,$B167,'Continuous Assessment Records'!C:C,"Mid-Term"),"")</f>
        <v/>
      </c>
      <c r="L167" s="5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 s="5">
        <f>IFERROR(AVERAGEIFS('Continuous Assessment Records'!L:L,'Continuous Assessment Records'!A:A,$A168,'Continuous Assessment Records'!F:F,$B168,'Continuous Assessment Records'!C:C,"Assignment"),"")</f>
        <v/>
      </c>
      <c r="J168" s="5">
        <f>IFERROR(AVERAGEIFS('Continuous Assessment Records'!L:L,'Continuous Assessment Records'!A:A,$A168,'Continuous Assessment Records'!F:F,$B168,'Continuous Assessment Records'!C:C,"Unit Test"),"")</f>
        <v/>
      </c>
      <c r="K168" s="5">
        <f>IFERROR(AVERAGEIFS('Continuous Assessment Records'!L:L,'Continuous Assessment Records'!A:A,$A168,'Continuous Assessment Records'!F:F,$B168,'Continuous Assessment Records'!C:C,"Mid-Term"),"")</f>
        <v/>
      </c>
      <c r="L168" s="5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 s="5">
        <f>IFERROR(AVERAGEIFS('Continuous Assessment Records'!L:L,'Continuous Assessment Records'!A:A,$A169,'Continuous Assessment Records'!F:F,$B169,'Continuous Assessment Records'!C:C,"Assignment"),"")</f>
        <v/>
      </c>
      <c r="J169" s="5">
        <f>IFERROR(AVERAGEIFS('Continuous Assessment Records'!L:L,'Continuous Assessment Records'!A:A,$A169,'Continuous Assessment Records'!F:F,$B169,'Continuous Assessment Records'!C:C,"Unit Test"),"")</f>
        <v/>
      </c>
      <c r="K169" s="5">
        <f>IFERROR(AVERAGEIFS('Continuous Assessment Records'!L:L,'Continuous Assessment Records'!A:A,$A169,'Continuous Assessment Records'!F:F,$B169,'Continuous Assessment Records'!C:C,"Mid-Term"),"")</f>
        <v/>
      </c>
      <c r="L169" s="5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 s="5">
        <f>IFERROR(AVERAGEIFS('Continuous Assessment Records'!L:L,'Continuous Assessment Records'!A:A,$A170,'Continuous Assessment Records'!F:F,$B170,'Continuous Assessment Records'!C:C,"Assignment"),"")</f>
        <v/>
      </c>
      <c r="J170" s="5">
        <f>IFERROR(AVERAGEIFS('Continuous Assessment Records'!L:L,'Continuous Assessment Records'!A:A,$A170,'Continuous Assessment Records'!F:F,$B170,'Continuous Assessment Records'!C:C,"Unit Test"),"")</f>
        <v/>
      </c>
      <c r="K170" s="5">
        <f>IFERROR(AVERAGEIFS('Continuous Assessment Records'!L:L,'Continuous Assessment Records'!A:A,$A170,'Continuous Assessment Records'!F:F,$B170,'Continuous Assessment Records'!C:C,"Mid-Term"),"")</f>
        <v/>
      </c>
      <c r="L170" s="5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 s="5">
        <f>IFERROR(AVERAGEIFS('Continuous Assessment Records'!L:L,'Continuous Assessment Records'!A:A,$A171,'Continuous Assessment Records'!F:F,$B171,'Continuous Assessment Records'!C:C,"Assignment"),"")</f>
        <v/>
      </c>
      <c r="J171" s="5">
        <f>IFERROR(AVERAGEIFS('Continuous Assessment Records'!L:L,'Continuous Assessment Records'!A:A,$A171,'Continuous Assessment Records'!F:F,$B171,'Continuous Assessment Records'!C:C,"Unit Test"),"")</f>
        <v/>
      </c>
      <c r="K171" s="5">
        <f>IFERROR(AVERAGEIFS('Continuous Assessment Records'!L:L,'Continuous Assessment Records'!A:A,$A171,'Continuous Assessment Records'!F:F,$B171,'Continuous Assessment Records'!C:C,"Mid-Term"),"")</f>
        <v/>
      </c>
      <c r="L171" s="5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 s="5">
        <f>IFERROR(AVERAGEIFS('Continuous Assessment Records'!L:L,'Continuous Assessment Records'!A:A,$A172,'Continuous Assessment Records'!F:F,$B172,'Continuous Assessment Records'!C:C,"Assignment"),"")</f>
        <v/>
      </c>
      <c r="J172" s="5">
        <f>IFERROR(AVERAGEIFS('Continuous Assessment Records'!L:L,'Continuous Assessment Records'!A:A,$A172,'Continuous Assessment Records'!F:F,$B172,'Continuous Assessment Records'!C:C,"Unit Test"),"")</f>
        <v/>
      </c>
      <c r="K172" s="5">
        <f>IFERROR(AVERAGEIFS('Continuous Assessment Records'!L:L,'Continuous Assessment Records'!A:A,$A172,'Continuous Assessment Records'!F:F,$B172,'Continuous Assessment Records'!C:C,"Mid-Term"),"")</f>
        <v/>
      </c>
      <c r="L172" s="5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 s="5">
        <f>IFERROR(AVERAGEIFS('Continuous Assessment Records'!L:L,'Continuous Assessment Records'!A:A,$A173,'Continuous Assessment Records'!F:F,$B173,'Continuous Assessment Records'!C:C,"Assignment"),"")</f>
        <v/>
      </c>
      <c r="J173" s="5">
        <f>IFERROR(AVERAGEIFS('Continuous Assessment Records'!L:L,'Continuous Assessment Records'!A:A,$A173,'Continuous Assessment Records'!F:F,$B173,'Continuous Assessment Records'!C:C,"Unit Test"),"")</f>
        <v/>
      </c>
      <c r="K173" s="5">
        <f>IFERROR(AVERAGEIFS('Continuous Assessment Records'!L:L,'Continuous Assessment Records'!A:A,$A173,'Continuous Assessment Records'!F:F,$B173,'Continuous Assessment Records'!C:C,"Mid-Term"),"")</f>
        <v/>
      </c>
      <c r="L173" s="5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 s="5">
        <f>IFERROR(AVERAGEIFS('Continuous Assessment Records'!L:L,'Continuous Assessment Records'!A:A,$A174,'Continuous Assessment Records'!F:F,$B174,'Continuous Assessment Records'!C:C,"Assignment"),"")</f>
        <v/>
      </c>
      <c r="J174" s="5">
        <f>IFERROR(AVERAGEIFS('Continuous Assessment Records'!L:L,'Continuous Assessment Records'!A:A,$A174,'Continuous Assessment Records'!F:F,$B174,'Continuous Assessment Records'!C:C,"Unit Test"),"")</f>
        <v/>
      </c>
      <c r="K174" s="5">
        <f>IFERROR(AVERAGEIFS('Continuous Assessment Records'!L:L,'Continuous Assessment Records'!A:A,$A174,'Continuous Assessment Records'!F:F,$B174,'Continuous Assessment Records'!C:C,"Mid-Term"),"")</f>
        <v/>
      </c>
      <c r="L174" s="5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 s="5">
        <f>IFERROR(AVERAGEIFS('Continuous Assessment Records'!L:L,'Continuous Assessment Records'!A:A,$A175,'Continuous Assessment Records'!F:F,$B175,'Continuous Assessment Records'!C:C,"Assignment"),"")</f>
        <v/>
      </c>
      <c r="J175" s="5">
        <f>IFERROR(AVERAGEIFS('Continuous Assessment Records'!L:L,'Continuous Assessment Records'!A:A,$A175,'Continuous Assessment Records'!F:F,$B175,'Continuous Assessment Records'!C:C,"Unit Test"),"")</f>
        <v/>
      </c>
      <c r="K175" s="5">
        <f>IFERROR(AVERAGEIFS('Continuous Assessment Records'!L:L,'Continuous Assessment Records'!A:A,$A175,'Continuous Assessment Records'!F:F,$B175,'Continuous Assessment Records'!C:C,"Mid-Term"),"")</f>
        <v/>
      </c>
      <c r="L175" s="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 s="5">
        <f>IFERROR(AVERAGEIFS('Continuous Assessment Records'!L:L,'Continuous Assessment Records'!A:A,$A176,'Continuous Assessment Records'!F:F,$B176,'Continuous Assessment Records'!C:C,"Assignment"),"")</f>
        <v/>
      </c>
      <c r="J176" s="5">
        <f>IFERROR(AVERAGEIFS('Continuous Assessment Records'!L:L,'Continuous Assessment Records'!A:A,$A176,'Continuous Assessment Records'!F:F,$B176,'Continuous Assessment Records'!C:C,"Unit Test"),"")</f>
        <v/>
      </c>
      <c r="K176" s="5">
        <f>IFERROR(AVERAGEIFS('Continuous Assessment Records'!L:L,'Continuous Assessment Records'!A:A,$A176,'Continuous Assessment Records'!F:F,$B176,'Continuous Assessment Records'!C:C,"Mid-Term"),"")</f>
        <v/>
      </c>
      <c r="L176" s="5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 s="5">
        <f>IFERROR(AVERAGEIFS('Continuous Assessment Records'!L:L,'Continuous Assessment Records'!A:A,$A177,'Continuous Assessment Records'!F:F,$B177,'Continuous Assessment Records'!C:C,"Assignment"),"")</f>
        <v/>
      </c>
      <c r="J177" s="5">
        <f>IFERROR(AVERAGEIFS('Continuous Assessment Records'!L:L,'Continuous Assessment Records'!A:A,$A177,'Continuous Assessment Records'!F:F,$B177,'Continuous Assessment Records'!C:C,"Unit Test"),"")</f>
        <v/>
      </c>
      <c r="K177" s="5">
        <f>IFERROR(AVERAGEIFS('Continuous Assessment Records'!L:L,'Continuous Assessment Records'!A:A,$A177,'Continuous Assessment Records'!F:F,$B177,'Continuous Assessment Records'!C:C,"Mid-Term"),"")</f>
        <v/>
      </c>
      <c r="L177" s="5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 s="5">
        <f>IFERROR(AVERAGEIFS('Continuous Assessment Records'!L:L,'Continuous Assessment Records'!A:A,$A178,'Continuous Assessment Records'!F:F,$B178,'Continuous Assessment Records'!C:C,"Assignment"),"")</f>
        <v/>
      </c>
      <c r="J178" s="5">
        <f>IFERROR(AVERAGEIFS('Continuous Assessment Records'!L:L,'Continuous Assessment Records'!A:A,$A178,'Continuous Assessment Records'!F:F,$B178,'Continuous Assessment Records'!C:C,"Unit Test"),"")</f>
        <v/>
      </c>
      <c r="K178" s="5">
        <f>IFERROR(AVERAGEIFS('Continuous Assessment Records'!L:L,'Continuous Assessment Records'!A:A,$A178,'Continuous Assessment Records'!F:F,$B178,'Continuous Assessment Records'!C:C,"Mid-Term"),"")</f>
        <v/>
      </c>
      <c r="L178" s="5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 s="5">
        <f>IFERROR(AVERAGEIFS('Continuous Assessment Records'!L:L,'Continuous Assessment Records'!A:A,$A179,'Continuous Assessment Records'!F:F,$B179,'Continuous Assessment Records'!C:C,"Assignment"),"")</f>
        <v/>
      </c>
      <c r="J179" s="5">
        <f>IFERROR(AVERAGEIFS('Continuous Assessment Records'!L:L,'Continuous Assessment Records'!A:A,$A179,'Continuous Assessment Records'!F:F,$B179,'Continuous Assessment Records'!C:C,"Unit Test"),"")</f>
        <v/>
      </c>
      <c r="K179" s="5">
        <f>IFERROR(AVERAGEIFS('Continuous Assessment Records'!L:L,'Continuous Assessment Records'!A:A,$A179,'Continuous Assessment Records'!F:F,$B179,'Continuous Assessment Records'!C:C,"Mid-Term"),"")</f>
        <v/>
      </c>
      <c r="L179" s="5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 s="5">
        <f>IFERROR(AVERAGEIFS('Continuous Assessment Records'!L:L,'Continuous Assessment Records'!A:A,$A180,'Continuous Assessment Records'!F:F,$B180,'Continuous Assessment Records'!C:C,"Assignment"),"")</f>
        <v/>
      </c>
      <c r="J180" s="5">
        <f>IFERROR(AVERAGEIFS('Continuous Assessment Records'!L:L,'Continuous Assessment Records'!A:A,$A180,'Continuous Assessment Records'!F:F,$B180,'Continuous Assessment Records'!C:C,"Unit Test"),"")</f>
        <v/>
      </c>
      <c r="K180" s="5">
        <f>IFERROR(AVERAGEIFS('Continuous Assessment Records'!L:L,'Continuous Assessment Records'!A:A,$A180,'Continuous Assessment Records'!F:F,$B180,'Continuous Assessment Records'!C:C,"Mid-Term"),"")</f>
        <v/>
      </c>
      <c r="L180" s="5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 s="5">
        <f>IFERROR(AVERAGEIFS('Continuous Assessment Records'!L:L,'Continuous Assessment Records'!A:A,$A181,'Continuous Assessment Records'!F:F,$B181,'Continuous Assessment Records'!C:C,"Assignment"),"")</f>
        <v/>
      </c>
      <c r="J181" s="5">
        <f>IFERROR(AVERAGEIFS('Continuous Assessment Records'!L:L,'Continuous Assessment Records'!A:A,$A181,'Continuous Assessment Records'!F:F,$B181,'Continuous Assessment Records'!C:C,"Unit Test"),"")</f>
        <v/>
      </c>
      <c r="K181" s="5">
        <f>IFERROR(AVERAGEIFS('Continuous Assessment Records'!L:L,'Continuous Assessment Records'!A:A,$A181,'Continuous Assessment Records'!F:F,$B181,'Continuous Assessment Records'!C:C,"Mid-Term"),"")</f>
        <v/>
      </c>
      <c r="L181" s="5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 s="5">
        <f>IFERROR(AVERAGEIFS('Continuous Assessment Records'!L:L,'Continuous Assessment Records'!A:A,$A182,'Continuous Assessment Records'!F:F,$B182,'Continuous Assessment Records'!C:C,"Assignment"),"")</f>
        <v/>
      </c>
      <c r="J182" s="5">
        <f>IFERROR(AVERAGEIFS('Continuous Assessment Records'!L:L,'Continuous Assessment Records'!A:A,$A182,'Continuous Assessment Records'!F:F,$B182,'Continuous Assessment Records'!C:C,"Unit Test"),"")</f>
        <v/>
      </c>
      <c r="K182" s="5">
        <f>IFERROR(AVERAGEIFS('Continuous Assessment Records'!L:L,'Continuous Assessment Records'!A:A,$A182,'Continuous Assessment Records'!F:F,$B182,'Continuous Assessment Records'!C:C,"Mid-Term"),"")</f>
        <v/>
      </c>
      <c r="L182" s="5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 s="5">
        <f>IFERROR(AVERAGEIFS('Continuous Assessment Records'!L:L,'Continuous Assessment Records'!A:A,$A183,'Continuous Assessment Records'!F:F,$B183,'Continuous Assessment Records'!C:C,"Assignment"),"")</f>
        <v/>
      </c>
      <c r="J183" s="5">
        <f>IFERROR(AVERAGEIFS('Continuous Assessment Records'!L:L,'Continuous Assessment Records'!A:A,$A183,'Continuous Assessment Records'!F:F,$B183,'Continuous Assessment Records'!C:C,"Unit Test"),"")</f>
        <v/>
      </c>
      <c r="K183" s="5">
        <f>IFERROR(AVERAGEIFS('Continuous Assessment Records'!L:L,'Continuous Assessment Records'!A:A,$A183,'Continuous Assessment Records'!F:F,$B183,'Continuous Assessment Records'!C:C,"Mid-Term"),"")</f>
        <v/>
      </c>
      <c r="L183" s="5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 s="5">
        <f>IFERROR(AVERAGEIFS('Continuous Assessment Records'!L:L,'Continuous Assessment Records'!A:A,$A184,'Continuous Assessment Records'!F:F,$B184,'Continuous Assessment Records'!C:C,"Assignment"),"")</f>
        <v/>
      </c>
      <c r="J184" s="5">
        <f>IFERROR(AVERAGEIFS('Continuous Assessment Records'!L:L,'Continuous Assessment Records'!A:A,$A184,'Continuous Assessment Records'!F:F,$B184,'Continuous Assessment Records'!C:C,"Unit Test"),"")</f>
        <v/>
      </c>
      <c r="K184" s="5">
        <f>IFERROR(AVERAGEIFS('Continuous Assessment Records'!L:L,'Continuous Assessment Records'!A:A,$A184,'Continuous Assessment Records'!F:F,$B184,'Continuous Assessment Records'!C:C,"Mid-Term"),"")</f>
        <v/>
      </c>
      <c r="L184" s="5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 s="5">
        <f>IFERROR(AVERAGEIFS('Continuous Assessment Records'!L:L,'Continuous Assessment Records'!A:A,$A185,'Continuous Assessment Records'!F:F,$B185,'Continuous Assessment Records'!C:C,"Assignment"),"")</f>
        <v/>
      </c>
      <c r="J185" s="5">
        <f>IFERROR(AVERAGEIFS('Continuous Assessment Records'!L:L,'Continuous Assessment Records'!A:A,$A185,'Continuous Assessment Records'!F:F,$B185,'Continuous Assessment Records'!C:C,"Unit Test"),"")</f>
        <v/>
      </c>
      <c r="K185" s="5">
        <f>IFERROR(AVERAGEIFS('Continuous Assessment Records'!L:L,'Continuous Assessment Records'!A:A,$A185,'Continuous Assessment Records'!F:F,$B185,'Continuous Assessment Records'!C:C,"Mid-Term"),"")</f>
        <v/>
      </c>
      <c r="L185" s="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 s="5">
        <f>IFERROR(AVERAGEIFS('Continuous Assessment Records'!L:L,'Continuous Assessment Records'!A:A,$A186,'Continuous Assessment Records'!F:F,$B186,'Continuous Assessment Records'!C:C,"Assignment"),"")</f>
        <v/>
      </c>
      <c r="J186" s="5">
        <f>IFERROR(AVERAGEIFS('Continuous Assessment Records'!L:L,'Continuous Assessment Records'!A:A,$A186,'Continuous Assessment Records'!F:F,$B186,'Continuous Assessment Records'!C:C,"Unit Test"),"")</f>
        <v/>
      </c>
      <c r="K186" s="5">
        <f>IFERROR(AVERAGEIFS('Continuous Assessment Records'!L:L,'Continuous Assessment Records'!A:A,$A186,'Continuous Assessment Records'!F:F,$B186,'Continuous Assessment Records'!C:C,"Mid-Term"),"")</f>
        <v/>
      </c>
      <c r="L186" s="5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 s="5">
        <f>IFERROR(AVERAGEIFS('Continuous Assessment Records'!L:L,'Continuous Assessment Records'!A:A,$A187,'Continuous Assessment Records'!F:F,$B187,'Continuous Assessment Records'!C:C,"Assignment"),"")</f>
        <v/>
      </c>
      <c r="J187" s="5">
        <f>IFERROR(AVERAGEIFS('Continuous Assessment Records'!L:L,'Continuous Assessment Records'!A:A,$A187,'Continuous Assessment Records'!F:F,$B187,'Continuous Assessment Records'!C:C,"Unit Test"),"")</f>
        <v/>
      </c>
      <c r="K187" s="5">
        <f>IFERROR(AVERAGEIFS('Continuous Assessment Records'!L:L,'Continuous Assessment Records'!A:A,$A187,'Continuous Assessment Records'!F:F,$B187,'Continuous Assessment Records'!C:C,"Mid-Term"),"")</f>
        <v/>
      </c>
      <c r="L187" s="5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 s="5">
        <f>IFERROR(AVERAGEIFS('Continuous Assessment Records'!L:L,'Continuous Assessment Records'!A:A,$A188,'Continuous Assessment Records'!F:F,$B188,'Continuous Assessment Records'!C:C,"Assignment"),"")</f>
        <v/>
      </c>
      <c r="J188" s="5">
        <f>IFERROR(AVERAGEIFS('Continuous Assessment Records'!L:L,'Continuous Assessment Records'!A:A,$A188,'Continuous Assessment Records'!F:F,$B188,'Continuous Assessment Records'!C:C,"Unit Test"),"")</f>
        <v/>
      </c>
      <c r="K188" s="5">
        <f>IFERROR(AVERAGEIFS('Continuous Assessment Records'!L:L,'Continuous Assessment Records'!A:A,$A188,'Continuous Assessment Records'!F:F,$B188,'Continuous Assessment Records'!C:C,"Mid-Term"),"")</f>
        <v/>
      </c>
      <c r="L188" s="5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 s="5">
        <f>IFERROR(AVERAGEIFS('Continuous Assessment Records'!L:L,'Continuous Assessment Records'!A:A,$A189,'Continuous Assessment Records'!F:F,$B189,'Continuous Assessment Records'!C:C,"Assignment"),"")</f>
        <v/>
      </c>
      <c r="J189" s="5">
        <f>IFERROR(AVERAGEIFS('Continuous Assessment Records'!L:L,'Continuous Assessment Records'!A:A,$A189,'Continuous Assessment Records'!F:F,$B189,'Continuous Assessment Records'!C:C,"Unit Test"),"")</f>
        <v/>
      </c>
      <c r="K189" s="5">
        <f>IFERROR(AVERAGEIFS('Continuous Assessment Records'!L:L,'Continuous Assessment Records'!A:A,$A189,'Continuous Assessment Records'!F:F,$B189,'Continuous Assessment Records'!C:C,"Mid-Term"),"")</f>
        <v/>
      </c>
      <c r="L189" s="5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 s="5">
        <f>IFERROR(AVERAGEIFS('Continuous Assessment Records'!L:L,'Continuous Assessment Records'!A:A,$A190,'Continuous Assessment Records'!F:F,$B190,'Continuous Assessment Records'!C:C,"Assignment"),"")</f>
        <v/>
      </c>
      <c r="J190" s="5">
        <f>IFERROR(AVERAGEIFS('Continuous Assessment Records'!L:L,'Continuous Assessment Records'!A:A,$A190,'Continuous Assessment Records'!F:F,$B190,'Continuous Assessment Records'!C:C,"Unit Test"),"")</f>
        <v/>
      </c>
      <c r="K190" s="5">
        <f>IFERROR(AVERAGEIFS('Continuous Assessment Records'!L:L,'Continuous Assessment Records'!A:A,$A190,'Continuous Assessment Records'!F:F,$B190,'Continuous Assessment Records'!C:C,"Mid-Term"),"")</f>
        <v/>
      </c>
      <c r="L190" s="5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 s="5">
        <f>IFERROR(AVERAGEIFS('Continuous Assessment Records'!L:L,'Continuous Assessment Records'!A:A,$A191,'Continuous Assessment Records'!F:F,$B191,'Continuous Assessment Records'!C:C,"Assignment"),"")</f>
        <v/>
      </c>
      <c r="J191" s="5">
        <f>IFERROR(AVERAGEIFS('Continuous Assessment Records'!L:L,'Continuous Assessment Records'!A:A,$A191,'Continuous Assessment Records'!F:F,$B191,'Continuous Assessment Records'!C:C,"Unit Test"),"")</f>
        <v/>
      </c>
      <c r="K191" s="5">
        <f>IFERROR(AVERAGEIFS('Continuous Assessment Records'!L:L,'Continuous Assessment Records'!A:A,$A191,'Continuous Assessment Records'!F:F,$B191,'Continuous Assessment Records'!C:C,"Mid-Term"),"")</f>
        <v/>
      </c>
      <c r="L191" s="5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 s="5">
        <f>IFERROR(AVERAGEIFS('Continuous Assessment Records'!L:L,'Continuous Assessment Records'!A:A,$A192,'Continuous Assessment Records'!F:F,$B192,'Continuous Assessment Records'!C:C,"Assignment"),"")</f>
        <v/>
      </c>
      <c r="J192" s="5">
        <f>IFERROR(AVERAGEIFS('Continuous Assessment Records'!L:L,'Continuous Assessment Records'!A:A,$A192,'Continuous Assessment Records'!F:F,$B192,'Continuous Assessment Records'!C:C,"Unit Test"),"")</f>
        <v/>
      </c>
      <c r="K192" s="5">
        <f>IFERROR(AVERAGEIFS('Continuous Assessment Records'!L:L,'Continuous Assessment Records'!A:A,$A192,'Continuous Assessment Records'!F:F,$B192,'Continuous Assessment Records'!C:C,"Mid-Term"),"")</f>
        <v/>
      </c>
      <c r="L192" s="5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 s="5">
        <f>IFERROR(AVERAGEIFS('Continuous Assessment Records'!L:L,'Continuous Assessment Records'!A:A,$A193,'Continuous Assessment Records'!F:F,$B193,'Continuous Assessment Records'!C:C,"Assignment"),"")</f>
        <v/>
      </c>
      <c r="J193" s="5">
        <f>IFERROR(AVERAGEIFS('Continuous Assessment Records'!L:L,'Continuous Assessment Records'!A:A,$A193,'Continuous Assessment Records'!F:F,$B193,'Continuous Assessment Records'!C:C,"Unit Test"),"")</f>
        <v/>
      </c>
      <c r="K193" s="5">
        <f>IFERROR(AVERAGEIFS('Continuous Assessment Records'!L:L,'Continuous Assessment Records'!A:A,$A193,'Continuous Assessment Records'!F:F,$B193,'Continuous Assessment Records'!C:C,"Mid-Term"),"")</f>
        <v/>
      </c>
      <c r="L193" s="5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 s="5">
        <f>IFERROR(AVERAGEIFS('Continuous Assessment Records'!L:L,'Continuous Assessment Records'!A:A,$A194,'Continuous Assessment Records'!F:F,$B194,'Continuous Assessment Records'!C:C,"Assignment"),"")</f>
        <v/>
      </c>
      <c r="J194" s="5">
        <f>IFERROR(AVERAGEIFS('Continuous Assessment Records'!L:L,'Continuous Assessment Records'!A:A,$A194,'Continuous Assessment Records'!F:F,$B194,'Continuous Assessment Records'!C:C,"Unit Test"),"")</f>
        <v/>
      </c>
      <c r="K194" s="5">
        <f>IFERROR(AVERAGEIFS('Continuous Assessment Records'!L:L,'Continuous Assessment Records'!A:A,$A194,'Continuous Assessment Records'!F:F,$B194,'Continuous Assessment Records'!C:C,"Mid-Term"),"")</f>
        <v/>
      </c>
      <c r="L194" s="5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 s="5">
        <f>IFERROR(AVERAGEIFS('Continuous Assessment Records'!L:L,'Continuous Assessment Records'!A:A,$A195,'Continuous Assessment Records'!F:F,$B195,'Continuous Assessment Records'!C:C,"Assignment"),"")</f>
        <v/>
      </c>
      <c r="J195" s="5">
        <f>IFERROR(AVERAGEIFS('Continuous Assessment Records'!L:L,'Continuous Assessment Records'!A:A,$A195,'Continuous Assessment Records'!F:F,$B195,'Continuous Assessment Records'!C:C,"Unit Test"),"")</f>
        <v/>
      </c>
      <c r="K195" s="5">
        <f>IFERROR(AVERAGEIFS('Continuous Assessment Records'!L:L,'Continuous Assessment Records'!A:A,$A195,'Continuous Assessment Records'!F:F,$B195,'Continuous Assessment Records'!C:C,"Mid-Term"),"")</f>
        <v/>
      </c>
      <c r="L195" s="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 s="5">
        <f>IFERROR(AVERAGEIFS('Continuous Assessment Records'!L:L,'Continuous Assessment Records'!A:A,$A196,'Continuous Assessment Records'!F:F,$B196,'Continuous Assessment Records'!C:C,"Assignment"),"")</f>
        <v/>
      </c>
      <c r="J196" s="5">
        <f>IFERROR(AVERAGEIFS('Continuous Assessment Records'!L:L,'Continuous Assessment Records'!A:A,$A196,'Continuous Assessment Records'!F:F,$B196,'Continuous Assessment Records'!C:C,"Unit Test"),"")</f>
        <v/>
      </c>
      <c r="K196" s="5">
        <f>IFERROR(AVERAGEIFS('Continuous Assessment Records'!L:L,'Continuous Assessment Records'!A:A,$A196,'Continuous Assessment Records'!F:F,$B196,'Continuous Assessment Records'!C:C,"Mid-Term"),"")</f>
        <v/>
      </c>
      <c r="L196" s="5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 s="5">
        <f>IFERROR(AVERAGEIFS('Continuous Assessment Records'!L:L,'Continuous Assessment Records'!A:A,$A197,'Continuous Assessment Records'!F:F,$B197,'Continuous Assessment Records'!C:C,"Assignment"),"")</f>
        <v/>
      </c>
      <c r="J197" s="5">
        <f>IFERROR(AVERAGEIFS('Continuous Assessment Records'!L:L,'Continuous Assessment Records'!A:A,$A197,'Continuous Assessment Records'!F:F,$B197,'Continuous Assessment Records'!C:C,"Unit Test"),"")</f>
        <v/>
      </c>
      <c r="K197" s="5">
        <f>IFERROR(AVERAGEIFS('Continuous Assessment Records'!L:L,'Continuous Assessment Records'!A:A,$A197,'Continuous Assessment Records'!F:F,$B197,'Continuous Assessment Records'!C:C,"Mid-Term"),"")</f>
        <v/>
      </c>
      <c r="L197" s="5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 s="5">
        <f>IFERROR(AVERAGEIFS('Continuous Assessment Records'!L:L,'Continuous Assessment Records'!A:A,$A198,'Continuous Assessment Records'!F:F,$B198,'Continuous Assessment Records'!C:C,"Assignment"),"")</f>
        <v/>
      </c>
      <c r="J198" s="5">
        <f>IFERROR(AVERAGEIFS('Continuous Assessment Records'!L:L,'Continuous Assessment Records'!A:A,$A198,'Continuous Assessment Records'!F:F,$B198,'Continuous Assessment Records'!C:C,"Unit Test"),"")</f>
        <v/>
      </c>
      <c r="K198" s="5">
        <f>IFERROR(AVERAGEIFS('Continuous Assessment Records'!L:L,'Continuous Assessment Records'!A:A,$A198,'Continuous Assessment Records'!F:F,$B198,'Continuous Assessment Records'!C:C,"Mid-Term"),"")</f>
        <v/>
      </c>
      <c r="L198" s="5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 s="5">
        <f>IFERROR(AVERAGEIFS('Continuous Assessment Records'!L:L,'Continuous Assessment Records'!A:A,$A199,'Continuous Assessment Records'!F:F,$B199,'Continuous Assessment Records'!C:C,"Assignment"),"")</f>
        <v/>
      </c>
      <c r="J199" s="5">
        <f>IFERROR(AVERAGEIFS('Continuous Assessment Records'!L:L,'Continuous Assessment Records'!A:A,$A199,'Continuous Assessment Records'!F:F,$B199,'Continuous Assessment Records'!C:C,"Unit Test"),"")</f>
        <v/>
      </c>
      <c r="K199" s="5">
        <f>IFERROR(AVERAGEIFS('Continuous Assessment Records'!L:L,'Continuous Assessment Records'!A:A,$A199,'Continuous Assessment Records'!F:F,$B199,'Continuous Assessment Records'!C:C,"Mid-Term"),"")</f>
        <v/>
      </c>
      <c r="L199" s="5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 s="5">
        <f>IFERROR(AVERAGEIFS('Continuous Assessment Records'!L:L,'Continuous Assessment Records'!A:A,$A200,'Continuous Assessment Records'!F:F,$B200,'Continuous Assessment Records'!C:C,"Assignment"),"")</f>
        <v/>
      </c>
      <c r="J200" s="5">
        <f>IFERROR(AVERAGEIFS('Continuous Assessment Records'!L:L,'Continuous Assessment Records'!A:A,$A200,'Continuous Assessment Records'!F:F,$B200,'Continuous Assessment Records'!C:C,"Unit Test"),"")</f>
        <v/>
      </c>
      <c r="K200" s="5">
        <f>IFERROR(AVERAGEIFS('Continuous Assessment Records'!L:L,'Continuous Assessment Records'!A:A,$A200,'Continuous Assessment Records'!F:F,$B200,'Continuous Assessment Records'!C:C,"Mid-Term"),"")</f>
        <v/>
      </c>
      <c r="L200" s="5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 s="5">
        <f>IFERROR(AVERAGEIFS('Continuous Assessment Records'!L:L,'Continuous Assessment Records'!A:A,$A201,'Continuous Assessment Records'!F:F,$B201,'Continuous Assessment Records'!C:C,"Assignment"),"")</f>
        <v/>
      </c>
      <c r="J201" s="5">
        <f>IFERROR(AVERAGEIFS('Continuous Assessment Records'!L:L,'Continuous Assessment Records'!A:A,$A201,'Continuous Assessment Records'!F:F,$B201,'Continuous Assessment Records'!C:C,"Unit Test"),"")</f>
        <v/>
      </c>
      <c r="K201" s="5">
        <f>IFERROR(AVERAGEIFS('Continuous Assessment Records'!L:L,'Continuous Assessment Records'!A:A,$A201,'Continuous Assessment Records'!F:F,$B201,'Continuous Assessment Records'!C:C,"Mid-Term"),"")</f>
        <v/>
      </c>
      <c r="L201" s="5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6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A205" s="4" t="inlineStr">
        <is>
          <t>KPI Summary</t>
        </is>
      </c>
      <c r="I205" t="n">
        <v>0.2</v>
      </c>
      <c r="J205" t="n">
        <v>0.3</v>
      </c>
      <c r="K205" t="n">
        <v>0.5</v>
      </c>
    </row>
    <row r="207">
      <c r="A207" s="3" t="inlineStr">
        <is>
          <t>Note: Avg % values are based on 'Class Avg %' from Continuous Assessment Records per CO and assessment type. Adjust weights in I205:K205.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CO1 % (Auto)</t>
        </is>
      </c>
      <c r="G1" s="1" t="inlineStr">
        <is>
          <t>CO2 % (Auto)</t>
        </is>
      </c>
      <c r="H1" s="1" t="inlineStr">
        <is>
          <t>CO3 % (Auto)</t>
        </is>
      </c>
      <c r="I1" s="1" t="inlineStr">
        <is>
          <t>CO4 % (Auto)</t>
        </is>
      </c>
      <c r="J1" s="1" t="inlineStr">
        <is>
          <t>Average % (Auto)</t>
        </is>
      </c>
      <c r="K1" s="1" t="inlineStr">
        <is>
          <t>Attainment Level (0–3)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J2">
        <f>IF(COUNTA(F2:I2)=0,"",AVERAGE(F2:I2))</f>
        <v/>
      </c>
      <c r="K2">
        <f>IF(J2="","",IF(J2&gt;=70,3,IF(J2&gt;=60,2,IF(J2&gt;=50,1,0))))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J3">
        <f>IF(COUNTA(F3:I3)=0,"",AVERAGE(F3:I3))</f>
        <v/>
      </c>
      <c r="K3">
        <f>IF(J3="","",IF(J3&gt;=70,3,IF(J3&gt;=60,2,IF(J3&gt;=50,1,0))))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J4">
        <f>IF(COUNTA(F4:I4)=0,"",AVERAGE(F4:I4))</f>
        <v/>
      </c>
      <c r="K4">
        <f>IF(J4="","",IF(J4&gt;=70,3,IF(J4&gt;=60,2,IF(J4&gt;=50,1,0))))</f>
        <v/>
      </c>
    </row>
    <row r="5">
      <c r="J5">
        <f>IF(COUNTA(F5:I5)=0,"",AVERAGE(F5:I5))</f>
        <v/>
      </c>
      <c r="K5">
        <f>IF(J5="","",IF(J5&gt;=70,3,IF(J5&gt;=60,2,IF(J5&gt;=50,1,0))))</f>
        <v/>
      </c>
    </row>
    <row r="6">
      <c r="J6">
        <f>IF(COUNTA(F6:I6)=0,"",AVERAGE(F6:I6))</f>
        <v/>
      </c>
      <c r="K6">
        <f>IF(J6="","",IF(J6&gt;=70,3,IF(J6&gt;=60,2,IF(J6&gt;=50,1,0))))</f>
        <v/>
      </c>
    </row>
    <row r="7">
      <c r="J7">
        <f>IF(COUNTA(F7:I7)=0,"",AVERAGE(F7:I7))</f>
        <v/>
      </c>
      <c r="K7">
        <f>IF(J7="","",IF(J7&gt;=70,3,IF(J7&gt;=60,2,IF(J7&gt;=50,1,0))))</f>
        <v/>
      </c>
    </row>
    <row r="8">
      <c r="J8">
        <f>IF(COUNTA(F8:I8)=0,"",AVERAGE(F8:I8))</f>
        <v/>
      </c>
      <c r="K8">
        <f>IF(J8="","",IF(J8&gt;=70,3,IF(J8&gt;=60,2,IF(J8&gt;=50,1,0))))</f>
        <v/>
      </c>
    </row>
    <row r="9">
      <c r="J9">
        <f>IF(COUNTA(F9:I9)=0,"",AVERAGE(F9:I9))</f>
        <v/>
      </c>
      <c r="K9">
        <f>IF(J9="","",IF(J9&gt;=70,3,IF(J9&gt;=60,2,IF(J9&gt;=50,1,0))))</f>
        <v/>
      </c>
    </row>
    <row r="10">
      <c r="J10">
        <f>IF(COUNTA(F10:I10)=0,"",AVERAGE(F10:I10))</f>
        <v/>
      </c>
      <c r="K10">
        <f>IF(J10="","",IF(J10&gt;=70,3,IF(J10&gt;=60,2,IF(J10&gt;=50,1,0))))</f>
        <v/>
      </c>
    </row>
    <row r="11">
      <c r="J11">
        <f>IF(COUNTA(F11:I11)=0,"",AVERAGE(F11:I11))</f>
        <v/>
      </c>
      <c r="K11">
        <f>IF(J11="","",IF(J11&gt;=70,3,IF(J11&gt;=60,2,IF(J11&gt;=50,1,0))))</f>
        <v/>
      </c>
    </row>
    <row r="12">
      <c r="J12">
        <f>IF(COUNTA(F12:I12)=0,"",AVERAGE(F12:I12))</f>
        <v/>
      </c>
      <c r="K12">
        <f>IF(J12="","",IF(J12&gt;=70,3,IF(J12&gt;=60,2,IF(J12&gt;=50,1,0))))</f>
        <v/>
      </c>
    </row>
    <row r="13">
      <c r="J13">
        <f>IF(COUNTA(F13:I13)=0,"",AVERAGE(F13:I13))</f>
        <v/>
      </c>
      <c r="K13">
        <f>IF(J13="","",IF(J13&gt;=70,3,IF(J13&gt;=60,2,IF(J13&gt;=50,1,0))))</f>
        <v/>
      </c>
    </row>
    <row r="14">
      <c r="J14">
        <f>IF(COUNTA(F14:I14)=0,"",AVERAGE(F14:I14))</f>
        <v/>
      </c>
      <c r="K14">
        <f>IF(J14="","",IF(J14&gt;=70,3,IF(J14&gt;=60,2,IF(J14&gt;=50,1,0))))</f>
        <v/>
      </c>
    </row>
    <row r="15">
      <c r="J15">
        <f>IF(COUNTA(F15:I15)=0,"",AVERAGE(F15:I15))</f>
        <v/>
      </c>
      <c r="K15">
        <f>IF(J15="","",IF(J15&gt;=70,3,IF(J15&gt;=60,2,IF(J15&gt;=50,1,0))))</f>
        <v/>
      </c>
    </row>
    <row r="16">
      <c r="J16">
        <f>IF(COUNTA(F16:I16)=0,"",AVERAGE(F16:I16))</f>
        <v/>
      </c>
      <c r="K16">
        <f>IF(J16="","",IF(J16&gt;=70,3,IF(J16&gt;=60,2,IF(J16&gt;=50,1,0))))</f>
        <v/>
      </c>
    </row>
    <row r="17">
      <c r="J17">
        <f>IF(COUNTA(F17:I17)=0,"",AVERAGE(F17:I17))</f>
        <v/>
      </c>
      <c r="K17">
        <f>IF(J17="","",IF(J17&gt;=70,3,IF(J17&gt;=60,2,IF(J17&gt;=50,1,0))))</f>
        <v/>
      </c>
    </row>
    <row r="18">
      <c r="J18">
        <f>IF(COUNTA(F18:I18)=0,"",AVERAGE(F18:I18))</f>
        <v/>
      </c>
      <c r="K18">
        <f>IF(J18="","",IF(J18&gt;=70,3,IF(J18&gt;=60,2,IF(J18&gt;=50,1,0))))</f>
        <v/>
      </c>
    </row>
    <row r="19">
      <c r="J19">
        <f>IF(COUNTA(F19:I19)=0,"",AVERAGE(F19:I19))</f>
        <v/>
      </c>
      <c r="K19">
        <f>IF(J19="","",IF(J19&gt;=70,3,IF(J19&gt;=60,2,IF(J19&gt;=50,1,0))))</f>
        <v/>
      </c>
    </row>
    <row r="20">
      <c r="J20">
        <f>IF(COUNTA(F20:I20)=0,"",AVERAGE(F20:I20))</f>
        <v/>
      </c>
      <c r="K20">
        <f>IF(J20="","",IF(J20&gt;=70,3,IF(J20&gt;=60,2,IF(J20&gt;=50,1,0))))</f>
        <v/>
      </c>
    </row>
    <row r="21">
      <c r="J21">
        <f>IF(COUNTA(F21:I21)=0,"",AVERAGE(F21:I21))</f>
        <v/>
      </c>
      <c r="K21">
        <f>IF(J21="","",IF(J21&gt;=70,3,IF(J21&gt;=60,2,IF(J21&gt;=50,1,0))))</f>
        <v/>
      </c>
    </row>
    <row r="22">
      <c r="J22">
        <f>IF(COUNTA(F22:I22)=0,"",AVERAGE(F22:I22))</f>
        <v/>
      </c>
      <c r="K22">
        <f>IF(J22="","",IF(J22&gt;=70,3,IF(J22&gt;=60,2,IF(J22&gt;=50,1,0))))</f>
        <v/>
      </c>
    </row>
    <row r="23">
      <c r="J23">
        <f>IF(COUNTA(F23:I23)=0,"",AVERAGE(F23:I23))</f>
        <v/>
      </c>
      <c r="K23">
        <f>IF(J23="","",IF(J23&gt;=70,3,IF(J23&gt;=60,2,IF(J23&gt;=50,1,0))))</f>
        <v/>
      </c>
    </row>
    <row r="24">
      <c r="J24">
        <f>IF(COUNTA(F24:I24)=0,"",AVERAGE(F24:I24))</f>
        <v/>
      </c>
      <c r="K24">
        <f>IF(J24="","",IF(J24&gt;=70,3,IF(J24&gt;=60,2,IF(J24&gt;=50,1,0))))</f>
        <v/>
      </c>
    </row>
    <row r="25">
      <c r="J25">
        <f>IF(COUNTA(F25:I25)=0,"",AVERAGE(F25:I25))</f>
        <v/>
      </c>
      <c r="K25">
        <f>IF(J25="","",IF(J25&gt;=70,3,IF(J25&gt;=60,2,IF(J25&gt;=50,1,0))))</f>
        <v/>
      </c>
    </row>
    <row r="26">
      <c r="J26">
        <f>IF(COUNTA(F26:I26)=0,"",AVERAGE(F26:I26))</f>
        <v/>
      </c>
      <c r="K26">
        <f>IF(J26="","",IF(J26&gt;=70,3,IF(J26&gt;=60,2,IF(J26&gt;=50,1,0))))</f>
        <v/>
      </c>
    </row>
    <row r="27">
      <c r="J27">
        <f>IF(COUNTA(F27:I27)=0,"",AVERAGE(F27:I27))</f>
        <v/>
      </c>
      <c r="K27">
        <f>IF(J27="","",IF(J27&gt;=70,3,IF(J27&gt;=60,2,IF(J27&gt;=50,1,0))))</f>
        <v/>
      </c>
    </row>
    <row r="28">
      <c r="J28">
        <f>IF(COUNTA(F28:I28)=0,"",AVERAGE(F28:I28))</f>
        <v/>
      </c>
      <c r="K28">
        <f>IF(J28="","",IF(J28&gt;=70,3,IF(J28&gt;=60,2,IF(J28&gt;=50,1,0))))</f>
        <v/>
      </c>
    </row>
    <row r="29">
      <c r="J29">
        <f>IF(COUNTA(F29:I29)=0,"",AVERAGE(F29:I29))</f>
        <v/>
      </c>
      <c r="K29">
        <f>IF(J29="","",IF(J29&gt;=70,3,IF(J29&gt;=60,2,IF(J29&gt;=50,1,0))))</f>
        <v/>
      </c>
    </row>
    <row r="30">
      <c r="J30">
        <f>IF(COUNTA(F30:I30)=0,"",AVERAGE(F30:I30))</f>
        <v/>
      </c>
      <c r="K30">
        <f>IF(J30="","",IF(J30&gt;=70,3,IF(J30&gt;=60,2,IF(J30&gt;=50,1,0))))</f>
        <v/>
      </c>
    </row>
    <row r="31">
      <c r="J31">
        <f>IF(COUNTA(F31:I31)=0,"",AVERAGE(F31:I31))</f>
        <v/>
      </c>
      <c r="K31">
        <f>IF(J31="","",IF(J31&gt;=70,3,IF(J31&gt;=60,2,IF(J31&gt;=50,1,0))))</f>
        <v/>
      </c>
    </row>
    <row r="32">
      <c r="J32">
        <f>IF(COUNTA(F32:I32)=0,"",AVERAGE(F32:I32))</f>
        <v/>
      </c>
      <c r="K32">
        <f>IF(J32="","",IF(J32&gt;=70,3,IF(J32&gt;=60,2,IF(J32&gt;=50,1,0))))</f>
        <v/>
      </c>
    </row>
    <row r="33">
      <c r="J33">
        <f>IF(COUNTA(F33:I33)=0,"",AVERAGE(F33:I33))</f>
        <v/>
      </c>
      <c r="K33">
        <f>IF(J33="","",IF(J33&gt;=70,3,IF(J33&gt;=60,2,IF(J33&gt;=50,1,0))))</f>
        <v/>
      </c>
    </row>
    <row r="34">
      <c r="J34">
        <f>IF(COUNTA(F34:I34)=0,"",AVERAGE(F34:I34))</f>
        <v/>
      </c>
      <c r="K34">
        <f>IF(J34="","",IF(J34&gt;=70,3,IF(J34&gt;=60,2,IF(J34&gt;=50,1,0))))</f>
        <v/>
      </c>
    </row>
    <row r="35">
      <c r="J35">
        <f>IF(COUNTA(F35:I35)=0,"",AVERAGE(F35:I35))</f>
        <v/>
      </c>
      <c r="K35">
        <f>IF(J35="","",IF(J35&gt;=70,3,IF(J35&gt;=60,2,IF(J35&gt;=50,1,0))))</f>
        <v/>
      </c>
    </row>
    <row r="36">
      <c r="J36">
        <f>IF(COUNTA(F36:I36)=0,"",AVERAGE(F36:I36))</f>
        <v/>
      </c>
      <c r="K36">
        <f>IF(J36="","",IF(J36&gt;=70,3,IF(J36&gt;=60,2,IF(J36&gt;=50,1,0))))</f>
        <v/>
      </c>
    </row>
    <row r="37">
      <c r="J37">
        <f>IF(COUNTA(F37:I37)=0,"",AVERAGE(F37:I37))</f>
        <v/>
      </c>
      <c r="K37">
        <f>IF(J37="","",IF(J37&gt;=70,3,IF(J37&gt;=60,2,IF(J37&gt;=50,1,0))))</f>
        <v/>
      </c>
    </row>
    <row r="38">
      <c r="J38">
        <f>IF(COUNTA(F38:I38)=0,"",AVERAGE(F38:I38))</f>
        <v/>
      </c>
      <c r="K38">
        <f>IF(J38="","",IF(J38&gt;=70,3,IF(J38&gt;=60,2,IF(J38&gt;=50,1,0))))</f>
        <v/>
      </c>
    </row>
    <row r="39">
      <c r="J39">
        <f>IF(COUNTA(F39:I39)=0,"",AVERAGE(F39:I39))</f>
        <v/>
      </c>
      <c r="K39">
        <f>IF(J39="","",IF(J39&gt;=70,3,IF(J39&gt;=60,2,IF(J39&gt;=50,1,0))))</f>
        <v/>
      </c>
    </row>
    <row r="40">
      <c r="J40">
        <f>IF(COUNTA(F40:I40)=0,"",AVERAGE(F40:I40))</f>
        <v/>
      </c>
      <c r="K40">
        <f>IF(J40="","",IF(J40&gt;=70,3,IF(J40&gt;=60,2,IF(J40&gt;=50,1,0))))</f>
        <v/>
      </c>
    </row>
    <row r="41">
      <c r="J41">
        <f>IF(COUNTA(F41:I41)=0,"",AVERAGE(F41:I41))</f>
        <v/>
      </c>
      <c r="K41">
        <f>IF(J41="","",IF(J41&gt;=70,3,IF(J41&gt;=60,2,IF(J41&gt;=50,1,0))))</f>
        <v/>
      </c>
    </row>
    <row r="42">
      <c r="J42">
        <f>IF(COUNTA(F42:I42)=0,"",AVERAGE(F42:I42))</f>
        <v/>
      </c>
      <c r="K42">
        <f>IF(J42="","",IF(J42&gt;=70,3,IF(J42&gt;=60,2,IF(J42&gt;=50,1,0))))</f>
        <v/>
      </c>
    </row>
    <row r="43">
      <c r="J43">
        <f>IF(COUNTA(F43:I43)=0,"",AVERAGE(F43:I43))</f>
        <v/>
      </c>
      <c r="K43">
        <f>IF(J43="","",IF(J43&gt;=70,3,IF(J43&gt;=60,2,IF(J43&gt;=50,1,0))))</f>
        <v/>
      </c>
    </row>
    <row r="44">
      <c r="J44">
        <f>IF(COUNTA(F44:I44)=0,"",AVERAGE(F44:I44))</f>
        <v/>
      </c>
      <c r="K44">
        <f>IF(J44="","",IF(J44&gt;=70,3,IF(J44&gt;=60,2,IF(J44&gt;=50,1,0))))</f>
        <v/>
      </c>
    </row>
    <row r="45">
      <c r="J45">
        <f>IF(COUNTA(F45:I45)=0,"",AVERAGE(F45:I45))</f>
        <v/>
      </c>
      <c r="K45">
        <f>IF(J45="","",IF(J45&gt;=70,3,IF(J45&gt;=60,2,IF(J45&gt;=50,1,0))))</f>
        <v/>
      </c>
    </row>
    <row r="46">
      <c r="J46">
        <f>IF(COUNTA(F46:I46)=0,"",AVERAGE(F46:I46))</f>
        <v/>
      </c>
      <c r="K46">
        <f>IF(J46="","",IF(J46&gt;=70,3,IF(J46&gt;=60,2,IF(J46&gt;=50,1,0))))</f>
        <v/>
      </c>
    </row>
    <row r="47">
      <c r="J47">
        <f>IF(COUNTA(F47:I47)=0,"",AVERAGE(F47:I47))</f>
        <v/>
      </c>
      <c r="K47">
        <f>IF(J47="","",IF(J47&gt;=70,3,IF(J47&gt;=60,2,IF(J47&gt;=50,1,0))))</f>
        <v/>
      </c>
    </row>
    <row r="48">
      <c r="J48">
        <f>IF(COUNTA(F48:I48)=0,"",AVERAGE(F48:I48))</f>
        <v/>
      </c>
      <c r="K48">
        <f>IF(J48="","",IF(J48&gt;=70,3,IF(J48&gt;=60,2,IF(J48&gt;=50,1,0))))</f>
        <v/>
      </c>
    </row>
    <row r="49">
      <c r="J49">
        <f>IF(COUNTA(F49:I49)=0,"",AVERAGE(F49:I49))</f>
        <v/>
      </c>
      <c r="K49">
        <f>IF(J49="","",IF(J49&gt;=70,3,IF(J49&gt;=60,2,IF(J49&gt;=50,1,0))))</f>
        <v/>
      </c>
    </row>
    <row r="50">
      <c r="J50">
        <f>IF(COUNTA(F50:I50)=0,"",AVERAGE(F50:I50))</f>
        <v/>
      </c>
      <c r="K50">
        <f>IF(J50="","",IF(J50&gt;=70,3,IF(J50&gt;=60,2,IF(J50&gt;=50,1,0))))</f>
        <v/>
      </c>
    </row>
    <row r="51">
      <c r="J51">
        <f>IF(COUNTA(F51:I51)=0,"",AVERAGE(F51:I51))</f>
        <v/>
      </c>
      <c r="K51">
        <f>IF(J51="","",IF(J51&gt;=70,3,IF(J51&gt;=60,2,IF(J51&gt;=50,1,0))))</f>
        <v/>
      </c>
    </row>
    <row r="52">
      <c r="J52">
        <f>IF(COUNTA(F52:I52)=0,"",AVERAGE(F52:I52))</f>
        <v/>
      </c>
      <c r="K52">
        <f>IF(J52="","",IF(J52&gt;=70,3,IF(J52&gt;=60,2,IF(J52&gt;=50,1,0))))</f>
        <v/>
      </c>
    </row>
    <row r="53">
      <c r="J53">
        <f>IF(COUNTA(F53:I53)=0,"",AVERAGE(F53:I53))</f>
        <v/>
      </c>
      <c r="K53">
        <f>IF(J53="","",IF(J53&gt;=70,3,IF(J53&gt;=60,2,IF(J53&gt;=50,1,0))))</f>
        <v/>
      </c>
    </row>
    <row r="54">
      <c r="J54">
        <f>IF(COUNTA(F54:I54)=0,"",AVERAGE(F54:I54))</f>
        <v/>
      </c>
      <c r="K54">
        <f>IF(J54="","",IF(J54&gt;=70,3,IF(J54&gt;=60,2,IF(J54&gt;=50,1,0))))</f>
        <v/>
      </c>
    </row>
    <row r="55">
      <c r="J55">
        <f>IF(COUNTA(F55:I55)=0,"",AVERAGE(F55:I55))</f>
        <v/>
      </c>
      <c r="K55">
        <f>IF(J55="","",IF(J55&gt;=70,3,IF(J55&gt;=60,2,IF(J55&gt;=50,1,0))))</f>
        <v/>
      </c>
    </row>
    <row r="56">
      <c r="J56">
        <f>IF(COUNTA(F56:I56)=0,"",AVERAGE(F56:I56))</f>
        <v/>
      </c>
      <c r="K56">
        <f>IF(J56="","",IF(J56&gt;=70,3,IF(J56&gt;=60,2,IF(J56&gt;=50,1,0))))</f>
        <v/>
      </c>
    </row>
    <row r="57">
      <c r="J57">
        <f>IF(COUNTA(F57:I57)=0,"",AVERAGE(F57:I57))</f>
        <v/>
      </c>
      <c r="K57">
        <f>IF(J57="","",IF(J57&gt;=70,3,IF(J57&gt;=60,2,IF(J57&gt;=50,1,0))))</f>
        <v/>
      </c>
    </row>
    <row r="58">
      <c r="J58">
        <f>IF(COUNTA(F58:I58)=0,"",AVERAGE(F58:I58))</f>
        <v/>
      </c>
      <c r="K58">
        <f>IF(J58="","",IF(J58&gt;=70,3,IF(J58&gt;=60,2,IF(J58&gt;=50,1,0))))</f>
        <v/>
      </c>
    </row>
    <row r="59">
      <c r="J59">
        <f>IF(COUNTA(F59:I59)=0,"",AVERAGE(F59:I59))</f>
        <v/>
      </c>
      <c r="K59">
        <f>IF(J59="","",IF(J59&gt;=70,3,IF(J59&gt;=60,2,IF(J59&gt;=50,1,0))))</f>
        <v/>
      </c>
    </row>
    <row r="60">
      <c r="J60">
        <f>IF(COUNTA(F60:I60)=0,"",AVERAGE(F60:I60))</f>
        <v/>
      </c>
      <c r="K60">
        <f>IF(J60="","",IF(J60&gt;=70,3,IF(J60&gt;=60,2,IF(J60&gt;=50,1,0))))</f>
        <v/>
      </c>
    </row>
    <row r="61">
      <c r="J61">
        <f>IF(COUNTA(F61:I61)=0,"",AVERAGE(F61:I61))</f>
        <v/>
      </c>
      <c r="K61">
        <f>IF(J61="","",IF(J61&gt;=70,3,IF(J61&gt;=60,2,IF(J61&gt;=50,1,0))))</f>
        <v/>
      </c>
    </row>
    <row r="62">
      <c r="J62">
        <f>IF(COUNTA(F62:I62)=0,"",AVERAGE(F62:I62))</f>
        <v/>
      </c>
      <c r="K62">
        <f>IF(J62="","",IF(J62&gt;=70,3,IF(J62&gt;=60,2,IF(J62&gt;=50,1,0))))</f>
        <v/>
      </c>
    </row>
    <row r="63">
      <c r="J63">
        <f>IF(COUNTA(F63:I63)=0,"",AVERAGE(F63:I63))</f>
        <v/>
      </c>
      <c r="K63">
        <f>IF(J63="","",IF(J63&gt;=70,3,IF(J63&gt;=60,2,IF(J63&gt;=50,1,0))))</f>
        <v/>
      </c>
    </row>
    <row r="64">
      <c r="J64">
        <f>IF(COUNTA(F64:I64)=0,"",AVERAGE(F64:I64))</f>
        <v/>
      </c>
      <c r="K64">
        <f>IF(J64="","",IF(J64&gt;=70,3,IF(J64&gt;=60,2,IF(J64&gt;=50,1,0))))</f>
        <v/>
      </c>
    </row>
    <row r="65">
      <c r="J65">
        <f>IF(COUNTA(F65:I65)=0,"",AVERAGE(F65:I65))</f>
        <v/>
      </c>
      <c r="K65">
        <f>IF(J65="","",IF(J65&gt;=70,3,IF(J65&gt;=60,2,IF(J65&gt;=50,1,0))))</f>
        <v/>
      </c>
    </row>
    <row r="66">
      <c r="J66">
        <f>IF(COUNTA(F66:I66)=0,"",AVERAGE(F66:I66))</f>
        <v/>
      </c>
      <c r="K66">
        <f>IF(J66="","",IF(J66&gt;=70,3,IF(J66&gt;=60,2,IF(J66&gt;=50,1,0))))</f>
        <v/>
      </c>
    </row>
    <row r="67">
      <c r="J67">
        <f>IF(COUNTA(F67:I67)=0,"",AVERAGE(F67:I67))</f>
        <v/>
      </c>
      <c r="K67">
        <f>IF(J67="","",IF(J67&gt;=70,3,IF(J67&gt;=60,2,IF(J67&gt;=50,1,0))))</f>
        <v/>
      </c>
    </row>
    <row r="68">
      <c r="J68">
        <f>IF(COUNTA(F68:I68)=0,"",AVERAGE(F68:I68))</f>
        <v/>
      </c>
      <c r="K68">
        <f>IF(J68="","",IF(J68&gt;=70,3,IF(J68&gt;=60,2,IF(J68&gt;=50,1,0))))</f>
        <v/>
      </c>
    </row>
    <row r="69">
      <c r="J69">
        <f>IF(COUNTA(F69:I69)=0,"",AVERAGE(F69:I69))</f>
        <v/>
      </c>
      <c r="K69">
        <f>IF(J69="","",IF(J69&gt;=70,3,IF(J69&gt;=60,2,IF(J69&gt;=50,1,0))))</f>
        <v/>
      </c>
    </row>
    <row r="70">
      <c r="J70">
        <f>IF(COUNTA(F70:I70)=0,"",AVERAGE(F70:I70))</f>
        <v/>
      </c>
      <c r="K70">
        <f>IF(J70="","",IF(J70&gt;=70,3,IF(J70&gt;=60,2,IF(J70&gt;=50,1,0))))</f>
        <v/>
      </c>
    </row>
    <row r="71">
      <c r="J71">
        <f>IF(COUNTA(F71:I71)=0,"",AVERAGE(F71:I71))</f>
        <v/>
      </c>
      <c r="K71">
        <f>IF(J71="","",IF(J71&gt;=70,3,IF(J71&gt;=60,2,IF(J71&gt;=50,1,0))))</f>
        <v/>
      </c>
    </row>
    <row r="72">
      <c r="J72">
        <f>IF(COUNTA(F72:I72)=0,"",AVERAGE(F72:I72))</f>
        <v/>
      </c>
      <c r="K72">
        <f>IF(J72="","",IF(J72&gt;=70,3,IF(J72&gt;=60,2,IF(J72&gt;=50,1,0))))</f>
        <v/>
      </c>
    </row>
    <row r="73">
      <c r="J73">
        <f>IF(COUNTA(F73:I73)=0,"",AVERAGE(F73:I73))</f>
        <v/>
      </c>
      <c r="K73">
        <f>IF(J73="","",IF(J73&gt;=70,3,IF(J73&gt;=60,2,IF(J73&gt;=50,1,0))))</f>
        <v/>
      </c>
    </row>
    <row r="74">
      <c r="J74">
        <f>IF(COUNTA(F74:I74)=0,"",AVERAGE(F74:I74))</f>
        <v/>
      </c>
      <c r="K74">
        <f>IF(J74="","",IF(J74&gt;=70,3,IF(J74&gt;=60,2,IF(J74&gt;=50,1,0))))</f>
        <v/>
      </c>
    </row>
    <row r="75">
      <c r="J75">
        <f>IF(COUNTA(F75:I75)=0,"",AVERAGE(F75:I75))</f>
        <v/>
      </c>
      <c r="K75">
        <f>IF(J75="","",IF(J75&gt;=70,3,IF(J75&gt;=60,2,IF(J75&gt;=50,1,0))))</f>
        <v/>
      </c>
    </row>
    <row r="76">
      <c r="J76">
        <f>IF(COUNTA(F76:I76)=0,"",AVERAGE(F76:I76))</f>
        <v/>
      </c>
      <c r="K76">
        <f>IF(J76="","",IF(J76&gt;=70,3,IF(J76&gt;=60,2,IF(J76&gt;=50,1,0))))</f>
        <v/>
      </c>
    </row>
    <row r="77">
      <c r="J77">
        <f>IF(COUNTA(F77:I77)=0,"",AVERAGE(F77:I77))</f>
        <v/>
      </c>
      <c r="K77">
        <f>IF(J77="","",IF(J77&gt;=70,3,IF(J77&gt;=60,2,IF(J77&gt;=50,1,0))))</f>
        <v/>
      </c>
    </row>
    <row r="78">
      <c r="J78">
        <f>IF(COUNTA(F78:I78)=0,"",AVERAGE(F78:I78))</f>
        <v/>
      </c>
      <c r="K78">
        <f>IF(J78="","",IF(J78&gt;=70,3,IF(J78&gt;=60,2,IF(J78&gt;=50,1,0))))</f>
        <v/>
      </c>
    </row>
    <row r="79">
      <c r="J79">
        <f>IF(COUNTA(F79:I79)=0,"",AVERAGE(F79:I79))</f>
        <v/>
      </c>
      <c r="K79">
        <f>IF(J79="","",IF(J79&gt;=70,3,IF(J79&gt;=60,2,IF(J79&gt;=50,1,0))))</f>
        <v/>
      </c>
    </row>
    <row r="80">
      <c r="J80">
        <f>IF(COUNTA(F80:I80)=0,"",AVERAGE(F80:I80))</f>
        <v/>
      </c>
      <c r="K80">
        <f>IF(J80="","",IF(J80&gt;=70,3,IF(J80&gt;=60,2,IF(J80&gt;=50,1,0))))</f>
        <v/>
      </c>
    </row>
    <row r="81">
      <c r="J81">
        <f>IF(COUNTA(F81:I81)=0,"",AVERAGE(F81:I81))</f>
        <v/>
      </c>
      <c r="K81">
        <f>IF(J81="","",IF(J81&gt;=70,3,IF(J81&gt;=60,2,IF(J81&gt;=50,1,0))))</f>
        <v/>
      </c>
    </row>
    <row r="82">
      <c r="J82">
        <f>IF(COUNTA(F82:I82)=0,"",AVERAGE(F82:I82))</f>
        <v/>
      </c>
      <c r="K82">
        <f>IF(J82="","",IF(J82&gt;=70,3,IF(J82&gt;=60,2,IF(J82&gt;=50,1,0))))</f>
        <v/>
      </c>
    </row>
    <row r="83">
      <c r="J83">
        <f>IF(COUNTA(F83:I83)=0,"",AVERAGE(F83:I83))</f>
        <v/>
      </c>
      <c r="K83">
        <f>IF(J83="","",IF(J83&gt;=70,3,IF(J83&gt;=60,2,IF(J83&gt;=50,1,0))))</f>
        <v/>
      </c>
    </row>
    <row r="84">
      <c r="J84">
        <f>IF(COUNTA(F84:I84)=0,"",AVERAGE(F84:I84))</f>
        <v/>
      </c>
      <c r="K84">
        <f>IF(J84="","",IF(J84&gt;=70,3,IF(J84&gt;=60,2,IF(J84&gt;=50,1,0))))</f>
        <v/>
      </c>
    </row>
    <row r="85">
      <c r="J85">
        <f>IF(COUNTA(F85:I85)=0,"",AVERAGE(F85:I85))</f>
        <v/>
      </c>
      <c r="K85">
        <f>IF(J85="","",IF(J85&gt;=70,3,IF(J85&gt;=60,2,IF(J85&gt;=50,1,0))))</f>
        <v/>
      </c>
    </row>
    <row r="86">
      <c r="J86">
        <f>IF(COUNTA(F86:I86)=0,"",AVERAGE(F86:I86))</f>
        <v/>
      </c>
      <c r="K86">
        <f>IF(J86="","",IF(J86&gt;=70,3,IF(J86&gt;=60,2,IF(J86&gt;=50,1,0))))</f>
        <v/>
      </c>
    </row>
    <row r="87">
      <c r="J87">
        <f>IF(COUNTA(F87:I87)=0,"",AVERAGE(F87:I87))</f>
        <v/>
      </c>
      <c r="K87">
        <f>IF(J87="","",IF(J87&gt;=70,3,IF(J87&gt;=60,2,IF(J87&gt;=50,1,0))))</f>
        <v/>
      </c>
    </row>
    <row r="88">
      <c r="J88">
        <f>IF(COUNTA(F88:I88)=0,"",AVERAGE(F88:I88))</f>
        <v/>
      </c>
      <c r="K88">
        <f>IF(J88="","",IF(J88&gt;=70,3,IF(J88&gt;=60,2,IF(J88&gt;=50,1,0))))</f>
        <v/>
      </c>
    </row>
    <row r="89">
      <c r="J89">
        <f>IF(COUNTA(F89:I89)=0,"",AVERAGE(F89:I89))</f>
        <v/>
      </c>
      <c r="K89">
        <f>IF(J89="","",IF(J89&gt;=70,3,IF(J89&gt;=60,2,IF(J89&gt;=50,1,0))))</f>
        <v/>
      </c>
    </row>
    <row r="90">
      <c r="J90">
        <f>IF(COUNTA(F90:I90)=0,"",AVERAGE(F90:I90))</f>
        <v/>
      </c>
      <c r="K90">
        <f>IF(J90="","",IF(J90&gt;=70,3,IF(J90&gt;=60,2,IF(J90&gt;=50,1,0))))</f>
        <v/>
      </c>
    </row>
    <row r="91">
      <c r="J91">
        <f>IF(COUNTA(F91:I91)=0,"",AVERAGE(F91:I91))</f>
        <v/>
      </c>
      <c r="K91">
        <f>IF(J91="","",IF(J91&gt;=70,3,IF(J91&gt;=60,2,IF(J91&gt;=50,1,0))))</f>
        <v/>
      </c>
    </row>
    <row r="92">
      <c r="J92">
        <f>IF(COUNTA(F92:I92)=0,"",AVERAGE(F92:I92))</f>
        <v/>
      </c>
      <c r="K92">
        <f>IF(J92="","",IF(J92&gt;=70,3,IF(J92&gt;=60,2,IF(J92&gt;=50,1,0))))</f>
        <v/>
      </c>
    </row>
    <row r="93">
      <c r="J93">
        <f>IF(COUNTA(F93:I93)=0,"",AVERAGE(F93:I93))</f>
        <v/>
      </c>
      <c r="K93">
        <f>IF(J93="","",IF(J93&gt;=70,3,IF(J93&gt;=60,2,IF(J93&gt;=50,1,0))))</f>
        <v/>
      </c>
    </row>
    <row r="94">
      <c r="J94">
        <f>IF(COUNTA(F94:I94)=0,"",AVERAGE(F94:I94))</f>
        <v/>
      </c>
      <c r="K94">
        <f>IF(J94="","",IF(J94&gt;=70,3,IF(J94&gt;=60,2,IF(J94&gt;=50,1,0))))</f>
        <v/>
      </c>
    </row>
    <row r="95">
      <c r="J95">
        <f>IF(COUNTA(F95:I95)=0,"",AVERAGE(F95:I95))</f>
        <v/>
      </c>
      <c r="K95">
        <f>IF(J95="","",IF(J95&gt;=70,3,IF(J95&gt;=60,2,IF(J95&gt;=50,1,0))))</f>
        <v/>
      </c>
    </row>
    <row r="96">
      <c r="J96">
        <f>IF(COUNTA(F96:I96)=0,"",AVERAGE(F96:I96))</f>
        <v/>
      </c>
      <c r="K96">
        <f>IF(J96="","",IF(J96&gt;=70,3,IF(J96&gt;=60,2,IF(J96&gt;=50,1,0))))</f>
        <v/>
      </c>
    </row>
    <row r="97">
      <c r="J97">
        <f>IF(COUNTA(F97:I97)=0,"",AVERAGE(F97:I97))</f>
        <v/>
      </c>
      <c r="K97">
        <f>IF(J97="","",IF(J97&gt;=70,3,IF(J97&gt;=60,2,IF(J97&gt;=50,1,0))))</f>
        <v/>
      </c>
    </row>
    <row r="98">
      <c r="J98">
        <f>IF(COUNTA(F98:I98)=0,"",AVERAGE(F98:I98))</f>
        <v/>
      </c>
      <c r="K98">
        <f>IF(J98="","",IF(J98&gt;=70,3,IF(J98&gt;=60,2,IF(J98&gt;=50,1,0))))</f>
        <v/>
      </c>
    </row>
    <row r="99">
      <c r="J99">
        <f>IF(COUNTA(F99:I99)=0,"",AVERAGE(F99:I99))</f>
        <v/>
      </c>
      <c r="K99">
        <f>IF(J99="","",IF(J99&gt;=70,3,IF(J99&gt;=60,2,IF(J99&gt;=50,1,0))))</f>
        <v/>
      </c>
    </row>
    <row r="100">
      <c r="J100">
        <f>IF(COUNTA(F100:I100)=0,"",AVERAGE(F100:I100))</f>
        <v/>
      </c>
      <c r="K100">
        <f>IF(J100="","",IF(J100&gt;=70,3,IF(J100&gt;=60,2,IF(J100&gt;=50,1,0))))</f>
        <v/>
      </c>
    </row>
    <row r="101">
      <c r="J101">
        <f>IF(COUNTA(F101:I101)=0,"",AVERAGE(F101:I101))</f>
        <v/>
      </c>
      <c r="K101">
        <f>IF(J101="","",IF(J101&gt;=70,3,IF(J101&gt;=60,2,IF(J101&gt;=50,1,0))))</f>
        <v/>
      </c>
    </row>
    <row r="102">
      <c r="J102">
        <f>IF(COUNTA(F102:I102)=0,"",AVERAGE(F102:I102))</f>
        <v/>
      </c>
      <c r="K102">
        <f>IF(J102="","",IF(J102&gt;=70,3,IF(J102&gt;=60,2,IF(J102&gt;=50,1,0))))</f>
        <v/>
      </c>
    </row>
    <row r="103">
      <c r="J103">
        <f>IF(COUNTA(F103:I103)=0,"",AVERAGE(F103:I103))</f>
        <v/>
      </c>
      <c r="K103">
        <f>IF(J103="","",IF(J103&gt;=70,3,IF(J103&gt;=60,2,IF(J103&gt;=50,1,0))))</f>
        <v/>
      </c>
    </row>
    <row r="104">
      <c r="J104">
        <f>IF(COUNTA(F104:I104)=0,"",AVERAGE(F104:I104))</f>
        <v/>
      </c>
      <c r="K104">
        <f>IF(J104="","",IF(J104&gt;=70,3,IF(J104&gt;=60,2,IF(J104&gt;=50,1,0))))</f>
        <v/>
      </c>
    </row>
    <row r="105">
      <c r="J105">
        <f>IF(COUNTA(F105:I105)=0,"",AVERAGE(F105:I105))</f>
        <v/>
      </c>
      <c r="K105">
        <f>IF(J105="","",IF(J105&gt;=70,3,IF(J105&gt;=60,2,IF(J105&gt;=50,1,0))))</f>
        <v/>
      </c>
    </row>
    <row r="106">
      <c r="J106">
        <f>IF(COUNTA(F106:I106)=0,"",AVERAGE(F106:I106))</f>
        <v/>
      </c>
      <c r="K106">
        <f>IF(J106="","",IF(J106&gt;=70,3,IF(J106&gt;=60,2,IF(J106&gt;=50,1,0))))</f>
        <v/>
      </c>
    </row>
    <row r="107">
      <c r="J107">
        <f>IF(COUNTA(F107:I107)=0,"",AVERAGE(F107:I107))</f>
        <v/>
      </c>
      <c r="K107">
        <f>IF(J107="","",IF(J107&gt;=70,3,IF(J107&gt;=60,2,IF(J107&gt;=50,1,0))))</f>
        <v/>
      </c>
    </row>
    <row r="108">
      <c r="J108">
        <f>IF(COUNTA(F108:I108)=0,"",AVERAGE(F108:I108))</f>
        <v/>
      </c>
      <c r="K108">
        <f>IF(J108="","",IF(J108&gt;=70,3,IF(J108&gt;=60,2,IF(J108&gt;=50,1,0))))</f>
        <v/>
      </c>
    </row>
    <row r="109">
      <c r="J109">
        <f>IF(COUNTA(F109:I109)=0,"",AVERAGE(F109:I109))</f>
        <v/>
      </c>
      <c r="K109">
        <f>IF(J109="","",IF(J109&gt;=70,3,IF(J109&gt;=60,2,IF(J109&gt;=50,1,0))))</f>
        <v/>
      </c>
    </row>
    <row r="110">
      <c r="J110">
        <f>IF(COUNTA(F110:I110)=0,"",AVERAGE(F110:I110))</f>
        <v/>
      </c>
      <c r="K110">
        <f>IF(J110="","",IF(J110&gt;=70,3,IF(J110&gt;=60,2,IF(J110&gt;=50,1,0))))</f>
        <v/>
      </c>
    </row>
    <row r="111">
      <c r="J111">
        <f>IF(COUNTA(F111:I111)=0,"",AVERAGE(F111:I111))</f>
        <v/>
      </c>
      <c r="K111">
        <f>IF(J111="","",IF(J111&gt;=70,3,IF(J111&gt;=60,2,IF(J111&gt;=50,1,0))))</f>
        <v/>
      </c>
    </row>
    <row r="112">
      <c r="J112">
        <f>IF(COUNTA(F112:I112)=0,"",AVERAGE(F112:I112))</f>
        <v/>
      </c>
      <c r="K112">
        <f>IF(J112="","",IF(J112&gt;=70,3,IF(J112&gt;=60,2,IF(J112&gt;=50,1,0))))</f>
        <v/>
      </c>
    </row>
    <row r="113">
      <c r="J113">
        <f>IF(COUNTA(F113:I113)=0,"",AVERAGE(F113:I113))</f>
        <v/>
      </c>
      <c r="K113">
        <f>IF(J113="","",IF(J113&gt;=70,3,IF(J113&gt;=60,2,IF(J113&gt;=50,1,0))))</f>
        <v/>
      </c>
    </row>
    <row r="114">
      <c r="J114">
        <f>IF(COUNTA(F114:I114)=0,"",AVERAGE(F114:I114))</f>
        <v/>
      </c>
      <c r="K114">
        <f>IF(J114="","",IF(J114&gt;=70,3,IF(J114&gt;=60,2,IF(J114&gt;=50,1,0))))</f>
        <v/>
      </c>
    </row>
    <row r="115">
      <c r="J115">
        <f>IF(COUNTA(F115:I115)=0,"",AVERAGE(F115:I115))</f>
        <v/>
      </c>
      <c r="K115">
        <f>IF(J115="","",IF(J115&gt;=70,3,IF(J115&gt;=60,2,IF(J115&gt;=50,1,0))))</f>
        <v/>
      </c>
    </row>
    <row r="116">
      <c r="J116">
        <f>IF(COUNTA(F116:I116)=0,"",AVERAGE(F116:I116))</f>
        <v/>
      </c>
      <c r="K116">
        <f>IF(J116="","",IF(J116&gt;=70,3,IF(J116&gt;=60,2,IF(J116&gt;=50,1,0))))</f>
        <v/>
      </c>
    </row>
    <row r="117">
      <c r="J117">
        <f>IF(COUNTA(F117:I117)=0,"",AVERAGE(F117:I117))</f>
        <v/>
      </c>
      <c r="K117">
        <f>IF(J117="","",IF(J117&gt;=70,3,IF(J117&gt;=60,2,IF(J117&gt;=50,1,0))))</f>
        <v/>
      </c>
    </row>
    <row r="118">
      <c r="J118">
        <f>IF(COUNTA(F118:I118)=0,"",AVERAGE(F118:I118))</f>
        <v/>
      </c>
      <c r="K118">
        <f>IF(J118="","",IF(J118&gt;=70,3,IF(J118&gt;=60,2,IF(J118&gt;=50,1,0))))</f>
        <v/>
      </c>
    </row>
    <row r="119">
      <c r="J119">
        <f>IF(COUNTA(F119:I119)=0,"",AVERAGE(F119:I119))</f>
        <v/>
      </c>
      <c r="K119">
        <f>IF(J119="","",IF(J119&gt;=70,3,IF(J119&gt;=60,2,IF(J119&gt;=50,1,0))))</f>
        <v/>
      </c>
    </row>
    <row r="120">
      <c r="J120">
        <f>IF(COUNTA(F120:I120)=0,"",AVERAGE(F120:I120))</f>
        <v/>
      </c>
      <c r="K120">
        <f>IF(J120="","",IF(J120&gt;=70,3,IF(J120&gt;=60,2,IF(J120&gt;=50,1,0))))</f>
        <v/>
      </c>
    </row>
    <row r="121">
      <c r="J121">
        <f>IF(COUNTA(F121:I121)=0,"",AVERAGE(F121:I121))</f>
        <v/>
      </c>
      <c r="K121">
        <f>IF(J121="","",IF(J121&gt;=70,3,IF(J121&gt;=60,2,IF(J121&gt;=50,1,0))))</f>
        <v/>
      </c>
    </row>
    <row r="122">
      <c r="J122">
        <f>IF(COUNTA(F122:I122)=0,"",AVERAGE(F122:I122))</f>
        <v/>
      </c>
      <c r="K122">
        <f>IF(J122="","",IF(J122&gt;=70,3,IF(J122&gt;=60,2,IF(J122&gt;=50,1,0))))</f>
        <v/>
      </c>
    </row>
    <row r="123">
      <c r="J123">
        <f>IF(COUNTA(F123:I123)=0,"",AVERAGE(F123:I123))</f>
        <v/>
      </c>
      <c r="K123">
        <f>IF(J123="","",IF(J123&gt;=70,3,IF(J123&gt;=60,2,IF(J123&gt;=50,1,0))))</f>
        <v/>
      </c>
    </row>
    <row r="124">
      <c r="J124">
        <f>IF(COUNTA(F124:I124)=0,"",AVERAGE(F124:I124))</f>
        <v/>
      </c>
      <c r="K124">
        <f>IF(J124="","",IF(J124&gt;=70,3,IF(J124&gt;=60,2,IF(J124&gt;=50,1,0))))</f>
        <v/>
      </c>
    </row>
    <row r="125">
      <c r="J125">
        <f>IF(COUNTA(F125:I125)=0,"",AVERAGE(F125:I125))</f>
        <v/>
      </c>
      <c r="K125">
        <f>IF(J125="","",IF(J125&gt;=70,3,IF(J125&gt;=60,2,IF(J125&gt;=50,1,0))))</f>
        <v/>
      </c>
    </row>
    <row r="126">
      <c r="J126">
        <f>IF(COUNTA(F126:I126)=0,"",AVERAGE(F126:I126))</f>
        <v/>
      </c>
      <c r="K126">
        <f>IF(J126="","",IF(J126&gt;=70,3,IF(J126&gt;=60,2,IF(J126&gt;=50,1,0))))</f>
        <v/>
      </c>
    </row>
    <row r="127">
      <c r="J127">
        <f>IF(COUNTA(F127:I127)=0,"",AVERAGE(F127:I127))</f>
        <v/>
      </c>
      <c r="K127">
        <f>IF(J127="","",IF(J127&gt;=70,3,IF(J127&gt;=60,2,IF(J127&gt;=50,1,0))))</f>
        <v/>
      </c>
    </row>
    <row r="128">
      <c r="J128">
        <f>IF(COUNTA(F128:I128)=0,"",AVERAGE(F128:I128))</f>
        <v/>
      </c>
      <c r="K128">
        <f>IF(J128="","",IF(J128&gt;=70,3,IF(J128&gt;=60,2,IF(J128&gt;=50,1,0))))</f>
        <v/>
      </c>
    </row>
    <row r="129">
      <c r="J129">
        <f>IF(COUNTA(F129:I129)=0,"",AVERAGE(F129:I129))</f>
        <v/>
      </c>
      <c r="K129">
        <f>IF(J129="","",IF(J129&gt;=70,3,IF(J129&gt;=60,2,IF(J129&gt;=50,1,0))))</f>
        <v/>
      </c>
    </row>
    <row r="130">
      <c r="J130">
        <f>IF(COUNTA(F130:I130)=0,"",AVERAGE(F130:I130))</f>
        <v/>
      </c>
      <c r="K130">
        <f>IF(J130="","",IF(J130&gt;=70,3,IF(J130&gt;=60,2,IF(J130&gt;=50,1,0))))</f>
        <v/>
      </c>
    </row>
    <row r="131">
      <c r="J131">
        <f>IF(COUNTA(F131:I131)=0,"",AVERAGE(F131:I131))</f>
        <v/>
      </c>
      <c r="K131">
        <f>IF(J131="","",IF(J131&gt;=70,3,IF(J131&gt;=60,2,IF(J131&gt;=50,1,0))))</f>
        <v/>
      </c>
    </row>
    <row r="132">
      <c r="J132">
        <f>IF(COUNTA(F132:I132)=0,"",AVERAGE(F132:I132))</f>
        <v/>
      </c>
      <c r="K132">
        <f>IF(J132="","",IF(J132&gt;=70,3,IF(J132&gt;=60,2,IF(J132&gt;=50,1,0))))</f>
        <v/>
      </c>
    </row>
    <row r="133">
      <c r="J133">
        <f>IF(COUNTA(F133:I133)=0,"",AVERAGE(F133:I133))</f>
        <v/>
      </c>
      <c r="K133">
        <f>IF(J133="","",IF(J133&gt;=70,3,IF(J133&gt;=60,2,IF(J133&gt;=50,1,0))))</f>
        <v/>
      </c>
    </row>
    <row r="134">
      <c r="J134">
        <f>IF(COUNTA(F134:I134)=0,"",AVERAGE(F134:I134))</f>
        <v/>
      </c>
      <c r="K134">
        <f>IF(J134="","",IF(J134&gt;=70,3,IF(J134&gt;=60,2,IF(J134&gt;=50,1,0))))</f>
        <v/>
      </c>
    </row>
    <row r="135">
      <c r="J135">
        <f>IF(COUNTA(F135:I135)=0,"",AVERAGE(F135:I135))</f>
        <v/>
      </c>
      <c r="K135">
        <f>IF(J135="","",IF(J135&gt;=70,3,IF(J135&gt;=60,2,IF(J135&gt;=50,1,0))))</f>
        <v/>
      </c>
    </row>
    <row r="136">
      <c r="J136">
        <f>IF(COUNTA(F136:I136)=0,"",AVERAGE(F136:I136))</f>
        <v/>
      </c>
      <c r="K136">
        <f>IF(J136="","",IF(J136&gt;=70,3,IF(J136&gt;=60,2,IF(J136&gt;=50,1,0))))</f>
        <v/>
      </c>
    </row>
    <row r="137">
      <c r="J137">
        <f>IF(COUNTA(F137:I137)=0,"",AVERAGE(F137:I137))</f>
        <v/>
      </c>
      <c r="K137">
        <f>IF(J137="","",IF(J137&gt;=70,3,IF(J137&gt;=60,2,IF(J137&gt;=50,1,0))))</f>
        <v/>
      </c>
    </row>
    <row r="138">
      <c r="J138">
        <f>IF(COUNTA(F138:I138)=0,"",AVERAGE(F138:I138))</f>
        <v/>
      </c>
      <c r="K138">
        <f>IF(J138="","",IF(J138&gt;=70,3,IF(J138&gt;=60,2,IF(J138&gt;=50,1,0))))</f>
        <v/>
      </c>
    </row>
    <row r="139">
      <c r="J139">
        <f>IF(COUNTA(F139:I139)=0,"",AVERAGE(F139:I139))</f>
        <v/>
      </c>
      <c r="K139">
        <f>IF(J139="","",IF(J139&gt;=70,3,IF(J139&gt;=60,2,IF(J139&gt;=50,1,0))))</f>
        <v/>
      </c>
    </row>
    <row r="140">
      <c r="J140">
        <f>IF(COUNTA(F140:I140)=0,"",AVERAGE(F140:I140))</f>
        <v/>
      </c>
      <c r="K140">
        <f>IF(J140="","",IF(J140&gt;=70,3,IF(J140&gt;=60,2,IF(J140&gt;=50,1,0))))</f>
        <v/>
      </c>
    </row>
    <row r="141">
      <c r="J141">
        <f>IF(COUNTA(F141:I141)=0,"",AVERAGE(F141:I141))</f>
        <v/>
      </c>
      <c r="K141">
        <f>IF(J141="","",IF(J141&gt;=70,3,IF(J141&gt;=60,2,IF(J141&gt;=50,1,0))))</f>
        <v/>
      </c>
    </row>
    <row r="142">
      <c r="J142">
        <f>IF(COUNTA(F142:I142)=0,"",AVERAGE(F142:I142))</f>
        <v/>
      </c>
      <c r="K142">
        <f>IF(J142="","",IF(J142&gt;=70,3,IF(J142&gt;=60,2,IF(J142&gt;=50,1,0))))</f>
        <v/>
      </c>
    </row>
    <row r="143">
      <c r="J143">
        <f>IF(COUNTA(F143:I143)=0,"",AVERAGE(F143:I143))</f>
        <v/>
      </c>
      <c r="K143">
        <f>IF(J143="","",IF(J143&gt;=70,3,IF(J143&gt;=60,2,IF(J143&gt;=50,1,0))))</f>
        <v/>
      </c>
    </row>
    <row r="144">
      <c r="J144">
        <f>IF(COUNTA(F144:I144)=0,"",AVERAGE(F144:I144))</f>
        <v/>
      </c>
      <c r="K144">
        <f>IF(J144="","",IF(J144&gt;=70,3,IF(J144&gt;=60,2,IF(J144&gt;=50,1,0))))</f>
        <v/>
      </c>
    </row>
    <row r="145">
      <c r="J145">
        <f>IF(COUNTA(F145:I145)=0,"",AVERAGE(F145:I145))</f>
        <v/>
      </c>
      <c r="K145">
        <f>IF(J145="","",IF(J145&gt;=70,3,IF(J145&gt;=60,2,IF(J145&gt;=50,1,0))))</f>
        <v/>
      </c>
    </row>
    <row r="146">
      <c r="J146">
        <f>IF(COUNTA(F146:I146)=0,"",AVERAGE(F146:I146))</f>
        <v/>
      </c>
      <c r="K146">
        <f>IF(J146="","",IF(J146&gt;=70,3,IF(J146&gt;=60,2,IF(J146&gt;=50,1,0))))</f>
        <v/>
      </c>
    </row>
    <row r="147">
      <c r="J147">
        <f>IF(COUNTA(F147:I147)=0,"",AVERAGE(F147:I147))</f>
        <v/>
      </c>
      <c r="K147">
        <f>IF(J147="","",IF(J147&gt;=70,3,IF(J147&gt;=60,2,IF(J147&gt;=50,1,0))))</f>
        <v/>
      </c>
    </row>
    <row r="148">
      <c r="J148">
        <f>IF(COUNTA(F148:I148)=0,"",AVERAGE(F148:I148))</f>
        <v/>
      </c>
      <c r="K148">
        <f>IF(J148="","",IF(J148&gt;=70,3,IF(J148&gt;=60,2,IF(J148&gt;=50,1,0))))</f>
        <v/>
      </c>
    </row>
    <row r="149">
      <c r="J149">
        <f>IF(COUNTA(F149:I149)=0,"",AVERAGE(F149:I149))</f>
        <v/>
      </c>
      <c r="K149">
        <f>IF(J149="","",IF(J149&gt;=70,3,IF(J149&gt;=60,2,IF(J149&gt;=50,1,0))))</f>
        <v/>
      </c>
    </row>
    <row r="150">
      <c r="J150">
        <f>IF(COUNTA(F150:I150)=0,"",AVERAGE(F150:I150))</f>
        <v/>
      </c>
      <c r="K150">
        <f>IF(J150="","",IF(J150&gt;=70,3,IF(J150&gt;=60,2,IF(J150&gt;=50,1,0))))</f>
        <v/>
      </c>
    </row>
    <row r="151">
      <c r="J151">
        <f>IF(COUNTA(F151:I151)=0,"",AVERAGE(F151:I151))</f>
        <v/>
      </c>
      <c r="K151">
        <f>IF(J151="","",IF(J151&gt;=70,3,IF(J151&gt;=60,2,IF(J151&gt;=50,1,0))))</f>
        <v/>
      </c>
    </row>
    <row r="152">
      <c r="J152">
        <f>IF(COUNTA(F152:I152)=0,"",AVERAGE(F152:I152))</f>
        <v/>
      </c>
      <c r="K152">
        <f>IF(J152="","",IF(J152&gt;=70,3,IF(J152&gt;=60,2,IF(J152&gt;=50,1,0))))</f>
        <v/>
      </c>
    </row>
    <row r="153">
      <c r="J153">
        <f>IF(COUNTA(F153:I153)=0,"",AVERAGE(F153:I153))</f>
        <v/>
      </c>
      <c r="K153">
        <f>IF(J153="","",IF(J153&gt;=70,3,IF(J153&gt;=60,2,IF(J153&gt;=50,1,0))))</f>
        <v/>
      </c>
    </row>
    <row r="154">
      <c r="J154">
        <f>IF(COUNTA(F154:I154)=0,"",AVERAGE(F154:I154))</f>
        <v/>
      </c>
      <c r="K154">
        <f>IF(J154="","",IF(J154&gt;=70,3,IF(J154&gt;=60,2,IF(J154&gt;=50,1,0))))</f>
        <v/>
      </c>
    </row>
    <row r="155">
      <c r="J155">
        <f>IF(COUNTA(F155:I155)=0,"",AVERAGE(F155:I155))</f>
        <v/>
      </c>
      <c r="K155">
        <f>IF(J155="","",IF(J155&gt;=70,3,IF(J155&gt;=60,2,IF(J155&gt;=50,1,0))))</f>
        <v/>
      </c>
    </row>
    <row r="156">
      <c r="J156">
        <f>IF(COUNTA(F156:I156)=0,"",AVERAGE(F156:I156))</f>
        <v/>
      </c>
      <c r="K156">
        <f>IF(J156="","",IF(J156&gt;=70,3,IF(J156&gt;=60,2,IF(J156&gt;=50,1,0))))</f>
        <v/>
      </c>
    </row>
    <row r="157">
      <c r="J157">
        <f>IF(COUNTA(F157:I157)=0,"",AVERAGE(F157:I157))</f>
        <v/>
      </c>
      <c r="K157">
        <f>IF(J157="","",IF(J157&gt;=70,3,IF(J157&gt;=60,2,IF(J157&gt;=50,1,0))))</f>
        <v/>
      </c>
    </row>
    <row r="158">
      <c r="J158">
        <f>IF(COUNTA(F158:I158)=0,"",AVERAGE(F158:I158))</f>
        <v/>
      </c>
      <c r="K158">
        <f>IF(J158="","",IF(J158&gt;=70,3,IF(J158&gt;=60,2,IF(J158&gt;=50,1,0))))</f>
        <v/>
      </c>
    </row>
    <row r="159">
      <c r="J159">
        <f>IF(COUNTA(F159:I159)=0,"",AVERAGE(F159:I159))</f>
        <v/>
      </c>
      <c r="K159">
        <f>IF(J159="","",IF(J159&gt;=70,3,IF(J159&gt;=60,2,IF(J159&gt;=50,1,0))))</f>
        <v/>
      </c>
    </row>
    <row r="160">
      <c r="J160">
        <f>IF(COUNTA(F160:I160)=0,"",AVERAGE(F160:I160))</f>
        <v/>
      </c>
      <c r="K160">
        <f>IF(J160="","",IF(J160&gt;=70,3,IF(J160&gt;=60,2,IF(J160&gt;=50,1,0))))</f>
        <v/>
      </c>
    </row>
    <row r="161">
      <c r="J161">
        <f>IF(COUNTA(F161:I161)=0,"",AVERAGE(F161:I161))</f>
        <v/>
      </c>
      <c r="K161">
        <f>IF(J161="","",IF(J161&gt;=70,3,IF(J161&gt;=60,2,IF(J161&gt;=50,1,0))))</f>
        <v/>
      </c>
    </row>
    <row r="162">
      <c r="J162">
        <f>IF(COUNTA(F162:I162)=0,"",AVERAGE(F162:I162))</f>
        <v/>
      </c>
      <c r="K162">
        <f>IF(J162="","",IF(J162&gt;=70,3,IF(J162&gt;=60,2,IF(J162&gt;=50,1,0))))</f>
        <v/>
      </c>
    </row>
    <row r="163">
      <c r="J163">
        <f>IF(COUNTA(F163:I163)=0,"",AVERAGE(F163:I163))</f>
        <v/>
      </c>
      <c r="K163">
        <f>IF(J163="","",IF(J163&gt;=70,3,IF(J163&gt;=60,2,IF(J163&gt;=50,1,0))))</f>
        <v/>
      </c>
    </row>
    <row r="164">
      <c r="J164">
        <f>IF(COUNTA(F164:I164)=0,"",AVERAGE(F164:I164))</f>
        <v/>
      </c>
      <c r="K164">
        <f>IF(J164="","",IF(J164&gt;=70,3,IF(J164&gt;=60,2,IF(J164&gt;=50,1,0))))</f>
        <v/>
      </c>
    </row>
    <row r="165">
      <c r="J165">
        <f>IF(COUNTA(F165:I165)=0,"",AVERAGE(F165:I165))</f>
        <v/>
      </c>
      <c r="K165">
        <f>IF(J165="","",IF(J165&gt;=70,3,IF(J165&gt;=60,2,IF(J165&gt;=50,1,0))))</f>
        <v/>
      </c>
    </row>
    <row r="166">
      <c r="J166">
        <f>IF(COUNTA(F166:I166)=0,"",AVERAGE(F166:I166))</f>
        <v/>
      </c>
      <c r="K166">
        <f>IF(J166="","",IF(J166&gt;=70,3,IF(J166&gt;=60,2,IF(J166&gt;=50,1,0))))</f>
        <v/>
      </c>
    </row>
    <row r="167">
      <c r="J167">
        <f>IF(COUNTA(F167:I167)=0,"",AVERAGE(F167:I167))</f>
        <v/>
      </c>
      <c r="K167">
        <f>IF(J167="","",IF(J167&gt;=70,3,IF(J167&gt;=60,2,IF(J167&gt;=50,1,0))))</f>
        <v/>
      </c>
    </row>
    <row r="168">
      <c r="J168">
        <f>IF(COUNTA(F168:I168)=0,"",AVERAGE(F168:I168))</f>
        <v/>
      </c>
      <c r="K168">
        <f>IF(J168="","",IF(J168&gt;=70,3,IF(J168&gt;=60,2,IF(J168&gt;=50,1,0))))</f>
        <v/>
      </c>
    </row>
    <row r="169">
      <c r="J169">
        <f>IF(COUNTA(F169:I169)=0,"",AVERAGE(F169:I169))</f>
        <v/>
      </c>
      <c r="K169">
        <f>IF(J169="","",IF(J169&gt;=70,3,IF(J169&gt;=60,2,IF(J169&gt;=50,1,0))))</f>
        <v/>
      </c>
    </row>
    <row r="170">
      <c r="J170">
        <f>IF(COUNTA(F170:I170)=0,"",AVERAGE(F170:I170))</f>
        <v/>
      </c>
      <c r="K170">
        <f>IF(J170="","",IF(J170&gt;=70,3,IF(J170&gt;=60,2,IF(J170&gt;=50,1,0))))</f>
        <v/>
      </c>
    </row>
    <row r="171">
      <c r="J171">
        <f>IF(COUNTA(F171:I171)=0,"",AVERAGE(F171:I171))</f>
        <v/>
      </c>
      <c r="K171">
        <f>IF(J171="","",IF(J171&gt;=70,3,IF(J171&gt;=60,2,IF(J171&gt;=50,1,0))))</f>
        <v/>
      </c>
    </row>
    <row r="172">
      <c r="J172">
        <f>IF(COUNTA(F172:I172)=0,"",AVERAGE(F172:I172))</f>
        <v/>
      </c>
      <c r="K172">
        <f>IF(J172="","",IF(J172&gt;=70,3,IF(J172&gt;=60,2,IF(J172&gt;=50,1,0))))</f>
        <v/>
      </c>
    </row>
    <row r="173">
      <c r="J173">
        <f>IF(COUNTA(F173:I173)=0,"",AVERAGE(F173:I173))</f>
        <v/>
      </c>
      <c r="K173">
        <f>IF(J173="","",IF(J173&gt;=70,3,IF(J173&gt;=60,2,IF(J173&gt;=50,1,0))))</f>
        <v/>
      </c>
    </row>
    <row r="174">
      <c r="J174">
        <f>IF(COUNTA(F174:I174)=0,"",AVERAGE(F174:I174))</f>
        <v/>
      </c>
      <c r="K174">
        <f>IF(J174="","",IF(J174&gt;=70,3,IF(J174&gt;=60,2,IF(J174&gt;=50,1,0))))</f>
        <v/>
      </c>
    </row>
    <row r="175">
      <c r="J175">
        <f>IF(COUNTA(F175:I175)=0,"",AVERAGE(F175:I175))</f>
        <v/>
      </c>
      <c r="K175">
        <f>IF(J175="","",IF(J175&gt;=70,3,IF(J175&gt;=60,2,IF(J175&gt;=50,1,0))))</f>
        <v/>
      </c>
    </row>
    <row r="176">
      <c r="J176">
        <f>IF(COUNTA(F176:I176)=0,"",AVERAGE(F176:I176))</f>
        <v/>
      </c>
      <c r="K176">
        <f>IF(J176="","",IF(J176&gt;=70,3,IF(J176&gt;=60,2,IF(J176&gt;=50,1,0))))</f>
        <v/>
      </c>
    </row>
    <row r="177">
      <c r="J177">
        <f>IF(COUNTA(F177:I177)=0,"",AVERAGE(F177:I177))</f>
        <v/>
      </c>
      <c r="K177">
        <f>IF(J177="","",IF(J177&gt;=70,3,IF(J177&gt;=60,2,IF(J177&gt;=50,1,0))))</f>
        <v/>
      </c>
    </row>
    <row r="178">
      <c r="J178">
        <f>IF(COUNTA(F178:I178)=0,"",AVERAGE(F178:I178))</f>
        <v/>
      </c>
      <c r="K178">
        <f>IF(J178="","",IF(J178&gt;=70,3,IF(J178&gt;=60,2,IF(J178&gt;=50,1,0))))</f>
        <v/>
      </c>
    </row>
    <row r="179">
      <c r="J179">
        <f>IF(COUNTA(F179:I179)=0,"",AVERAGE(F179:I179))</f>
        <v/>
      </c>
      <c r="K179">
        <f>IF(J179="","",IF(J179&gt;=70,3,IF(J179&gt;=60,2,IF(J179&gt;=50,1,0))))</f>
        <v/>
      </c>
    </row>
    <row r="180">
      <c r="J180">
        <f>IF(COUNTA(F180:I180)=0,"",AVERAGE(F180:I180))</f>
        <v/>
      </c>
      <c r="K180">
        <f>IF(J180="","",IF(J180&gt;=70,3,IF(J180&gt;=60,2,IF(J180&gt;=50,1,0))))</f>
        <v/>
      </c>
    </row>
    <row r="181">
      <c r="J181">
        <f>IF(COUNTA(F181:I181)=0,"",AVERAGE(F181:I181))</f>
        <v/>
      </c>
      <c r="K181">
        <f>IF(J181="","",IF(J181&gt;=70,3,IF(J181&gt;=60,2,IF(J181&gt;=50,1,0))))</f>
        <v/>
      </c>
    </row>
    <row r="182">
      <c r="J182">
        <f>IF(COUNTA(F182:I182)=0,"",AVERAGE(F182:I182))</f>
        <v/>
      </c>
      <c r="K182">
        <f>IF(J182="","",IF(J182&gt;=70,3,IF(J182&gt;=60,2,IF(J182&gt;=50,1,0))))</f>
        <v/>
      </c>
    </row>
    <row r="183">
      <c r="J183">
        <f>IF(COUNTA(F183:I183)=0,"",AVERAGE(F183:I183))</f>
        <v/>
      </c>
      <c r="K183">
        <f>IF(J183="","",IF(J183&gt;=70,3,IF(J183&gt;=60,2,IF(J183&gt;=50,1,0))))</f>
        <v/>
      </c>
    </row>
    <row r="184">
      <c r="J184">
        <f>IF(COUNTA(F184:I184)=0,"",AVERAGE(F184:I184))</f>
        <v/>
      </c>
      <c r="K184">
        <f>IF(J184="","",IF(J184&gt;=70,3,IF(J184&gt;=60,2,IF(J184&gt;=50,1,0))))</f>
        <v/>
      </c>
    </row>
    <row r="185">
      <c r="J185">
        <f>IF(COUNTA(F185:I185)=0,"",AVERAGE(F185:I185))</f>
        <v/>
      </c>
      <c r="K185">
        <f>IF(J185="","",IF(J185&gt;=70,3,IF(J185&gt;=60,2,IF(J185&gt;=50,1,0))))</f>
        <v/>
      </c>
    </row>
    <row r="186">
      <c r="J186">
        <f>IF(COUNTA(F186:I186)=0,"",AVERAGE(F186:I186))</f>
        <v/>
      </c>
      <c r="K186">
        <f>IF(J186="","",IF(J186&gt;=70,3,IF(J186&gt;=60,2,IF(J186&gt;=50,1,0))))</f>
        <v/>
      </c>
    </row>
    <row r="187">
      <c r="J187">
        <f>IF(COUNTA(F187:I187)=0,"",AVERAGE(F187:I187))</f>
        <v/>
      </c>
      <c r="K187">
        <f>IF(J187="","",IF(J187&gt;=70,3,IF(J187&gt;=60,2,IF(J187&gt;=50,1,0))))</f>
        <v/>
      </c>
    </row>
    <row r="188">
      <c r="J188">
        <f>IF(COUNTA(F188:I188)=0,"",AVERAGE(F188:I188))</f>
        <v/>
      </c>
      <c r="K188">
        <f>IF(J188="","",IF(J188&gt;=70,3,IF(J188&gt;=60,2,IF(J188&gt;=50,1,0))))</f>
        <v/>
      </c>
    </row>
    <row r="189">
      <c r="J189">
        <f>IF(COUNTA(F189:I189)=0,"",AVERAGE(F189:I189))</f>
        <v/>
      </c>
      <c r="K189">
        <f>IF(J189="","",IF(J189&gt;=70,3,IF(J189&gt;=60,2,IF(J189&gt;=50,1,0))))</f>
        <v/>
      </c>
    </row>
    <row r="190">
      <c r="J190">
        <f>IF(COUNTA(F190:I190)=0,"",AVERAGE(F190:I190))</f>
        <v/>
      </c>
      <c r="K190">
        <f>IF(J190="","",IF(J190&gt;=70,3,IF(J190&gt;=60,2,IF(J190&gt;=50,1,0))))</f>
        <v/>
      </c>
    </row>
    <row r="191">
      <c r="J191">
        <f>IF(COUNTA(F191:I191)=0,"",AVERAGE(F191:I191))</f>
        <v/>
      </c>
      <c r="K191">
        <f>IF(J191="","",IF(J191&gt;=70,3,IF(J191&gt;=60,2,IF(J191&gt;=50,1,0))))</f>
        <v/>
      </c>
    </row>
    <row r="192">
      <c r="J192">
        <f>IF(COUNTA(F192:I192)=0,"",AVERAGE(F192:I192))</f>
        <v/>
      </c>
      <c r="K192">
        <f>IF(J192="","",IF(J192&gt;=70,3,IF(J192&gt;=60,2,IF(J192&gt;=50,1,0))))</f>
        <v/>
      </c>
    </row>
    <row r="193">
      <c r="J193">
        <f>IF(COUNTA(F193:I193)=0,"",AVERAGE(F193:I193))</f>
        <v/>
      </c>
      <c r="K193">
        <f>IF(J193="","",IF(J193&gt;=70,3,IF(J193&gt;=60,2,IF(J193&gt;=50,1,0))))</f>
        <v/>
      </c>
    </row>
    <row r="194">
      <c r="J194">
        <f>IF(COUNTA(F194:I194)=0,"",AVERAGE(F194:I194))</f>
        <v/>
      </c>
      <c r="K194">
        <f>IF(J194="","",IF(J194&gt;=70,3,IF(J194&gt;=60,2,IF(J194&gt;=50,1,0))))</f>
        <v/>
      </c>
    </row>
    <row r="195">
      <c r="J195">
        <f>IF(COUNTA(F195:I195)=0,"",AVERAGE(F195:I195))</f>
        <v/>
      </c>
      <c r="K195">
        <f>IF(J195="","",IF(J195&gt;=70,3,IF(J195&gt;=60,2,IF(J195&gt;=50,1,0))))</f>
        <v/>
      </c>
    </row>
    <row r="196">
      <c r="J196">
        <f>IF(COUNTA(F196:I196)=0,"",AVERAGE(F196:I196))</f>
        <v/>
      </c>
      <c r="K196">
        <f>IF(J196="","",IF(J196&gt;=70,3,IF(J196&gt;=60,2,IF(J196&gt;=50,1,0))))</f>
        <v/>
      </c>
    </row>
    <row r="197">
      <c r="J197">
        <f>IF(COUNTA(F197:I197)=0,"",AVERAGE(F197:I197))</f>
        <v/>
      </c>
      <c r="K197">
        <f>IF(J197="","",IF(J197&gt;=70,3,IF(J197&gt;=60,2,IF(J197&gt;=50,1,0))))</f>
        <v/>
      </c>
    </row>
    <row r="198">
      <c r="J198">
        <f>IF(COUNTA(F198:I198)=0,"",AVERAGE(F198:I198))</f>
        <v/>
      </c>
      <c r="K198">
        <f>IF(J198="","",IF(J198&gt;=70,3,IF(J198&gt;=60,2,IF(J198&gt;=50,1,0))))</f>
        <v/>
      </c>
    </row>
    <row r="199">
      <c r="J199">
        <f>IF(COUNTA(F199:I199)=0,"",AVERAGE(F199:I199))</f>
        <v/>
      </c>
      <c r="K199">
        <f>IF(J199="","",IF(J199&gt;=70,3,IF(J199&gt;=60,2,IF(J199&gt;=50,1,0))))</f>
        <v/>
      </c>
    </row>
    <row r="200">
      <c r="J200">
        <f>IF(COUNTA(F200:I200)=0,"",AVERAGE(F200:I200))</f>
        <v/>
      </c>
      <c r="K200">
        <f>IF(J200="","",IF(J200&gt;=70,3,IF(J200&gt;=60,2,IF(J200&gt;=50,1,0))))</f>
        <v/>
      </c>
    </row>
    <row r="201">
      <c r="J201">
        <f>IF(COUNTA(F201:I201)=0,"",AVERAGE(F201:I201))</f>
        <v/>
      </c>
      <c r="K201">
        <f>IF(J201="","",IF(J201&gt;=70,3,IF(J201&gt;=60,2,IF(J201&gt;=50,1,0))))</f>
        <v/>
      </c>
    </row>
    <row r="202">
      <c r="J202">
        <f>IF(COUNTA(F202:I202)=0,"",AVERAGE(F202:I202))</f>
        <v/>
      </c>
      <c r="K202">
        <f>IF(J202="","",IF(J202&gt;=70,3,IF(J202&gt;=60,2,IF(J202&gt;=50,1,0))))</f>
        <v/>
      </c>
    </row>
    <row r="205">
      <c r="D205" s="6" t="inlineStr">
        <is>
          <t>Class Average</t>
        </is>
      </c>
      <c r="F205">
        <f>IF(COUNTA(F2:F200)=0,"",AVERAGE(F2:F200))</f>
        <v/>
      </c>
      <c r="G205">
        <f>IF(COUNTA(G2:G200)=0,"",AVERAGE(G2:G200))</f>
        <v/>
      </c>
      <c r="H205">
        <f>IF(COUNTA(H2:H200)=0,"",AVERAGE(H2:H200))</f>
        <v/>
      </c>
      <c r="I205">
        <f>IF(COUNTA(I2:I200)=0,"",AVERAGE(I2:I200))</f>
        <v/>
      </c>
      <c r="J205">
        <f>IF(COUNTA(J2:J200)=0,"",AVERAGE(J2:J200))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8" customWidth="1" min="14" max="14"/>
    <col width="28" customWidth="1" min="15" max="15"/>
    <col width="36" customWidth="1" min="16" max="16"/>
  </cols>
  <sheetData>
    <row r="1">
      <c r="A1" s="6" t="inlineStr">
        <is>
          <t>CO–PO Mapping Matrix (Strength Values: 3=Strong, 2=Moderate, 1=Slight, Blank=None)</t>
        </is>
      </c>
    </row>
    <row r="2">
      <c r="A2" s="7" t="inlineStr">
        <is>
          <t>CO</t>
        </is>
      </c>
      <c r="B2" s="7" t="inlineStr">
        <is>
          <t>PO1</t>
        </is>
      </c>
      <c r="C2" s="7" t="inlineStr">
        <is>
          <t>PO2</t>
        </is>
      </c>
      <c r="D2" s="7" t="inlineStr">
        <is>
          <t>PO3</t>
        </is>
      </c>
      <c r="E2" s="7" t="inlineStr">
        <is>
          <t>PO4</t>
        </is>
      </c>
      <c r="F2" s="7" t="inlineStr">
        <is>
          <t>PO5</t>
        </is>
      </c>
      <c r="G2" s="7" t="inlineStr">
        <is>
          <t>PO6</t>
        </is>
      </c>
      <c r="H2" s="7" t="inlineStr">
        <is>
          <t>PO7</t>
        </is>
      </c>
      <c r="I2" s="7" t="inlineStr">
        <is>
          <t>PO8</t>
        </is>
      </c>
      <c r="J2" s="7" t="inlineStr">
        <is>
          <t>PO9</t>
        </is>
      </c>
      <c r="K2" s="7" t="inlineStr">
        <is>
          <t>PO10</t>
        </is>
      </c>
      <c r="L2" s="7" t="inlineStr">
        <is>
          <t>PO11</t>
        </is>
      </c>
      <c r="M2" s="7" t="inlineStr">
        <is>
          <t>PO12</t>
        </is>
      </c>
    </row>
    <row r="3">
      <c r="A3" t="inlineStr">
        <is>
          <t>CO1</t>
        </is>
      </c>
    </row>
    <row r="4">
      <c r="A4" t="inlineStr">
        <is>
          <t>CO2</t>
        </is>
      </c>
    </row>
    <row r="5">
      <c r="A5" t="inlineStr">
        <is>
          <t>CO3</t>
        </is>
      </c>
    </row>
    <row r="6">
      <c r="A6" t="inlineStr">
        <is>
          <t>CO4</t>
        </is>
      </c>
    </row>
    <row r="8">
      <c r="A8" s="6" t="inlineStr">
        <is>
          <t>CO Attainment Levels (Auto from CO Attainment Analysis)</t>
        </is>
      </c>
    </row>
    <row r="9">
      <c r="A9" s="6" t="inlineStr">
        <is>
          <t>CO</t>
        </is>
      </c>
      <c r="B9" s="6" t="inlineStr">
        <is>
          <t>Direct Attainment Level (Auto)</t>
        </is>
      </c>
      <c r="C9" s="6" t="inlineStr">
        <is>
          <t>Final Attainment Level (Auto)</t>
        </is>
      </c>
    </row>
    <row r="10">
      <c r="A10" t="inlineStr">
        <is>
          <t>CO1</t>
        </is>
      </c>
      <c r="B10">
        <f>INDEX('CO Attainment Analysis'!M:M, MATCH(A10, 'CO Attainment Analysis'!B:B, 0))</f>
        <v/>
      </c>
      <c r="C10">
        <f>INDEX('CO Attainment Analysis'!O:O, MATCH(A10, 'CO Attainment Analysis'!B:B, 0))</f>
        <v/>
      </c>
    </row>
    <row r="11">
      <c r="A11" t="inlineStr">
        <is>
          <t>CO2</t>
        </is>
      </c>
      <c r="B11">
        <f>INDEX('CO Attainment Analysis'!M:M, MATCH(A11, 'CO Attainment Analysis'!B:B, 0))</f>
        <v/>
      </c>
      <c r="C11">
        <f>INDEX('CO Attainment Analysis'!O:O, MATCH(A11, 'CO Attainment Analysis'!B:B, 0))</f>
        <v/>
      </c>
    </row>
    <row r="12">
      <c r="A12" t="inlineStr">
        <is>
          <t>CO3</t>
        </is>
      </c>
      <c r="B12">
        <f>INDEX('CO Attainment Analysis'!M:M, MATCH(A12, 'CO Attainment Analysis'!B:B, 0))</f>
        <v/>
      </c>
      <c r="C12">
        <f>INDEX('CO Attainment Analysis'!O:O, MATCH(A12, 'CO Attainment Analysis'!B:B, 0))</f>
        <v/>
      </c>
    </row>
    <row r="13">
      <c r="A13" t="inlineStr">
        <is>
          <t>CO4</t>
        </is>
      </c>
      <c r="B13">
        <f>INDEX('CO Attainment Analysis'!M:M, MATCH(A13, 'CO Attainment Analysis'!B:B, 0))</f>
        <v/>
      </c>
      <c r="C13">
        <f>INDEX('CO Attainment Analysis'!O:O, MATCH(A13, 'CO Attainment Analysis'!B:B, 0))</f>
        <v/>
      </c>
    </row>
    <row r="16">
      <c r="A16" s="6" t="inlineStr">
        <is>
          <t>Aggregated PO Attainment (Weighted Average using Mapping Strengths)</t>
        </is>
      </c>
    </row>
    <row r="17">
      <c r="A17" s="6" t="inlineStr">
        <is>
          <t>PO</t>
        </is>
      </c>
      <c r="B17" s="6" t="inlineStr">
        <is>
          <t>Contributing COs</t>
        </is>
      </c>
      <c r="C17" s="6" t="inlineStr">
        <is>
          <t>Aggregated PO Attainment (0–3 Auto)</t>
        </is>
      </c>
    </row>
    <row r="18">
      <c r="A18" t="inlineStr">
        <is>
          <t>PO1</t>
        </is>
      </c>
      <c r="B18">
        <f>TEXTJOIN(", ",TRUE,IF(B$3:B$6&lt;&gt;"",$A$3:$A$6,""))</f>
        <v/>
      </c>
      <c r="C18">
        <f>IF(SUM(B$3:B$6)=0,"",SUMPRODUCT($C$10:$C$13,B$3:B$6)/SUM(B$3:B$6))</f>
        <v/>
      </c>
    </row>
    <row r="19">
      <c r="A19" t="inlineStr">
        <is>
          <t>PO2</t>
        </is>
      </c>
      <c r="B19">
        <f>TEXTJOIN(", ",TRUE,IF(B$3:B$6&lt;&gt;"",$A$3:$A$6,""))</f>
        <v/>
      </c>
      <c r="C19">
        <f>IF(SUM(B$3:B$6)=0,"",SUMPRODUCT($C$10:$C$13,B$3:B$6)/SUM(B$3:B$6))</f>
        <v/>
      </c>
    </row>
    <row r="20">
      <c r="A20" t="inlineStr">
        <is>
          <t>PO3</t>
        </is>
      </c>
      <c r="B20">
        <f>TEXTJOIN(", ",TRUE,IF(B$3:B$6&lt;&gt;"",$A$3:$A$6,""))</f>
        <v/>
      </c>
      <c r="C20">
        <f>IF(SUM(B$3:B$6)=0,"",SUMPRODUCT($C$10:$C$13,B$3:B$6)/SUM(B$3:B$6))</f>
        <v/>
      </c>
    </row>
    <row r="21">
      <c r="A21" t="inlineStr">
        <is>
          <t>PO4</t>
        </is>
      </c>
      <c r="B21">
        <f>TEXTJOIN(", ",TRUE,IF(B$3:B$6&lt;&gt;"",$A$3:$A$6,""))</f>
        <v/>
      </c>
      <c r="C21">
        <f>IF(SUM(B$3:B$6)=0,"",SUMPRODUCT($C$10:$C$13,B$3:B$6)/SUM(B$3:B$6))</f>
        <v/>
      </c>
    </row>
    <row r="22">
      <c r="A22" s="3" t="inlineStr">
        <is>
          <t>Note: Fill CO–PO mapping matrix (cells B3:M6) with strengths (3/2/1). PO attainment auto-calculates using CO Final Attainment.</t>
        </is>
      </c>
      <c r="B22">
        <f>TEXTJOIN(", ",TRUE,IF(B$3:B$6&lt;&gt;"",$A$3:$A$6,""))</f>
        <v/>
      </c>
      <c r="C22">
        <f>IF(SUM(B$3:B$6)=0,"",SUMPRODUCT($C$10:$C$13,B$3:B$6)/SUM(B$3:B$6))</f>
        <v/>
      </c>
    </row>
    <row r="23">
      <c r="A23" t="inlineStr">
        <is>
          <t>PO6</t>
        </is>
      </c>
      <c r="B23">
        <f>TEXTJOIN(", ",TRUE,IF(B$3:B$6&lt;&gt;"",$A$3:$A$6,""))</f>
        <v/>
      </c>
      <c r="C23">
        <f>IF(SUM(B$3:B$6)=0,"",SUMPRODUCT($C$10:$C$13,B$3:B$6)/SUM(B$3:B$6))</f>
        <v/>
      </c>
    </row>
    <row r="24">
      <c r="A24" t="inlineStr">
        <is>
          <t>PO7</t>
        </is>
      </c>
      <c r="B24">
        <f>TEXTJOIN(", ",TRUE,IF(B$3:B$6&lt;&gt;"",$A$3:$A$6,""))</f>
        <v/>
      </c>
      <c r="C24">
        <f>IF(SUM(B$3:B$6)=0,"",SUMPRODUCT($C$10:$C$13,B$3:B$6)/SUM(B$3:B$6))</f>
        <v/>
      </c>
    </row>
    <row r="25">
      <c r="A25" t="inlineStr">
        <is>
          <t>PO8</t>
        </is>
      </c>
      <c r="B25">
        <f>TEXTJOIN(", ",TRUE,IF(B$3:B$6&lt;&gt;"",$A$3:$A$6,""))</f>
        <v/>
      </c>
      <c r="C25">
        <f>IF(SUM(B$3:B$6)=0,"",SUMPRODUCT($C$10:$C$13,B$3:B$6)/SUM(B$3:B$6))</f>
        <v/>
      </c>
    </row>
    <row r="26">
      <c r="A26" t="inlineStr">
        <is>
          <t>PO9</t>
        </is>
      </c>
      <c r="B26">
        <f>TEXTJOIN(", ",TRUE,IF(B$3:B$6&lt;&gt;"",$A$3:$A$6,""))</f>
        <v/>
      </c>
      <c r="C26">
        <f>IF(SUM(B$3:B$6)=0,"",SUMPRODUCT($C$10:$C$13,B$3:B$6)/SUM(B$3:B$6))</f>
        <v/>
      </c>
    </row>
    <row r="27">
      <c r="A27" t="inlineStr">
        <is>
          <t>PO10</t>
        </is>
      </c>
      <c r="B27">
        <f>TEXTJOIN(", ",TRUE,IF(B$3:B$6&lt;&gt;"",$A$3:$A$6,""))</f>
        <v/>
      </c>
      <c r="C27">
        <f>IF(SUM(B$3:B$6)=0,"",SUMPRODUCT($C$10:$C$13,B$3:B$6)/SUM(B$3:B$6))</f>
        <v/>
      </c>
    </row>
    <row r="28">
      <c r="A28" t="inlineStr">
        <is>
          <t>PO11</t>
        </is>
      </c>
      <c r="B28">
        <f>TEXTJOIN(", ",TRUE,IF(B$3:B$6&lt;&gt;"",$A$3:$A$6,""))</f>
        <v/>
      </c>
      <c r="C28">
        <f>IF(SUM(B$3:B$6)=0,"",SUMPRODUCT($C$10:$C$13,B$3:B$6)/SUM(B$3:B$6))</f>
        <v/>
      </c>
    </row>
    <row r="29">
      <c r="A29" t="inlineStr">
        <is>
          <t>PO12</t>
        </is>
      </c>
      <c r="B29">
        <f>TEXTJOIN(", ",TRUE,IF(B$3:B$6&lt;&gt;"",$A$3:$A$6,""))</f>
        <v/>
      </c>
      <c r="C29">
        <f>IF(SUM(B$3:B$6)=0,"",SUMPRODUCT($C$10:$C$13,B$3:B$6)/SUM(B$3:B$6))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20" customWidth="1" min="6" max="6"/>
    <col width="24" customWidth="1" min="7" max="7"/>
  </cols>
  <sheetData>
    <row r="1">
      <c r="A1" s="6" t="inlineStr">
        <is>
          <t>Section A: Student-wise Attainment per CO (Raw to Levels)</t>
        </is>
      </c>
    </row>
    <row r="2">
      <c r="A2" s="7" t="inlineStr">
        <is>
          <t>Roll No.</t>
        </is>
      </c>
      <c r="B2" s="7" t="inlineStr">
        <is>
          <t>Student Name</t>
        </is>
      </c>
      <c r="C2" s="7" t="inlineStr">
        <is>
          <t>CO</t>
        </is>
      </c>
      <c r="D2" s="7" t="inlineStr">
        <is>
          <t>Max Marks</t>
        </is>
      </c>
      <c r="E2" s="7" t="inlineStr">
        <is>
          <t>Marks Obtained</t>
        </is>
      </c>
      <c r="F2" s="7" t="inlineStr">
        <is>
          <t>% Score (Auto)</t>
        </is>
      </c>
      <c r="G2" s="7" t="inlineStr">
        <is>
          <t>Attainment Level (0–3)</t>
        </is>
      </c>
    </row>
    <row r="3">
      <c r="A3" t="inlineStr">
        <is>
          <t>101</t>
        </is>
      </c>
      <c r="B3" t="inlineStr">
        <is>
          <t>A. Kumar</t>
        </is>
      </c>
      <c r="C3" t="inlineStr">
        <is>
          <t>CO1</t>
        </is>
      </c>
      <c r="D3" t="n">
        <v>10</v>
      </c>
      <c r="E3" t="n">
        <v>8</v>
      </c>
      <c r="F3" s="5">
        <f>IF(D3=0,"",E3/D3)</f>
        <v/>
      </c>
      <c r="G3">
        <f>IF(F3="","",IF(F3&gt;=0.7,3,IF(F3&gt;=0.6,2,IF(F3&gt;=0.5,1,0))))</f>
        <v/>
      </c>
    </row>
    <row r="4">
      <c r="A4" t="inlineStr">
        <is>
          <t>102</t>
        </is>
      </c>
      <c r="B4" t="inlineStr">
        <is>
          <t>B. Singh</t>
        </is>
      </c>
      <c r="C4" t="inlineStr">
        <is>
          <t>CO1</t>
        </is>
      </c>
      <c r="D4" t="n">
        <v>10</v>
      </c>
      <c r="E4" t="n">
        <v>6</v>
      </c>
      <c r="F4" s="5">
        <f>IF(D4=0,"",E4/D4)</f>
        <v/>
      </c>
      <c r="G4">
        <f>IF(F4="","",IF(F4&gt;=0.7,3,IF(F4&gt;=0.6,2,IF(F4&gt;=0.5,1,0))))</f>
        <v/>
      </c>
    </row>
    <row r="5">
      <c r="A5" t="inlineStr">
        <is>
          <t>103</t>
        </is>
      </c>
      <c r="B5" t="inlineStr">
        <is>
          <t>C. Rao</t>
        </is>
      </c>
      <c r="C5" t="inlineStr">
        <is>
          <t>CO1</t>
        </is>
      </c>
      <c r="D5" t="n">
        <v>10</v>
      </c>
      <c r="E5" t="n">
        <v>5</v>
      </c>
      <c r="F5" s="5">
        <f>IF(D5=0,"",E5/D5)</f>
        <v/>
      </c>
      <c r="G5">
        <f>IF(F5="","",IF(F5&gt;=0.7,3,IF(F5&gt;=0.6,2,IF(F5&gt;=0.5,1,0))))</f>
        <v/>
      </c>
    </row>
    <row r="6">
      <c r="F6" s="5">
        <f>IF(D6=0,"",E6/D6)</f>
        <v/>
      </c>
      <c r="G6">
        <f>IF(F6="","",IF(F6&gt;=0.7,3,IF(F6&gt;=0.6,2,IF(F6&gt;=0.5,1,0))))</f>
        <v/>
      </c>
    </row>
    <row r="7">
      <c r="F7" s="5">
        <f>IF(D7=0,"",E7/D7)</f>
        <v/>
      </c>
      <c r="G7">
        <f>IF(F7="","",IF(F7&gt;=0.7,3,IF(F7&gt;=0.6,2,IF(F7&gt;=0.5,1,0))))</f>
        <v/>
      </c>
    </row>
    <row r="8">
      <c r="F8" s="5">
        <f>IF(D8=0,"",E8/D8)</f>
        <v/>
      </c>
      <c r="G8">
        <f>IF(F8="","",IF(F8&gt;=0.7,3,IF(F8&gt;=0.6,2,IF(F8&gt;=0.5,1,0))))</f>
        <v/>
      </c>
    </row>
    <row r="9">
      <c r="F9" s="5">
        <f>IF(D9=0,"",E9/D9)</f>
        <v/>
      </c>
      <c r="G9">
        <f>IF(F9="","",IF(F9&gt;=0.7,3,IF(F9&gt;=0.6,2,IF(F9&gt;=0.5,1,0))))</f>
        <v/>
      </c>
    </row>
    <row r="10">
      <c r="F10" s="5">
        <f>IF(D10=0,"",E10/D10)</f>
        <v/>
      </c>
      <c r="G10">
        <f>IF(F10="","",IF(F10&gt;=0.7,3,IF(F10&gt;=0.6,2,IF(F10&gt;=0.5,1,0))))</f>
        <v/>
      </c>
    </row>
    <row r="11">
      <c r="F11" s="5">
        <f>IF(D11=0,"",E11/D11)</f>
        <v/>
      </c>
      <c r="G11">
        <f>IF(F11="","",IF(F11&gt;=0.7,3,IF(F11&gt;=0.6,2,IF(F11&gt;=0.5,1,0))))</f>
        <v/>
      </c>
    </row>
    <row r="12">
      <c r="F12" s="5">
        <f>IF(D12=0,"",E12/D12)</f>
        <v/>
      </c>
      <c r="G12">
        <f>IF(F12="","",IF(F12&gt;=0.7,3,IF(F12&gt;=0.6,2,IF(F12&gt;=0.5,1,0))))</f>
        <v/>
      </c>
    </row>
    <row r="13">
      <c r="F13" s="5">
        <f>IF(D13=0,"",E13/D13)</f>
        <v/>
      </c>
      <c r="G13">
        <f>IF(F13="","",IF(F13&gt;=0.7,3,IF(F13&gt;=0.6,2,IF(F13&gt;=0.5,1,0))))</f>
        <v/>
      </c>
    </row>
    <row r="14">
      <c r="F14" s="5">
        <f>IF(D14=0,"",E14/D14)</f>
        <v/>
      </c>
      <c r="G14">
        <f>IF(F14="","",IF(F14&gt;=0.7,3,IF(F14&gt;=0.6,2,IF(F14&gt;=0.5,1,0))))</f>
        <v/>
      </c>
    </row>
    <row r="15">
      <c r="F15" s="5">
        <f>IF(D15=0,"",E15/D15)</f>
        <v/>
      </c>
      <c r="G15">
        <f>IF(F15="","",IF(F15&gt;=0.7,3,IF(F15&gt;=0.6,2,IF(F15&gt;=0.5,1,0))))</f>
        <v/>
      </c>
    </row>
    <row r="16">
      <c r="F16" s="5">
        <f>IF(D16=0,"",E16/D16)</f>
        <v/>
      </c>
      <c r="G16">
        <f>IF(F16="","",IF(F16&gt;=0.7,3,IF(F16&gt;=0.6,2,IF(F16&gt;=0.5,1,0))))</f>
        <v/>
      </c>
    </row>
    <row r="17">
      <c r="F17" s="5">
        <f>IF(D17=0,"",E17/D17)</f>
        <v/>
      </c>
      <c r="G17">
        <f>IF(F17="","",IF(F17&gt;=0.7,3,IF(F17&gt;=0.6,2,IF(F17&gt;=0.5,1,0))))</f>
        <v/>
      </c>
    </row>
    <row r="18">
      <c r="F18" s="5">
        <f>IF(D18=0,"",E18/D18)</f>
        <v/>
      </c>
      <c r="G18">
        <f>IF(F18="","",IF(F18&gt;=0.7,3,IF(F18&gt;=0.6,2,IF(F18&gt;=0.5,1,0))))</f>
        <v/>
      </c>
    </row>
    <row r="19">
      <c r="F19" s="5">
        <f>IF(D19=0,"",E19/D19)</f>
        <v/>
      </c>
      <c r="G19">
        <f>IF(F19="","",IF(F19&gt;=0.7,3,IF(F19&gt;=0.6,2,IF(F19&gt;=0.5,1,0))))</f>
        <v/>
      </c>
    </row>
    <row r="20">
      <c r="F20" s="5">
        <f>IF(D20=0,"",E20/D20)</f>
        <v/>
      </c>
      <c r="G20">
        <f>IF(F20="","",IF(F20&gt;=0.7,3,IF(F20&gt;=0.6,2,IF(F20&gt;=0.5,1,0))))</f>
        <v/>
      </c>
    </row>
    <row r="21">
      <c r="F21" s="5">
        <f>IF(D21=0,"",E21/D21)</f>
        <v/>
      </c>
      <c r="G21">
        <f>IF(F21="","",IF(F21&gt;=0.7,3,IF(F21&gt;=0.6,2,IF(F21&gt;=0.5,1,0))))</f>
        <v/>
      </c>
    </row>
    <row r="22">
      <c r="F22" s="5">
        <f>IF(D22=0,"",E22/D22)</f>
        <v/>
      </c>
      <c r="G22">
        <f>IF(F22="","",IF(F22&gt;=0.7,3,IF(F22&gt;=0.6,2,IF(F22&gt;=0.5,1,0))))</f>
        <v/>
      </c>
    </row>
    <row r="23">
      <c r="F23" s="5">
        <f>IF(D23=0,"",E23/D23)</f>
        <v/>
      </c>
      <c r="G23">
        <f>IF(F23="","",IF(F23&gt;=0.7,3,IF(F23&gt;=0.6,2,IF(F23&gt;=0.5,1,0))))</f>
        <v/>
      </c>
    </row>
    <row r="24">
      <c r="F24" s="5">
        <f>IF(D24=0,"",E24/D24)</f>
        <v/>
      </c>
      <c r="G24">
        <f>IF(F24="","",IF(F24&gt;=0.7,3,IF(F24&gt;=0.6,2,IF(F24&gt;=0.5,1,0))))</f>
        <v/>
      </c>
    </row>
    <row r="25">
      <c r="F25" s="5">
        <f>IF(D25=0,"",E25/D25)</f>
        <v/>
      </c>
      <c r="G25">
        <f>IF(F25="","",IF(F25&gt;=0.7,3,IF(F25&gt;=0.6,2,IF(F25&gt;=0.5,1,0))))</f>
        <v/>
      </c>
    </row>
    <row r="26">
      <c r="F26" s="5">
        <f>IF(D26=0,"",E26/D26)</f>
        <v/>
      </c>
      <c r="G26">
        <f>IF(F26="","",IF(F26&gt;=0.7,3,IF(F26&gt;=0.6,2,IF(F26&gt;=0.5,1,0))))</f>
        <v/>
      </c>
    </row>
    <row r="27">
      <c r="F27" s="5">
        <f>IF(D27=0,"",E27/D27)</f>
        <v/>
      </c>
      <c r="G27">
        <f>IF(F27="","",IF(F27&gt;=0.7,3,IF(F27&gt;=0.6,2,IF(F27&gt;=0.5,1,0))))</f>
        <v/>
      </c>
    </row>
    <row r="28">
      <c r="F28" s="5">
        <f>IF(D28=0,"",E28/D28)</f>
        <v/>
      </c>
      <c r="G28">
        <f>IF(F28="","",IF(F28&gt;=0.7,3,IF(F28&gt;=0.6,2,IF(F28&gt;=0.5,1,0))))</f>
        <v/>
      </c>
    </row>
    <row r="29">
      <c r="F29" s="5">
        <f>IF(D29=0,"",E29/D29)</f>
        <v/>
      </c>
      <c r="G29">
        <f>IF(F29="","",IF(F29&gt;=0.7,3,IF(F29&gt;=0.6,2,IF(F29&gt;=0.5,1,0))))</f>
        <v/>
      </c>
    </row>
    <row r="30">
      <c r="F30" s="5">
        <f>IF(D30=0,"",E30/D30)</f>
        <v/>
      </c>
      <c r="G30">
        <f>IF(F30="","",IF(F30&gt;=0.7,3,IF(F30&gt;=0.6,2,IF(F30&gt;=0.5,1,0))))</f>
        <v/>
      </c>
    </row>
    <row r="31">
      <c r="F31" s="5">
        <f>IF(D31=0,"",E31/D31)</f>
        <v/>
      </c>
      <c r="G31">
        <f>IF(F31="","",IF(F31&gt;=0.7,3,IF(F31&gt;=0.6,2,IF(F31&gt;=0.5,1,0))))</f>
        <v/>
      </c>
    </row>
    <row r="32">
      <c r="F32" s="5">
        <f>IF(D32=0,"",E32/D32)</f>
        <v/>
      </c>
      <c r="G32">
        <f>IF(F32="","",IF(F32&gt;=0.7,3,IF(F32&gt;=0.6,2,IF(F32&gt;=0.5,1,0))))</f>
        <v/>
      </c>
    </row>
    <row r="33">
      <c r="F33" s="5">
        <f>IF(D33=0,"",E33/D33)</f>
        <v/>
      </c>
      <c r="G33">
        <f>IF(F33="","",IF(F33&gt;=0.7,3,IF(F33&gt;=0.6,2,IF(F33&gt;=0.5,1,0))))</f>
        <v/>
      </c>
    </row>
    <row r="34">
      <c r="F34" s="5">
        <f>IF(D34=0,"",E34/D34)</f>
        <v/>
      </c>
      <c r="G34">
        <f>IF(F34="","",IF(F34&gt;=0.7,3,IF(F34&gt;=0.6,2,IF(F34&gt;=0.5,1,0))))</f>
        <v/>
      </c>
    </row>
    <row r="35">
      <c r="F35" s="5">
        <f>IF(D35=0,"",E35/D35)</f>
        <v/>
      </c>
      <c r="G35">
        <f>IF(F35="","",IF(F35&gt;=0.7,3,IF(F35&gt;=0.6,2,IF(F35&gt;=0.5,1,0))))</f>
        <v/>
      </c>
    </row>
    <row r="36">
      <c r="F36" s="5">
        <f>IF(D36=0,"",E36/D36)</f>
        <v/>
      </c>
      <c r="G36">
        <f>IF(F36="","",IF(F36&gt;=0.7,3,IF(F36&gt;=0.6,2,IF(F36&gt;=0.5,1,0))))</f>
        <v/>
      </c>
    </row>
    <row r="37">
      <c r="F37" s="5">
        <f>IF(D37=0,"",E37/D37)</f>
        <v/>
      </c>
      <c r="G37">
        <f>IF(F37="","",IF(F37&gt;=0.7,3,IF(F37&gt;=0.6,2,IF(F37&gt;=0.5,1,0))))</f>
        <v/>
      </c>
    </row>
    <row r="38">
      <c r="F38" s="5">
        <f>IF(D38=0,"",E38/D38)</f>
        <v/>
      </c>
      <c r="G38">
        <f>IF(F38="","",IF(F38&gt;=0.7,3,IF(F38&gt;=0.6,2,IF(F38&gt;=0.5,1,0))))</f>
        <v/>
      </c>
    </row>
    <row r="39">
      <c r="F39" s="5">
        <f>IF(D39=0,"",E39/D39)</f>
        <v/>
      </c>
      <c r="G39">
        <f>IF(F39="","",IF(F39&gt;=0.7,3,IF(F39&gt;=0.6,2,IF(F39&gt;=0.5,1,0))))</f>
        <v/>
      </c>
    </row>
    <row r="40">
      <c r="F40" s="5">
        <f>IF(D40=0,"",E40/D40)</f>
        <v/>
      </c>
      <c r="G40">
        <f>IF(F40="","",IF(F40&gt;=0.7,3,IF(F40&gt;=0.6,2,IF(F40&gt;=0.5,1,0))))</f>
        <v/>
      </c>
    </row>
    <row r="41">
      <c r="F41" s="5">
        <f>IF(D41=0,"",E41/D41)</f>
        <v/>
      </c>
      <c r="G41">
        <f>IF(F41="","",IF(F41&gt;=0.7,3,IF(F41&gt;=0.6,2,IF(F41&gt;=0.5,1,0))))</f>
        <v/>
      </c>
    </row>
    <row r="42">
      <c r="F42" s="5">
        <f>IF(D42=0,"",E42/D42)</f>
        <v/>
      </c>
      <c r="G42">
        <f>IF(F42="","",IF(F42&gt;=0.7,3,IF(F42&gt;=0.6,2,IF(F42&gt;=0.5,1,0))))</f>
        <v/>
      </c>
    </row>
    <row r="43">
      <c r="F43" s="5">
        <f>IF(D43=0,"",E43/D43)</f>
        <v/>
      </c>
      <c r="G43">
        <f>IF(F43="","",IF(F43&gt;=0.7,3,IF(F43&gt;=0.6,2,IF(F43&gt;=0.5,1,0))))</f>
        <v/>
      </c>
    </row>
    <row r="44">
      <c r="F44" s="5">
        <f>IF(D44=0,"",E44/D44)</f>
        <v/>
      </c>
      <c r="G44">
        <f>IF(F44="","",IF(F44&gt;=0.7,3,IF(F44&gt;=0.6,2,IF(F44&gt;=0.5,1,0))))</f>
        <v/>
      </c>
    </row>
    <row r="45">
      <c r="F45" s="5">
        <f>IF(D45=0,"",E45/D45)</f>
        <v/>
      </c>
      <c r="G45">
        <f>IF(F45="","",IF(F45&gt;=0.7,3,IF(F45&gt;=0.6,2,IF(F45&gt;=0.5,1,0))))</f>
        <v/>
      </c>
    </row>
    <row r="46">
      <c r="F46" s="5">
        <f>IF(D46=0,"",E46/D46)</f>
        <v/>
      </c>
      <c r="G46">
        <f>IF(F46="","",IF(F46&gt;=0.7,3,IF(F46&gt;=0.6,2,IF(F46&gt;=0.5,1,0))))</f>
        <v/>
      </c>
    </row>
    <row r="47">
      <c r="F47" s="5">
        <f>IF(D47=0,"",E47/D47)</f>
        <v/>
      </c>
      <c r="G47">
        <f>IF(F47="","",IF(F47&gt;=0.7,3,IF(F47&gt;=0.6,2,IF(F47&gt;=0.5,1,0))))</f>
        <v/>
      </c>
    </row>
    <row r="48">
      <c r="F48" s="5">
        <f>IF(D48=0,"",E48/D48)</f>
        <v/>
      </c>
      <c r="G48">
        <f>IF(F48="","",IF(F48&gt;=0.7,3,IF(F48&gt;=0.6,2,IF(F48&gt;=0.5,1,0))))</f>
        <v/>
      </c>
    </row>
    <row r="49">
      <c r="F49" s="5">
        <f>IF(D49=0,"",E49/D49)</f>
        <v/>
      </c>
      <c r="G49">
        <f>IF(F49="","",IF(F49&gt;=0.7,3,IF(F49&gt;=0.6,2,IF(F49&gt;=0.5,1,0))))</f>
        <v/>
      </c>
    </row>
    <row r="50">
      <c r="F50" s="5">
        <f>IF(D50=0,"",E50/D50)</f>
        <v/>
      </c>
      <c r="G50">
        <f>IF(F50="","",IF(F50&gt;=0.7,3,IF(F50&gt;=0.6,2,IF(F50&gt;=0.5,1,0))))</f>
        <v/>
      </c>
    </row>
    <row r="51">
      <c r="F51" s="5">
        <f>IF(D51=0,"",E51/D51)</f>
        <v/>
      </c>
      <c r="G51">
        <f>IF(F51="","",IF(F51&gt;=0.7,3,IF(F51&gt;=0.6,2,IF(F51&gt;=0.5,1,0))))</f>
        <v/>
      </c>
    </row>
    <row r="52">
      <c r="F52" s="5">
        <f>IF(D52=0,"",E52/D52)</f>
        <v/>
      </c>
      <c r="G52">
        <f>IF(F52="","",IF(F52&gt;=0.7,3,IF(F52&gt;=0.6,2,IF(F52&gt;=0.5,1,0))))</f>
        <v/>
      </c>
    </row>
    <row r="53">
      <c r="F53" s="5">
        <f>IF(D53=0,"",E53/D53)</f>
        <v/>
      </c>
      <c r="G53">
        <f>IF(F53="","",IF(F53&gt;=0.7,3,IF(F53&gt;=0.6,2,IF(F53&gt;=0.5,1,0))))</f>
        <v/>
      </c>
    </row>
    <row r="54">
      <c r="F54" s="5">
        <f>IF(D54=0,"",E54/D54)</f>
        <v/>
      </c>
      <c r="G54">
        <f>IF(F54="","",IF(F54&gt;=0.7,3,IF(F54&gt;=0.6,2,IF(F54&gt;=0.5,1,0))))</f>
        <v/>
      </c>
    </row>
    <row r="55">
      <c r="F55" s="5">
        <f>IF(D55=0,"",E55/D55)</f>
        <v/>
      </c>
      <c r="G55">
        <f>IF(F55="","",IF(F55&gt;=0.7,3,IF(F55&gt;=0.6,2,IF(F55&gt;=0.5,1,0))))</f>
        <v/>
      </c>
    </row>
    <row r="56">
      <c r="F56" s="5">
        <f>IF(D56=0,"",E56/D56)</f>
        <v/>
      </c>
      <c r="G56">
        <f>IF(F56="","",IF(F56&gt;=0.7,3,IF(F56&gt;=0.6,2,IF(F56&gt;=0.5,1,0))))</f>
        <v/>
      </c>
    </row>
    <row r="57">
      <c r="F57" s="5">
        <f>IF(D57=0,"",E57/D57)</f>
        <v/>
      </c>
      <c r="G57">
        <f>IF(F57="","",IF(F57&gt;=0.7,3,IF(F57&gt;=0.6,2,IF(F57&gt;=0.5,1,0))))</f>
        <v/>
      </c>
    </row>
    <row r="58">
      <c r="F58" s="5">
        <f>IF(D58=0,"",E58/D58)</f>
        <v/>
      </c>
      <c r="G58">
        <f>IF(F58="","",IF(F58&gt;=0.7,3,IF(F58&gt;=0.6,2,IF(F58&gt;=0.5,1,0))))</f>
        <v/>
      </c>
    </row>
    <row r="59">
      <c r="F59" s="5">
        <f>IF(D59=0,"",E59/D59)</f>
        <v/>
      </c>
      <c r="G59">
        <f>IF(F59="","",IF(F59&gt;=0.7,3,IF(F59&gt;=0.6,2,IF(F59&gt;=0.5,1,0))))</f>
        <v/>
      </c>
    </row>
    <row r="60">
      <c r="F60" s="5">
        <f>IF(D60=0,"",E60/D60)</f>
        <v/>
      </c>
      <c r="G60">
        <f>IF(F60="","",IF(F60&gt;=0.7,3,IF(F60&gt;=0.6,2,IF(F60&gt;=0.5,1,0))))</f>
        <v/>
      </c>
    </row>
    <row r="61">
      <c r="F61" s="5">
        <f>IF(D61=0,"",E61/D61)</f>
        <v/>
      </c>
      <c r="G61">
        <f>IF(F61="","",IF(F61&gt;=0.7,3,IF(F61&gt;=0.6,2,IF(F61&gt;=0.5,1,0))))</f>
        <v/>
      </c>
    </row>
    <row r="62">
      <c r="F62" s="5">
        <f>IF(D62=0,"",E62/D62)</f>
        <v/>
      </c>
      <c r="G62">
        <f>IF(F62="","",IF(F62&gt;=0.7,3,IF(F62&gt;=0.6,2,IF(F62&gt;=0.5,1,0))))</f>
        <v/>
      </c>
    </row>
    <row r="63">
      <c r="F63" s="5">
        <f>IF(D63=0,"",E63/D63)</f>
        <v/>
      </c>
      <c r="G63">
        <f>IF(F63="","",IF(F63&gt;=0.7,3,IF(F63&gt;=0.6,2,IF(F63&gt;=0.5,1,0))))</f>
        <v/>
      </c>
    </row>
    <row r="64">
      <c r="F64" s="5">
        <f>IF(D64=0,"",E64/D64)</f>
        <v/>
      </c>
      <c r="G64">
        <f>IF(F64="","",IF(F64&gt;=0.7,3,IF(F64&gt;=0.6,2,IF(F64&gt;=0.5,1,0))))</f>
        <v/>
      </c>
    </row>
    <row r="65">
      <c r="F65" s="5">
        <f>IF(D65=0,"",E65/D65)</f>
        <v/>
      </c>
      <c r="G65">
        <f>IF(F65="","",IF(F65&gt;=0.7,3,IF(F65&gt;=0.6,2,IF(F65&gt;=0.5,1,0))))</f>
        <v/>
      </c>
    </row>
    <row r="66">
      <c r="F66" s="5">
        <f>IF(D66=0,"",E66/D66)</f>
        <v/>
      </c>
      <c r="G66">
        <f>IF(F66="","",IF(F66&gt;=0.7,3,IF(F66&gt;=0.6,2,IF(F66&gt;=0.5,1,0))))</f>
        <v/>
      </c>
    </row>
    <row r="67">
      <c r="F67" s="5">
        <f>IF(D67=0,"",E67/D67)</f>
        <v/>
      </c>
      <c r="G67">
        <f>IF(F67="","",IF(F67&gt;=0.7,3,IF(F67&gt;=0.6,2,IF(F67&gt;=0.5,1,0))))</f>
        <v/>
      </c>
    </row>
    <row r="68">
      <c r="F68" s="5">
        <f>IF(D68=0,"",E68/D68)</f>
        <v/>
      </c>
      <c r="G68">
        <f>IF(F68="","",IF(F68&gt;=0.7,3,IF(F68&gt;=0.6,2,IF(F68&gt;=0.5,1,0))))</f>
        <v/>
      </c>
    </row>
    <row r="69">
      <c r="F69" s="5">
        <f>IF(D69=0,"",E69/D69)</f>
        <v/>
      </c>
      <c r="G69">
        <f>IF(F69="","",IF(F69&gt;=0.7,3,IF(F69&gt;=0.6,2,IF(F69&gt;=0.5,1,0))))</f>
        <v/>
      </c>
    </row>
    <row r="70">
      <c r="F70" s="5">
        <f>IF(D70=0,"",E70/D70)</f>
        <v/>
      </c>
      <c r="G70">
        <f>IF(F70="","",IF(F70&gt;=0.7,3,IF(F70&gt;=0.6,2,IF(F70&gt;=0.5,1,0))))</f>
        <v/>
      </c>
    </row>
    <row r="71">
      <c r="F71" s="5">
        <f>IF(D71=0,"",E71/D71)</f>
        <v/>
      </c>
      <c r="G71">
        <f>IF(F71="","",IF(F71&gt;=0.7,3,IF(F71&gt;=0.6,2,IF(F71&gt;=0.5,1,0))))</f>
        <v/>
      </c>
    </row>
    <row r="72">
      <c r="F72" s="5">
        <f>IF(D72=0,"",E72/D72)</f>
        <v/>
      </c>
      <c r="G72">
        <f>IF(F72="","",IF(F72&gt;=0.7,3,IF(F72&gt;=0.6,2,IF(F72&gt;=0.5,1,0))))</f>
        <v/>
      </c>
    </row>
    <row r="73">
      <c r="F73" s="5">
        <f>IF(D73=0,"",E73/D73)</f>
        <v/>
      </c>
      <c r="G73">
        <f>IF(F73="","",IF(F73&gt;=0.7,3,IF(F73&gt;=0.6,2,IF(F73&gt;=0.5,1,0))))</f>
        <v/>
      </c>
    </row>
    <row r="74">
      <c r="F74" s="5">
        <f>IF(D74=0,"",E74/D74)</f>
        <v/>
      </c>
      <c r="G74">
        <f>IF(F74="","",IF(F74&gt;=0.7,3,IF(F74&gt;=0.6,2,IF(F74&gt;=0.5,1,0))))</f>
        <v/>
      </c>
    </row>
    <row r="75">
      <c r="F75" s="5">
        <f>IF(D75=0,"",E75/D75)</f>
        <v/>
      </c>
      <c r="G75">
        <f>IF(F75="","",IF(F75&gt;=0.7,3,IF(F75&gt;=0.6,2,IF(F75&gt;=0.5,1,0))))</f>
        <v/>
      </c>
    </row>
    <row r="76">
      <c r="F76" s="5">
        <f>IF(D76=0,"",E76/D76)</f>
        <v/>
      </c>
      <c r="G76">
        <f>IF(F76="","",IF(F76&gt;=0.7,3,IF(F76&gt;=0.6,2,IF(F76&gt;=0.5,1,0))))</f>
        <v/>
      </c>
    </row>
    <row r="77">
      <c r="F77" s="5">
        <f>IF(D77=0,"",E77/D77)</f>
        <v/>
      </c>
      <c r="G77">
        <f>IF(F77="","",IF(F77&gt;=0.7,3,IF(F77&gt;=0.6,2,IF(F77&gt;=0.5,1,0))))</f>
        <v/>
      </c>
    </row>
    <row r="78">
      <c r="F78" s="5">
        <f>IF(D78=0,"",E78/D78)</f>
        <v/>
      </c>
      <c r="G78">
        <f>IF(F78="","",IF(F78&gt;=0.7,3,IF(F78&gt;=0.6,2,IF(F78&gt;=0.5,1,0))))</f>
        <v/>
      </c>
    </row>
    <row r="79">
      <c r="F79" s="5">
        <f>IF(D79=0,"",E79/D79)</f>
        <v/>
      </c>
      <c r="G79">
        <f>IF(F79="","",IF(F79&gt;=0.7,3,IF(F79&gt;=0.6,2,IF(F79&gt;=0.5,1,0))))</f>
        <v/>
      </c>
    </row>
    <row r="80">
      <c r="F80" s="5">
        <f>IF(D80=0,"",E80/D80)</f>
        <v/>
      </c>
      <c r="G80">
        <f>IF(F80="","",IF(F80&gt;=0.7,3,IF(F80&gt;=0.6,2,IF(F80&gt;=0.5,1,0))))</f>
        <v/>
      </c>
    </row>
    <row r="81">
      <c r="F81" s="5">
        <f>IF(D81=0,"",E81/D81)</f>
        <v/>
      </c>
      <c r="G81">
        <f>IF(F81="","",IF(F81&gt;=0.7,3,IF(F81&gt;=0.6,2,IF(F81&gt;=0.5,1,0))))</f>
        <v/>
      </c>
    </row>
    <row r="82">
      <c r="F82" s="5">
        <f>IF(D82=0,"",E82/D82)</f>
        <v/>
      </c>
      <c r="G82">
        <f>IF(F82="","",IF(F82&gt;=0.7,3,IF(F82&gt;=0.6,2,IF(F82&gt;=0.5,1,0))))</f>
        <v/>
      </c>
    </row>
    <row r="83">
      <c r="F83" s="5">
        <f>IF(D83=0,"",E83/D83)</f>
        <v/>
      </c>
      <c r="G83">
        <f>IF(F83="","",IF(F83&gt;=0.7,3,IF(F83&gt;=0.6,2,IF(F83&gt;=0.5,1,0))))</f>
        <v/>
      </c>
    </row>
    <row r="84">
      <c r="F84" s="5">
        <f>IF(D84=0,"",E84/D84)</f>
        <v/>
      </c>
      <c r="G84">
        <f>IF(F84="","",IF(F84&gt;=0.7,3,IF(F84&gt;=0.6,2,IF(F84&gt;=0.5,1,0))))</f>
        <v/>
      </c>
    </row>
    <row r="85">
      <c r="F85" s="5">
        <f>IF(D85=0,"",E85/D85)</f>
        <v/>
      </c>
      <c r="G85">
        <f>IF(F85="","",IF(F85&gt;=0.7,3,IF(F85&gt;=0.6,2,IF(F85&gt;=0.5,1,0))))</f>
        <v/>
      </c>
    </row>
    <row r="86">
      <c r="F86" s="5">
        <f>IF(D86=0,"",E86/D86)</f>
        <v/>
      </c>
      <c r="G86">
        <f>IF(F86="","",IF(F86&gt;=0.7,3,IF(F86&gt;=0.6,2,IF(F86&gt;=0.5,1,0))))</f>
        <v/>
      </c>
    </row>
    <row r="87">
      <c r="F87" s="5">
        <f>IF(D87=0,"",E87/D87)</f>
        <v/>
      </c>
      <c r="G87">
        <f>IF(F87="","",IF(F87&gt;=0.7,3,IF(F87&gt;=0.6,2,IF(F87&gt;=0.5,1,0))))</f>
        <v/>
      </c>
    </row>
    <row r="88">
      <c r="F88" s="5">
        <f>IF(D88=0,"",E88/D88)</f>
        <v/>
      </c>
      <c r="G88">
        <f>IF(F88="","",IF(F88&gt;=0.7,3,IF(F88&gt;=0.6,2,IF(F88&gt;=0.5,1,0))))</f>
        <v/>
      </c>
    </row>
    <row r="89">
      <c r="F89" s="5">
        <f>IF(D89=0,"",E89/D89)</f>
        <v/>
      </c>
      <c r="G89">
        <f>IF(F89="","",IF(F89&gt;=0.7,3,IF(F89&gt;=0.6,2,IF(F89&gt;=0.5,1,0))))</f>
        <v/>
      </c>
    </row>
    <row r="90">
      <c r="F90" s="5">
        <f>IF(D90=0,"",E90/D90)</f>
        <v/>
      </c>
      <c r="G90">
        <f>IF(F90="","",IF(F90&gt;=0.7,3,IF(F90&gt;=0.6,2,IF(F90&gt;=0.5,1,0))))</f>
        <v/>
      </c>
    </row>
    <row r="91">
      <c r="F91" s="5">
        <f>IF(D91=0,"",E91/D91)</f>
        <v/>
      </c>
      <c r="G91">
        <f>IF(F91="","",IF(F91&gt;=0.7,3,IF(F91&gt;=0.6,2,IF(F91&gt;=0.5,1,0))))</f>
        <v/>
      </c>
    </row>
    <row r="92">
      <c r="F92" s="5">
        <f>IF(D92=0,"",E92/D92)</f>
        <v/>
      </c>
      <c r="G92">
        <f>IF(F92="","",IF(F92&gt;=0.7,3,IF(F92&gt;=0.6,2,IF(F92&gt;=0.5,1,0))))</f>
        <v/>
      </c>
    </row>
    <row r="93">
      <c r="F93" s="5">
        <f>IF(D93=0,"",E93/D93)</f>
        <v/>
      </c>
      <c r="G93">
        <f>IF(F93="","",IF(F93&gt;=0.7,3,IF(F93&gt;=0.6,2,IF(F93&gt;=0.5,1,0))))</f>
        <v/>
      </c>
    </row>
    <row r="94">
      <c r="F94" s="5">
        <f>IF(D94=0,"",E94/D94)</f>
        <v/>
      </c>
      <c r="G94">
        <f>IF(F94="","",IF(F94&gt;=0.7,3,IF(F94&gt;=0.6,2,IF(F94&gt;=0.5,1,0))))</f>
        <v/>
      </c>
    </row>
    <row r="95">
      <c r="F95" s="5">
        <f>IF(D95=0,"",E95/D95)</f>
        <v/>
      </c>
      <c r="G95">
        <f>IF(F95="","",IF(F95&gt;=0.7,3,IF(F95&gt;=0.6,2,IF(F95&gt;=0.5,1,0))))</f>
        <v/>
      </c>
    </row>
    <row r="96">
      <c r="F96" s="5">
        <f>IF(D96=0,"",E96/D96)</f>
        <v/>
      </c>
      <c r="G96">
        <f>IF(F96="","",IF(F96&gt;=0.7,3,IF(F96&gt;=0.6,2,IF(F96&gt;=0.5,1,0))))</f>
        <v/>
      </c>
    </row>
    <row r="97">
      <c r="F97" s="5">
        <f>IF(D97=0,"",E97/D97)</f>
        <v/>
      </c>
      <c r="G97">
        <f>IF(F97="","",IF(F97&gt;=0.7,3,IF(F97&gt;=0.6,2,IF(F97&gt;=0.5,1,0))))</f>
        <v/>
      </c>
    </row>
    <row r="98">
      <c r="F98" s="5">
        <f>IF(D98=0,"",E98/D98)</f>
        <v/>
      </c>
      <c r="G98">
        <f>IF(F98="","",IF(F98&gt;=0.7,3,IF(F98&gt;=0.6,2,IF(F98&gt;=0.5,1,0))))</f>
        <v/>
      </c>
    </row>
    <row r="99">
      <c r="F99" s="5">
        <f>IF(D99=0,"",E99/D99)</f>
        <v/>
      </c>
      <c r="G99">
        <f>IF(F99="","",IF(F99&gt;=0.7,3,IF(F99&gt;=0.6,2,IF(F99&gt;=0.5,1,0))))</f>
        <v/>
      </c>
    </row>
    <row r="100">
      <c r="F100" s="5">
        <f>IF(D100=0,"",E100/D100)</f>
        <v/>
      </c>
      <c r="G100">
        <f>IF(F100="","",IF(F100&gt;=0.7,3,IF(F100&gt;=0.6,2,IF(F100&gt;=0.5,1,0))))</f>
        <v/>
      </c>
    </row>
    <row r="101">
      <c r="F101" s="5">
        <f>IF(D101=0,"",E101/D101)</f>
        <v/>
      </c>
      <c r="G101">
        <f>IF(F101="","",IF(F101&gt;=0.7,3,IF(F101&gt;=0.6,2,IF(F101&gt;=0.5,1,0))))</f>
        <v/>
      </c>
    </row>
    <row r="102">
      <c r="F102" s="5">
        <f>IF(D102=0,"",E102/D102)</f>
        <v/>
      </c>
      <c r="G102">
        <f>IF(F102="","",IF(F102&gt;=0.7,3,IF(F102&gt;=0.6,2,IF(F102&gt;=0.5,1,0))))</f>
        <v/>
      </c>
    </row>
    <row r="103">
      <c r="F103" s="5">
        <f>IF(D103=0,"",E103/D103)</f>
        <v/>
      </c>
      <c r="G103">
        <f>IF(F103="","",IF(F103&gt;=0.7,3,IF(F103&gt;=0.6,2,IF(F103&gt;=0.5,1,0))))</f>
        <v/>
      </c>
    </row>
    <row r="104">
      <c r="F104" s="5">
        <f>IF(D104=0,"",E104/D104)</f>
        <v/>
      </c>
      <c r="G104">
        <f>IF(F104="","",IF(F104&gt;=0.7,3,IF(F104&gt;=0.6,2,IF(F104&gt;=0.5,1,0))))</f>
        <v/>
      </c>
    </row>
    <row r="105">
      <c r="F105" s="5">
        <f>IF(D105=0,"",E105/D105)</f>
        <v/>
      </c>
      <c r="G105">
        <f>IF(F105="","",IF(F105&gt;=0.7,3,IF(F105&gt;=0.6,2,IF(F105&gt;=0.5,1,0))))</f>
        <v/>
      </c>
    </row>
    <row r="106">
      <c r="F106" s="5">
        <f>IF(D106=0,"",E106/D106)</f>
        <v/>
      </c>
      <c r="G106">
        <f>IF(F106="","",IF(F106&gt;=0.7,3,IF(F106&gt;=0.6,2,IF(F106&gt;=0.5,1,0))))</f>
        <v/>
      </c>
    </row>
    <row r="107">
      <c r="F107" s="5">
        <f>IF(D107=0,"",E107/D107)</f>
        <v/>
      </c>
      <c r="G107">
        <f>IF(F107="","",IF(F107&gt;=0.7,3,IF(F107&gt;=0.6,2,IF(F107&gt;=0.5,1,0))))</f>
        <v/>
      </c>
    </row>
    <row r="108">
      <c r="F108" s="5">
        <f>IF(D108=0,"",E108/D108)</f>
        <v/>
      </c>
      <c r="G108">
        <f>IF(F108="","",IF(F108&gt;=0.7,3,IF(F108&gt;=0.6,2,IF(F108&gt;=0.5,1,0))))</f>
        <v/>
      </c>
    </row>
    <row r="109">
      <c r="F109" s="5">
        <f>IF(D109=0,"",E109/D109)</f>
        <v/>
      </c>
      <c r="G109">
        <f>IF(F109="","",IF(F109&gt;=0.7,3,IF(F109&gt;=0.6,2,IF(F109&gt;=0.5,1,0))))</f>
        <v/>
      </c>
    </row>
    <row r="110">
      <c r="F110" s="5">
        <f>IF(D110=0,"",E110/D110)</f>
        <v/>
      </c>
      <c r="G110">
        <f>IF(F110="","",IF(F110&gt;=0.7,3,IF(F110&gt;=0.6,2,IF(F110&gt;=0.5,1,0))))</f>
        <v/>
      </c>
    </row>
    <row r="111">
      <c r="F111" s="5">
        <f>IF(D111=0,"",E111/D111)</f>
        <v/>
      </c>
      <c r="G111">
        <f>IF(F111="","",IF(F111&gt;=0.7,3,IF(F111&gt;=0.6,2,IF(F111&gt;=0.5,1,0))))</f>
        <v/>
      </c>
    </row>
    <row r="112">
      <c r="F112" s="5">
        <f>IF(D112=0,"",E112/D112)</f>
        <v/>
      </c>
      <c r="G112">
        <f>IF(F112="","",IF(F112&gt;=0.7,3,IF(F112&gt;=0.6,2,IF(F112&gt;=0.5,1,0))))</f>
        <v/>
      </c>
    </row>
    <row r="113">
      <c r="F113" s="5">
        <f>IF(D113=0,"",E113/D113)</f>
        <v/>
      </c>
      <c r="G113">
        <f>IF(F113="","",IF(F113&gt;=0.7,3,IF(F113&gt;=0.6,2,IF(F113&gt;=0.5,1,0))))</f>
        <v/>
      </c>
    </row>
    <row r="114">
      <c r="F114" s="5">
        <f>IF(D114=0,"",E114/D114)</f>
        <v/>
      </c>
      <c r="G114">
        <f>IF(F114="","",IF(F114&gt;=0.7,3,IF(F114&gt;=0.6,2,IF(F114&gt;=0.5,1,0))))</f>
        <v/>
      </c>
    </row>
    <row r="115">
      <c r="F115" s="5">
        <f>IF(D115=0,"",E115/D115)</f>
        <v/>
      </c>
      <c r="G115">
        <f>IF(F115="","",IF(F115&gt;=0.7,3,IF(F115&gt;=0.6,2,IF(F115&gt;=0.5,1,0))))</f>
        <v/>
      </c>
    </row>
    <row r="116">
      <c r="F116" s="5">
        <f>IF(D116=0,"",E116/D116)</f>
        <v/>
      </c>
      <c r="G116">
        <f>IF(F116="","",IF(F116&gt;=0.7,3,IF(F116&gt;=0.6,2,IF(F116&gt;=0.5,1,0))))</f>
        <v/>
      </c>
    </row>
    <row r="117">
      <c r="F117" s="5">
        <f>IF(D117=0,"",E117/D117)</f>
        <v/>
      </c>
      <c r="G117">
        <f>IF(F117="","",IF(F117&gt;=0.7,3,IF(F117&gt;=0.6,2,IF(F117&gt;=0.5,1,0))))</f>
        <v/>
      </c>
    </row>
    <row r="118">
      <c r="F118" s="5">
        <f>IF(D118=0,"",E118/D118)</f>
        <v/>
      </c>
      <c r="G118">
        <f>IF(F118="","",IF(F118&gt;=0.7,3,IF(F118&gt;=0.6,2,IF(F118&gt;=0.5,1,0))))</f>
        <v/>
      </c>
    </row>
    <row r="119">
      <c r="F119" s="5">
        <f>IF(D119=0,"",E119/D119)</f>
        <v/>
      </c>
      <c r="G119">
        <f>IF(F119="","",IF(F119&gt;=0.7,3,IF(F119&gt;=0.6,2,IF(F119&gt;=0.5,1,0))))</f>
        <v/>
      </c>
    </row>
    <row r="120">
      <c r="F120" s="5">
        <f>IF(D120=0,"",E120/D120)</f>
        <v/>
      </c>
      <c r="G120">
        <f>IF(F120="","",IF(F120&gt;=0.7,3,IF(F120&gt;=0.6,2,IF(F120&gt;=0.5,1,0))))</f>
        <v/>
      </c>
    </row>
    <row r="121">
      <c r="F121" s="5">
        <f>IF(D121=0,"",E121/D121)</f>
        <v/>
      </c>
      <c r="G121">
        <f>IF(F121="","",IF(F121&gt;=0.7,3,IF(F121&gt;=0.6,2,IF(F121&gt;=0.5,1,0))))</f>
        <v/>
      </c>
    </row>
    <row r="122">
      <c r="F122" s="5">
        <f>IF(D122=0,"",E122/D122)</f>
        <v/>
      </c>
      <c r="G122">
        <f>IF(F122="","",IF(F122&gt;=0.7,3,IF(F122&gt;=0.6,2,IF(F122&gt;=0.5,1,0))))</f>
        <v/>
      </c>
    </row>
    <row r="123">
      <c r="F123" s="5">
        <f>IF(D123=0,"",E123/D123)</f>
        <v/>
      </c>
      <c r="G123">
        <f>IF(F123="","",IF(F123&gt;=0.7,3,IF(F123&gt;=0.6,2,IF(F123&gt;=0.5,1,0))))</f>
        <v/>
      </c>
    </row>
    <row r="124">
      <c r="F124" s="5">
        <f>IF(D124=0,"",E124/D124)</f>
        <v/>
      </c>
      <c r="G124">
        <f>IF(F124="","",IF(F124&gt;=0.7,3,IF(F124&gt;=0.6,2,IF(F124&gt;=0.5,1,0))))</f>
        <v/>
      </c>
    </row>
    <row r="125">
      <c r="F125" s="5">
        <f>IF(D125=0,"",E125/D125)</f>
        <v/>
      </c>
      <c r="G125">
        <f>IF(F125="","",IF(F125&gt;=0.7,3,IF(F125&gt;=0.6,2,IF(F125&gt;=0.5,1,0))))</f>
        <v/>
      </c>
    </row>
    <row r="126">
      <c r="F126" s="5">
        <f>IF(D126=0,"",E126/D126)</f>
        <v/>
      </c>
      <c r="G126">
        <f>IF(F126="","",IF(F126&gt;=0.7,3,IF(F126&gt;=0.6,2,IF(F126&gt;=0.5,1,0))))</f>
        <v/>
      </c>
    </row>
    <row r="127">
      <c r="F127" s="5">
        <f>IF(D127=0,"",E127/D127)</f>
        <v/>
      </c>
      <c r="G127">
        <f>IF(F127="","",IF(F127&gt;=0.7,3,IF(F127&gt;=0.6,2,IF(F127&gt;=0.5,1,0))))</f>
        <v/>
      </c>
    </row>
    <row r="128">
      <c r="F128" s="5">
        <f>IF(D128=0,"",E128/D128)</f>
        <v/>
      </c>
      <c r="G128">
        <f>IF(F128="","",IF(F128&gt;=0.7,3,IF(F128&gt;=0.6,2,IF(F128&gt;=0.5,1,0))))</f>
        <v/>
      </c>
    </row>
    <row r="129">
      <c r="F129" s="5">
        <f>IF(D129=0,"",E129/D129)</f>
        <v/>
      </c>
      <c r="G129">
        <f>IF(F129="","",IF(F129&gt;=0.7,3,IF(F129&gt;=0.6,2,IF(F129&gt;=0.5,1,0))))</f>
        <v/>
      </c>
    </row>
    <row r="130">
      <c r="F130" s="5">
        <f>IF(D130=0,"",E130/D130)</f>
        <v/>
      </c>
      <c r="G130">
        <f>IF(F130="","",IF(F130&gt;=0.7,3,IF(F130&gt;=0.6,2,IF(F130&gt;=0.5,1,0))))</f>
        <v/>
      </c>
    </row>
    <row r="131">
      <c r="F131" s="5">
        <f>IF(D131=0,"",E131/D131)</f>
        <v/>
      </c>
      <c r="G131">
        <f>IF(F131="","",IF(F131&gt;=0.7,3,IF(F131&gt;=0.6,2,IF(F131&gt;=0.5,1,0))))</f>
        <v/>
      </c>
    </row>
    <row r="132">
      <c r="F132" s="5">
        <f>IF(D132=0,"",E132/D132)</f>
        <v/>
      </c>
      <c r="G132">
        <f>IF(F132="","",IF(F132&gt;=0.7,3,IF(F132&gt;=0.6,2,IF(F132&gt;=0.5,1,0))))</f>
        <v/>
      </c>
    </row>
    <row r="133">
      <c r="F133" s="5">
        <f>IF(D133=0,"",E133/D133)</f>
        <v/>
      </c>
      <c r="G133">
        <f>IF(F133="","",IF(F133&gt;=0.7,3,IF(F133&gt;=0.6,2,IF(F133&gt;=0.5,1,0))))</f>
        <v/>
      </c>
    </row>
    <row r="134">
      <c r="F134" s="5">
        <f>IF(D134=0,"",E134/D134)</f>
        <v/>
      </c>
      <c r="G134">
        <f>IF(F134="","",IF(F134&gt;=0.7,3,IF(F134&gt;=0.6,2,IF(F134&gt;=0.5,1,0))))</f>
        <v/>
      </c>
    </row>
    <row r="135">
      <c r="F135" s="5">
        <f>IF(D135=0,"",E135/D135)</f>
        <v/>
      </c>
      <c r="G135">
        <f>IF(F135="","",IF(F135&gt;=0.7,3,IF(F135&gt;=0.6,2,IF(F135&gt;=0.5,1,0))))</f>
        <v/>
      </c>
    </row>
    <row r="136">
      <c r="F136" s="5">
        <f>IF(D136=0,"",E136/D136)</f>
        <v/>
      </c>
      <c r="G136">
        <f>IF(F136="","",IF(F136&gt;=0.7,3,IF(F136&gt;=0.6,2,IF(F136&gt;=0.5,1,0))))</f>
        <v/>
      </c>
    </row>
    <row r="137">
      <c r="F137" s="5">
        <f>IF(D137=0,"",E137/D137)</f>
        <v/>
      </c>
      <c r="G137">
        <f>IF(F137="","",IF(F137&gt;=0.7,3,IF(F137&gt;=0.6,2,IF(F137&gt;=0.5,1,0))))</f>
        <v/>
      </c>
    </row>
    <row r="138">
      <c r="F138" s="5">
        <f>IF(D138=0,"",E138/D138)</f>
        <v/>
      </c>
      <c r="G138">
        <f>IF(F138="","",IF(F138&gt;=0.7,3,IF(F138&gt;=0.6,2,IF(F138&gt;=0.5,1,0))))</f>
        <v/>
      </c>
    </row>
    <row r="139">
      <c r="F139" s="5">
        <f>IF(D139=0,"",E139/D139)</f>
        <v/>
      </c>
      <c r="G139">
        <f>IF(F139="","",IF(F139&gt;=0.7,3,IF(F139&gt;=0.6,2,IF(F139&gt;=0.5,1,0))))</f>
        <v/>
      </c>
    </row>
    <row r="140">
      <c r="F140" s="5">
        <f>IF(D140=0,"",E140/D140)</f>
        <v/>
      </c>
      <c r="G140">
        <f>IF(F140="","",IF(F140&gt;=0.7,3,IF(F140&gt;=0.6,2,IF(F140&gt;=0.5,1,0))))</f>
        <v/>
      </c>
    </row>
    <row r="141">
      <c r="F141" s="5">
        <f>IF(D141=0,"",E141/D141)</f>
        <v/>
      </c>
      <c r="G141">
        <f>IF(F141="","",IF(F141&gt;=0.7,3,IF(F141&gt;=0.6,2,IF(F141&gt;=0.5,1,0))))</f>
        <v/>
      </c>
    </row>
    <row r="142">
      <c r="F142" s="5">
        <f>IF(D142=0,"",E142/D142)</f>
        <v/>
      </c>
      <c r="G142">
        <f>IF(F142="","",IF(F142&gt;=0.7,3,IF(F142&gt;=0.6,2,IF(F142&gt;=0.5,1,0))))</f>
        <v/>
      </c>
    </row>
    <row r="143">
      <c r="F143" s="5">
        <f>IF(D143=0,"",E143/D143)</f>
        <v/>
      </c>
      <c r="G143">
        <f>IF(F143="","",IF(F143&gt;=0.7,3,IF(F143&gt;=0.6,2,IF(F143&gt;=0.5,1,0))))</f>
        <v/>
      </c>
    </row>
    <row r="144">
      <c r="F144" s="5">
        <f>IF(D144=0,"",E144/D144)</f>
        <v/>
      </c>
      <c r="G144">
        <f>IF(F144="","",IF(F144&gt;=0.7,3,IF(F144&gt;=0.6,2,IF(F144&gt;=0.5,1,0))))</f>
        <v/>
      </c>
    </row>
    <row r="145">
      <c r="F145" s="5">
        <f>IF(D145=0,"",E145/D145)</f>
        <v/>
      </c>
      <c r="G145">
        <f>IF(F145="","",IF(F145&gt;=0.7,3,IF(F145&gt;=0.6,2,IF(F145&gt;=0.5,1,0))))</f>
        <v/>
      </c>
    </row>
    <row r="146">
      <c r="F146" s="5">
        <f>IF(D146=0,"",E146/D146)</f>
        <v/>
      </c>
      <c r="G146">
        <f>IF(F146="","",IF(F146&gt;=0.7,3,IF(F146&gt;=0.6,2,IF(F146&gt;=0.5,1,0))))</f>
        <v/>
      </c>
    </row>
    <row r="147">
      <c r="F147" s="5">
        <f>IF(D147=0,"",E147/D147)</f>
        <v/>
      </c>
      <c r="G147">
        <f>IF(F147="","",IF(F147&gt;=0.7,3,IF(F147&gt;=0.6,2,IF(F147&gt;=0.5,1,0))))</f>
        <v/>
      </c>
    </row>
    <row r="148">
      <c r="F148" s="5">
        <f>IF(D148=0,"",E148/D148)</f>
        <v/>
      </c>
      <c r="G148">
        <f>IF(F148="","",IF(F148&gt;=0.7,3,IF(F148&gt;=0.6,2,IF(F148&gt;=0.5,1,0))))</f>
        <v/>
      </c>
    </row>
    <row r="149">
      <c r="F149" s="5">
        <f>IF(D149=0,"",E149/D149)</f>
        <v/>
      </c>
      <c r="G149">
        <f>IF(F149="","",IF(F149&gt;=0.7,3,IF(F149&gt;=0.6,2,IF(F149&gt;=0.5,1,0))))</f>
        <v/>
      </c>
    </row>
    <row r="150">
      <c r="F150" s="5">
        <f>IF(D150=0,"",E150/D150)</f>
        <v/>
      </c>
      <c r="G150">
        <f>IF(F150="","",IF(F150&gt;=0.7,3,IF(F150&gt;=0.6,2,IF(F150&gt;=0.5,1,0))))</f>
        <v/>
      </c>
    </row>
    <row r="151">
      <c r="F151" s="5">
        <f>IF(D151=0,"",E151/D151)</f>
        <v/>
      </c>
      <c r="G151">
        <f>IF(F151="","",IF(F151&gt;=0.7,3,IF(F151&gt;=0.6,2,IF(F151&gt;=0.5,1,0))))</f>
        <v/>
      </c>
    </row>
    <row r="152">
      <c r="F152" s="5">
        <f>IF(D152=0,"",E152/D152)</f>
        <v/>
      </c>
      <c r="G152">
        <f>IF(F152="","",IF(F152&gt;=0.7,3,IF(F152&gt;=0.6,2,IF(F152&gt;=0.5,1,0))))</f>
        <v/>
      </c>
    </row>
    <row r="153">
      <c r="F153" s="5">
        <f>IF(D153=0,"",E153/D153)</f>
        <v/>
      </c>
      <c r="G153">
        <f>IF(F153="","",IF(F153&gt;=0.7,3,IF(F153&gt;=0.6,2,IF(F153&gt;=0.5,1,0))))</f>
        <v/>
      </c>
    </row>
    <row r="154">
      <c r="F154" s="5">
        <f>IF(D154=0,"",E154/D154)</f>
        <v/>
      </c>
      <c r="G154">
        <f>IF(F154="","",IF(F154&gt;=0.7,3,IF(F154&gt;=0.6,2,IF(F154&gt;=0.5,1,0))))</f>
        <v/>
      </c>
    </row>
    <row r="155">
      <c r="F155" s="5">
        <f>IF(D155=0,"",E155/D155)</f>
        <v/>
      </c>
      <c r="G155">
        <f>IF(F155="","",IF(F155&gt;=0.7,3,IF(F155&gt;=0.6,2,IF(F155&gt;=0.5,1,0))))</f>
        <v/>
      </c>
    </row>
    <row r="156">
      <c r="F156" s="5">
        <f>IF(D156=0,"",E156/D156)</f>
        <v/>
      </c>
      <c r="G156">
        <f>IF(F156="","",IF(F156&gt;=0.7,3,IF(F156&gt;=0.6,2,IF(F156&gt;=0.5,1,0))))</f>
        <v/>
      </c>
    </row>
    <row r="157">
      <c r="F157" s="5">
        <f>IF(D157=0,"",E157/D157)</f>
        <v/>
      </c>
      <c r="G157">
        <f>IF(F157="","",IF(F157&gt;=0.7,3,IF(F157&gt;=0.6,2,IF(F157&gt;=0.5,1,0))))</f>
        <v/>
      </c>
    </row>
    <row r="158">
      <c r="F158" s="5">
        <f>IF(D158=0,"",E158/D158)</f>
        <v/>
      </c>
      <c r="G158">
        <f>IF(F158="","",IF(F158&gt;=0.7,3,IF(F158&gt;=0.6,2,IF(F158&gt;=0.5,1,0))))</f>
        <v/>
      </c>
    </row>
    <row r="159">
      <c r="F159" s="5">
        <f>IF(D159=0,"",E159/D159)</f>
        <v/>
      </c>
      <c r="G159">
        <f>IF(F159="","",IF(F159&gt;=0.7,3,IF(F159&gt;=0.6,2,IF(F159&gt;=0.5,1,0))))</f>
        <v/>
      </c>
    </row>
    <row r="160">
      <c r="F160" s="5">
        <f>IF(D160=0,"",E160/D160)</f>
        <v/>
      </c>
      <c r="G160">
        <f>IF(F160="","",IF(F160&gt;=0.7,3,IF(F160&gt;=0.6,2,IF(F160&gt;=0.5,1,0))))</f>
        <v/>
      </c>
    </row>
    <row r="161">
      <c r="F161" s="5">
        <f>IF(D161=0,"",E161/D161)</f>
        <v/>
      </c>
      <c r="G161">
        <f>IF(F161="","",IF(F161&gt;=0.7,3,IF(F161&gt;=0.6,2,IF(F161&gt;=0.5,1,0))))</f>
        <v/>
      </c>
    </row>
    <row r="162">
      <c r="F162" s="5">
        <f>IF(D162=0,"",E162/D162)</f>
        <v/>
      </c>
      <c r="G162">
        <f>IF(F162="","",IF(F162&gt;=0.7,3,IF(F162&gt;=0.6,2,IF(F162&gt;=0.5,1,0))))</f>
        <v/>
      </c>
    </row>
    <row r="163">
      <c r="F163" s="5">
        <f>IF(D163=0,"",E163/D163)</f>
        <v/>
      </c>
      <c r="G163">
        <f>IF(F163="","",IF(F163&gt;=0.7,3,IF(F163&gt;=0.6,2,IF(F163&gt;=0.5,1,0))))</f>
        <v/>
      </c>
    </row>
    <row r="164">
      <c r="F164" s="5">
        <f>IF(D164=0,"",E164/D164)</f>
        <v/>
      </c>
      <c r="G164">
        <f>IF(F164="","",IF(F164&gt;=0.7,3,IF(F164&gt;=0.6,2,IF(F164&gt;=0.5,1,0))))</f>
        <v/>
      </c>
    </row>
    <row r="165">
      <c r="F165" s="5">
        <f>IF(D165=0,"",E165/D165)</f>
        <v/>
      </c>
      <c r="G165">
        <f>IF(F165="","",IF(F165&gt;=0.7,3,IF(F165&gt;=0.6,2,IF(F165&gt;=0.5,1,0))))</f>
        <v/>
      </c>
    </row>
    <row r="166">
      <c r="F166" s="5">
        <f>IF(D166=0,"",E166/D166)</f>
        <v/>
      </c>
      <c r="G166">
        <f>IF(F166="","",IF(F166&gt;=0.7,3,IF(F166&gt;=0.6,2,IF(F166&gt;=0.5,1,0))))</f>
        <v/>
      </c>
    </row>
    <row r="167">
      <c r="F167" s="5">
        <f>IF(D167=0,"",E167/D167)</f>
        <v/>
      </c>
      <c r="G167">
        <f>IF(F167="","",IF(F167&gt;=0.7,3,IF(F167&gt;=0.6,2,IF(F167&gt;=0.5,1,0))))</f>
        <v/>
      </c>
    </row>
    <row r="168">
      <c r="F168" s="5">
        <f>IF(D168=0,"",E168/D168)</f>
        <v/>
      </c>
      <c r="G168">
        <f>IF(F168="","",IF(F168&gt;=0.7,3,IF(F168&gt;=0.6,2,IF(F168&gt;=0.5,1,0))))</f>
        <v/>
      </c>
    </row>
    <row r="169">
      <c r="F169" s="5">
        <f>IF(D169=0,"",E169/D169)</f>
        <v/>
      </c>
      <c r="G169">
        <f>IF(F169="","",IF(F169&gt;=0.7,3,IF(F169&gt;=0.6,2,IF(F169&gt;=0.5,1,0))))</f>
        <v/>
      </c>
    </row>
    <row r="170">
      <c r="F170" s="5">
        <f>IF(D170=0,"",E170/D170)</f>
        <v/>
      </c>
      <c r="G170">
        <f>IF(F170="","",IF(F170&gt;=0.7,3,IF(F170&gt;=0.6,2,IF(F170&gt;=0.5,1,0))))</f>
        <v/>
      </c>
    </row>
    <row r="171">
      <c r="F171" s="5">
        <f>IF(D171=0,"",E171/D171)</f>
        <v/>
      </c>
      <c r="G171">
        <f>IF(F171="","",IF(F171&gt;=0.7,3,IF(F171&gt;=0.6,2,IF(F171&gt;=0.5,1,0))))</f>
        <v/>
      </c>
    </row>
    <row r="172">
      <c r="F172" s="5">
        <f>IF(D172=0,"",E172/D172)</f>
        <v/>
      </c>
      <c r="G172">
        <f>IF(F172="","",IF(F172&gt;=0.7,3,IF(F172&gt;=0.6,2,IF(F172&gt;=0.5,1,0))))</f>
        <v/>
      </c>
    </row>
    <row r="173">
      <c r="F173" s="5">
        <f>IF(D173=0,"",E173/D173)</f>
        <v/>
      </c>
      <c r="G173">
        <f>IF(F173="","",IF(F173&gt;=0.7,3,IF(F173&gt;=0.6,2,IF(F173&gt;=0.5,1,0))))</f>
        <v/>
      </c>
    </row>
    <row r="174">
      <c r="F174" s="5">
        <f>IF(D174=0,"",E174/D174)</f>
        <v/>
      </c>
      <c r="G174">
        <f>IF(F174="","",IF(F174&gt;=0.7,3,IF(F174&gt;=0.6,2,IF(F174&gt;=0.5,1,0))))</f>
        <v/>
      </c>
    </row>
    <row r="175">
      <c r="F175" s="5">
        <f>IF(D175=0,"",E175/D175)</f>
        <v/>
      </c>
      <c r="G175">
        <f>IF(F175="","",IF(F175&gt;=0.7,3,IF(F175&gt;=0.6,2,IF(F175&gt;=0.5,1,0))))</f>
        <v/>
      </c>
    </row>
    <row r="176">
      <c r="F176" s="5">
        <f>IF(D176=0,"",E176/D176)</f>
        <v/>
      </c>
      <c r="G176">
        <f>IF(F176="","",IF(F176&gt;=0.7,3,IF(F176&gt;=0.6,2,IF(F176&gt;=0.5,1,0))))</f>
        <v/>
      </c>
    </row>
    <row r="177">
      <c r="F177" s="5">
        <f>IF(D177=0,"",E177/D177)</f>
        <v/>
      </c>
      <c r="G177">
        <f>IF(F177="","",IF(F177&gt;=0.7,3,IF(F177&gt;=0.6,2,IF(F177&gt;=0.5,1,0))))</f>
        <v/>
      </c>
    </row>
    <row r="178">
      <c r="F178" s="5">
        <f>IF(D178=0,"",E178/D178)</f>
        <v/>
      </c>
      <c r="G178">
        <f>IF(F178="","",IF(F178&gt;=0.7,3,IF(F178&gt;=0.6,2,IF(F178&gt;=0.5,1,0))))</f>
        <v/>
      </c>
    </row>
    <row r="179">
      <c r="F179" s="5">
        <f>IF(D179=0,"",E179/D179)</f>
        <v/>
      </c>
      <c r="G179">
        <f>IF(F179="","",IF(F179&gt;=0.7,3,IF(F179&gt;=0.6,2,IF(F179&gt;=0.5,1,0))))</f>
        <v/>
      </c>
    </row>
    <row r="180">
      <c r="F180" s="5">
        <f>IF(D180=0,"",E180/D180)</f>
        <v/>
      </c>
      <c r="G180">
        <f>IF(F180="","",IF(F180&gt;=0.7,3,IF(F180&gt;=0.6,2,IF(F180&gt;=0.5,1,0))))</f>
        <v/>
      </c>
    </row>
    <row r="181">
      <c r="F181" s="5">
        <f>IF(D181=0,"",E181/D181)</f>
        <v/>
      </c>
      <c r="G181">
        <f>IF(F181="","",IF(F181&gt;=0.7,3,IF(F181&gt;=0.6,2,IF(F181&gt;=0.5,1,0))))</f>
        <v/>
      </c>
    </row>
    <row r="182">
      <c r="F182" s="5">
        <f>IF(D182=0,"",E182/D182)</f>
        <v/>
      </c>
      <c r="G182">
        <f>IF(F182="","",IF(F182&gt;=0.7,3,IF(F182&gt;=0.6,2,IF(F182&gt;=0.5,1,0))))</f>
        <v/>
      </c>
    </row>
    <row r="183">
      <c r="F183" s="5">
        <f>IF(D183=0,"",E183/D183)</f>
        <v/>
      </c>
      <c r="G183">
        <f>IF(F183="","",IF(F183&gt;=0.7,3,IF(F183&gt;=0.6,2,IF(F183&gt;=0.5,1,0))))</f>
        <v/>
      </c>
    </row>
    <row r="184">
      <c r="F184" s="5">
        <f>IF(D184=0,"",E184/D184)</f>
        <v/>
      </c>
      <c r="G184">
        <f>IF(F184="","",IF(F184&gt;=0.7,3,IF(F184&gt;=0.6,2,IF(F184&gt;=0.5,1,0))))</f>
        <v/>
      </c>
    </row>
    <row r="185">
      <c r="F185" s="5">
        <f>IF(D185=0,"",E185/D185)</f>
        <v/>
      </c>
      <c r="G185">
        <f>IF(F185="","",IF(F185&gt;=0.7,3,IF(F185&gt;=0.6,2,IF(F185&gt;=0.5,1,0))))</f>
        <v/>
      </c>
    </row>
    <row r="186">
      <c r="F186" s="5">
        <f>IF(D186=0,"",E186/D186)</f>
        <v/>
      </c>
      <c r="G186">
        <f>IF(F186="","",IF(F186&gt;=0.7,3,IF(F186&gt;=0.6,2,IF(F186&gt;=0.5,1,0))))</f>
        <v/>
      </c>
    </row>
    <row r="187">
      <c r="F187" s="5">
        <f>IF(D187=0,"",E187/D187)</f>
        <v/>
      </c>
      <c r="G187">
        <f>IF(F187="","",IF(F187&gt;=0.7,3,IF(F187&gt;=0.6,2,IF(F187&gt;=0.5,1,0))))</f>
        <v/>
      </c>
    </row>
    <row r="188">
      <c r="F188" s="5">
        <f>IF(D188=0,"",E188/D188)</f>
        <v/>
      </c>
      <c r="G188">
        <f>IF(F188="","",IF(F188&gt;=0.7,3,IF(F188&gt;=0.6,2,IF(F188&gt;=0.5,1,0))))</f>
        <v/>
      </c>
    </row>
    <row r="189">
      <c r="F189" s="5">
        <f>IF(D189=0,"",E189/D189)</f>
        <v/>
      </c>
      <c r="G189">
        <f>IF(F189="","",IF(F189&gt;=0.7,3,IF(F189&gt;=0.6,2,IF(F189&gt;=0.5,1,0))))</f>
        <v/>
      </c>
    </row>
    <row r="190">
      <c r="F190" s="5">
        <f>IF(D190=0,"",E190/D190)</f>
        <v/>
      </c>
      <c r="G190">
        <f>IF(F190="","",IF(F190&gt;=0.7,3,IF(F190&gt;=0.6,2,IF(F190&gt;=0.5,1,0))))</f>
        <v/>
      </c>
    </row>
    <row r="191">
      <c r="F191" s="5">
        <f>IF(D191=0,"",E191/D191)</f>
        <v/>
      </c>
      <c r="G191">
        <f>IF(F191="","",IF(F191&gt;=0.7,3,IF(F191&gt;=0.6,2,IF(F191&gt;=0.5,1,0))))</f>
        <v/>
      </c>
    </row>
    <row r="192">
      <c r="F192" s="5">
        <f>IF(D192=0,"",E192/D192)</f>
        <v/>
      </c>
      <c r="G192">
        <f>IF(F192="","",IF(F192&gt;=0.7,3,IF(F192&gt;=0.6,2,IF(F192&gt;=0.5,1,0))))</f>
        <v/>
      </c>
    </row>
    <row r="193">
      <c r="F193" s="5">
        <f>IF(D193=0,"",E193/D193)</f>
        <v/>
      </c>
      <c r="G193">
        <f>IF(F193="","",IF(F193&gt;=0.7,3,IF(F193&gt;=0.6,2,IF(F193&gt;=0.5,1,0))))</f>
        <v/>
      </c>
    </row>
    <row r="194">
      <c r="F194" s="5">
        <f>IF(D194=0,"",E194/D194)</f>
        <v/>
      </c>
      <c r="G194">
        <f>IF(F194="","",IF(F194&gt;=0.7,3,IF(F194&gt;=0.6,2,IF(F194&gt;=0.5,1,0))))</f>
        <v/>
      </c>
    </row>
    <row r="195">
      <c r="F195" s="5">
        <f>IF(D195=0,"",E195/D195)</f>
        <v/>
      </c>
      <c r="G195">
        <f>IF(F195="","",IF(F195&gt;=0.7,3,IF(F195&gt;=0.6,2,IF(F195&gt;=0.5,1,0))))</f>
        <v/>
      </c>
    </row>
    <row r="196">
      <c r="F196" s="5">
        <f>IF(D196=0,"",E196/D196)</f>
        <v/>
      </c>
      <c r="G196">
        <f>IF(F196="","",IF(F196&gt;=0.7,3,IF(F196&gt;=0.6,2,IF(F196&gt;=0.5,1,0))))</f>
        <v/>
      </c>
    </row>
    <row r="197">
      <c r="F197" s="5">
        <f>IF(D197=0,"",E197/D197)</f>
        <v/>
      </c>
      <c r="G197">
        <f>IF(F197="","",IF(F197&gt;=0.7,3,IF(F197&gt;=0.6,2,IF(F197&gt;=0.5,1,0))))</f>
        <v/>
      </c>
    </row>
    <row r="198">
      <c r="F198" s="5">
        <f>IF(D198=0,"",E198/D198)</f>
        <v/>
      </c>
      <c r="G198">
        <f>IF(F198="","",IF(F198&gt;=0.7,3,IF(F198&gt;=0.6,2,IF(F198&gt;=0.5,1,0))))</f>
        <v/>
      </c>
    </row>
    <row r="199">
      <c r="F199" s="5">
        <f>IF(D199=0,"",E199/D199)</f>
        <v/>
      </c>
      <c r="G199">
        <f>IF(F199="","",IF(F199&gt;=0.7,3,IF(F199&gt;=0.6,2,IF(F199&gt;=0.5,1,0))))</f>
        <v/>
      </c>
    </row>
    <row r="200">
      <c r="F200" s="5">
        <f>IF(D200=0,"",E200/D200)</f>
        <v/>
      </c>
      <c r="G200">
        <f>IF(F200="","",IF(F200&gt;=0.7,3,IF(F200&gt;=0.6,2,IF(F200&gt;=0.5,1,0))))</f>
        <v/>
      </c>
    </row>
    <row r="201">
      <c r="F201" s="5">
        <f>IF(D201=0,"",E201/D201)</f>
        <v/>
      </c>
      <c r="G201">
        <f>IF(F201="","",IF(F201&gt;=0.7,3,IF(F201&gt;=0.6,2,IF(F201&gt;=0.5,1,0))))</f>
        <v/>
      </c>
    </row>
    <row r="202">
      <c r="F202" s="5">
        <f>IF(D202=0,"",E202/D202)</f>
        <v/>
      </c>
      <c r="G202">
        <f>IF(F202="","",IF(F202&gt;=0.7,3,IF(F202&gt;=0.6,2,IF(F202&gt;=0.5,1,0))))</f>
        <v/>
      </c>
    </row>
    <row r="210">
      <c r="A210" s="6" t="inlineStr">
        <is>
          <t>Section B: CO-wise Weighted Averages</t>
        </is>
      </c>
    </row>
    <row r="211">
      <c r="A211" s="6" t="inlineStr">
        <is>
          <t>CO</t>
        </is>
      </c>
      <c r="B211" s="6" t="inlineStr">
        <is>
          <t>Avg % Assignment</t>
        </is>
      </c>
      <c r="C211" s="6" t="inlineStr">
        <is>
          <t>Avg % UT</t>
        </is>
      </c>
      <c r="D211" s="6" t="inlineStr">
        <is>
          <t>Avg % Mid-Term</t>
        </is>
      </c>
      <c r="E211" s="6" t="inlineStr">
        <is>
          <t>Weighted Avg % (Auto)</t>
        </is>
      </c>
      <c r="F211" s="6" t="inlineStr">
        <is>
          <t>Attainment Level (0–3)</t>
        </is>
      </c>
    </row>
    <row r="212">
      <c r="A212" t="inlineStr">
        <is>
          <t>CO1</t>
        </is>
      </c>
      <c r="E212">
        <f>IF(COUNTA(B212:D212)=0,"",B212*'CO Attainment Analysis'!$I$205+C212*'CO Attainment Analysis'!$J$205+D212*'CO Attainment Analysis'!$K$205)</f>
        <v/>
      </c>
      <c r="F212">
        <f>IF(E212="","",IF(E212&gt;=0.7,3,IF(E212&gt;=0.6,2,IF(E212&gt;=0.5,1,0))))</f>
        <v/>
      </c>
    </row>
    <row r="213">
      <c r="A213" t="inlineStr">
        <is>
          <t>CO2</t>
        </is>
      </c>
      <c r="E213">
        <f>IF(COUNTA(B213:D213)=0,"",B213*'CO Attainment Analysis'!$I$205+C213*'CO Attainment Analysis'!$J$205+D213*'CO Attainment Analysis'!$K$205)</f>
        <v/>
      </c>
      <c r="F213">
        <f>IF(E213="","",IF(E213&gt;=0.7,3,IF(E213&gt;=0.6,2,IF(E213&gt;=0.5,1,0))))</f>
        <v/>
      </c>
    </row>
    <row r="214">
      <c r="A214" t="inlineStr">
        <is>
          <t>CO3</t>
        </is>
      </c>
      <c r="E214">
        <f>IF(COUNTA(B214:D214)=0,"",B214*'CO Attainment Analysis'!$I$205+C214*'CO Attainment Analysis'!$J$205+D214*'CO Attainment Analysis'!$K$205)</f>
        <v/>
      </c>
      <c r="F214">
        <f>IF(E214="","",IF(E214&gt;=0.7,3,IF(E214&gt;=0.6,2,IF(E214&gt;=0.5,1,0))))</f>
        <v/>
      </c>
    </row>
    <row r="215">
      <c r="A215" t="inlineStr">
        <is>
          <t>CO4</t>
        </is>
      </c>
      <c r="E215">
        <f>IF(COUNTA(B215:D215)=0,"",B215*'CO Attainment Analysis'!$I$205+C215*'CO Attainment Analysis'!$J$205+D215*'CO Attainment Analysis'!$K$205)</f>
        <v/>
      </c>
      <c r="F215">
        <f>IF(E215="","",IF(E215&gt;=0.7,3,IF(E215&gt;=0.6,2,IF(E215&gt;=0.5,1,0))))</f>
        <v/>
      </c>
    </row>
    <row r="230">
      <c r="A230" s="6" t="inlineStr">
        <is>
          <t>Section C: CO → PO Aggregation (Weighted by Mapping Strengths)</t>
        </is>
      </c>
    </row>
    <row r="231">
      <c r="A231" s="6" t="inlineStr">
        <is>
          <t>PO</t>
        </is>
      </c>
      <c r="B231" s="6" t="inlineStr">
        <is>
          <t>Contributing COs</t>
        </is>
      </c>
      <c r="C231" s="6" t="inlineStr">
        <is>
          <t>Aggregated Attainment (Auto)</t>
        </is>
      </c>
    </row>
    <row r="232">
      <c r="A232" t="inlineStr">
        <is>
          <t>PO1</t>
        </is>
      </c>
      <c r="B232">
        <f>TEXTJOIN(", ",TRUE,IF('CO–PO Mapping &amp; Attainment'!B$3:M$6&lt;&gt;"",'CO–PO Mapping &amp; Attainment'!$A$3:$A$6,""))</f>
        <v/>
      </c>
      <c r="C232">
        <f>IF(SUM('CO–PO Mapping &amp; Attainment'!B$3:M$6)=0,"",SUMPRODUCT('CO–PO Mapping &amp; Attainment'!$C$10:$C$13,'CO–PO Mapping &amp; Attainment'!B$3:M$6)/SUM('CO–PO Mapping &amp; Attainment'!B$3:M$6))</f>
        <v/>
      </c>
    </row>
    <row r="233">
      <c r="A233" t="inlineStr">
        <is>
          <t>PO2</t>
        </is>
      </c>
      <c r="B233">
        <f>TEXTJOIN(", ",TRUE,IF('CO–PO Mapping &amp; Attainment'!B$3:M$6&lt;&gt;"",'CO–PO Mapping &amp; Attainment'!$A$3:$A$6,""))</f>
        <v/>
      </c>
      <c r="C233">
        <f>IF(SUM('CO–PO Mapping &amp; Attainment'!B$3:M$6)=0,"",SUMPRODUCT('CO–PO Mapping &amp; Attainment'!$C$10:$C$13,'CO–PO Mapping &amp; Attainment'!B$3:M$6)/SUM('CO–PO Mapping &amp; Attainment'!B$3:M$6))</f>
        <v/>
      </c>
    </row>
    <row r="234">
      <c r="A234" t="inlineStr">
        <is>
          <t>PO3</t>
        </is>
      </c>
      <c r="B234">
        <f>TEXTJOIN(", ",TRUE,IF('CO–PO Mapping &amp; Attainment'!B$3:M$6&lt;&gt;"",'CO–PO Mapping &amp; Attainment'!$A$3:$A$6,""))</f>
        <v/>
      </c>
      <c r="C234">
        <f>IF(SUM('CO–PO Mapping &amp; Attainment'!B$3:M$6)=0,"",SUMPRODUCT('CO–PO Mapping &amp; Attainment'!$C$10:$C$13,'CO–PO Mapping &amp; Attainment'!B$3:M$6)/SUM('CO–PO Mapping &amp; Attainment'!B$3:M$6))</f>
        <v/>
      </c>
    </row>
    <row r="235">
      <c r="A235" t="inlineStr">
        <is>
          <t>PO4</t>
        </is>
      </c>
      <c r="B235">
        <f>TEXTJOIN(", ",TRUE,IF('CO–PO Mapping &amp; Attainment'!B$3:M$6&lt;&gt;"",'CO–PO Mapping &amp; Attainment'!$A$3:$A$6,""))</f>
        <v/>
      </c>
      <c r="C235">
        <f>IF(SUM('CO–PO Mapping &amp; Attainment'!B$3:M$6)=0,"",SUMPRODUCT('CO–PO Mapping &amp; Attainment'!$C$10:$C$13,'CO–PO Mapping &amp; Attainment'!B$3:M$6)/SUM('CO–PO Mapping &amp; Attainment'!B$3:M$6))</f>
        <v/>
      </c>
    </row>
    <row r="236">
      <c r="A236" t="inlineStr">
        <is>
          <t>PO5</t>
        </is>
      </c>
      <c r="B236">
        <f>TEXTJOIN(", ",TRUE,IF('CO–PO Mapping &amp; Attainment'!B$3:M$6&lt;&gt;"",'CO–PO Mapping &amp; Attainment'!$A$3:$A$6,""))</f>
        <v/>
      </c>
      <c r="C236">
        <f>IF(SUM('CO–PO Mapping &amp; Attainment'!B$3:M$6)=0,"",SUMPRODUCT('CO–PO Mapping &amp; Attainment'!$C$10:$C$13,'CO–PO Mapping &amp; Attainment'!B$3:M$6)/SUM('CO–PO Mapping &amp; Attainment'!B$3:M$6))</f>
        <v/>
      </c>
    </row>
    <row r="237">
      <c r="A237" t="inlineStr">
        <is>
          <t>PO6</t>
        </is>
      </c>
      <c r="B237">
        <f>TEXTJOIN(", ",TRUE,IF('CO–PO Mapping &amp; Attainment'!B$3:M$6&lt;&gt;"",'CO–PO Mapping &amp; Attainment'!$A$3:$A$6,""))</f>
        <v/>
      </c>
      <c r="C237">
        <f>IF(SUM('CO–PO Mapping &amp; Attainment'!B$3:M$6)=0,"",SUMPRODUCT('CO–PO Mapping &amp; Attainment'!$C$10:$C$13,'CO–PO Mapping &amp; Attainment'!B$3:M$6)/SUM('CO–PO Mapping &amp; Attainment'!B$3:M$6))</f>
        <v/>
      </c>
    </row>
    <row r="238">
      <c r="A238" t="inlineStr">
        <is>
          <t>PO7</t>
        </is>
      </c>
      <c r="B238">
        <f>TEXTJOIN(", ",TRUE,IF('CO–PO Mapping &amp; Attainment'!B$3:M$6&lt;&gt;"",'CO–PO Mapping &amp; Attainment'!$A$3:$A$6,""))</f>
        <v/>
      </c>
      <c r="C238">
        <f>IF(SUM('CO–PO Mapping &amp; Attainment'!B$3:M$6)=0,"",SUMPRODUCT('CO–PO Mapping &amp; Attainment'!$C$10:$C$13,'CO–PO Mapping &amp; Attainment'!B$3:M$6)/SUM('CO–PO Mapping &amp; Attainment'!B$3:M$6))</f>
        <v/>
      </c>
    </row>
    <row r="239">
      <c r="A239" t="inlineStr">
        <is>
          <t>PO8</t>
        </is>
      </c>
      <c r="B239">
        <f>TEXTJOIN(", ",TRUE,IF('CO–PO Mapping &amp; Attainment'!B$3:M$6&lt;&gt;"",'CO–PO Mapping &amp; Attainment'!$A$3:$A$6,""))</f>
        <v/>
      </c>
      <c r="C239">
        <f>IF(SUM('CO–PO Mapping &amp; Attainment'!B$3:M$6)=0,"",SUMPRODUCT('CO–PO Mapping &amp; Attainment'!$C$10:$C$13,'CO–PO Mapping &amp; Attainment'!B$3:M$6)/SUM('CO–PO Mapping &amp; Attainment'!B$3:M$6))</f>
        <v/>
      </c>
    </row>
    <row r="240">
      <c r="A240" t="inlineStr">
        <is>
          <t>PO9</t>
        </is>
      </c>
      <c r="B240">
        <f>TEXTJOIN(", ",TRUE,IF('CO–PO Mapping &amp; Attainment'!B$3:M$6&lt;&gt;"",'CO–PO Mapping &amp; Attainment'!$A$3:$A$6,""))</f>
        <v/>
      </c>
      <c r="C240">
        <f>IF(SUM('CO–PO Mapping &amp; Attainment'!B$3:M$6)=0,"",SUMPRODUCT('CO–PO Mapping &amp; Attainment'!$C$10:$C$13,'CO–PO Mapping &amp; Attainment'!B$3:M$6)/SUM('CO–PO Mapping &amp; Attainment'!B$3:M$6))</f>
        <v/>
      </c>
    </row>
    <row r="241">
      <c r="A241" t="inlineStr">
        <is>
          <t>PO10</t>
        </is>
      </c>
      <c r="B241">
        <f>TEXTJOIN(", ",TRUE,IF('CO–PO Mapping &amp; Attainment'!B$3:M$6&lt;&gt;"",'CO–PO Mapping &amp; Attainment'!$A$3:$A$6,""))</f>
        <v/>
      </c>
      <c r="C241">
        <f>IF(SUM('CO–PO Mapping &amp; Attainment'!B$3:M$6)=0,"",SUMPRODUCT('CO–PO Mapping &amp; Attainment'!$C$10:$C$13,'CO–PO Mapping &amp; Attainment'!B$3:M$6)/SUM('CO–PO Mapping &amp; Attainment'!B$3:M$6))</f>
        <v/>
      </c>
    </row>
    <row r="242">
      <c r="A242" t="inlineStr">
        <is>
          <t>PO11</t>
        </is>
      </c>
      <c r="B242">
        <f>TEXTJOIN(", ",TRUE,IF('CO–PO Mapping &amp; Attainment'!B$3:M$6&lt;&gt;"",'CO–PO Mapping &amp; Attainment'!$A$3:$A$6,""))</f>
        <v/>
      </c>
      <c r="C242">
        <f>IF(SUM('CO–PO Mapping &amp; Attainment'!B$3:M$6)=0,"",SUMPRODUCT('CO–PO Mapping &amp; Attainment'!$C$10:$C$13,'CO–PO Mapping &amp; Attainment'!B$3:M$6)/SUM('CO–PO Mapping &amp; Attainment'!B$3:M$6))</f>
        <v/>
      </c>
    </row>
    <row r="243">
      <c r="A243" t="inlineStr">
        <is>
          <t>PO12</t>
        </is>
      </c>
      <c r="B243">
        <f>TEXTJOIN(", ",TRUE,IF('CO–PO Mapping &amp; Attainment'!B$3:M$6&lt;&gt;"",'CO–PO Mapping &amp; Attainment'!$A$3:$A$6,""))</f>
        <v/>
      </c>
      <c r="C243">
        <f>IF(SUM('CO–PO Mapping &amp; Attainment'!B$3:M$6)=0,"",SUMPRODUCT('CO–PO Mapping &amp; Attainment'!$C$10:$C$13,'CO–PO Mapping &amp; Attainment'!B$3:M$6)/SUM('CO–PO Mapping &amp; Attainment'!B$3:M$6))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18" customWidth="1" min="3" max="3"/>
    <col width="28" customWidth="1" min="4" max="4"/>
    <col width="22" customWidth="1" min="5" max="5"/>
    <col width="22" customWidth="1" min="6" max="6"/>
  </cols>
  <sheetData>
    <row r="1">
      <c r="A1" s="6" t="inlineStr">
        <is>
          <t>Assignment-wise CO Attainment (Based on Assignment Mapping + Marks)</t>
        </is>
      </c>
    </row>
    <row r="2">
      <c r="A2" s="1" t="inlineStr">
        <is>
          <t>CO</t>
        </is>
      </c>
      <c r="B2" s="1" t="inlineStr">
        <is>
          <t>Assignments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",TRUE,IF('Assignment Mapping'!F$2:F$1000=A3,'Assignment Mapping'!C$2:C$1000,""))</f>
        <v/>
      </c>
      <c r="C3">
        <f>IFERROR(AVERAGEIFS('Continuous Assessment Records'!L:L,'Continuous Assessment Records'!F:F,A3,'Continuous Assessment Records'!C:C,"Assignment"),"")</f>
        <v/>
      </c>
      <c r="D3">
        <f>IF(C3="","",IF(C3&gt;=0.7,3,IF(C3&gt;=0.6,2,IF(C3&gt;=0.5,1,0))))</f>
        <v/>
      </c>
      <c r="E3">
        <f>TEXTJOIN(", ",TRUE,IF('Assignment Mapping'!F$2:F$1000=A3,'Assignment Mapping'!G$2:G$1000,""))</f>
        <v/>
      </c>
      <c r="F3">
        <f>TEXTJOIN(", ",TRUE,IF('Assignment Mapping'!F$2:F$1000=A3,'Assignment Mapping'!H$2:H$1000,""))</f>
        <v/>
      </c>
    </row>
    <row r="4">
      <c r="A4" t="inlineStr">
        <is>
          <t>CO2</t>
        </is>
      </c>
      <c r="B4">
        <f>TEXTJOIN(", ",TRUE,IF('Assignment Mapping'!F$2:F$1000=A4,'Assignment Mapping'!C$2:C$1000,""))</f>
        <v/>
      </c>
      <c r="C4">
        <f>IFERROR(AVERAGEIFS('Continuous Assessment Records'!L:L,'Continuous Assessment Records'!F:F,A4,'Continuous Assessment Records'!C:C,"Assignment"),"")</f>
        <v/>
      </c>
      <c r="D4">
        <f>IF(C4="","",IF(C4&gt;=0.7,3,IF(C4&gt;=0.6,2,IF(C4&gt;=0.5,1,0))))</f>
        <v/>
      </c>
      <c r="E4">
        <f>TEXTJOIN(", ",TRUE,IF('Assignment Mapping'!F$2:F$1000=A4,'Assignment Mapping'!G$2:G$1000,""))</f>
        <v/>
      </c>
      <c r="F4">
        <f>TEXTJOIN(", ",TRUE,IF('Assignment Mapping'!F$2:F$1000=A4,'Assignment Mapping'!H$2:H$1000,""))</f>
        <v/>
      </c>
    </row>
    <row r="5">
      <c r="A5" t="inlineStr">
        <is>
          <t>CO3</t>
        </is>
      </c>
      <c r="B5">
        <f>TEXTJOIN(", ",TRUE,IF('Assignment Mapping'!F$2:F$1000=A5,'Assignment Mapping'!C$2:C$1000,""))</f>
        <v/>
      </c>
      <c r="C5">
        <f>IFERROR(AVERAGEIFS('Continuous Assessment Records'!L:L,'Continuous Assessment Records'!F:F,A5,'Continuous Assessment Records'!C:C,"Assignment"),"")</f>
        <v/>
      </c>
      <c r="D5">
        <f>IF(C5="","",IF(C5&gt;=0.7,3,IF(C5&gt;=0.6,2,IF(C5&gt;=0.5,1,0))))</f>
        <v/>
      </c>
      <c r="E5">
        <f>TEXTJOIN(", ",TRUE,IF('Assignment Mapping'!F$2:F$1000=A5,'Assignment Mapping'!G$2:G$1000,""))</f>
        <v/>
      </c>
      <c r="F5">
        <f>TEXTJOIN(", ",TRUE,IF('Assignment Mapping'!F$2:F$1000=A5,'Assignment Mapping'!H$2:H$1000,""))</f>
        <v/>
      </c>
    </row>
    <row r="6">
      <c r="A6" t="inlineStr">
        <is>
          <t>CO4</t>
        </is>
      </c>
      <c r="B6">
        <f>TEXTJOIN(", ",TRUE,IF('Assignment Mapping'!F$2:F$1000=A6,'Assignment Mapping'!C$2:C$1000,""))</f>
        <v/>
      </c>
      <c r="C6">
        <f>IFERROR(AVERAGEIFS('Continuous Assessment Records'!L:L,'Continuous Assessment Records'!F:F,A6,'Continuous Assessment Records'!C:C,"Assignment"),"")</f>
        <v/>
      </c>
      <c r="D6">
        <f>IF(C6="","",IF(C6&gt;=0.7,3,IF(C6&gt;=0.6,2,IF(C6&gt;=0.5,1,0))))</f>
        <v/>
      </c>
      <c r="E6">
        <f>TEXTJOIN(", ",TRUE,IF('Assignment Mapping'!F$2:F$1000=A6,'Assignment Mapping'!G$2:G$1000,""))</f>
        <v/>
      </c>
      <c r="F6">
        <f>TEXTJOIN(", ",TRUE,IF('Assignment Mapping'!F$2:F$1000=A6,'Assignment Mapping'!H$2:H$1000,""))</f>
        <v/>
      </c>
    </row>
    <row r="8">
      <c r="A8" s="3" t="inlineStr">
        <is>
          <t>Note: Enter Assignment-to-CO mappings in 'Assignment Mapping' sheet and marks in 'Continuous Assessment Records'. This sheet auto-computes CO attainment for assignments.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20" customWidth="1" min="3" max="3"/>
    <col width="24" customWidth="1" min="4" max="4"/>
    <col width="22" customWidth="1" min="5" max="5"/>
    <col width="26" customWidth="1" min="6" max="6"/>
    <col width="28" customWidth="1" min="7" max="7"/>
    <col width="28" customWidth="1" min="8" max="8"/>
    <col width="24" customWidth="1" min="9" max="9"/>
    <col width="24" customWidth="1" min="10" max="10"/>
  </cols>
  <sheetData>
    <row r="1">
      <c r="A1" s="6" t="inlineStr">
        <is>
          <t>Consolidated CO Attainment Summary (Assignments + UTs + Mid-Terms + Indirect)</t>
        </is>
      </c>
    </row>
    <row r="2">
      <c r="A2" s="1" t="inlineStr">
        <is>
          <t>CO</t>
        </is>
      </c>
      <c r="B2" s="1" t="inlineStr">
        <is>
          <t>Assignment Avg % (Auto)</t>
        </is>
      </c>
      <c r="C2" s="1" t="inlineStr">
        <is>
          <t>UT Avg % (Auto)</t>
        </is>
      </c>
      <c r="D2" s="1" t="inlineStr">
        <is>
          <t>Mid-Term Avg % (Auto)</t>
        </is>
      </c>
      <c r="E2" s="1" t="inlineStr">
        <is>
          <t>Weighted Avg % (Auto)</t>
        </is>
      </c>
      <c r="F2" s="1" t="inlineStr">
        <is>
          <t>Direct Attainment Level (Auto)</t>
        </is>
      </c>
      <c r="G2" s="1" t="inlineStr">
        <is>
          <t>Indirect Attainment (Manual Entry)</t>
        </is>
      </c>
      <c r="H2" s="1" t="inlineStr">
        <is>
          <t>Final Attainment Level (Auto)</t>
        </is>
      </c>
      <c r="I2" s="1" t="inlineStr">
        <is>
          <t>PO(s) Mapped</t>
        </is>
      </c>
      <c r="J2" s="1" t="inlineStr">
        <is>
          <t>PSO(s) Mapped</t>
        </is>
      </c>
    </row>
    <row r="3">
      <c r="A3" t="inlineStr">
        <is>
          <t>CO1</t>
        </is>
      </c>
      <c r="B3">
        <f>'Assignment-wise Attainment'!C3</f>
        <v/>
      </c>
      <c r="E3">
        <f>IF(C3="","",C3*$B$20+D3*$C$20+E3*$D$20)</f>
        <v/>
      </c>
      <c r="F3">
        <f>IF(E3="","",IF(E3&gt;=0.7,3,IF(E3&gt;=0.6,2,IF(E3&gt;=0.5,1,0))))</f>
        <v/>
      </c>
      <c r="H3">
        <f>IF(OR(F3="",G3=""),F3,ROUND(0.8*F3+0.2*G3,0))</f>
        <v/>
      </c>
      <c r="I3">
        <f>'Assignment-wise Attainment'!E3</f>
        <v/>
      </c>
      <c r="J3">
        <f>'Assignment-wise Attainment'!F3</f>
        <v/>
      </c>
    </row>
    <row r="4">
      <c r="A4" t="inlineStr">
        <is>
          <t>CO2</t>
        </is>
      </c>
      <c r="B4">
        <f>'Assignment-wise Attainment'!C4</f>
        <v/>
      </c>
      <c r="E4">
        <f>IF(C4="","",C4*$B$20+D4*$C$20+E4*$D$20)</f>
        <v/>
      </c>
      <c r="F4">
        <f>IF(E4="","",IF(E4&gt;=0.7,3,IF(E4&gt;=0.6,2,IF(E4&gt;=0.5,1,0))))</f>
        <v/>
      </c>
      <c r="H4">
        <f>IF(OR(F4="",G4=""),F4,ROUND(0.8*F4+0.2*G4,0))</f>
        <v/>
      </c>
      <c r="I4">
        <f>'Assignment-wise Attainment'!E4</f>
        <v/>
      </c>
      <c r="J4">
        <f>'Assignment-wise Attainment'!F4</f>
        <v/>
      </c>
    </row>
    <row r="5">
      <c r="A5" t="inlineStr">
        <is>
          <t>CO3</t>
        </is>
      </c>
      <c r="B5">
        <f>'Assignment-wise Attainment'!C5</f>
        <v/>
      </c>
      <c r="E5">
        <f>IF(C5="","",C5*$B$20+D5*$C$20+E5*$D$20)</f>
        <v/>
      </c>
      <c r="F5">
        <f>IF(E5="","",IF(E5&gt;=0.7,3,IF(E5&gt;=0.6,2,IF(E5&gt;=0.5,1,0))))</f>
        <v/>
      </c>
      <c r="H5">
        <f>IF(OR(F5="",G5=""),F5,ROUND(0.8*F5+0.2*G5,0))</f>
        <v/>
      </c>
      <c r="I5">
        <f>'Assignment-wise Attainment'!E5</f>
        <v/>
      </c>
      <c r="J5">
        <f>'Assignment-wise Attainment'!F5</f>
        <v/>
      </c>
    </row>
    <row r="6">
      <c r="A6" t="inlineStr">
        <is>
          <t>CO4</t>
        </is>
      </c>
      <c r="B6">
        <f>'Assignment-wise Attainment'!C6</f>
        <v/>
      </c>
      <c r="E6">
        <f>IF(C6="","",C6*$B$20+D6*$C$20+E6*$D$20)</f>
        <v/>
      </c>
      <c r="F6">
        <f>IF(E6="","",IF(E6&gt;=0.7,3,IF(E6&gt;=0.6,2,IF(E6&gt;=0.5,1,0))))</f>
        <v/>
      </c>
      <c r="H6">
        <f>IF(OR(F6="",G6=""),F6,ROUND(0.8*F6+0.2*G6,0))</f>
        <v/>
      </c>
      <c r="I6">
        <f>'Assignment-wise Attainment'!E6</f>
        <v/>
      </c>
      <c r="J6">
        <f>'Assignment-wise Attainment'!F6</f>
        <v/>
      </c>
    </row>
    <row r="19">
      <c r="A19" s="6" t="inlineStr">
        <is>
          <t>Weights (Editable; sum=1.0)</t>
        </is>
      </c>
    </row>
    <row r="20">
      <c r="B20" t="n">
        <v>0.2</v>
      </c>
      <c r="C20" t="n">
        <v>0.3</v>
      </c>
      <c r="D20" t="n">
        <v>0.5</v>
      </c>
    </row>
    <row r="23">
      <c r="A23" s="3" t="inlineStr">
        <is>
          <t>Note: This summary auto-pulls Assignment attainment. Add UT-wise and Mid-Term-wise attainment sheets to complete linkage. Update weights in row 20.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32" customWidth="1" min="2" max="2"/>
    <col width="18" customWidth="1" min="3" max="3"/>
    <col width="28" customWidth="1" min="4" max="4"/>
    <col width="24" customWidth="1" min="5" max="5"/>
    <col width="24" customWidth="1" min="6" max="6"/>
  </cols>
  <sheetData>
    <row r="1">
      <c r="A1" s="6" t="inlineStr">
        <is>
          <t>Unit Test-wise CO Attainment (Based on UT Mapping + Marks)</t>
        </is>
      </c>
    </row>
    <row r="2">
      <c r="A2" s="1" t="inlineStr">
        <is>
          <t>CO</t>
        </is>
      </c>
      <c r="B2" s="1" t="inlineStr">
        <is>
          <t>Unit Test Questions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",TRUE,IF('Unit Test Mapping'!G$2:G$1000=A3,'Unit Test Mapping'!D$2:D$1000,""))</f>
        <v/>
      </c>
      <c r="C3">
        <f>IFERROR(AVERAGEIFS('Continuous Assessment Records'!L:L,'Continuous Assessment Records'!F:F,A3,'Continuous Assessment Records'!C:C,"Unit Test"),"")</f>
        <v/>
      </c>
      <c r="D3">
        <f>IF(C3="","",IF(C3&gt;=0.7,3,IF(C3&gt;=0.6,2,IF(C3&gt;=0.5,1,0))))</f>
        <v/>
      </c>
      <c r="E3">
        <f>TEXTJOIN(", ",TRUE,IF('Unit Test Mapping'!G$2:G$1000=A3,'Unit Test Mapping'!H$2:H$1000,""))</f>
        <v/>
      </c>
      <c r="F3">
        <f>TEXTJOIN(", ",TRUE,IF('Unit Test Mapping'!G$2:G$1000=A3,'Unit Test Mapping'!I$2:I$1000,""))</f>
        <v/>
      </c>
    </row>
    <row r="4">
      <c r="A4" t="inlineStr">
        <is>
          <t>CO2</t>
        </is>
      </c>
      <c r="B4">
        <f>TEXTJOIN(", ",TRUE,IF('Unit Test Mapping'!G$2:G$1000=A4,'Unit Test Mapping'!D$2:D$1000,""))</f>
        <v/>
      </c>
      <c r="C4">
        <f>IFERROR(AVERAGEIFS('Continuous Assessment Records'!L:L,'Continuous Assessment Records'!F:F,A4,'Continuous Assessment Records'!C:C,"Unit Test"),"")</f>
        <v/>
      </c>
      <c r="D4">
        <f>IF(C4="","",IF(C4&gt;=0.7,3,IF(C4&gt;=0.6,2,IF(C4&gt;=0.5,1,0))))</f>
        <v/>
      </c>
      <c r="E4">
        <f>TEXTJOIN(", ",TRUE,IF('Unit Test Mapping'!G$2:G$1000=A4,'Unit Test Mapping'!H$2:H$1000,""))</f>
        <v/>
      </c>
      <c r="F4">
        <f>TEXTJOIN(", ",TRUE,IF('Unit Test Mapping'!G$2:G$1000=A4,'Unit Test Mapping'!I$2:I$1000,""))</f>
        <v/>
      </c>
    </row>
    <row r="5">
      <c r="A5" t="inlineStr">
        <is>
          <t>CO3</t>
        </is>
      </c>
      <c r="B5">
        <f>TEXTJOIN(", ",TRUE,IF('Unit Test Mapping'!G$2:G$1000=A5,'Unit Test Mapping'!D$2:D$1000,""))</f>
        <v/>
      </c>
      <c r="C5">
        <f>IFERROR(AVERAGEIFS('Continuous Assessment Records'!L:L,'Continuous Assessment Records'!F:F,A5,'Continuous Assessment Records'!C:C,"Unit Test"),"")</f>
        <v/>
      </c>
      <c r="D5">
        <f>IF(C5="","",IF(C5&gt;=0.7,3,IF(C5&gt;=0.6,2,IF(C5&gt;=0.5,1,0))))</f>
        <v/>
      </c>
      <c r="E5">
        <f>TEXTJOIN(", ",TRUE,IF('Unit Test Mapping'!G$2:G$1000=A5,'Unit Test Mapping'!H$2:H$1000,""))</f>
        <v/>
      </c>
      <c r="F5">
        <f>TEXTJOIN(", ",TRUE,IF('Unit Test Mapping'!G$2:G$1000=A5,'Unit Test Mapping'!I$2:I$1000,""))</f>
        <v/>
      </c>
    </row>
    <row r="6">
      <c r="A6" t="inlineStr">
        <is>
          <t>CO4</t>
        </is>
      </c>
      <c r="B6">
        <f>TEXTJOIN(", ",TRUE,IF('Unit Test Mapping'!G$2:G$1000=A6,'Unit Test Mapping'!D$2:D$1000,""))</f>
        <v/>
      </c>
      <c r="C6">
        <f>IFERROR(AVERAGEIFS('Continuous Assessment Records'!L:L,'Continuous Assessment Records'!F:F,A6,'Continuous Assessment Records'!C:C,"Unit Test"),"")</f>
        <v/>
      </c>
      <c r="D6">
        <f>IF(C6="","",IF(C6&gt;=0.7,3,IF(C6&gt;=0.6,2,IF(C6&gt;=0.5,1,0))))</f>
        <v/>
      </c>
      <c r="E6">
        <f>TEXTJOIN(", ",TRUE,IF('Unit Test Mapping'!G$2:G$1000=A6,'Unit Test Mapping'!H$2:H$1000,""))</f>
        <v/>
      </c>
      <c r="F6">
        <f>TEXTJOIN(", ",TRUE,IF('Unit Test Mapping'!G$2:G$1000=A6,'Unit Test Mapping'!I$2:I$1000,""))</f>
        <v/>
      </c>
    </row>
    <row r="8">
      <c r="A8" s="3" t="inlineStr">
        <is>
          <t>Note: Enter Unit Test-to-CO mappings in 'Unit Test Mapping' sheet and marks in 'Continuous Assessment Records'. This sheet auto-computes CO attainment for Unit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