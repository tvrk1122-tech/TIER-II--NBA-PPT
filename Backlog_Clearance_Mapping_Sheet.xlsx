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Master" sheetId="1" r:id="rId1"/>
    <sheet name="Backlog_Records" sheetId="2" r:id="rId2"/>
    <sheet name="Graduation_Cutoff" sheetId="3" r:id="rId3"/>
    <sheet name="Summary" sheetId="4" r:id="rId4"/>
    <sheet name="ReadMe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<sst xmlns="http://schemas.openxmlformats.org/spreadsheetml/2006/main" count="73" uniqueCount="39">
  <si>
    <t>Year of Entry (Label: CAY/CAYm1/.../CAYm6)</t>
  </si>
  <si>
    <t>Academic Year of Entry (e.g., 2020-21)</t>
  </si>
  <si>
    <t>Roll No</t>
  </si>
  <si>
    <t>Student Name</t>
  </si>
  <si>
    <t>Graduated Status (On-time/Delayed)</t>
  </si>
  <si>
    <t>Remarks</t>
  </si>
  <si>
    <t>Year of Entry (Label)</t>
  </si>
  <si>
    <t>Course Code</t>
  </si>
  <si>
    <t>Course Name</t>
  </si>
  <si>
    <t>Attempt Date (YYYY-MM-DD)</t>
  </si>
  <si>
    <t>Result (PASS/FAIL)</t>
  </si>
  <si>
    <t>Cleared Date (Auto)</t>
  </si>
  <si>
    <t>Cleared Before Cutoff? (Auto Y/N)</t>
  </si>
  <si>
    <t>Graduation Cutoff Date (YYYY-MM-DD)</t>
  </si>
  <si>
    <t>CAY</t>
  </si>
  <si>
    <t>CAYm1</t>
  </si>
  <si>
    <t>CAYm2</t>
  </si>
  <si>
    <t>CAYm3</t>
  </si>
  <si>
    <t>CAYm4 (LYG)</t>
  </si>
  <si>
    <t>CAYm5 (LYGm1)</t>
  </si>
  <si>
    <t>CAYm6 (LYGm2)</t>
  </si>
  <si>
    <t>Academic Year (e.g., 2020-21)</t>
  </si>
  <si>
    <t>Total Graduates (Auto)</t>
  </si>
  <si>
    <t>Graduated WITH Backlogs (Auto)</t>
  </si>
  <si>
    <t>Graduated WITHOUT Backlogs (Auto)</t>
  </si>
  <si>
    <t>Instructions</t>
  </si>
  <si>
    <t>Backlog Clearance Mapping Sheet – NBA Criterion 4</t>
  </si>
  <si>
    <t>Goal: Separate 'with backlog' vs 'without backlog' graduates for each Year of Entry using evidence from backlog/clearance records.</t>
  </si>
  <si>
    <t>How to use:</t>
  </si>
  <si>
    <t>1) Paste the graduates list into 'Student_Master' (use Year of Entry labels CAY..CAYm6).</t>
  </si>
  <si>
    <t>2) Paste all backlog attempts into 'Backlog_Records' with Attempt Date and Result.</t>
  </si>
  <si>
    <t xml:space="preserve">   - 'Cleared Date' and 'Cleared Before Cutoff?' will auto-compute via formulas.</t>
  </si>
  <si>
    <t>3) Set the graduation cutoff date per batch in 'Graduation_Cutoff' (e.g., final results approval date).</t>
  </si>
  <si>
    <t>4) See 'Summary' for per-batch counts: Total Graduates, Graduated WITH Backlogs (cleared before cutoff), and Graduated WITHOUT Backlogs.</t>
  </si>
  <si>
    <t>Notes:</t>
  </si>
  <si>
    <t>- This sheet relies on Excel dynamic array functions (UNIQUE, FILTER). Use Microsoft 365 or Excel 2021+.</t>
  </si>
  <si>
    <t>- 'Graduated WITH Backlogs' counts unique students with a PASS recorded on or before the cutoff date.</t>
  </si>
  <si>
    <t>- 'Graduated WITHOUT Backlogs' = Total Graduates − Graduated WITH Backlogs.</t>
  </si>
  <si>
    <t>- Ensure Year of Entry labels and Roll Nos are consistent across sheets.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</si>
</sst>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4" width="24.7109375" customWidth="1"/>
    <col min="5" max="5" width="22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4" width="28.7109375" customWidth="1"/>
    <col min="5" max="5" width="18.7109375" customWidth="1"/>
    <col min="6" max="6" width="22.7109375" customWidth="1"/>
    <col min="7" max="8" width="28.7109375" customWidth="1"/>
    <col min="9" max="9" width="40.7109375" customWidth="1"/>
  </cols>
  <sheetData>
    <row r="1" spans="1:9">
      <c r="A1" s="1" t="s">
        <v>6</v>
      </c>
      <c r="B1" s="1" t="s">
        <v>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5</v>
      </c>
    </row>
    <row r="2" spans="1:9">
      <c r="G2" s="2">
        <f>IF(F2="PASS", E2, "")</f>
        <v>0</v>
      </c>
      <c r="H2">
        <f>IF(AND(F2="PASS", G2&lt;=IFERROR(VLOOKUP(A2,Graduation_Cutoff!$A$2:$B$8,2,FALSE),DATE(9999,12,31))),"Y","")</f>
        <v>0</v>
      </c>
    </row>
    <row r="3" spans="1:9">
      <c r="G3" s="2">
        <f>IF(F3="PASS", E3, "")</f>
        <v>0</v>
      </c>
      <c r="H3">
        <f>IF(AND(F3="PASS", G3&lt;=IFERROR(VLOOKUP(A3,Graduation_Cutoff!$A$2:$B$8,2,FALSE),DATE(9999,12,31))),"Y","")</f>
        <v>0</v>
      </c>
    </row>
    <row r="4" spans="1:9">
      <c r="G4" s="2">
        <f>IF(F4="PASS", E4, "")</f>
        <v>0</v>
      </c>
      <c r="H4">
        <f>IF(AND(F4="PASS", G4&lt;=IFERROR(VLOOKUP(A4,Graduation_Cutoff!$A$2:$B$8,2,FALSE),DATE(9999,12,31))),"Y","")</f>
        <v>0</v>
      </c>
    </row>
    <row r="5" spans="1:9">
      <c r="G5" s="2">
        <f>IF(F5="PASS", E5, "")</f>
        <v>0</v>
      </c>
      <c r="H5">
        <f>IF(AND(F5="PASS", G5&lt;=IFERROR(VLOOKUP(A5,Graduation_Cutoff!$A$2:$B$8,2,FALSE),DATE(9999,12,31))),"Y","")</f>
        <v>0</v>
      </c>
    </row>
    <row r="6" spans="1:9">
      <c r="G6" s="2">
        <f>IF(F6="PASS", E6, "")</f>
        <v>0</v>
      </c>
      <c r="H6">
        <f>IF(AND(F6="PASS", G6&lt;=IFERROR(VLOOKUP(A6,Graduation_Cutoff!$A$2:$B$8,2,FALSE),DATE(9999,12,31))),"Y","")</f>
        <v>0</v>
      </c>
    </row>
    <row r="7" spans="1:9">
      <c r="G7" s="2">
        <f>IF(F7="PASS", E7, "")</f>
        <v>0</v>
      </c>
      <c r="H7">
        <f>IF(AND(F7="PASS", G7&lt;=IFERROR(VLOOKUP(A7,Graduation_Cutoff!$A$2:$B$8,2,FALSE),DATE(9999,12,31))),"Y","")</f>
        <v>0</v>
      </c>
    </row>
    <row r="8" spans="1:9">
      <c r="G8" s="2">
        <f>IF(F8="PASS", E8, "")</f>
        <v>0</v>
      </c>
      <c r="H8">
        <f>IF(AND(F8="PASS", G8&lt;=IFERROR(VLOOKUP(A8,Graduation_Cutoff!$A$2:$B$8,2,FALSE),DATE(9999,12,31))),"Y","")</f>
        <v>0</v>
      </c>
    </row>
    <row r="9" spans="1:9">
      <c r="G9" s="2">
        <f>IF(F9="PASS", E9, "")</f>
        <v>0</v>
      </c>
      <c r="H9">
        <f>IF(AND(F9="PASS", G9&lt;=IFERROR(VLOOKUP(A9,Graduation_Cutoff!$A$2:$B$8,2,FALSE),DATE(9999,12,31))),"Y","")</f>
        <v>0</v>
      </c>
    </row>
    <row r="10" spans="1:9">
      <c r="G10" s="2">
        <f>IF(F10="PASS", E10, "")</f>
        <v>0</v>
      </c>
      <c r="H10">
        <f>IF(AND(F10="PASS", G10&lt;=IFERROR(VLOOKUP(A10,Graduation_Cutoff!$A$2:$B$8,2,FALSE),DATE(9999,12,31))),"Y","")</f>
        <v>0</v>
      </c>
    </row>
    <row r="11" spans="1:9">
      <c r="G11" s="2">
        <f>IF(F11="PASS", E11, "")</f>
        <v>0</v>
      </c>
      <c r="H11">
        <f>IF(AND(F11="PASS", G11&lt;=IFERROR(VLOOKUP(A11,Graduation_Cutoff!$A$2:$B$8,2,FALSE),DATE(9999,12,31))),"Y","")</f>
        <v>0</v>
      </c>
    </row>
    <row r="12" spans="1:9">
      <c r="G12" s="2">
        <f>IF(F12="PASS", E12, "")</f>
        <v>0</v>
      </c>
      <c r="H12">
        <f>IF(AND(F12="PASS", G12&lt;=IFERROR(VLOOKUP(A12,Graduation_Cutoff!$A$2:$B$8,2,FALSE),DATE(9999,12,31))),"Y","")</f>
        <v>0</v>
      </c>
    </row>
    <row r="13" spans="1:9">
      <c r="G13" s="2">
        <f>IF(F13="PASS", E13, "")</f>
        <v>0</v>
      </c>
      <c r="H13">
        <f>IF(AND(F13="PASS", G13&lt;=IFERROR(VLOOKUP(A13,Graduation_Cutoff!$A$2:$B$8,2,FALSE),DATE(9999,12,31))),"Y","")</f>
        <v>0</v>
      </c>
    </row>
    <row r="14" spans="1:9">
      <c r="G14" s="2">
        <f>IF(F14="PASS", E14, "")</f>
        <v>0</v>
      </c>
      <c r="H14">
        <f>IF(AND(F14="PASS", G14&lt;=IFERROR(VLOOKUP(A14,Graduation_Cutoff!$A$2:$B$8,2,FALSE),DATE(9999,12,31))),"Y","")</f>
        <v>0</v>
      </c>
    </row>
    <row r="15" spans="1:9">
      <c r="G15" s="2">
        <f>IF(F15="PASS", E15, "")</f>
        <v>0</v>
      </c>
      <c r="H15">
        <f>IF(AND(F15="PASS", G15&lt;=IFERROR(VLOOKUP(A15,Graduation_Cutoff!$A$2:$B$8,2,FALSE),DATE(9999,12,31))),"Y","")</f>
        <v>0</v>
      </c>
    </row>
    <row r="16" spans="1:9">
      <c r="G16" s="2">
        <f>IF(F16="PASS", E16, "")</f>
        <v>0</v>
      </c>
      <c r="H16">
        <f>IF(AND(F16="PASS", G16&lt;=IFERROR(VLOOKUP(A16,Graduation_Cutoff!$A$2:$B$8,2,FALSE),DATE(9999,12,31))),"Y","")</f>
        <v>0</v>
      </c>
    </row>
    <row r="17" spans="7:8">
      <c r="G17" s="2">
        <f>IF(F17="PASS", E17, "")</f>
        <v>0</v>
      </c>
      <c r="H17">
        <f>IF(AND(F17="PASS", G17&lt;=IFERROR(VLOOKUP(A17,Graduation_Cutoff!$A$2:$B$8,2,FALSE),DATE(9999,12,31))),"Y","")</f>
        <v>0</v>
      </c>
    </row>
    <row r="18" spans="7:8">
      <c r="G18" s="2">
        <f>IF(F18="PASS", E18, "")</f>
        <v>0</v>
      </c>
      <c r="H18">
        <f>IF(AND(F18="PASS", G18&lt;=IFERROR(VLOOKUP(A18,Graduation_Cutoff!$A$2:$B$8,2,FALSE),DATE(9999,12,31))),"Y","")</f>
        <v>0</v>
      </c>
    </row>
    <row r="19" spans="7:8">
      <c r="G19" s="2">
        <f>IF(F19="PASS", E19, "")</f>
        <v>0</v>
      </c>
      <c r="H19">
        <f>IF(AND(F19="PASS", G19&lt;=IFERROR(VLOOKUP(A19,Graduation_Cutoff!$A$2:$B$8,2,FALSE),DATE(9999,12,31))),"Y","")</f>
        <v>0</v>
      </c>
    </row>
    <row r="20" spans="7:8">
      <c r="G20" s="2">
        <f>IF(F20="PASS", E20, "")</f>
        <v>0</v>
      </c>
      <c r="H20">
        <f>IF(AND(F20="PASS", G20&lt;=IFERROR(VLOOKUP(A20,Graduation_Cutoff!$A$2:$B$8,2,FALSE),DATE(9999,12,31))),"Y","")</f>
        <v>0</v>
      </c>
    </row>
    <row r="21" spans="7:8">
      <c r="G21" s="2">
        <f>IF(F21="PASS", E21, "")</f>
        <v>0</v>
      </c>
      <c r="H21">
        <f>IF(AND(F21="PASS", G21&lt;=IFERROR(VLOOKUP(A21,Graduation_Cutoff!$A$2:$B$8,2,FALSE),DATE(9999,12,31))),"Y","")</f>
        <v>0</v>
      </c>
    </row>
    <row r="22" spans="7:8">
      <c r="G22" s="2">
        <f>IF(F22="PASS", E22, "")</f>
        <v>0</v>
      </c>
      <c r="H22">
        <f>IF(AND(F22="PASS", G22&lt;=IFERROR(VLOOKUP(A22,Graduation_Cutoff!$A$2:$B$8,2,FALSE),DATE(9999,12,31))),"Y","")</f>
        <v>0</v>
      </c>
    </row>
    <row r="23" spans="7:8">
      <c r="G23" s="2">
        <f>IF(F23="PASS", E23, "")</f>
        <v>0</v>
      </c>
      <c r="H23">
        <f>IF(AND(F23="PASS", G23&lt;=IFERROR(VLOOKUP(A23,Graduation_Cutoff!$A$2:$B$8,2,FALSE),DATE(9999,12,31))),"Y","")</f>
        <v>0</v>
      </c>
    </row>
    <row r="24" spans="7:8">
      <c r="G24" s="2">
        <f>IF(F24="PASS", E24, "")</f>
        <v>0</v>
      </c>
      <c r="H24">
        <f>IF(AND(F24="PASS", G24&lt;=IFERROR(VLOOKUP(A24,Graduation_Cutoff!$A$2:$B$8,2,FALSE),DATE(9999,12,31))),"Y","")</f>
        <v>0</v>
      </c>
    </row>
    <row r="25" spans="7:8">
      <c r="G25" s="2">
        <f>IF(F25="PASS", E25, "")</f>
        <v>0</v>
      </c>
      <c r="H25">
        <f>IF(AND(F25="PASS", G25&lt;=IFERROR(VLOOKUP(A25,Graduation_Cutoff!$A$2:$B$8,2,FALSE),DATE(9999,12,31))),"Y","")</f>
        <v>0</v>
      </c>
    </row>
    <row r="26" spans="7:8">
      <c r="G26" s="2">
        <f>IF(F26="PASS", E26, "")</f>
        <v>0</v>
      </c>
      <c r="H26">
        <f>IF(AND(F26="PASS", G26&lt;=IFERROR(VLOOKUP(A26,Graduation_Cutoff!$A$2:$B$8,2,FALSE),DATE(9999,12,31))),"Y","")</f>
        <v>0</v>
      </c>
    </row>
    <row r="27" spans="7:8">
      <c r="G27" s="2">
        <f>IF(F27="PASS", E27, "")</f>
        <v>0</v>
      </c>
      <c r="H27">
        <f>IF(AND(F27="PASS", G27&lt;=IFERROR(VLOOKUP(A27,Graduation_Cutoff!$A$2:$B$8,2,FALSE),DATE(9999,12,31))),"Y","")</f>
        <v>0</v>
      </c>
    </row>
    <row r="28" spans="7:8">
      <c r="G28" s="2">
        <f>IF(F28="PASS", E28, "")</f>
        <v>0</v>
      </c>
      <c r="H28">
        <f>IF(AND(F28="PASS", G28&lt;=IFERROR(VLOOKUP(A28,Graduation_Cutoff!$A$2:$B$8,2,FALSE),DATE(9999,12,31))),"Y","")</f>
        <v>0</v>
      </c>
    </row>
    <row r="29" spans="7:8">
      <c r="G29" s="2">
        <f>IF(F29="PASS", E29, "")</f>
        <v>0</v>
      </c>
      <c r="H29">
        <f>IF(AND(F29="PASS", G29&lt;=IFERROR(VLOOKUP(A29,Graduation_Cutoff!$A$2:$B$8,2,FALSE),DATE(9999,12,31))),"Y","")</f>
        <v>0</v>
      </c>
    </row>
    <row r="30" spans="7:8">
      <c r="G30" s="2">
        <f>IF(F30="PASS", E30, "")</f>
        <v>0</v>
      </c>
      <c r="H30">
        <f>IF(AND(F30="PASS", G30&lt;=IFERROR(VLOOKUP(A30,Graduation_Cutoff!$A$2:$B$8,2,FALSE),DATE(9999,12,31))),"Y","")</f>
        <v>0</v>
      </c>
    </row>
    <row r="31" spans="7:8">
      <c r="G31" s="2">
        <f>IF(F31="PASS", E31, "")</f>
        <v>0</v>
      </c>
      <c r="H31">
        <f>IF(AND(F31="PASS", G31&lt;=IFERROR(VLOOKUP(A31,Graduation_Cutoff!$A$2:$B$8,2,FALSE),DATE(9999,12,31))),"Y","")</f>
        <v>0</v>
      </c>
    </row>
    <row r="32" spans="7:8">
      <c r="G32" s="2">
        <f>IF(F32="PASS", E32, "")</f>
        <v>0</v>
      </c>
      <c r="H32">
        <f>IF(AND(F32="PASS", G32&lt;=IFERROR(VLOOKUP(A32,Graduation_Cutoff!$A$2:$B$8,2,FALSE),DATE(9999,12,31))),"Y","")</f>
        <v>0</v>
      </c>
    </row>
    <row r="33" spans="7:8">
      <c r="G33" s="2">
        <f>IF(F33="PASS", E33, "")</f>
        <v>0</v>
      </c>
      <c r="H33">
        <f>IF(AND(F33="PASS", G33&lt;=IFERROR(VLOOKUP(A33,Graduation_Cutoff!$A$2:$B$8,2,FALSE),DATE(9999,12,31))),"Y","")</f>
        <v>0</v>
      </c>
    </row>
    <row r="34" spans="7:8">
      <c r="G34" s="2">
        <f>IF(F34="PASS", E34, "")</f>
        <v>0</v>
      </c>
      <c r="H34">
        <f>IF(AND(F34="PASS", G34&lt;=IFERROR(VLOOKUP(A34,Graduation_Cutoff!$A$2:$B$8,2,FALSE),DATE(9999,12,31))),"Y","")</f>
        <v>0</v>
      </c>
    </row>
    <row r="35" spans="7:8">
      <c r="G35" s="2">
        <f>IF(F35="PASS", E35, "")</f>
        <v>0</v>
      </c>
      <c r="H35">
        <f>IF(AND(F35="PASS", G35&lt;=IFERROR(VLOOKUP(A35,Graduation_Cutoff!$A$2:$B$8,2,FALSE),DATE(9999,12,31))),"Y","")</f>
        <v>0</v>
      </c>
    </row>
    <row r="36" spans="7:8">
      <c r="G36" s="2">
        <f>IF(F36="PASS", E36, "")</f>
        <v>0</v>
      </c>
      <c r="H36">
        <f>IF(AND(F36="PASS", G36&lt;=IFERROR(VLOOKUP(A36,Graduation_Cutoff!$A$2:$B$8,2,FALSE),DATE(9999,12,31))),"Y","")</f>
        <v>0</v>
      </c>
    </row>
    <row r="37" spans="7:8">
      <c r="G37" s="2">
        <f>IF(F37="PASS", E37, "")</f>
        <v>0</v>
      </c>
      <c r="H37">
        <f>IF(AND(F37="PASS", G37&lt;=IFERROR(VLOOKUP(A37,Graduation_Cutoff!$A$2:$B$8,2,FALSE),DATE(9999,12,31))),"Y","")</f>
        <v>0</v>
      </c>
    </row>
    <row r="38" spans="7:8">
      <c r="G38" s="2">
        <f>IF(F38="PASS", E38, "")</f>
        <v>0</v>
      </c>
      <c r="H38">
        <f>IF(AND(F38="PASS", G38&lt;=IFERROR(VLOOKUP(A38,Graduation_Cutoff!$A$2:$B$8,2,FALSE),DATE(9999,12,31))),"Y","")</f>
        <v>0</v>
      </c>
    </row>
    <row r="39" spans="7:8">
      <c r="G39" s="2">
        <f>IF(F39="PASS", E39, "")</f>
        <v>0</v>
      </c>
      <c r="H39">
        <f>IF(AND(F39="PASS", G39&lt;=IFERROR(VLOOKUP(A39,Graduation_Cutoff!$A$2:$B$8,2,FALSE),DATE(9999,12,31))),"Y","")</f>
        <v>0</v>
      </c>
    </row>
    <row r="40" spans="7:8">
      <c r="G40" s="2">
        <f>IF(F40="PASS", E40, "")</f>
        <v>0</v>
      </c>
      <c r="H40">
        <f>IF(AND(F40="PASS", G40&lt;=IFERROR(VLOOKUP(A40,Graduation_Cutoff!$A$2:$B$8,2,FALSE),DATE(9999,12,31))),"Y","")</f>
        <v>0</v>
      </c>
    </row>
    <row r="41" spans="7:8">
      <c r="G41" s="2">
        <f>IF(F41="PASS", E41, "")</f>
        <v>0</v>
      </c>
      <c r="H41">
        <f>IF(AND(F41="PASS", G41&lt;=IFERROR(VLOOKUP(A41,Graduation_Cutoff!$A$2:$B$8,2,FALSE),DATE(9999,12,31))),"Y","")</f>
        <v>0</v>
      </c>
    </row>
    <row r="42" spans="7:8">
      <c r="G42" s="2">
        <f>IF(F42="PASS", E42, "")</f>
        <v>0</v>
      </c>
      <c r="H42">
        <f>IF(AND(F42="PASS", G42&lt;=IFERROR(VLOOKUP(A42,Graduation_Cutoff!$A$2:$B$8,2,FALSE),DATE(9999,12,31))),"Y","")</f>
        <v>0</v>
      </c>
    </row>
    <row r="43" spans="7:8">
      <c r="G43" s="2">
        <f>IF(F43="PASS", E43, "")</f>
        <v>0</v>
      </c>
      <c r="H43">
        <f>IF(AND(F43="PASS", G43&lt;=IFERROR(VLOOKUP(A43,Graduation_Cutoff!$A$2:$B$8,2,FALSE),DATE(9999,12,31))),"Y","")</f>
        <v>0</v>
      </c>
    </row>
    <row r="44" spans="7:8">
      <c r="G44" s="2">
        <f>IF(F44="PASS", E44, "")</f>
        <v>0</v>
      </c>
      <c r="H44">
        <f>IF(AND(F44="PASS", G44&lt;=IFERROR(VLOOKUP(A44,Graduation_Cutoff!$A$2:$B$8,2,FALSE),DATE(9999,12,31))),"Y","")</f>
        <v>0</v>
      </c>
    </row>
    <row r="45" spans="7:8">
      <c r="G45" s="2">
        <f>IF(F45="PASS", E45, "")</f>
        <v>0</v>
      </c>
      <c r="H45">
        <f>IF(AND(F45="PASS", G45&lt;=IFERROR(VLOOKUP(A45,Graduation_Cutoff!$A$2:$B$8,2,FALSE),DATE(9999,12,31))),"Y","")</f>
        <v>0</v>
      </c>
    </row>
    <row r="46" spans="7:8">
      <c r="G46" s="2">
        <f>IF(F46="PASS", E46, "")</f>
        <v>0</v>
      </c>
      <c r="H46">
        <f>IF(AND(F46="PASS", G46&lt;=IFERROR(VLOOKUP(A46,Graduation_Cutoff!$A$2:$B$8,2,FALSE),DATE(9999,12,31))),"Y","")</f>
        <v>0</v>
      </c>
    </row>
    <row r="47" spans="7:8">
      <c r="G47" s="2">
        <f>IF(F47="PASS", E47, "")</f>
        <v>0</v>
      </c>
      <c r="H47">
        <f>IF(AND(F47="PASS", G47&lt;=IFERROR(VLOOKUP(A47,Graduation_Cutoff!$A$2:$B$8,2,FALSE),DATE(9999,12,31))),"Y","")</f>
        <v>0</v>
      </c>
    </row>
    <row r="48" spans="7:8">
      <c r="G48" s="2">
        <f>IF(F48="PASS", E48, "")</f>
        <v>0</v>
      </c>
      <c r="H48">
        <f>IF(AND(F48="PASS", G48&lt;=IFERROR(VLOOKUP(A48,Graduation_Cutoff!$A$2:$B$8,2,FALSE),DATE(9999,12,31))),"Y","")</f>
        <v>0</v>
      </c>
    </row>
    <row r="49" spans="7:8">
      <c r="G49" s="2">
        <f>IF(F49="PASS", E49, "")</f>
        <v>0</v>
      </c>
      <c r="H49">
        <f>IF(AND(F49="PASS", G49&lt;=IFERROR(VLOOKUP(A49,Graduation_Cutoff!$A$2:$B$8,2,FALSE),DATE(9999,12,31))),"Y","")</f>
        <v>0</v>
      </c>
    </row>
    <row r="50" spans="7:8">
      <c r="G50" s="2">
        <f>IF(F50="PASS", E50, "")</f>
        <v>0</v>
      </c>
      <c r="H50">
        <f>IF(AND(F50="PASS", G50&lt;=IFERROR(VLOOKUP(A50,Graduation_Cutoff!$A$2:$B$8,2,FALSE),DATE(9999,12,31))),"Y","")</f>
        <v>0</v>
      </c>
    </row>
    <row r="51" spans="7:8">
      <c r="G51" s="2">
        <f>IF(F51="PASS", E51, "")</f>
        <v>0</v>
      </c>
      <c r="H51">
        <f>IF(AND(F51="PASS", G51&lt;=IFERROR(VLOOKUP(A51,Graduation_Cutoff!$A$2:$B$8,2,FALSE),DATE(9999,12,31))),"Y","")</f>
        <v>0</v>
      </c>
    </row>
    <row r="52" spans="7:8">
      <c r="G52" s="2">
        <f>IF(F52="PASS", E52, "")</f>
        <v>0</v>
      </c>
      <c r="H52">
        <f>IF(AND(F52="PASS", G52&lt;=IFERROR(VLOOKUP(A52,Graduation_Cutoff!$A$2:$B$8,2,FALSE),DATE(9999,12,31))),"Y","")</f>
        <v>0</v>
      </c>
    </row>
    <row r="53" spans="7:8">
      <c r="G53" s="2">
        <f>IF(F53="PASS", E53, "")</f>
        <v>0</v>
      </c>
      <c r="H53">
        <f>IF(AND(F53="PASS", G53&lt;=IFERROR(VLOOKUP(A53,Graduation_Cutoff!$A$2:$B$8,2,FALSE),DATE(9999,12,31))),"Y","")</f>
        <v>0</v>
      </c>
    </row>
    <row r="54" spans="7:8">
      <c r="G54" s="2">
        <f>IF(F54="PASS", E54, "")</f>
        <v>0</v>
      </c>
      <c r="H54">
        <f>IF(AND(F54="PASS", G54&lt;=IFERROR(VLOOKUP(A54,Graduation_Cutoff!$A$2:$B$8,2,FALSE),DATE(9999,12,31))),"Y","")</f>
        <v>0</v>
      </c>
    </row>
    <row r="55" spans="7:8">
      <c r="G55" s="2">
        <f>IF(F55="PASS", E55, "")</f>
        <v>0</v>
      </c>
      <c r="H55">
        <f>IF(AND(F55="PASS", G55&lt;=IFERROR(VLOOKUP(A55,Graduation_Cutoff!$A$2:$B$8,2,FALSE),DATE(9999,12,31))),"Y","")</f>
        <v>0</v>
      </c>
    </row>
    <row r="56" spans="7:8">
      <c r="G56" s="2">
        <f>IF(F56="PASS", E56, "")</f>
        <v>0</v>
      </c>
      <c r="H56">
        <f>IF(AND(F56="PASS", G56&lt;=IFERROR(VLOOKUP(A56,Graduation_Cutoff!$A$2:$B$8,2,FALSE),DATE(9999,12,31))),"Y","")</f>
        <v>0</v>
      </c>
    </row>
    <row r="57" spans="7:8">
      <c r="G57" s="2">
        <f>IF(F57="PASS", E57, "")</f>
        <v>0</v>
      </c>
      <c r="H57">
        <f>IF(AND(F57="PASS", G57&lt;=IFERROR(VLOOKUP(A57,Graduation_Cutoff!$A$2:$B$8,2,FALSE),DATE(9999,12,31))),"Y","")</f>
        <v>0</v>
      </c>
    </row>
    <row r="58" spans="7:8">
      <c r="G58" s="2">
        <f>IF(F58="PASS", E58, "")</f>
        <v>0</v>
      </c>
      <c r="H58">
        <f>IF(AND(F58="PASS", G58&lt;=IFERROR(VLOOKUP(A58,Graduation_Cutoff!$A$2:$B$8,2,FALSE),DATE(9999,12,31))),"Y","")</f>
        <v>0</v>
      </c>
    </row>
    <row r="59" spans="7:8">
      <c r="G59" s="2">
        <f>IF(F59="PASS", E59, "")</f>
        <v>0</v>
      </c>
      <c r="H59">
        <f>IF(AND(F59="PASS", G59&lt;=IFERROR(VLOOKUP(A59,Graduation_Cutoff!$A$2:$B$8,2,FALSE),DATE(9999,12,31))),"Y","")</f>
        <v>0</v>
      </c>
    </row>
    <row r="60" spans="7:8">
      <c r="G60" s="2">
        <f>IF(F60="PASS", E60, "")</f>
        <v>0</v>
      </c>
      <c r="H60">
        <f>IF(AND(F60="PASS", G60&lt;=IFERROR(VLOOKUP(A60,Graduation_Cutoff!$A$2:$B$8,2,FALSE),DATE(9999,12,31))),"Y","")</f>
        <v>0</v>
      </c>
    </row>
    <row r="61" spans="7:8">
      <c r="G61" s="2">
        <f>IF(F61="PASS", E61, "")</f>
        <v>0</v>
      </c>
      <c r="H61">
        <f>IF(AND(F61="PASS", G61&lt;=IFERROR(VLOOKUP(A61,Graduation_Cutoff!$A$2:$B$8,2,FALSE),DATE(9999,12,31))),"Y","")</f>
        <v>0</v>
      </c>
    </row>
    <row r="62" spans="7:8">
      <c r="G62" s="2">
        <f>IF(F62="PASS", E62, "")</f>
        <v>0</v>
      </c>
      <c r="H62">
        <f>IF(AND(F62="PASS", G62&lt;=IFERROR(VLOOKUP(A62,Graduation_Cutoff!$A$2:$B$8,2,FALSE),DATE(9999,12,31))),"Y","")</f>
        <v>0</v>
      </c>
    </row>
    <row r="63" spans="7:8">
      <c r="G63" s="2">
        <f>IF(F63="PASS", E63, "")</f>
        <v>0</v>
      </c>
      <c r="H63">
        <f>IF(AND(F63="PASS", G63&lt;=IFERROR(VLOOKUP(A63,Graduation_Cutoff!$A$2:$B$8,2,FALSE),DATE(9999,12,31))),"Y","")</f>
        <v>0</v>
      </c>
    </row>
    <row r="64" spans="7:8">
      <c r="G64" s="2">
        <f>IF(F64="PASS", E64, "")</f>
        <v>0</v>
      </c>
      <c r="H64">
        <f>IF(AND(F64="PASS", G64&lt;=IFERROR(VLOOKUP(A64,Graduation_Cutoff!$A$2:$B$8,2,FALSE),DATE(9999,12,31))),"Y","")</f>
        <v>0</v>
      </c>
    </row>
    <row r="65" spans="7:8">
      <c r="G65" s="2">
        <f>IF(F65="PASS", E65, "")</f>
        <v>0</v>
      </c>
      <c r="H65">
        <f>IF(AND(F65="PASS", G65&lt;=IFERROR(VLOOKUP(A65,Graduation_Cutoff!$A$2:$B$8,2,FALSE),DATE(9999,12,31))),"Y","")</f>
        <v>0</v>
      </c>
    </row>
    <row r="66" spans="7:8">
      <c r="G66" s="2">
        <f>IF(F66="PASS", E66, "")</f>
        <v>0</v>
      </c>
      <c r="H66">
        <f>IF(AND(F66="PASS", G66&lt;=IFERROR(VLOOKUP(A66,Graduation_Cutoff!$A$2:$B$8,2,FALSE),DATE(9999,12,31))),"Y","")</f>
        <v>0</v>
      </c>
    </row>
    <row r="67" spans="7:8">
      <c r="G67" s="2">
        <f>IF(F67="PASS", E67, "")</f>
        <v>0</v>
      </c>
      <c r="H67">
        <f>IF(AND(F67="PASS", G67&lt;=IFERROR(VLOOKUP(A67,Graduation_Cutoff!$A$2:$B$8,2,FALSE),DATE(9999,12,31))),"Y","")</f>
        <v>0</v>
      </c>
    </row>
    <row r="68" spans="7:8">
      <c r="G68" s="2">
        <f>IF(F68="PASS", E68, "")</f>
        <v>0</v>
      </c>
      <c r="H68">
        <f>IF(AND(F68="PASS", G68&lt;=IFERROR(VLOOKUP(A68,Graduation_Cutoff!$A$2:$B$8,2,FALSE),DATE(9999,12,31))),"Y","")</f>
        <v>0</v>
      </c>
    </row>
    <row r="69" spans="7:8">
      <c r="G69" s="2">
        <f>IF(F69="PASS", E69, "")</f>
        <v>0</v>
      </c>
      <c r="H69">
        <f>IF(AND(F69="PASS", G69&lt;=IFERROR(VLOOKUP(A69,Graduation_Cutoff!$A$2:$B$8,2,FALSE),DATE(9999,12,31))),"Y","")</f>
        <v>0</v>
      </c>
    </row>
    <row r="70" spans="7:8">
      <c r="G70" s="2">
        <f>IF(F70="PASS", E70, "")</f>
        <v>0</v>
      </c>
      <c r="H70">
        <f>IF(AND(F70="PASS", G70&lt;=IFERROR(VLOOKUP(A70,Graduation_Cutoff!$A$2:$B$8,2,FALSE),DATE(9999,12,31))),"Y","")</f>
        <v>0</v>
      </c>
    </row>
    <row r="71" spans="7:8">
      <c r="G71" s="2">
        <f>IF(F71="PASS", E71, "")</f>
        <v>0</v>
      </c>
      <c r="H71">
        <f>IF(AND(F71="PASS", G71&lt;=IFERROR(VLOOKUP(A71,Graduation_Cutoff!$A$2:$B$8,2,FALSE),DATE(9999,12,31))),"Y","")</f>
        <v>0</v>
      </c>
    </row>
    <row r="72" spans="7:8">
      <c r="G72" s="2">
        <f>IF(F72="PASS", E72, "")</f>
        <v>0</v>
      </c>
      <c r="H72">
        <f>IF(AND(F72="PASS", G72&lt;=IFERROR(VLOOKUP(A72,Graduation_Cutoff!$A$2:$B$8,2,FALSE),DATE(9999,12,31))),"Y","")</f>
        <v>0</v>
      </c>
    </row>
    <row r="73" spans="7:8">
      <c r="G73" s="2">
        <f>IF(F73="PASS", E73, "")</f>
        <v>0</v>
      </c>
      <c r="H73">
        <f>IF(AND(F73="PASS", G73&lt;=IFERROR(VLOOKUP(A73,Graduation_Cutoff!$A$2:$B$8,2,FALSE),DATE(9999,12,31))),"Y","")</f>
        <v>0</v>
      </c>
    </row>
    <row r="74" spans="7:8">
      <c r="G74" s="2">
        <f>IF(F74="PASS", E74, "")</f>
        <v>0</v>
      </c>
      <c r="H74">
        <f>IF(AND(F74="PASS", G74&lt;=IFERROR(VLOOKUP(A74,Graduation_Cutoff!$A$2:$B$8,2,FALSE),DATE(9999,12,31))),"Y","")</f>
        <v>0</v>
      </c>
    </row>
    <row r="75" spans="7:8">
      <c r="G75" s="2">
        <f>IF(F75="PASS", E75, "")</f>
        <v>0</v>
      </c>
      <c r="H75">
        <f>IF(AND(F75="PASS", G75&lt;=IFERROR(VLOOKUP(A75,Graduation_Cutoff!$A$2:$B$8,2,FALSE),DATE(9999,12,31))),"Y","")</f>
        <v>0</v>
      </c>
    </row>
    <row r="76" spans="7:8">
      <c r="G76" s="2">
        <f>IF(F76="PASS", E76, "")</f>
        <v>0</v>
      </c>
      <c r="H76">
        <f>IF(AND(F76="PASS", G76&lt;=IFERROR(VLOOKUP(A76,Graduation_Cutoff!$A$2:$B$8,2,FALSE),DATE(9999,12,31))),"Y","")</f>
        <v>0</v>
      </c>
    </row>
    <row r="77" spans="7:8">
      <c r="G77" s="2">
        <f>IF(F77="PASS", E77, "")</f>
        <v>0</v>
      </c>
      <c r="H77">
        <f>IF(AND(F77="PASS", G77&lt;=IFERROR(VLOOKUP(A77,Graduation_Cutoff!$A$2:$B$8,2,FALSE),DATE(9999,12,31))),"Y","")</f>
        <v>0</v>
      </c>
    </row>
    <row r="78" spans="7:8">
      <c r="G78" s="2">
        <f>IF(F78="PASS", E78, "")</f>
        <v>0</v>
      </c>
      <c r="H78">
        <f>IF(AND(F78="PASS", G78&lt;=IFERROR(VLOOKUP(A78,Graduation_Cutoff!$A$2:$B$8,2,FALSE),DATE(9999,12,31))),"Y","")</f>
        <v>0</v>
      </c>
    </row>
    <row r="79" spans="7:8">
      <c r="G79" s="2">
        <f>IF(F79="PASS", E79, "")</f>
        <v>0</v>
      </c>
      <c r="H79">
        <f>IF(AND(F79="PASS", G79&lt;=IFERROR(VLOOKUP(A79,Graduation_Cutoff!$A$2:$B$8,2,FALSE),DATE(9999,12,31))),"Y","")</f>
        <v>0</v>
      </c>
    </row>
    <row r="80" spans="7:8">
      <c r="G80" s="2">
        <f>IF(F80="PASS", E80, "")</f>
        <v>0</v>
      </c>
      <c r="H80">
        <f>IF(AND(F80="PASS", G80&lt;=IFERROR(VLOOKUP(A80,Graduation_Cutoff!$A$2:$B$8,2,FALSE),DATE(9999,12,31))),"Y","")</f>
        <v>0</v>
      </c>
    </row>
    <row r="81" spans="7:8">
      <c r="G81" s="2">
        <f>IF(F81="PASS", E81, "")</f>
        <v>0</v>
      </c>
      <c r="H81">
        <f>IF(AND(F81="PASS", G81&lt;=IFERROR(VLOOKUP(A81,Graduation_Cutoff!$A$2:$B$8,2,FALSE),DATE(9999,12,31))),"Y","")</f>
        <v>0</v>
      </c>
    </row>
    <row r="82" spans="7:8">
      <c r="G82" s="2">
        <f>IF(F82="PASS", E82, "")</f>
        <v>0</v>
      </c>
      <c r="H82">
        <f>IF(AND(F82="PASS", G82&lt;=IFERROR(VLOOKUP(A82,Graduation_Cutoff!$A$2:$B$8,2,FALSE),DATE(9999,12,31))),"Y","")</f>
        <v>0</v>
      </c>
    </row>
    <row r="83" spans="7:8">
      <c r="G83" s="2">
        <f>IF(F83="PASS", E83, "")</f>
        <v>0</v>
      </c>
      <c r="H83">
        <f>IF(AND(F83="PASS", G83&lt;=IFERROR(VLOOKUP(A83,Graduation_Cutoff!$A$2:$B$8,2,FALSE),DATE(9999,12,31))),"Y","")</f>
        <v>0</v>
      </c>
    </row>
    <row r="84" spans="7:8">
      <c r="G84" s="2">
        <f>IF(F84="PASS", E84, "")</f>
        <v>0</v>
      </c>
      <c r="H84">
        <f>IF(AND(F84="PASS", G84&lt;=IFERROR(VLOOKUP(A84,Graduation_Cutoff!$A$2:$B$8,2,FALSE),DATE(9999,12,31))),"Y","")</f>
        <v>0</v>
      </c>
    </row>
    <row r="85" spans="7:8">
      <c r="G85" s="2">
        <f>IF(F85="PASS", E85, "")</f>
        <v>0</v>
      </c>
      <c r="H85">
        <f>IF(AND(F85="PASS", G85&lt;=IFERROR(VLOOKUP(A85,Graduation_Cutoff!$A$2:$B$8,2,FALSE),DATE(9999,12,31))),"Y","")</f>
        <v>0</v>
      </c>
    </row>
    <row r="86" spans="7:8">
      <c r="G86" s="2">
        <f>IF(F86="PASS", E86, "")</f>
        <v>0</v>
      </c>
      <c r="H86">
        <f>IF(AND(F86="PASS", G86&lt;=IFERROR(VLOOKUP(A86,Graduation_Cutoff!$A$2:$B$8,2,FALSE),DATE(9999,12,31))),"Y","")</f>
        <v>0</v>
      </c>
    </row>
    <row r="87" spans="7:8">
      <c r="G87" s="2">
        <f>IF(F87="PASS", E87, "")</f>
        <v>0</v>
      </c>
      <c r="H87">
        <f>IF(AND(F87="PASS", G87&lt;=IFERROR(VLOOKUP(A87,Graduation_Cutoff!$A$2:$B$8,2,FALSE),DATE(9999,12,31))),"Y","")</f>
        <v>0</v>
      </c>
    </row>
    <row r="88" spans="7:8">
      <c r="G88" s="2">
        <f>IF(F88="PASS", E88, "")</f>
        <v>0</v>
      </c>
      <c r="H88">
        <f>IF(AND(F88="PASS", G88&lt;=IFERROR(VLOOKUP(A88,Graduation_Cutoff!$A$2:$B$8,2,FALSE),DATE(9999,12,31))),"Y","")</f>
        <v>0</v>
      </c>
    </row>
    <row r="89" spans="7:8">
      <c r="G89" s="2">
        <f>IF(F89="PASS", E89, "")</f>
        <v>0</v>
      </c>
      <c r="H89">
        <f>IF(AND(F89="PASS", G89&lt;=IFERROR(VLOOKUP(A89,Graduation_Cutoff!$A$2:$B$8,2,FALSE),DATE(9999,12,31))),"Y","")</f>
        <v>0</v>
      </c>
    </row>
    <row r="90" spans="7:8">
      <c r="G90" s="2">
        <f>IF(F90="PASS", E90, "")</f>
        <v>0</v>
      </c>
      <c r="H90">
        <f>IF(AND(F90="PASS", G90&lt;=IFERROR(VLOOKUP(A90,Graduation_Cutoff!$A$2:$B$8,2,FALSE),DATE(9999,12,31))),"Y","")</f>
        <v>0</v>
      </c>
    </row>
    <row r="91" spans="7:8">
      <c r="G91" s="2">
        <f>IF(F91="PASS", E91, "")</f>
        <v>0</v>
      </c>
      <c r="H91">
        <f>IF(AND(F91="PASS", G91&lt;=IFERROR(VLOOKUP(A91,Graduation_Cutoff!$A$2:$B$8,2,FALSE),DATE(9999,12,31))),"Y","")</f>
        <v>0</v>
      </c>
    </row>
    <row r="92" spans="7:8">
      <c r="G92" s="2">
        <f>IF(F92="PASS", E92, "")</f>
        <v>0</v>
      </c>
      <c r="H92">
        <f>IF(AND(F92="PASS", G92&lt;=IFERROR(VLOOKUP(A92,Graduation_Cutoff!$A$2:$B$8,2,FALSE),DATE(9999,12,31))),"Y","")</f>
        <v>0</v>
      </c>
    </row>
    <row r="93" spans="7:8">
      <c r="G93" s="2">
        <f>IF(F93="PASS", E93, "")</f>
        <v>0</v>
      </c>
      <c r="H93">
        <f>IF(AND(F93="PASS", G93&lt;=IFERROR(VLOOKUP(A93,Graduation_Cutoff!$A$2:$B$8,2,FALSE),DATE(9999,12,31))),"Y","")</f>
        <v>0</v>
      </c>
    </row>
    <row r="94" spans="7:8">
      <c r="G94" s="2">
        <f>IF(F94="PASS", E94, "")</f>
        <v>0</v>
      </c>
      <c r="H94">
        <f>IF(AND(F94="PASS", G94&lt;=IFERROR(VLOOKUP(A94,Graduation_Cutoff!$A$2:$B$8,2,FALSE),DATE(9999,12,31))),"Y","")</f>
        <v>0</v>
      </c>
    </row>
    <row r="95" spans="7:8">
      <c r="G95" s="2">
        <f>IF(F95="PASS", E95, "")</f>
        <v>0</v>
      </c>
      <c r="H95">
        <f>IF(AND(F95="PASS", G95&lt;=IFERROR(VLOOKUP(A95,Graduation_Cutoff!$A$2:$B$8,2,FALSE),DATE(9999,12,31))),"Y","")</f>
        <v>0</v>
      </c>
    </row>
    <row r="96" spans="7:8">
      <c r="G96" s="2">
        <f>IF(F96="PASS", E96, "")</f>
        <v>0</v>
      </c>
      <c r="H96">
        <f>IF(AND(F96="PASS", G96&lt;=IFERROR(VLOOKUP(A96,Graduation_Cutoff!$A$2:$B$8,2,FALSE),DATE(9999,12,31))),"Y","")</f>
        <v>0</v>
      </c>
    </row>
    <row r="97" spans="7:8">
      <c r="G97" s="2">
        <f>IF(F97="PASS", E97, "")</f>
        <v>0</v>
      </c>
      <c r="H97">
        <f>IF(AND(F97="PASS", G97&lt;=IFERROR(VLOOKUP(A97,Graduation_Cutoff!$A$2:$B$8,2,FALSE),DATE(9999,12,31))),"Y","")</f>
        <v>0</v>
      </c>
    </row>
    <row r="98" spans="7:8">
      <c r="G98" s="2">
        <f>IF(F98="PASS", E98, "")</f>
        <v>0</v>
      </c>
      <c r="H98">
        <f>IF(AND(F98="PASS", G98&lt;=IFERROR(VLOOKUP(A98,Graduation_Cutoff!$A$2:$B$8,2,FALSE),DATE(9999,12,31))),"Y","")</f>
        <v>0</v>
      </c>
    </row>
    <row r="99" spans="7:8">
      <c r="G99" s="2">
        <f>IF(F99="PASS", E99, "")</f>
        <v>0</v>
      </c>
      <c r="H99">
        <f>IF(AND(F99="PASS", G99&lt;=IFERROR(VLOOKUP(A99,Graduation_Cutoff!$A$2:$B$8,2,FALSE),DATE(9999,12,31))),"Y","")</f>
        <v>0</v>
      </c>
    </row>
    <row r="100" spans="7:8">
      <c r="G100" s="2">
        <f>IF(F100="PASS", E100, "")</f>
        <v>0</v>
      </c>
      <c r="H100">
        <f>IF(AND(F100="PASS", G100&lt;=IFERROR(VLOOKUP(A100,Graduation_Cutoff!$A$2:$B$8,2,FALSE),DATE(9999,12,31))),"Y","")</f>
        <v>0</v>
      </c>
    </row>
    <row r="101" spans="7:8">
      <c r="G101" s="2">
        <f>IF(F101="PASS", E101, "")</f>
        <v>0</v>
      </c>
      <c r="H101">
        <f>IF(AND(F101="PASS", G101&lt;=IFERROR(VLOOKUP(A101,Graduation_Cutoff!$A$2:$B$8,2,FALSE),DATE(9999,12,31))),"Y","")</f>
        <v>0</v>
      </c>
    </row>
    <row r="102" spans="7:8">
      <c r="G102" s="2">
        <f>IF(F102="PASS", E102, "")</f>
        <v>0</v>
      </c>
      <c r="H102">
        <f>IF(AND(F102="PASS", G102&lt;=IFERROR(VLOOKUP(A102,Graduation_Cutoff!$A$2:$B$8,2,FALSE),DATE(9999,12,31))),"Y","")</f>
        <v>0</v>
      </c>
    </row>
    <row r="103" spans="7:8">
      <c r="G103" s="2">
        <f>IF(F103="PASS", E103, "")</f>
        <v>0</v>
      </c>
      <c r="H103">
        <f>IF(AND(F103="PASS", G103&lt;=IFERROR(VLOOKUP(A103,Graduation_Cutoff!$A$2:$B$8,2,FALSE),DATE(9999,12,31))),"Y","")</f>
        <v>0</v>
      </c>
    </row>
    <row r="104" spans="7:8">
      <c r="G104" s="2">
        <f>IF(F104="PASS", E104, "")</f>
        <v>0</v>
      </c>
      <c r="H104">
        <f>IF(AND(F104="PASS", G104&lt;=IFERROR(VLOOKUP(A104,Graduation_Cutoff!$A$2:$B$8,2,FALSE),DATE(9999,12,31))),"Y","")</f>
        <v>0</v>
      </c>
    </row>
    <row r="105" spans="7:8">
      <c r="G105" s="2">
        <f>IF(F105="PASS", E105, "")</f>
        <v>0</v>
      </c>
      <c r="H105">
        <f>IF(AND(F105="PASS", G105&lt;=IFERROR(VLOOKUP(A105,Graduation_Cutoff!$A$2:$B$8,2,FALSE),DATE(9999,12,31))),"Y","")</f>
        <v>0</v>
      </c>
    </row>
    <row r="106" spans="7:8">
      <c r="G106" s="2">
        <f>IF(F106="PASS", E106, "")</f>
        <v>0</v>
      </c>
      <c r="H106">
        <f>IF(AND(F106="PASS", G106&lt;=IFERROR(VLOOKUP(A106,Graduation_Cutoff!$A$2:$B$8,2,FALSE),DATE(9999,12,31))),"Y","")</f>
        <v>0</v>
      </c>
    </row>
    <row r="107" spans="7:8">
      <c r="G107" s="2">
        <f>IF(F107="PASS", E107, "")</f>
        <v>0</v>
      </c>
      <c r="H107">
        <f>IF(AND(F107="PASS", G107&lt;=IFERROR(VLOOKUP(A107,Graduation_Cutoff!$A$2:$B$8,2,FALSE),DATE(9999,12,31))),"Y","")</f>
        <v>0</v>
      </c>
    </row>
    <row r="108" spans="7:8">
      <c r="G108" s="2">
        <f>IF(F108="PASS", E108, "")</f>
        <v>0</v>
      </c>
      <c r="H108">
        <f>IF(AND(F108="PASS", G108&lt;=IFERROR(VLOOKUP(A108,Graduation_Cutoff!$A$2:$B$8,2,FALSE),DATE(9999,12,31))),"Y","")</f>
        <v>0</v>
      </c>
    </row>
    <row r="109" spans="7:8">
      <c r="G109" s="2">
        <f>IF(F109="PASS", E109, "")</f>
        <v>0</v>
      </c>
      <c r="H109">
        <f>IF(AND(F109="PASS", G109&lt;=IFERROR(VLOOKUP(A109,Graduation_Cutoff!$A$2:$B$8,2,FALSE),DATE(9999,12,31))),"Y","")</f>
        <v>0</v>
      </c>
    </row>
    <row r="110" spans="7:8">
      <c r="G110" s="2">
        <f>IF(F110="PASS", E110, "")</f>
        <v>0</v>
      </c>
      <c r="H110">
        <f>IF(AND(F110="PASS", G110&lt;=IFERROR(VLOOKUP(A110,Graduation_Cutoff!$A$2:$B$8,2,FALSE),DATE(9999,12,31))),"Y","")</f>
        <v>0</v>
      </c>
    </row>
    <row r="111" spans="7:8">
      <c r="G111" s="2">
        <f>IF(F111="PASS", E111, "")</f>
        <v>0</v>
      </c>
      <c r="H111">
        <f>IF(AND(F111="PASS", G111&lt;=IFERROR(VLOOKUP(A111,Graduation_Cutoff!$A$2:$B$8,2,FALSE),DATE(9999,12,31))),"Y","")</f>
        <v>0</v>
      </c>
    </row>
    <row r="112" spans="7:8">
      <c r="G112" s="2">
        <f>IF(F112="PASS", E112, "")</f>
        <v>0</v>
      </c>
      <c r="H112">
        <f>IF(AND(F112="PASS", G112&lt;=IFERROR(VLOOKUP(A112,Graduation_Cutoff!$A$2:$B$8,2,FALSE),DATE(9999,12,31))),"Y","")</f>
        <v>0</v>
      </c>
    </row>
    <row r="113" spans="7:8">
      <c r="G113" s="2">
        <f>IF(F113="PASS", E113, "")</f>
        <v>0</v>
      </c>
      <c r="H113">
        <f>IF(AND(F113="PASS", G113&lt;=IFERROR(VLOOKUP(A113,Graduation_Cutoff!$A$2:$B$8,2,FALSE),DATE(9999,12,31))),"Y","")</f>
        <v>0</v>
      </c>
    </row>
    <row r="114" spans="7:8">
      <c r="G114" s="2">
        <f>IF(F114="PASS", E114, "")</f>
        <v>0</v>
      </c>
      <c r="H114">
        <f>IF(AND(F114="PASS", G114&lt;=IFERROR(VLOOKUP(A114,Graduation_Cutoff!$A$2:$B$8,2,FALSE),DATE(9999,12,31))),"Y","")</f>
        <v>0</v>
      </c>
    </row>
    <row r="115" spans="7:8">
      <c r="G115" s="2">
        <f>IF(F115="PASS", E115, "")</f>
        <v>0</v>
      </c>
      <c r="H115">
        <f>IF(AND(F115="PASS", G115&lt;=IFERROR(VLOOKUP(A115,Graduation_Cutoff!$A$2:$B$8,2,FALSE),DATE(9999,12,31))),"Y","")</f>
        <v>0</v>
      </c>
    </row>
    <row r="116" spans="7:8">
      <c r="G116" s="2">
        <f>IF(F116="PASS", E116, "")</f>
        <v>0</v>
      </c>
      <c r="H116">
        <f>IF(AND(F116="PASS", G116&lt;=IFERROR(VLOOKUP(A116,Graduation_Cutoff!$A$2:$B$8,2,FALSE),DATE(9999,12,31))),"Y","")</f>
        <v>0</v>
      </c>
    </row>
    <row r="117" spans="7:8">
      <c r="G117" s="2">
        <f>IF(F117="PASS", E117, "")</f>
        <v>0</v>
      </c>
      <c r="H117">
        <f>IF(AND(F117="PASS", G117&lt;=IFERROR(VLOOKUP(A117,Graduation_Cutoff!$A$2:$B$8,2,FALSE),DATE(9999,12,31))),"Y","")</f>
        <v>0</v>
      </c>
    </row>
    <row r="118" spans="7:8">
      <c r="G118" s="2">
        <f>IF(F118="PASS", E118, "")</f>
        <v>0</v>
      </c>
      <c r="H118">
        <f>IF(AND(F118="PASS", G118&lt;=IFERROR(VLOOKUP(A118,Graduation_Cutoff!$A$2:$B$8,2,FALSE),DATE(9999,12,31))),"Y","")</f>
        <v>0</v>
      </c>
    </row>
    <row r="119" spans="7:8">
      <c r="G119" s="2">
        <f>IF(F119="PASS", E119, "")</f>
        <v>0</v>
      </c>
      <c r="H119">
        <f>IF(AND(F119="PASS", G119&lt;=IFERROR(VLOOKUP(A119,Graduation_Cutoff!$A$2:$B$8,2,FALSE),DATE(9999,12,31))),"Y","")</f>
        <v>0</v>
      </c>
    </row>
    <row r="120" spans="7:8">
      <c r="G120" s="2">
        <f>IF(F120="PASS", E120, "")</f>
        <v>0</v>
      </c>
      <c r="H120">
        <f>IF(AND(F120="PASS", G120&lt;=IFERROR(VLOOKUP(A120,Graduation_Cutoff!$A$2:$B$8,2,FALSE),DATE(9999,12,31))),"Y","")</f>
        <v>0</v>
      </c>
    </row>
    <row r="121" spans="7:8">
      <c r="G121" s="2">
        <f>IF(F121="PASS", E121, "")</f>
        <v>0</v>
      </c>
      <c r="H121">
        <f>IF(AND(F121="PASS", G121&lt;=IFERROR(VLOOKUP(A121,Graduation_Cutoff!$A$2:$B$8,2,FALSE),DATE(9999,12,31))),"Y","")</f>
        <v>0</v>
      </c>
    </row>
    <row r="122" spans="7:8">
      <c r="G122" s="2">
        <f>IF(F122="PASS", E122, "")</f>
        <v>0</v>
      </c>
      <c r="H122">
        <f>IF(AND(F122="PASS", G122&lt;=IFERROR(VLOOKUP(A122,Graduation_Cutoff!$A$2:$B$8,2,FALSE),DATE(9999,12,31))),"Y","")</f>
        <v>0</v>
      </c>
    </row>
    <row r="123" spans="7:8">
      <c r="G123" s="2">
        <f>IF(F123="PASS", E123, "")</f>
        <v>0</v>
      </c>
      <c r="H123">
        <f>IF(AND(F123="PASS", G123&lt;=IFERROR(VLOOKUP(A123,Graduation_Cutoff!$A$2:$B$8,2,FALSE),DATE(9999,12,31))),"Y","")</f>
        <v>0</v>
      </c>
    </row>
    <row r="124" spans="7:8">
      <c r="G124" s="2">
        <f>IF(F124="PASS", E124, "")</f>
        <v>0</v>
      </c>
      <c r="H124">
        <f>IF(AND(F124="PASS", G124&lt;=IFERROR(VLOOKUP(A124,Graduation_Cutoff!$A$2:$B$8,2,FALSE),DATE(9999,12,31))),"Y","")</f>
        <v>0</v>
      </c>
    </row>
    <row r="125" spans="7:8">
      <c r="G125" s="2">
        <f>IF(F125="PASS", E125, "")</f>
        <v>0</v>
      </c>
      <c r="H125">
        <f>IF(AND(F125="PASS", G125&lt;=IFERROR(VLOOKUP(A125,Graduation_Cutoff!$A$2:$B$8,2,FALSE),DATE(9999,12,31))),"Y","")</f>
        <v>0</v>
      </c>
    </row>
    <row r="126" spans="7:8">
      <c r="G126" s="2">
        <f>IF(F126="PASS", E126, "")</f>
        <v>0</v>
      </c>
      <c r="H126">
        <f>IF(AND(F126="PASS", G126&lt;=IFERROR(VLOOKUP(A126,Graduation_Cutoff!$A$2:$B$8,2,FALSE),DATE(9999,12,31))),"Y","")</f>
        <v>0</v>
      </c>
    </row>
    <row r="127" spans="7:8">
      <c r="G127" s="2">
        <f>IF(F127="PASS", E127, "")</f>
        <v>0</v>
      </c>
      <c r="H127">
        <f>IF(AND(F127="PASS", G127&lt;=IFERROR(VLOOKUP(A127,Graduation_Cutoff!$A$2:$B$8,2,FALSE),DATE(9999,12,31))),"Y","")</f>
        <v>0</v>
      </c>
    </row>
    <row r="128" spans="7:8">
      <c r="G128" s="2">
        <f>IF(F128="PASS", E128, "")</f>
        <v>0</v>
      </c>
      <c r="H128">
        <f>IF(AND(F128="PASS", G128&lt;=IFERROR(VLOOKUP(A128,Graduation_Cutoff!$A$2:$B$8,2,FALSE),DATE(9999,12,31))),"Y","")</f>
        <v>0</v>
      </c>
    </row>
    <row r="129" spans="7:8">
      <c r="G129" s="2">
        <f>IF(F129="PASS", E129, "")</f>
        <v>0</v>
      </c>
      <c r="H129">
        <f>IF(AND(F129="PASS", G129&lt;=IFERROR(VLOOKUP(A129,Graduation_Cutoff!$A$2:$B$8,2,FALSE),DATE(9999,12,31))),"Y","")</f>
        <v>0</v>
      </c>
    </row>
    <row r="130" spans="7:8">
      <c r="G130" s="2">
        <f>IF(F130="PASS", E130, "")</f>
        <v>0</v>
      </c>
      <c r="H130">
        <f>IF(AND(F130="PASS", G130&lt;=IFERROR(VLOOKUP(A130,Graduation_Cutoff!$A$2:$B$8,2,FALSE),DATE(9999,12,31))),"Y","")</f>
        <v>0</v>
      </c>
    </row>
    <row r="131" spans="7:8">
      <c r="G131" s="2">
        <f>IF(F131="PASS", E131, "")</f>
        <v>0</v>
      </c>
      <c r="H131">
        <f>IF(AND(F131="PASS", G131&lt;=IFERROR(VLOOKUP(A131,Graduation_Cutoff!$A$2:$B$8,2,FALSE),DATE(9999,12,31))),"Y","")</f>
        <v>0</v>
      </c>
    </row>
    <row r="132" spans="7:8">
      <c r="G132" s="2">
        <f>IF(F132="PASS", E132, "")</f>
        <v>0</v>
      </c>
      <c r="H132">
        <f>IF(AND(F132="PASS", G132&lt;=IFERROR(VLOOKUP(A132,Graduation_Cutoff!$A$2:$B$8,2,FALSE),DATE(9999,12,31))),"Y","")</f>
        <v>0</v>
      </c>
    </row>
    <row r="133" spans="7:8">
      <c r="G133" s="2">
        <f>IF(F133="PASS", E133, "")</f>
        <v>0</v>
      </c>
      <c r="H133">
        <f>IF(AND(F133="PASS", G133&lt;=IFERROR(VLOOKUP(A133,Graduation_Cutoff!$A$2:$B$8,2,FALSE),DATE(9999,12,31))),"Y","")</f>
        <v>0</v>
      </c>
    </row>
    <row r="134" spans="7:8">
      <c r="G134" s="2">
        <f>IF(F134="PASS", E134, "")</f>
        <v>0</v>
      </c>
      <c r="H134">
        <f>IF(AND(F134="PASS", G134&lt;=IFERROR(VLOOKUP(A134,Graduation_Cutoff!$A$2:$B$8,2,FALSE),DATE(9999,12,31))),"Y","")</f>
        <v>0</v>
      </c>
    </row>
    <row r="135" spans="7:8">
      <c r="G135" s="2">
        <f>IF(F135="PASS", E135, "")</f>
        <v>0</v>
      </c>
      <c r="H135">
        <f>IF(AND(F135="PASS", G135&lt;=IFERROR(VLOOKUP(A135,Graduation_Cutoff!$A$2:$B$8,2,FALSE),DATE(9999,12,31))),"Y","")</f>
        <v>0</v>
      </c>
    </row>
    <row r="136" spans="7:8">
      <c r="G136" s="2">
        <f>IF(F136="PASS", E136, "")</f>
        <v>0</v>
      </c>
      <c r="H136">
        <f>IF(AND(F136="PASS", G136&lt;=IFERROR(VLOOKUP(A136,Graduation_Cutoff!$A$2:$B$8,2,FALSE),DATE(9999,12,31))),"Y","")</f>
        <v>0</v>
      </c>
    </row>
    <row r="137" spans="7:8">
      <c r="G137" s="2">
        <f>IF(F137="PASS", E137, "")</f>
        <v>0</v>
      </c>
      <c r="H137">
        <f>IF(AND(F137="PASS", G137&lt;=IFERROR(VLOOKUP(A137,Graduation_Cutoff!$A$2:$B$8,2,FALSE),DATE(9999,12,31))),"Y","")</f>
        <v>0</v>
      </c>
    </row>
    <row r="138" spans="7:8">
      <c r="G138" s="2">
        <f>IF(F138="PASS", E138, "")</f>
        <v>0</v>
      </c>
      <c r="H138">
        <f>IF(AND(F138="PASS", G138&lt;=IFERROR(VLOOKUP(A138,Graduation_Cutoff!$A$2:$B$8,2,FALSE),DATE(9999,12,31))),"Y","")</f>
        <v>0</v>
      </c>
    </row>
    <row r="139" spans="7:8">
      <c r="G139" s="2">
        <f>IF(F139="PASS", E139, "")</f>
        <v>0</v>
      </c>
      <c r="H139">
        <f>IF(AND(F139="PASS", G139&lt;=IFERROR(VLOOKUP(A139,Graduation_Cutoff!$A$2:$B$8,2,FALSE),DATE(9999,12,31))),"Y","")</f>
        <v>0</v>
      </c>
    </row>
    <row r="140" spans="7:8">
      <c r="G140" s="2">
        <f>IF(F140="PASS", E140, "")</f>
        <v>0</v>
      </c>
      <c r="H140">
        <f>IF(AND(F140="PASS", G140&lt;=IFERROR(VLOOKUP(A140,Graduation_Cutoff!$A$2:$B$8,2,FALSE),DATE(9999,12,31))),"Y","")</f>
        <v>0</v>
      </c>
    </row>
    <row r="141" spans="7:8">
      <c r="G141" s="2">
        <f>IF(F141="PASS", E141, "")</f>
        <v>0</v>
      </c>
      <c r="H141">
        <f>IF(AND(F141="PASS", G141&lt;=IFERROR(VLOOKUP(A141,Graduation_Cutoff!$A$2:$B$8,2,FALSE),DATE(9999,12,31))),"Y","")</f>
        <v>0</v>
      </c>
    </row>
    <row r="142" spans="7:8">
      <c r="G142" s="2">
        <f>IF(F142="PASS", E142, "")</f>
        <v>0</v>
      </c>
      <c r="H142">
        <f>IF(AND(F142="PASS", G142&lt;=IFERROR(VLOOKUP(A142,Graduation_Cutoff!$A$2:$B$8,2,FALSE),DATE(9999,12,31))),"Y","")</f>
        <v>0</v>
      </c>
    </row>
    <row r="143" spans="7:8">
      <c r="G143" s="2">
        <f>IF(F143="PASS", E143, "")</f>
        <v>0</v>
      </c>
      <c r="H143">
        <f>IF(AND(F143="PASS", G143&lt;=IFERROR(VLOOKUP(A143,Graduation_Cutoff!$A$2:$B$8,2,FALSE),DATE(9999,12,31))),"Y","")</f>
        <v>0</v>
      </c>
    </row>
    <row r="144" spans="7:8">
      <c r="G144" s="2">
        <f>IF(F144="PASS", E144, "")</f>
        <v>0</v>
      </c>
      <c r="H144">
        <f>IF(AND(F144="PASS", G144&lt;=IFERROR(VLOOKUP(A144,Graduation_Cutoff!$A$2:$B$8,2,FALSE),DATE(9999,12,31))),"Y","")</f>
        <v>0</v>
      </c>
    </row>
    <row r="145" spans="7:8">
      <c r="G145" s="2">
        <f>IF(F145="PASS", E145, "")</f>
        <v>0</v>
      </c>
      <c r="H145">
        <f>IF(AND(F145="PASS", G145&lt;=IFERROR(VLOOKUP(A145,Graduation_Cutoff!$A$2:$B$8,2,FALSE),DATE(9999,12,31))),"Y","")</f>
        <v>0</v>
      </c>
    </row>
    <row r="146" spans="7:8">
      <c r="G146" s="2">
        <f>IF(F146="PASS", E146, "")</f>
        <v>0</v>
      </c>
      <c r="H146">
        <f>IF(AND(F146="PASS", G146&lt;=IFERROR(VLOOKUP(A146,Graduation_Cutoff!$A$2:$B$8,2,FALSE),DATE(9999,12,31))),"Y","")</f>
        <v>0</v>
      </c>
    </row>
    <row r="147" spans="7:8">
      <c r="G147" s="2">
        <f>IF(F147="PASS", E147, "")</f>
        <v>0</v>
      </c>
      <c r="H147">
        <f>IF(AND(F147="PASS", G147&lt;=IFERROR(VLOOKUP(A147,Graduation_Cutoff!$A$2:$B$8,2,FALSE),DATE(9999,12,31))),"Y","")</f>
        <v>0</v>
      </c>
    </row>
    <row r="148" spans="7:8">
      <c r="G148" s="2">
        <f>IF(F148="PASS", E148, "")</f>
        <v>0</v>
      </c>
      <c r="H148">
        <f>IF(AND(F148="PASS", G148&lt;=IFERROR(VLOOKUP(A148,Graduation_Cutoff!$A$2:$B$8,2,FALSE),DATE(9999,12,31))),"Y","")</f>
        <v>0</v>
      </c>
    </row>
    <row r="149" spans="7:8">
      <c r="G149" s="2">
        <f>IF(F149="PASS", E149, "")</f>
        <v>0</v>
      </c>
      <c r="H149">
        <f>IF(AND(F149="PASS", G149&lt;=IFERROR(VLOOKUP(A149,Graduation_Cutoff!$A$2:$B$8,2,FALSE),DATE(9999,12,31))),"Y","")</f>
        <v>0</v>
      </c>
    </row>
    <row r="150" spans="7:8">
      <c r="G150" s="2">
        <f>IF(F150="PASS", E150, "")</f>
        <v>0</v>
      </c>
      <c r="H150">
        <f>IF(AND(F150="PASS", G150&lt;=IFERROR(VLOOKUP(A150,Graduation_Cutoff!$A$2:$B$8,2,FALSE),DATE(9999,12,31))),"Y","")</f>
        <v>0</v>
      </c>
    </row>
    <row r="151" spans="7:8">
      <c r="G151" s="2">
        <f>IF(F151="PASS", E151, "")</f>
        <v>0</v>
      </c>
      <c r="H151">
        <f>IF(AND(F151="PASS", G151&lt;=IFERROR(VLOOKUP(A151,Graduation_Cutoff!$A$2:$B$8,2,FALSE),DATE(9999,12,31))),"Y","")</f>
        <v>0</v>
      </c>
    </row>
    <row r="152" spans="7:8">
      <c r="G152" s="2">
        <f>IF(F152="PASS", E152, "")</f>
        <v>0</v>
      </c>
      <c r="H152">
        <f>IF(AND(F152="PASS", G152&lt;=IFERROR(VLOOKUP(A152,Graduation_Cutoff!$A$2:$B$8,2,FALSE),DATE(9999,12,31))),"Y","")</f>
        <v>0</v>
      </c>
    </row>
    <row r="153" spans="7:8">
      <c r="G153" s="2">
        <f>IF(F153="PASS", E153, "")</f>
        <v>0</v>
      </c>
      <c r="H153">
        <f>IF(AND(F153="PASS", G153&lt;=IFERROR(VLOOKUP(A153,Graduation_Cutoff!$A$2:$B$8,2,FALSE),DATE(9999,12,31))),"Y","")</f>
        <v>0</v>
      </c>
    </row>
    <row r="154" spans="7:8">
      <c r="G154" s="2">
        <f>IF(F154="PASS", E154, "")</f>
        <v>0</v>
      </c>
      <c r="H154">
        <f>IF(AND(F154="PASS", G154&lt;=IFERROR(VLOOKUP(A154,Graduation_Cutoff!$A$2:$B$8,2,FALSE),DATE(9999,12,31))),"Y","")</f>
        <v>0</v>
      </c>
    </row>
    <row r="155" spans="7:8">
      <c r="G155" s="2">
        <f>IF(F155="PASS", E155, "")</f>
        <v>0</v>
      </c>
      <c r="H155">
        <f>IF(AND(F155="PASS", G155&lt;=IFERROR(VLOOKUP(A155,Graduation_Cutoff!$A$2:$B$8,2,FALSE),DATE(9999,12,31))),"Y","")</f>
        <v>0</v>
      </c>
    </row>
    <row r="156" spans="7:8">
      <c r="G156" s="2">
        <f>IF(F156="PASS", E156, "")</f>
        <v>0</v>
      </c>
      <c r="H156">
        <f>IF(AND(F156="PASS", G156&lt;=IFERROR(VLOOKUP(A156,Graduation_Cutoff!$A$2:$B$8,2,FALSE),DATE(9999,12,31))),"Y","")</f>
        <v>0</v>
      </c>
    </row>
    <row r="157" spans="7:8">
      <c r="G157" s="2">
        <f>IF(F157="PASS", E157, "")</f>
        <v>0</v>
      </c>
      <c r="H157">
        <f>IF(AND(F157="PASS", G157&lt;=IFERROR(VLOOKUP(A157,Graduation_Cutoff!$A$2:$B$8,2,FALSE),DATE(9999,12,31))),"Y","")</f>
        <v>0</v>
      </c>
    </row>
    <row r="158" spans="7:8">
      <c r="G158" s="2">
        <f>IF(F158="PASS", E158, "")</f>
        <v>0</v>
      </c>
      <c r="H158">
        <f>IF(AND(F158="PASS", G158&lt;=IFERROR(VLOOKUP(A158,Graduation_Cutoff!$A$2:$B$8,2,FALSE),DATE(9999,12,31))),"Y","")</f>
        <v>0</v>
      </c>
    </row>
    <row r="159" spans="7:8">
      <c r="G159" s="2">
        <f>IF(F159="PASS", E159, "")</f>
        <v>0</v>
      </c>
      <c r="H159">
        <f>IF(AND(F159="PASS", G159&lt;=IFERROR(VLOOKUP(A159,Graduation_Cutoff!$A$2:$B$8,2,FALSE),DATE(9999,12,31))),"Y","")</f>
        <v>0</v>
      </c>
    </row>
    <row r="160" spans="7:8">
      <c r="G160" s="2">
        <f>IF(F160="PASS", E160, "")</f>
        <v>0</v>
      </c>
      <c r="H160">
        <f>IF(AND(F160="PASS", G160&lt;=IFERROR(VLOOKUP(A160,Graduation_Cutoff!$A$2:$B$8,2,FALSE),DATE(9999,12,31))),"Y","")</f>
        <v>0</v>
      </c>
    </row>
    <row r="161" spans="7:8">
      <c r="G161" s="2">
        <f>IF(F161="PASS", E161, "")</f>
        <v>0</v>
      </c>
      <c r="H161">
        <f>IF(AND(F161="PASS", G161&lt;=IFERROR(VLOOKUP(A161,Graduation_Cutoff!$A$2:$B$8,2,FALSE),DATE(9999,12,31))),"Y","")</f>
        <v>0</v>
      </c>
    </row>
    <row r="162" spans="7:8">
      <c r="G162" s="2">
        <f>IF(F162="PASS", E162, "")</f>
        <v>0</v>
      </c>
      <c r="H162">
        <f>IF(AND(F162="PASS", G162&lt;=IFERROR(VLOOKUP(A162,Graduation_Cutoff!$A$2:$B$8,2,FALSE),DATE(9999,12,31))),"Y","")</f>
        <v>0</v>
      </c>
    </row>
    <row r="163" spans="7:8">
      <c r="G163" s="2">
        <f>IF(F163="PASS", E163, "")</f>
        <v>0</v>
      </c>
      <c r="H163">
        <f>IF(AND(F163="PASS", G163&lt;=IFERROR(VLOOKUP(A163,Graduation_Cutoff!$A$2:$B$8,2,FALSE),DATE(9999,12,31))),"Y","")</f>
        <v>0</v>
      </c>
    </row>
    <row r="164" spans="7:8">
      <c r="G164" s="2">
        <f>IF(F164="PASS", E164, "")</f>
        <v>0</v>
      </c>
      <c r="H164">
        <f>IF(AND(F164="PASS", G164&lt;=IFERROR(VLOOKUP(A164,Graduation_Cutoff!$A$2:$B$8,2,FALSE),DATE(9999,12,31))),"Y","")</f>
        <v>0</v>
      </c>
    </row>
    <row r="165" spans="7:8">
      <c r="G165" s="2">
        <f>IF(F165="PASS", E165, "")</f>
        <v>0</v>
      </c>
      <c r="H165">
        <f>IF(AND(F165="PASS", G165&lt;=IFERROR(VLOOKUP(A165,Graduation_Cutoff!$A$2:$B$8,2,FALSE),DATE(9999,12,31))),"Y","")</f>
        <v>0</v>
      </c>
    </row>
    <row r="166" spans="7:8">
      <c r="G166" s="2">
        <f>IF(F166="PASS", E166, "")</f>
        <v>0</v>
      </c>
      <c r="H166">
        <f>IF(AND(F166="PASS", G166&lt;=IFERROR(VLOOKUP(A166,Graduation_Cutoff!$A$2:$B$8,2,FALSE),DATE(9999,12,31))),"Y","")</f>
        <v>0</v>
      </c>
    </row>
    <row r="167" spans="7:8">
      <c r="G167" s="2">
        <f>IF(F167="PASS", E167, "")</f>
        <v>0</v>
      </c>
      <c r="H167">
        <f>IF(AND(F167="PASS", G167&lt;=IFERROR(VLOOKUP(A167,Graduation_Cutoff!$A$2:$B$8,2,FALSE),DATE(9999,12,31))),"Y","")</f>
        <v>0</v>
      </c>
    </row>
    <row r="168" spans="7:8">
      <c r="G168" s="2">
        <f>IF(F168="PASS", E168, "")</f>
        <v>0</v>
      </c>
      <c r="H168">
        <f>IF(AND(F168="PASS", G168&lt;=IFERROR(VLOOKUP(A168,Graduation_Cutoff!$A$2:$B$8,2,FALSE),DATE(9999,12,31))),"Y","")</f>
        <v>0</v>
      </c>
    </row>
    <row r="169" spans="7:8">
      <c r="G169" s="2">
        <f>IF(F169="PASS", E169, "")</f>
        <v>0</v>
      </c>
      <c r="H169">
        <f>IF(AND(F169="PASS", G169&lt;=IFERROR(VLOOKUP(A169,Graduation_Cutoff!$A$2:$B$8,2,FALSE),DATE(9999,12,31))),"Y","")</f>
        <v>0</v>
      </c>
    </row>
    <row r="170" spans="7:8">
      <c r="G170" s="2">
        <f>IF(F170="PASS", E170, "")</f>
        <v>0</v>
      </c>
      <c r="H170">
        <f>IF(AND(F170="PASS", G170&lt;=IFERROR(VLOOKUP(A170,Graduation_Cutoff!$A$2:$B$8,2,FALSE),DATE(9999,12,31))),"Y","")</f>
        <v>0</v>
      </c>
    </row>
    <row r="171" spans="7:8">
      <c r="G171" s="2">
        <f>IF(F171="PASS", E171, "")</f>
        <v>0</v>
      </c>
      <c r="H171">
        <f>IF(AND(F171="PASS", G171&lt;=IFERROR(VLOOKUP(A171,Graduation_Cutoff!$A$2:$B$8,2,FALSE),DATE(9999,12,31))),"Y","")</f>
        <v>0</v>
      </c>
    </row>
    <row r="172" spans="7:8">
      <c r="G172" s="2">
        <f>IF(F172="PASS", E172, "")</f>
        <v>0</v>
      </c>
      <c r="H172">
        <f>IF(AND(F172="PASS", G172&lt;=IFERROR(VLOOKUP(A172,Graduation_Cutoff!$A$2:$B$8,2,FALSE),DATE(9999,12,31))),"Y","")</f>
        <v>0</v>
      </c>
    </row>
    <row r="173" spans="7:8">
      <c r="G173" s="2">
        <f>IF(F173="PASS", E173, "")</f>
        <v>0</v>
      </c>
      <c r="H173">
        <f>IF(AND(F173="PASS", G173&lt;=IFERROR(VLOOKUP(A173,Graduation_Cutoff!$A$2:$B$8,2,FALSE),DATE(9999,12,31))),"Y","")</f>
        <v>0</v>
      </c>
    </row>
    <row r="174" spans="7:8">
      <c r="G174" s="2">
        <f>IF(F174="PASS", E174, "")</f>
        <v>0</v>
      </c>
      <c r="H174">
        <f>IF(AND(F174="PASS", G174&lt;=IFERROR(VLOOKUP(A174,Graduation_Cutoff!$A$2:$B$8,2,FALSE),DATE(9999,12,31))),"Y","")</f>
        <v>0</v>
      </c>
    </row>
    <row r="175" spans="7:8">
      <c r="G175" s="2">
        <f>IF(F175="PASS", E175, "")</f>
        <v>0</v>
      </c>
      <c r="H175">
        <f>IF(AND(F175="PASS", G175&lt;=IFERROR(VLOOKUP(A175,Graduation_Cutoff!$A$2:$B$8,2,FALSE),DATE(9999,12,31))),"Y","")</f>
        <v>0</v>
      </c>
    </row>
    <row r="176" spans="7:8">
      <c r="G176" s="2">
        <f>IF(F176="PASS", E176, "")</f>
        <v>0</v>
      </c>
      <c r="H176">
        <f>IF(AND(F176="PASS", G176&lt;=IFERROR(VLOOKUP(A176,Graduation_Cutoff!$A$2:$B$8,2,FALSE),DATE(9999,12,31))),"Y","")</f>
        <v>0</v>
      </c>
    </row>
    <row r="177" spans="7:8">
      <c r="G177" s="2">
        <f>IF(F177="PASS", E177, "")</f>
        <v>0</v>
      </c>
      <c r="H177">
        <f>IF(AND(F177="PASS", G177&lt;=IFERROR(VLOOKUP(A177,Graduation_Cutoff!$A$2:$B$8,2,FALSE),DATE(9999,12,31))),"Y","")</f>
        <v>0</v>
      </c>
    </row>
    <row r="178" spans="7:8">
      <c r="G178" s="2">
        <f>IF(F178="PASS", E178, "")</f>
        <v>0</v>
      </c>
      <c r="H178">
        <f>IF(AND(F178="PASS", G178&lt;=IFERROR(VLOOKUP(A178,Graduation_Cutoff!$A$2:$B$8,2,FALSE),DATE(9999,12,31))),"Y","")</f>
        <v>0</v>
      </c>
    </row>
    <row r="179" spans="7:8">
      <c r="G179" s="2">
        <f>IF(F179="PASS", E179, "")</f>
        <v>0</v>
      </c>
      <c r="H179">
        <f>IF(AND(F179="PASS", G179&lt;=IFERROR(VLOOKUP(A179,Graduation_Cutoff!$A$2:$B$8,2,FALSE),DATE(9999,12,31))),"Y","")</f>
        <v>0</v>
      </c>
    </row>
    <row r="180" spans="7:8">
      <c r="G180" s="2">
        <f>IF(F180="PASS", E180, "")</f>
        <v>0</v>
      </c>
      <c r="H180">
        <f>IF(AND(F180="PASS", G180&lt;=IFERROR(VLOOKUP(A180,Graduation_Cutoff!$A$2:$B$8,2,FALSE),DATE(9999,12,31))),"Y","")</f>
        <v>0</v>
      </c>
    </row>
    <row r="181" spans="7:8">
      <c r="G181" s="2">
        <f>IF(F181="PASS", E181, "")</f>
        <v>0</v>
      </c>
      <c r="H181">
        <f>IF(AND(F181="PASS", G181&lt;=IFERROR(VLOOKUP(A181,Graduation_Cutoff!$A$2:$B$8,2,FALSE),DATE(9999,12,31))),"Y","")</f>
        <v>0</v>
      </c>
    </row>
    <row r="182" spans="7:8">
      <c r="G182" s="2">
        <f>IF(F182="PASS", E182, "")</f>
        <v>0</v>
      </c>
      <c r="H182">
        <f>IF(AND(F182="PASS", G182&lt;=IFERROR(VLOOKUP(A182,Graduation_Cutoff!$A$2:$B$8,2,FALSE),DATE(9999,12,31))),"Y","")</f>
        <v>0</v>
      </c>
    </row>
    <row r="183" spans="7:8">
      <c r="G183" s="2">
        <f>IF(F183="PASS", E183, "")</f>
        <v>0</v>
      </c>
      <c r="H183">
        <f>IF(AND(F183="PASS", G183&lt;=IFERROR(VLOOKUP(A183,Graduation_Cutoff!$A$2:$B$8,2,FALSE),DATE(9999,12,31))),"Y","")</f>
        <v>0</v>
      </c>
    </row>
    <row r="184" spans="7:8">
      <c r="G184" s="2">
        <f>IF(F184="PASS", E184, "")</f>
        <v>0</v>
      </c>
      <c r="H184">
        <f>IF(AND(F184="PASS", G184&lt;=IFERROR(VLOOKUP(A184,Graduation_Cutoff!$A$2:$B$8,2,FALSE),DATE(9999,12,31))),"Y","")</f>
        <v>0</v>
      </c>
    </row>
    <row r="185" spans="7:8">
      <c r="G185" s="2">
        <f>IF(F185="PASS", E185, "")</f>
        <v>0</v>
      </c>
      <c r="H185">
        <f>IF(AND(F185="PASS", G185&lt;=IFERROR(VLOOKUP(A185,Graduation_Cutoff!$A$2:$B$8,2,FALSE),DATE(9999,12,31))),"Y","")</f>
        <v>0</v>
      </c>
    </row>
    <row r="186" spans="7:8">
      <c r="G186" s="2">
        <f>IF(F186="PASS", E186, "")</f>
        <v>0</v>
      </c>
      <c r="H186">
        <f>IF(AND(F186="PASS", G186&lt;=IFERROR(VLOOKUP(A186,Graduation_Cutoff!$A$2:$B$8,2,FALSE),DATE(9999,12,31))),"Y","")</f>
        <v>0</v>
      </c>
    </row>
    <row r="187" spans="7:8">
      <c r="G187" s="2">
        <f>IF(F187="PASS", E187, "")</f>
        <v>0</v>
      </c>
      <c r="H187">
        <f>IF(AND(F187="PASS", G187&lt;=IFERROR(VLOOKUP(A187,Graduation_Cutoff!$A$2:$B$8,2,FALSE),DATE(9999,12,31))),"Y","")</f>
        <v>0</v>
      </c>
    </row>
    <row r="188" spans="7:8">
      <c r="G188" s="2">
        <f>IF(F188="PASS", E188, "")</f>
        <v>0</v>
      </c>
      <c r="H188">
        <f>IF(AND(F188="PASS", G188&lt;=IFERROR(VLOOKUP(A188,Graduation_Cutoff!$A$2:$B$8,2,FALSE),DATE(9999,12,31))),"Y","")</f>
        <v>0</v>
      </c>
    </row>
    <row r="189" spans="7:8">
      <c r="G189" s="2">
        <f>IF(F189="PASS", E189, "")</f>
        <v>0</v>
      </c>
      <c r="H189">
        <f>IF(AND(F189="PASS", G189&lt;=IFERROR(VLOOKUP(A189,Graduation_Cutoff!$A$2:$B$8,2,FALSE),DATE(9999,12,31))),"Y","")</f>
        <v>0</v>
      </c>
    </row>
    <row r="190" spans="7:8">
      <c r="G190" s="2">
        <f>IF(F190="PASS", E190, "")</f>
        <v>0</v>
      </c>
      <c r="H190">
        <f>IF(AND(F190="PASS", G190&lt;=IFERROR(VLOOKUP(A190,Graduation_Cutoff!$A$2:$B$8,2,FALSE),DATE(9999,12,31))),"Y","")</f>
        <v>0</v>
      </c>
    </row>
    <row r="191" spans="7:8">
      <c r="G191" s="2">
        <f>IF(F191="PASS", E191, "")</f>
        <v>0</v>
      </c>
      <c r="H191">
        <f>IF(AND(F191="PASS", G191&lt;=IFERROR(VLOOKUP(A191,Graduation_Cutoff!$A$2:$B$8,2,FALSE),DATE(9999,12,31))),"Y","")</f>
        <v>0</v>
      </c>
    </row>
    <row r="192" spans="7:8">
      <c r="G192" s="2">
        <f>IF(F192="PASS", E192, "")</f>
        <v>0</v>
      </c>
      <c r="H192">
        <f>IF(AND(F192="PASS", G192&lt;=IFERROR(VLOOKUP(A192,Graduation_Cutoff!$A$2:$B$8,2,FALSE),DATE(9999,12,31))),"Y","")</f>
        <v>0</v>
      </c>
    </row>
    <row r="193" spans="7:8">
      <c r="G193" s="2">
        <f>IF(F193="PASS", E193, "")</f>
        <v>0</v>
      </c>
      <c r="H193">
        <f>IF(AND(F193="PASS", G193&lt;=IFERROR(VLOOKUP(A193,Graduation_Cutoff!$A$2:$B$8,2,FALSE),DATE(9999,12,31))),"Y","")</f>
        <v>0</v>
      </c>
    </row>
    <row r="194" spans="7:8">
      <c r="G194" s="2">
        <f>IF(F194="PASS", E194, "")</f>
        <v>0</v>
      </c>
      <c r="H194">
        <f>IF(AND(F194="PASS", G194&lt;=IFERROR(VLOOKUP(A194,Graduation_Cutoff!$A$2:$B$8,2,FALSE),DATE(9999,12,31))),"Y","")</f>
        <v>0</v>
      </c>
    </row>
    <row r="195" spans="7:8">
      <c r="G195" s="2">
        <f>IF(F195="PASS", E195, "")</f>
        <v>0</v>
      </c>
      <c r="H195">
        <f>IF(AND(F195="PASS", G195&lt;=IFERROR(VLOOKUP(A195,Graduation_Cutoff!$A$2:$B$8,2,FALSE),DATE(9999,12,31))),"Y","")</f>
        <v>0</v>
      </c>
    </row>
    <row r="196" spans="7:8">
      <c r="G196" s="2">
        <f>IF(F196="PASS", E196, "")</f>
        <v>0</v>
      </c>
      <c r="H196">
        <f>IF(AND(F196="PASS", G196&lt;=IFERROR(VLOOKUP(A196,Graduation_Cutoff!$A$2:$B$8,2,FALSE),DATE(9999,12,31))),"Y","")</f>
        <v>0</v>
      </c>
    </row>
    <row r="197" spans="7:8">
      <c r="G197" s="2">
        <f>IF(F197="PASS", E197, "")</f>
        <v>0</v>
      </c>
      <c r="H197">
        <f>IF(AND(F197="PASS", G197&lt;=IFERROR(VLOOKUP(A197,Graduation_Cutoff!$A$2:$B$8,2,FALSE),DATE(9999,12,31))),"Y","")</f>
        <v>0</v>
      </c>
    </row>
    <row r="198" spans="7:8">
      <c r="G198" s="2">
        <f>IF(F198="PASS", E198, "")</f>
        <v>0</v>
      </c>
      <c r="H198">
        <f>IF(AND(F198="PASS", G198&lt;=IFERROR(VLOOKUP(A198,Graduation_Cutoff!$A$2:$B$8,2,FALSE),DATE(9999,12,31))),"Y","")</f>
        <v>0</v>
      </c>
    </row>
    <row r="199" spans="7:8">
      <c r="G199" s="2">
        <f>IF(F199="PASS", E199, "")</f>
        <v>0</v>
      </c>
      <c r="H199">
        <f>IF(AND(F199="PASS", G199&lt;=IFERROR(VLOOKUP(A199,Graduation_Cutoff!$A$2:$B$8,2,FALSE),DATE(9999,12,31))),"Y","")</f>
        <v>0</v>
      </c>
    </row>
    <row r="200" spans="7:8">
      <c r="G200" s="2">
        <f>IF(F200="PASS", E200, "")</f>
        <v>0</v>
      </c>
      <c r="H200">
        <f>IF(AND(F200="PASS", G200&lt;=IFERROR(VLOOKUP(A200,Graduation_Cutoff!$A$2:$B$8,2,FALSE),DATE(9999,12,31))),"Y","")</f>
        <v>0</v>
      </c>
    </row>
    <row r="201" spans="7:8">
      <c r="G201" s="2">
        <f>IF(F201="PASS", E201, "")</f>
        <v>0</v>
      </c>
      <c r="H201">
        <f>IF(AND(F201="PASS", G201&lt;=IFERROR(VLOOKUP(A201,Graduation_Cutoff!$A$2:$B$8,2,FALSE),DATE(9999,12,31))),"Y","")</f>
        <v>0</v>
      </c>
    </row>
    <row r="202" spans="7:8">
      <c r="G202" s="2">
        <f>IF(F202="PASS", E202, "")</f>
        <v>0</v>
      </c>
      <c r="H202">
        <f>IF(AND(F202="PASS", G202&lt;=IFERROR(VLOOKUP(A202,Graduation_Cutoff!$A$2:$B$8,2,FALSE),DATE(9999,12,31))),"Y","")</f>
        <v>0</v>
      </c>
    </row>
    <row r="203" spans="7:8">
      <c r="G203" s="2">
        <f>IF(F203="PASS", E203, "")</f>
        <v>0</v>
      </c>
      <c r="H203">
        <f>IF(AND(F203="PASS", G203&lt;=IFERROR(VLOOKUP(A203,Graduation_Cutoff!$A$2:$B$8,2,FALSE),DATE(9999,12,31))),"Y","")</f>
        <v>0</v>
      </c>
    </row>
    <row r="204" spans="7:8">
      <c r="G204" s="2">
        <f>IF(F204="PASS", E204, "")</f>
        <v>0</v>
      </c>
      <c r="H204">
        <f>IF(AND(F204="PASS", G204&lt;=IFERROR(VLOOKUP(A204,Graduation_Cutoff!$A$2:$B$8,2,FALSE),DATE(9999,12,31))),"Y","")</f>
        <v>0</v>
      </c>
    </row>
    <row r="205" spans="7:8">
      <c r="G205" s="2">
        <f>IF(F205="PASS", E205, "")</f>
        <v>0</v>
      </c>
      <c r="H205">
        <f>IF(AND(F205="PASS", G205&lt;=IFERROR(VLOOKUP(A205,Graduation_Cutoff!$A$2:$B$8,2,FALSE),DATE(9999,12,31))),"Y","")</f>
        <v>0</v>
      </c>
    </row>
    <row r="206" spans="7:8">
      <c r="G206" s="2">
        <f>IF(F206="PASS", E206, "")</f>
        <v>0</v>
      </c>
      <c r="H206">
        <f>IF(AND(F206="PASS", G206&lt;=IFERROR(VLOOKUP(A206,Graduation_Cutoff!$A$2:$B$8,2,FALSE),DATE(9999,12,31))),"Y","")</f>
        <v>0</v>
      </c>
    </row>
    <row r="207" spans="7:8">
      <c r="G207" s="2">
        <f>IF(F207="PASS", E207, "")</f>
        <v>0</v>
      </c>
      <c r="H207">
        <f>IF(AND(F207="PASS", G207&lt;=IFERROR(VLOOKUP(A207,Graduation_Cutoff!$A$2:$B$8,2,FALSE),DATE(9999,12,31))),"Y","")</f>
        <v>0</v>
      </c>
    </row>
    <row r="208" spans="7:8">
      <c r="G208" s="2">
        <f>IF(F208="PASS", E208, "")</f>
        <v>0</v>
      </c>
      <c r="H208">
        <f>IF(AND(F208="PASS", G208&lt;=IFERROR(VLOOKUP(A208,Graduation_Cutoff!$A$2:$B$8,2,FALSE),DATE(9999,12,31))),"Y","")</f>
        <v>0</v>
      </c>
    </row>
    <row r="209" spans="7:8">
      <c r="G209" s="2">
        <f>IF(F209="PASS", E209, "")</f>
        <v>0</v>
      </c>
      <c r="H209">
        <f>IF(AND(F209="PASS", G209&lt;=IFERROR(VLOOKUP(A209,Graduation_Cutoff!$A$2:$B$8,2,FALSE),DATE(9999,12,31))),"Y","")</f>
        <v>0</v>
      </c>
    </row>
    <row r="210" spans="7:8">
      <c r="G210" s="2">
        <f>IF(F210="PASS", E210, "")</f>
        <v>0</v>
      </c>
      <c r="H210">
        <f>IF(AND(F210="PASS", G210&lt;=IFERROR(VLOOKUP(A210,Graduation_Cutoff!$A$2:$B$8,2,FALSE),DATE(9999,12,31))),"Y","")</f>
        <v>0</v>
      </c>
    </row>
    <row r="211" spans="7:8">
      <c r="G211" s="2">
        <f>IF(F211="PASS", E211, "")</f>
        <v>0</v>
      </c>
      <c r="H211">
        <f>IF(AND(F211="PASS", G211&lt;=IFERROR(VLOOKUP(A211,Graduation_Cutoff!$A$2:$B$8,2,FALSE),DATE(9999,12,31))),"Y","")</f>
        <v>0</v>
      </c>
    </row>
    <row r="212" spans="7:8">
      <c r="G212" s="2">
        <f>IF(F212="PASS", E212, "")</f>
        <v>0</v>
      </c>
      <c r="H212">
        <f>IF(AND(F212="PASS", G212&lt;=IFERROR(VLOOKUP(A212,Graduation_Cutoff!$A$2:$B$8,2,FALSE),DATE(9999,12,31))),"Y","")</f>
        <v>0</v>
      </c>
    </row>
    <row r="213" spans="7:8">
      <c r="G213" s="2">
        <f>IF(F213="PASS", E213, "")</f>
        <v>0</v>
      </c>
      <c r="H213">
        <f>IF(AND(F213="PASS", G213&lt;=IFERROR(VLOOKUP(A213,Graduation_Cutoff!$A$2:$B$8,2,FALSE),DATE(9999,12,31))),"Y","")</f>
        <v>0</v>
      </c>
    </row>
    <row r="214" spans="7:8">
      <c r="G214" s="2">
        <f>IF(F214="PASS", E214, "")</f>
        <v>0</v>
      </c>
      <c r="H214">
        <f>IF(AND(F214="PASS", G214&lt;=IFERROR(VLOOKUP(A214,Graduation_Cutoff!$A$2:$B$8,2,FALSE),DATE(9999,12,31))),"Y","")</f>
        <v>0</v>
      </c>
    </row>
    <row r="215" spans="7:8">
      <c r="G215" s="2">
        <f>IF(F215="PASS", E215, "")</f>
        <v>0</v>
      </c>
      <c r="H215">
        <f>IF(AND(F215="PASS", G215&lt;=IFERROR(VLOOKUP(A215,Graduation_Cutoff!$A$2:$B$8,2,FALSE),DATE(9999,12,31))),"Y","")</f>
        <v>0</v>
      </c>
    </row>
    <row r="216" spans="7:8">
      <c r="G216" s="2">
        <f>IF(F216="PASS", E216, "")</f>
        <v>0</v>
      </c>
      <c r="H216">
        <f>IF(AND(F216="PASS", G216&lt;=IFERROR(VLOOKUP(A216,Graduation_Cutoff!$A$2:$B$8,2,FALSE),DATE(9999,12,31))),"Y","")</f>
        <v>0</v>
      </c>
    </row>
    <row r="217" spans="7:8">
      <c r="G217" s="2">
        <f>IF(F217="PASS", E217, "")</f>
        <v>0</v>
      </c>
      <c r="H217">
        <f>IF(AND(F217="PASS", G217&lt;=IFERROR(VLOOKUP(A217,Graduation_Cutoff!$A$2:$B$8,2,FALSE),DATE(9999,12,31))),"Y","")</f>
        <v>0</v>
      </c>
    </row>
    <row r="218" spans="7:8">
      <c r="G218" s="2">
        <f>IF(F218="PASS", E218, "")</f>
        <v>0</v>
      </c>
      <c r="H218">
        <f>IF(AND(F218="PASS", G218&lt;=IFERROR(VLOOKUP(A218,Graduation_Cutoff!$A$2:$B$8,2,FALSE),DATE(9999,12,31))),"Y","")</f>
        <v>0</v>
      </c>
    </row>
    <row r="219" spans="7:8">
      <c r="G219" s="2">
        <f>IF(F219="PASS", E219, "")</f>
        <v>0</v>
      </c>
      <c r="H219">
        <f>IF(AND(F219="PASS", G219&lt;=IFERROR(VLOOKUP(A219,Graduation_Cutoff!$A$2:$B$8,2,FALSE),DATE(9999,12,31))),"Y","")</f>
        <v>0</v>
      </c>
    </row>
    <row r="220" spans="7:8">
      <c r="G220" s="2">
        <f>IF(F220="PASS", E220, "")</f>
        <v>0</v>
      </c>
      <c r="H220">
        <f>IF(AND(F220="PASS", G220&lt;=IFERROR(VLOOKUP(A220,Graduation_Cutoff!$A$2:$B$8,2,FALSE),DATE(9999,12,31))),"Y","")</f>
        <v>0</v>
      </c>
    </row>
    <row r="221" spans="7:8">
      <c r="G221" s="2">
        <f>IF(F221="PASS", E221, "")</f>
        <v>0</v>
      </c>
      <c r="H221">
        <f>IF(AND(F221="PASS", G221&lt;=IFERROR(VLOOKUP(A221,Graduation_Cutoff!$A$2:$B$8,2,FALSE),DATE(9999,12,31))),"Y","")</f>
        <v>0</v>
      </c>
    </row>
    <row r="222" spans="7:8">
      <c r="G222" s="2">
        <f>IF(F222="PASS", E222, "")</f>
        <v>0</v>
      </c>
      <c r="H222">
        <f>IF(AND(F222="PASS", G222&lt;=IFERROR(VLOOKUP(A222,Graduation_Cutoff!$A$2:$B$8,2,FALSE),DATE(9999,12,31))),"Y","")</f>
        <v>0</v>
      </c>
    </row>
    <row r="223" spans="7:8">
      <c r="G223" s="2">
        <f>IF(F223="PASS", E223, "")</f>
        <v>0</v>
      </c>
      <c r="H223">
        <f>IF(AND(F223="PASS", G223&lt;=IFERROR(VLOOKUP(A223,Graduation_Cutoff!$A$2:$B$8,2,FALSE),DATE(9999,12,31))),"Y","")</f>
        <v>0</v>
      </c>
    </row>
    <row r="224" spans="7:8">
      <c r="G224" s="2">
        <f>IF(F224="PASS", E224, "")</f>
        <v>0</v>
      </c>
      <c r="H224">
        <f>IF(AND(F224="PASS", G224&lt;=IFERROR(VLOOKUP(A224,Graduation_Cutoff!$A$2:$B$8,2,FALSE),DATE(9999,12,31))),"Y","")</f>
        <v>0</v>
      </c>
    </row>
    <row r="225" spans="7:8">
      <c r="G225" s="2">
        <f>IF(F225="PASS", E225, "")</f>
        <v>0</v>
      </c>
      <c r="H225">
        <f>IF(AND(F225="PASS", G225&lt;=IFERROR(VLOOKUP(A225,Graduation_Cutoff!$A$2:$B$8,2,FALSE),DATE(9999,12,31))),"Y","")</f>
        <v>0</v>
      </c>
    </row>
    <row r="226" spans="7:8">
      <c r="G226" s="2">
        <f>IF(F226="PASS", E226, "")</f>
        <v>0</v>
      </c>
      <c r="H226">
        <f>IF(AND(F226="PASS", G226&lt;=IFERROR(VLOOKUP(A226,Graduation_Cutoff!$A$2:$B$8,2,FALSE),DATE(9999,12,31))),"Y","")</f>
        <v>0</v>
      </c>
    </row>
    <row r="227" spans="7:8">
      <c r="G227" s="2">
        <f>IF(F227="PASS", E227, "")</f>
        <v>0</v>
      </c>
      <c r="H227">
        <f>IF(AND(F227="PASS", G227&lt;=IFERROR(VLOOKUP(A227,Graduation_Cutoff!$A$2:$B$8,2,FALSE),DATE(9999,12,31))),"Y","")</f>
        <v>0</v>
      </c>
    </row>
    <row r="228" spans="7:8">
      <c r="G228" s="2">
        <f>IF(F228="PASS", E228, "")</f>
        <v>0</v>
      </c>
      <c r="H228">
        <f>IF(AND(F228="PASS", G228&lt;=IFERROR(VLOOKUP(A228,Graduation_Cutoff!$A$2:$B$8,2,FALSE),DATE(9999,12,31))),"Y","")</f>
        <v>0</v>
      </c>
    </row>
    <row r="229" spans="7:8">
      <c r="G229" s="2">
        <f>IF(F229="PASS", E229, "")</f>
        <v>0</v>
      </c>
      <c r="H229">
        <f>IF(AND(F229="PASS", G229&lt;=IFERROR(VLOOKUP(A229,Graduation_Cutoff!$A$2:$B$8,2,FALSE),DATE(9999,12,31))),"Y","")</f>
        <v>0</v>
      </c>
    </row>
    <row r="230" spans="7:8">
      <c r="G230" s="2">
        <f>IF(F230="PASS", E230, "")</f>
        <v>0</v>
      </c>
      <c r="H230">
        <f>IF(AND(F230="PASS", G230&lt;=IFERROR(VLOOKUP(A230,Graduation_Cutoff!$A$2:$B$8,2,FALSE),DATE(9999,12,31))),"Y","")</f>
        <v>0</v>
      </c>
    </row>
    <row r="231" spans="7:8">
      <c r="G231" s="2">
        <f>IF(F231="PASS", E231, "")</f>
        <v>0</v>
      </c>
      <c r="H231">
        <f>IF(AND(F231="PASS", G231&lt;=IFERROR(VLOOKUP(A231,Graduation_Cutoff!$A$2:$B$8,2,FALSE),DATE(9999,12,31))),"Y","")</f>
        <v>0</v>
      </c>
    </row>
    <row r="232" spans="7:8">
      <c r="G232" s="2">
        <f>IF(F232="PASS", E232, "")</f>
        <v>0</v>
      </c>
      <c r="H232">
        <f>IF(AND(F232="PASS", G232&lt;=IFERROR(VLOOKUP(A232,Graduation_Cutoff!$A$2:$B$8,2,FALSE),DATE(9999,12,31))),"Y","")</f>
        <v>0</v>
      </c>
    </row>
    <row r="233" spans="7:8">
      <c r="G233" s="2">
        <f>IF(F233="PASS", E233, "")</f>
        <v>0</v>
      </c>
      <c r="H233">
        <f>IF(AND(F233="PASS", G233&lt;=IFERROR(VLOOKUP(A233,Graduation_Cutoff!$A$2:$B$8,2,FALSE),DATE(9999,12,31))),"Y","")</f>
        <v>0</v>
      </c>
    </row>
    <row r="234" spans="7:8">
      <c r="G234" s="2">
        <f>IF(F234="PASS", E234, "")</f>
        <v>0</v>
      </c>
      <c r="H234">
        <f>IF(AND(F234="PASS", G234&lt;=IFERROR(VLOOKUP(A234,Graduation_Cutoff!$A$2:$B$8,2,FALSE),DATE(9999,12,31))),"Y","")</f>
        <v>0</v>
      </c>
    </row>
    <row r="235" spans="7:8">
      <c r="G235" s="2">
        <f>IF(F235="PASS", E235, "")</f>
        <v>0</v>
      </c>
      <c r="H235">
        <f>IF(AND(F235="PASS", G235&lt;=IFERROR(VLOOKUP(A235,Graduation_Cutoff!$A$2:$B$8,2,FALSE),DATE(9999,12,31))),"Y","")</f>
        <v>0</v>
      </c>
    </row>
    <row r="236" spans="7:8">
      <c r="G236" s="2">
        <f>IF(F236="PASS", E236, "")</f>
        <v>0</v>
      </c>
      <c r="H236">
        <f>IF(AND(F236="PASS", G236&lt;=IFERROR(VLOOKUP(A236,Graduation_Cutoff!$A$2:$B$8,2,FALSE),DATE(9999,12,31))),"Y","")</f>
        <v>0</v>
      </c>
    </row>
    <row r="237" spans="7:8">
      <c r="G237" s="2">
        <f>IF(F237="PASS", E237, "")</f>
        <v>0</v>
      </c>
      <c r="H237">
        <f>IF(AND(F237="PASS", G237&lt;=IFERROR(VLOOKUP(A237,Graduation_Cutoff!$A$2:$B$8,2,FALSE),DATE(9999,12,31))),"Y","")</f>
        <v>0</v>
      </c>
    </row>
    <row r="238" spans="7:8">
      <c r="G238" s="2">
        <f>IF(F238="PASS", E238, "")</f>
        <v>0</v>
      </c>
      <c r="H238">
        <f>IF(AND(F238="PASS", G238&lt;=IFERROR(VLOOKUP(A238,Graduation_Cutoff!$A$2:$B$8,2,FALSE),DATE(9999,12,31))),"Y","")</f>
        <v>0</v>
      </c>
    </row>
    <row r="239" spans="7:8">
      <c r="G239" s="2">
        <f>IF(F239="PASS", E239, "")</f>
        <v>0</v>
      </c>
      <c r="H239">
        <f>IF(AND(F239="PASS", G239&lt;=IFERROR(VLOOKUP(A239,Graduation_Cutoff!$A$2:$B$8,2,FALSE),DATE(9999,12,31))),"Y","")</f>
        <v>0</v>
      </c>
    </row>
    <row r="240" spans="7:8">
      <c r="G240" s="2">
        <f>IF(F240="PASS", E240, "")</f>
        <v>0</v>
      </c>
      <c r="H240">
        <f>IF(AND(F240="PASS", G240&lt;=IFERROR(VLOOKUP(A240,Graduation_Cutoff!$A$2:$B$8,2,FALSE),DATE(9999,12,31))),"Y","")</f>
        <v>0</v>
      </c>
    </row>
    <row r="241" spans="7:8">
      <c r="G241" s="2">
        <f>IF(F241="PASS", E241, "")</f>
        <v>0</v>
      </c>
      <c r="H241">
        <f>IF(AND(F241="PASS", G241&lt;=IFERROR(VLOOKUP(A241,Graduation_Cutoff!$A$2:$B$8,2,FALSE),DATE(9999,12,31))),"Y","")</f>
        <v>0</v>
      </c>
    </row>
    <row r="242" spans="7:8">
      <c r="G242" s="2">
        <f>IF(F242="PASS", E242, "")</f>
        <v>0</v>
      </c>
      <c r="H242">
        <f>IF(AND(F242="PASS", G242&lt;=IFERROR(VLOOKUP(A242,Graduation_Cutoff!$A$2:$B$8,2,FALSE),DATE(9999,12,31))),"Y","")</f>
        <v>0</v>
      </c>
    </row>
    <row r="243" spans="7:8">
      <c r="G243" s="2">
        <f>IF(F243="PASS", E243, "")</f>
        <v>0</v>
      </c>
      <c r="H243">
        <f>IF(AND(F243="PASS", G243&lt;=IFERROR(VLOOKUP(A243,Graduation_Cutoff!$A$2:$B$8,2,FALSE),DATE(9999,12,31))),"Y","")</f>
        <v>0</v>
      </c>
    </row>
    <row r="244" spans="7:8">
      <c r="G244" s="2">
        <f>IF(F244="PASS", E244, "")</f>
        <v>0</v>
      </c>
      <c r="H244">
        <f>IF(AND(F244="PASS", G244&lt;=IFERROR(VLOOKUP(A244,Graduation_Cutoff!$A$2:$B$8,2,FALSE),DATE(9999,12,31))),"Y","")</f>
        <v>0</v>
      </c>
    </row>
    <row r="245" spans="7:8">
      <c r="G245" s="2">
        <f>IF(F245="PASS", E245, "")</f>
        <v>0</v>
      </c>
      <c r="H245">
        <f>IF(AND(F245="PASS", G245&lt;=IFERROR(VLOOKUP(A245,Graduation_Cutoff!$A$2:$B$8,2,FALSE),DATE(9999,12,31))),"Y","")</f>
        <v>0</v>
      </c>
    </row>
    <row r="246" spans="7:8">
      <c r="G246" s="2">
        <f>IF(F246="PASS", E246, "")</f>
        <v>0</v>
      </c>
      <c r="H246">
        <f>IF(AND(F246="PASS", G246&lt;=IFERROR(VLOOKUP(A246,Graduation_Cutoff!$A$2:$B$8,2,FALSE),DATE(9999,12,31))),"Y","")</f>
        <v>0</v>
      </c>
    </row>
    <row r="247" spans="7:8">
      <c r="G247" s="2">
        <f>IF(F247="PASS", E247, "")</f>
        <v>0</v>
      </c>
      <c r="H247">
        <f>IF(AND(F247="PASS", G247&lt;=IFERROR(VLOOKUP(A247,Graduation_Cutoff!$A$2:$B$8,2,FALSE),DATE(9999,12,31))),"Y","")</f>
        <v>0</v>
      </c>
    </row>
    <row r="248" spans="7:8">
      <c r="G248" s="2">
        <f>IF(F248="PASS", E248, "")</f>
        <v>0</v>
      </c>
      <c r="H248">
        <f>IF(AND(F248="PASS", G248&lt;=IFERROR(VLOOKUP(A248,Graduation_Cutoff!$A$2:$B$8,2,FALSE),DATE(9999,12,31))),"Y","")</f>
        <v>0</v>
      </c>
    </row>
    <row r="249" spans="7:8">
      <c r="G249" s="2">
        <f>IF(F249="PASS", E249, "")</f>
        <v>0</v>
      </c>
      <c r="H249">
        <f>IF(AND(F249="PASS", G249&lt;=IFERROR(VLOOKUP(A249,Graduation_Cutoff!$A$2:$B$8,2,FALSE),DATE(9999,12,31))),"Y","")</f>
        <v>0</v>
      </c>
    </row>
    <row r="250" spans="7:8">
      <c r="G250" s="2">
        <f>IF(F250="PASS", E250, "")</f>
        <v>0</v>
      </c>
      <c r="H250">
        <f>IF(AND(F250="PASS", G250&lt;=IFERROR(VLOOKUP(A250,Graduation_Cutoff!$A$2:$B$8,2,FALSE),DATE(9999,12,31))),"Y","")</f>
        <v>0</v>
      </c>
    </row>
    <row r="251" spans="7:8">
      <c r="G251" s="2">
        <f>IF(F251="PASS", E251, "")</f>
        <v>0</v>
      </c>
      <c r="H251">
        <f>IF(AND(F251="PASS", G251&lt;=IFERROR(VLOOKUP(A251,Graduation_Cutoff!$A$2:$B$8,2,FALSE),DATE(9999,12,31))),"Y","")</f>
        <v>0</v>
      </c>
    </row>
    <row r="252" spans="7:8">
      <c r="G252" s="2">
        <f>IF(F252="PASS", E252, "")</f>
        <v>0</v>
      </c>
      <c r="H252">
        <f>IF(AND(F252="PASS", G252&lt;=IFERROR(VLOOKUP(A252,Graduation_Cutoff!$A$2:$B$8,2,FALSE),DATE(9999,12,31))),"Y","")</f>
        <v>0</v>
      </c>
    </row>
    <row r="253" spans="7:8">
      <c r="G253" s="2">
        <f>IF(F253="PASS", E253, "")</f>
        <v>0</v>
      </c>
      <c r="H253">
        <f>IF(AND(F253="PASS", G253&lt;=IFERROR(VLOOKUP(A253,Graduation_Cutoff!$A$2:$B$8,2,FALSE),DATE(9999,12,31))),"Y","")</f>
        <v>0</v>
      </c>
    </row>
    <row r="254" spans="7:8">
      <c r="G254" s="2">
        <f>IF(F254="PASS", E254, "")</f>
        <v>0</v>
      </c>
      <c r="H254">
        <f>IF(AND(F254="PASS", G254&lt;=IFERROR(VLOOKUP(A254,Graduation_Cutoff!$A$2:$B$8,2,FALSE),DATE(9999,12,31))),"Y","")</f>
        <v>0</v>
      </c>
    </row>
    <row r="255" spans="7:8">
      <c r="G255" s="2">
        <f>IF(F255="PASS", E255, "")</f>
        <v>0</v>
      </c>
      <c r="H255">
        <f>IF(AND(F255="PASS", G255&lt;=IFERROR(VLOOKUP(A255,Graduation_Cutoff!$A$2:$B$8,2,FALSE),DATE(9999,12,31))),"Y","")</f>
        <v>0</v>
      </c>
    </row>
    <row r="256" spans="7:8">
      <c r="G256" s="2">
        <f>IF(F256="PASS", E256, "")</f>
        <v>0</v>
      </c>
      <c r="H256">
        <f>IF(AND(F256="PASS", G256&lt;=IFERROR(VLOOKUP(A256,Graduation_Cutoff!$A$2:$B$8,2,FALSE),DATE(9999,12,31))),"Y","")</f>
        <v>0</v>
      </c>
    </row>
    <row r="257" spans="7:8">
      <c r="G257" s="2">
        <f>IF(F257="PASS", E257, "")</f>
        <v>0</v>
      </c>
      <c r="H257">
        <f>IF(AND(F257="PASS", G257&lt;=IFERROR(VLOOKUP(A257,Graduation_Cutoff!$A$2:$B$8,2,FALSE),DATE(9999,12,31))),"Y","")</f>
        <v>0</v>
      </c>
    </row>
    <row r="258" spans="7:8">
      <c r="G258" s="2">
        <f>IF(F258="PASS", E258, "")</f>
        <v>0</v>
      </c>
      <c r="H258">
        <f>IF(AND(F258="PASS", G258&lt;=IFERROR(VLOOKUP(A258,Graduation_Cutoff!$A$2:$B$8,2,FALSE),DATE(9999,12,31))),"Y","")</f>
        <v>0</v>
      </c>
    </row>
    <row r="259" spans="7:8">
      <c r="G259" s="2">
        <f>IF(F259="PASS", E259, "")</f>
        <v>0</v>
      </c>
      <c r="H259">
        <f>IF(AND(F259="PASS", G259&lt;=IFERROR(VLOOKUP(A259,Graduation_Cutoff!$A$2:$B$8,2,FALSE),DATE(9999,12,31))),"Y","")</f>
        <v>0</v>
      </c>
    </row>
    <row r="260" spans="7:8">
      <c r="G260" s="2">
        <f>IF(F260="PASS", E260, "")</f>
        <v>0</v>
      </c>
      <c r="H260">
        <f>IF(AND(F260="PASS", G260&lt;=IFERROR(VLOOKUP(A260,Graduation_Cutoff!$A$2:$B$8,2,FALSE),DATE(9999,12,31))),"Y","")</f>
        <v>0</v>
      </c>
    </row>
    <row r="261" spans="7:8">
      <c r="G261" s="2">
        <f>IF(F261="PASS", E261, "")</f>
        <v>0</v>
      </c>
      <c r="H261">
        <f>IF(AND(F261="PASS", G261&lt;=IFERROR(VLOOKUP(A261,Graduation_Cutoff!$A$2:$B$8,2,FALSE),DATE(9999,12,31))),"Y","")</f>
        <v>0</v>
      </c>
    </row>
    <row r="262" spans="7:8">
      <c r="G262" s="2">
        <f>IF(F262="PASS", E262, "")</f>
        <v>0</v>
      </c>
      <c r="H262">
        <f>IF(AND(F262="PASS", G262&lt;=IFERROR(VLOOKUP(A262,Graduation_Cutoff!$A$2:$B$8,2,FALSE),DATE(9999,12,31))),"Y","")</f>
        <v>0</v>
      </c>
    </row>
    <row r="263" spans="7:8">
      <c r="G263" s="2">
        <f>IF(F263="PASS", E263, "")</f>
        <v>0</v>
      </c>
      <c r="H263">
        <f>IF(AND(F263="PASS", G263&lt;=IFERROR(VLOOKUP(A263,Graduation_Cutoff!$A$2:$B$8,2,FALSE),DATE(9999,12,31))),"Y","")</f>
        <v>0</v>
      </c>
    </row>
    <row r="264" spans="7:8">
      <c r="G264" s="2">
        <f>IF(F264="PASS", E264, "")</f>
        <v>0</v>
      </c>
      <c r="H264">
        <f>IF(AND(F264="PASS", G264&lt;=IFERROR(VLOOKUP(A264,Graduation_Cutoff!$A$2:$B$8,2,FALSE),DATE(9999,12,31))),"Y","")</f>
        <v>0</v>
      </c>
    </row>
    <row r="265" spans="7:8">
      <c r="G265" s="2">
        <f>IF(F265="PASS", E265, "")</f>
        <v>0</v>
      </c>
      <c r="H265">
        <f>IF(AND(F265="PASS", G265&lt;=IFERROR(VLOOKUP(A265,Graduation_Cutoff!$A$2:$B$8,2,FALSE),DATE(9999,12,31))),"Y","")</f>
        <v>0</v>
      </c>
    </row>
    <row r="266" spans="7:8">
      <c r="G266" s="2">
        <f>IF(F266="PASS", E266, "")</f>
        <v>0</v>
      </c>
      <c r="H266">
        <f>IF(AND(F266="PASS", G266&lt;=IFERROR(VLOOKUP(A266,Graduation_Cutoff!$A$2:$B$8,2,FALSE),DATE(9999,12,31))),"Y","")</f>
        <v>0</v>
      </c>
    </row>
    <row r="267" spans="7:8">
      <c r="G267" s="2">
        <f>IF(F267="PASS", E267, "")</f>
        <v>0</v>
      </c>
      <c r="H267">
        <f>IF(AND(F267="PASS", G267&lt;=IFERROR(VLOOKUP(A267,Graduation_Cutoff!$A$2:$B$8,2,FALSE),DATE(9999,12,31))),"Y","")</f>
        <v>0</v>
      </c>
    </row>
    <row r="268" spans="7:8">
      <c r="G268" s="2">
        <f>IF(F268="PASS", E268, "")</f>
        <v>0</v>
      </c>
      <c r="H268">
        <f>IF(AND(F268="PASS", G268&lt;=IFERROR(VLOOKUP(A268,Graduation_Cutoff!$A$2:$B$8,2,FALSE),DATE(9999,12,31))),"Y","")</f>
        <v>0</v>
      </c>
    </row>
    <row r="269" spans="7:8">
      <c r="G269" s="2">
        <f>IF(F269="PASS", E269, "")</f>
        <v>0</v>
      </c>
      <c r="H269">
        <f>IF(AND(F269="PASS", G269&lt;=IFERROR(VLOOKUP(A269,Graduation_Cutoff!$A$2:$B$8,2,FALSE),DATE(9999,12,31))),"Y","")</f>
        <v>0</v>
      </c>
    </row>
    <row r="270" spans="7:8">
      <c r="G270" s="2">
        <f>IF(F270="PASS", E270, "")</f>
        <v>0</v>
      </c>
      <c r="H270">
        <f>IF(AND(F270="PASS", G270&lt;=IFERROR(VLOOKUP(A270,Graduation_Cutoff!$A$2:$B$8,2,FALSE),DATE(9999,12,31))),"Y","")</f>
        <v>0</v>
      </c>
    </row>
    <row r="271" spans="7:8">
      <c r="G271" s="2">
        <f>IF(F271="PASS", E271, "")</f>
        <v>0</v>
      </c>
      <c r="H271">
        <f>IF(AND(F271="PASS", G271&lt;=IFERROR(VLOOKUP(A271,Graduation_Cutoff!$A$2:$B$8,2,FALSE),DATE(9999,12,31))),"Y","")</f>
        <v>0</v>
      </c>
    </row>
    <row r="272" spans="7:8">
      <c r="G272" s="2">
        <f>IF(F272="PASS", E272, "")</f>
        <v>0</v>
      </c>
      <c r="H272">
        <f>IF(AND(F272="PASS", G272&lt;=IFERROR(VLOOKUP(A272,Graduation_Cutoff!$A$2:$B$8,2,FALSE),DATE(9999,12,31))),"Y","")</f>
        <v>0</v>
      </c>
    </row>
    <row r="273" spans="7:8">
      <c r="G273" s="2">
        <f>IF(F273="PASS", E273, "")</f>
        <v>0</v>
      </c>
      <c r="H273">
        <f>IF(AND(F273="PASS", G273&lt;=IFERROR(VLOOKUP(A273,Graduation_Cutoff!$A$2:$B$8,2,FALSE),DATE(9999,12,31))),"Y","")</f>
        <v>0</v>
      </c>
    </row>
    <row r="274" spans="7:8">
      <c r="G274" s="2">
        <f>IF(F274="PASS", E274, "")</f>
        <v>0</v>
      </c>
      <c r="H274">
        <f>IF(AND(F274="PASS", G274&lt;=IFERROR(VLOOKUP(A274,Graduation_Cutoff!$A$2:$B$8,2,FALSE),DATE(9999,12,31))),"Y","")</f>
        <v>0</v>
      </c>
    </row>
    <row r="275" spans="7:8">
      <c r="G275" s="2">
        <f>IF(F275="PASS", E275, "")</f>
        <v>0</v>
      </c>
      <c r="H275">
        <f>IF(AND(F275="PASS", G275&lt;=IFERROR(VLOOKUP(A275,Graduation_Cutoff!$A$2:$B$8,2,FALSE),DATE(9999,12,31))),"Y","")</f>
        <v>0</v>
      </c>
    </row>
    <row r="276" spans="7:8">
      <c r="G276" s="2">
        <f>IF(F276="PASS", E276, "")</f>
        <v>0</v>
      </c>
      <c r="H276">
        <f>IF(AND(F276="PASS", G276&lt;=IFERROR(VLOOKUP(A276,Graduation_Cutoff!$A$2:$B$8,2,FALSE),DATE(9999,12,31))),"Y","")</f>
        <v>0</v>
      </c>
    </row>
    <row r="277" spans="7:8">
      <c r="G277" s="2">
        <f>IF(F277="PASS", E277, "")</f>
        <v>0</v>
      </c>
      <c r="H277">
        <f>IF(AND(F277="PASS", G277&lt;=IFERROR(VLOOKUP(A277,Graduation_Cutoff!$A$2:$B$8,2,FALSE),DATE(9999,12,31))),"Y","")</f>
        <v>0</v>
      </c>
    </row>
    <row r="278" spans="7:8">
      <c r="G278" s="2">
        <f>IF(F278="PASS", E278, "")</f>
        <v>0</v>
      </c>
      <c r="H278">
        <f>IF(AND(F278="PASS", G278&lt;=IFERROR(VLOOKUP(A278,Graduation_Cutoff!$A$2:$B$8,2,FALSE),DATE(9999,12,31))),"Y","")</f>
        <v>0</v>
      </c>
    </row>
    <row r="279" spans="7:8">
      <c r="G279" s="2">
        <f>IF(F279="PASS", E279, "")</f>
        <v>0</v>
      </c>
      <c r="H279">
        <f>IF(AND(F279="PASS", G279&lt;=IFERROR(VLOOKUP(A279,Graduation_Cutoff!$A$2:$B$8,2,FALSE),DATE(9999,12,31))),"Y","")</f>
        <v>0</v>
      </c>
    </row>
    <row r="280" spans="7:8">
      <c r="G280" s="2">
        <f>IF(F280="PASS", E280, "")</f>
        <v>0</v>
      </c>
      <c r="H280">
        <f>IF(AND(F280="PASS", G280&lt;=IFERROR(VLOOKUP(A280,Graduation_Cutoff!$A$2:$B$8,2,FALSE),DATE(9999,12,31))),"Y","")</f>
        <v>0</v>
      </c>
    </row>
    <row r="281" spans="7:8">
      <c r="G281" s="2">
        <f>IF(F281="PASS", E281, "")</f>
        <v>0</v>
      </c>
      <c r="H281">
        <f>IF(AND(F281="PASS", G281&lt;=IFERROR(VLOOKUP(A281,Graduation_Cutoff!$A$2:$B$8,2,FALSE),DATE(9999,12,31))),"Y","")</f>
        <v>0</v>
      </c>
    </row>
    <row r="282" spans="7:8">
      <c r="G282" s="2">
        <f>IF(F282="PASS", E282, "")</f>
        <v>0</v>
      </c>
      <c r="H282">
        <f>IF(AND(F282="PASS", G282&lt;=IFERROR(VLOOKUP(A282,Graduation_Cutoff!$A$2:$B$8,2,FALSE),DATE(9999,12,31))),"Y","")</f>
        <v>0</v>
      </c>
    </row>
    <row r="283" spans="7:8">
      <c r="G283" s="2">
        <f>IF(F283="PASS", E283, "")</f>
        <v>0</v>
      </c>
      <c r="H283">
        <f>IF(AND(F283="PASS", G283&lt;=IFERROR(VLOOKUP(A283,Graduation_Cutoff!$A$2:$B$8,2,FALSE),DATE(9999,12,31))),"Y","")</f>
        <v>0</v>
      </c>
    </row>
    <row r="284" spans="7:8">
      <c r="G284" s="2">
        <f>IF(F284="PASS", E284, "")</f>
        <v>0</v>
      </c>
      <c r="H284">
        <f>IF(AND(F284="PASS", G284&lt;=IFERROR(VLOOKUP(A284,Graduation_Cutoff!$A$2:$B$8,2,FALSE),DATE(9999,12,31))),"Y","")</f>
        <v>0</v>
      </c>
    </row>
    <row r="285" spans="7:8">
      <c r="G285" s="2">
        <f>IF(F285="PASS", E285, "")</f>
        <v>0</v>
      </c>
      <c r="H285">
        <f>IF(AND(F285="PASS", G285&lt;=IFERROR(VLOOKUP(A285,Graduation_Cutoff!$A$2:$B$8,2,FALSE),DATE(9999,12,31))),"Y","")</f>
        <v>0</v>
      </c>
    </row>
    <row r="286" spans="7:8">
      <c r="G286" s="2">
        <f>IF(F286="PASS", E286, "")</f>
        <v>0</v>
      </c>
      <c r="H286">
        <f>IF(AND(F286="PASS", G286&lt;=IFERROR(VLOOKUP(A286,Graduation_Cutoff!$A$2:$B$8,2,FALSE),DATE(9999,12,31))),"Y","")</f>
        <v>0</v>
      </c>
    </row>
    <row r="287" spans="7:8">
      <c r="G287" s="2">
        <f>IF(F287="PASS", E287, "")</f>
        <v>0</v>
      </c>
      <c r="H287">
        <f>IF(AND(F287="PASS", G287&lt;=IFERROR(VLOOKUP(A287,Graduation_Cutoff!$A$2:$B$8,2,FALSE),DATE(9999,12,31))),"Y","")</f>
        <v>0</v>
      </c>
    </row>
    <row r="288" spans="7:8">
      <c r="G288" s="2">
        <f>IF(F288="PASS", E288, "")</f>
        <v>0</v>
      </c>
      <c r="H288">
        <f>IF(AND(F288="PASS", G288&lt;=IFERROR(VLOOKUP(A288,Graduation_Cutoff!$A$2:$B$8,2,FALSE),DATE(9999,12,31))),"Y","")</f>
        <v>0</v>
      </c>
    </row>
    <row r="289" spans="7:8">
      <c r="G289" s="2">
        <f>IF(F289="PASS", E289, "")</f>
        <v>0</v>
      </c>
      <c r="H289">
        <f>IF(AND(F289="PASS", G289&lt;=IFERROR(VLOOKUP(A289,Graduation_Cutoff!$A$2:$B$8,2,FALSE),DATE(9999,12,31))),"Y","")</f>
        <v>0</v>
      </c>
    </row>
    <row r="290" spans="7:8">
      <c r="G290" s="2">
        <f>IF(F290="PASS", E290, "")</f>
        <v>0</v>
      </c>
      <c r="H290">
        <f>IF(AND(F290="PASS", G290&lt;=IFERROR(VLOOKUP(A290,Graduation_Cutoff!$A$2:$B$8,2,FALSE),DATE(9999,12,31))),"Y","")</f>
        <v>0</v>
      </c>
    </row>
    <row r="291" spans="7:8">
      <c r="G291" s="2">
        <f>IF(F291="PASS", E291, "")</f>
        <v>0</v>
      </c>
      <c r="H291">
        <f>IF(AND(F291="PASS", G291&lt;=IFERROR(VLOOKUP(A291,Graduation_Cutoff!$A$2:$B$8,2,FALSE),DATE(9999,12,31))),"Y","")</f>
        <v>0</v>
      </c>
    </row>
    <row r="292" spans="7:8">
      <c r="G292" s="2">
        <f>IF(F292="PASS", E292, "")</f>
        <v>0</v>
      </c>
      <c r="H292">
        <f>IF(AND(F292="PASS", G292&lt;=IFERROR(VLOOKUP(A292,Graduation_Cutoff!$A$2:$B$8,2,FALSE),DATE(9999,12,31))),"Y","")</f>
        <v>0</v>
      </c>
    </row>
    <row r="293" spans="7:8">
      <c r="G293" s="2">
        <f>IF(F293="PASS", E293, "")</f>
        <v>0</v>
      </c>
      <c r="H293">
        <f>IF(AND(F293="PASS", G293&lt;=IFERROR(VLOOKUP(A293,Graduation_Cutoff!$A$2:$B$8,2,FALSE),DATE(9999,12,31))),"Y","")</f>
        <v>0</v>
      </c>
    </row>
    <row r="294" spans="7:8">
      <c r="G294" s="2">
        <f>IF(F294="PASS", E294, "")</f>
        <v>0</v>
      </c>
      <c r="H294">
        <f>IF(AND(F294="PASS", G294&lt;=IFERROR(VLOOKUP(A294,Graduation_Cutoff!$A$2:$B$8,2,FALSE),DATE(9999,12,31))),"Y","")</f>
        <v>0</v>
      </c>
    </row>
    <row r="295" spans="7:8">
      <c r="G295" s="2">
        <f>IF(F295="PASS", E295, "")</f>
        <v>0</v>
      </c>
      <c r="H295">
        <f>IF(AND(F295="PASS", G295&lt;=IFERROR(VLOOKUP(A295,Graduation_Cutoff!$A$2:$B$8,2,FALSE),DATE(9999,12,31))),"Y","")</f>
        <v>0</v>
      </c>
    </row>
    <row r="296" spans="7:8">
      <c r="G296" s="2">
        <f>IF(F296="PASS", E296, "")</f>
        <v>0</v>
      </c>
      <c r="H296">
        <f>IF(AND(F296="PASS", G296&lt;=IFERROR(VLOOKUP(A296,Graduation_Cutoff!$A$2:$B$8,2,FALSE),DATE(9999,12,31))),"Y","")</f>
        <v>0</v>
      </c>
    </row>
    <row r="297" spans="7:8">
      <c r="G297" s="2">
        <f>IF(F297="PASS", E297, "")</f>
        <v>0</v>
      </c>
      <c r="H297">
        <f>IF(AND(F297="PASS", G297&lt;=IFERROR(VLOOKUP(A297,Graduation_Cutoff!$A$2:$B$8,2,FALSE),DATE(9999,12,31))),"Y","")</f>
        <v>0</v>
      </c>
    </row>
    <row r="298" spans="7:8">
      <c r="G298" s="2">
        <f>IF(F298="PASS", E298, "")</f>
        <v>0</v>
      </c>
      <c r="H298">
        <f>IF(AND(F298="PASS", G298&lt;=IFERROR(VLOOKUP(A298,Graduation_Cutoff!$A$2:$B$8,2,FALSE),DATE(9999,12,31))),"Y","")</f>
        <v>0</v>
      </c>
    </row>
    <row r="299" spans="7:8">
      <c r="G299" s="2">
        <f>IF(F299="PASS", E299, "")</f>
        <v>0</v>
      </c>
      <c r="H299">
        <f>IF(AND(F299="PASS", G299&lt;=IFERROR(VLOOKUP(A299,Graduation_Cutoff!$A$2:$B$8,2,FALSE),DATE(9999,12,31))),"Y","")</f>
        <v>0</v>
      </c>
    </row>
    <row r="300" spans="7:8">
      <c r="G300" s="2">
        <f>IF(F300="PASS", E300, "")</f>
        <v>0</v>
      </c>
      <c r="H300">
        <f>IF(AND(F300="PASS", G300&lt;=IFERROR(VLOOKUP(A300,Graduation_Cutoff!$A$2:$B$8,2,FALSE),DATE(9999,12,31))),"Y","")</f>
        <v>0</v>
      </c>
    </row>
    <row r="301" spans="7:8">
      <c r="G301" s="2">
        <f>IF(F301="PASS", E301, "")</f>
        <v>0</v>
      </c>
      <c r="H301">
        <f>IF(AND(F301="PASS", G301&lt;=IFERROR(VLOOKUP(A301,Graduation_Cutoff!$A$2:$B$8,2,FALSE),DATE(9999,12,31))),"Y","")</f>
        <v>0</v>
      </c>
    </row>
    <row r="302" spans="7:8">
      <c r="G302" s="2">
        <f>IF(F302="PASS", E302, "")</f>
        <v>0</v>
      </c>
      <c r="H302">
        <f>IF(AND(F302="PASS", G302&lt;=IFERROR(VLOOKUP(A302,Graduation_Cutoff!$A$2:$B$8,2,FALSE),DATE(9999,12,31))),"Y","")</f>
        <v>0</v>
      </c>
    </row>
    <row r="303" spans="7:8">
      <c r="G303" s="2">
        <f>IF(F303="PASS", E303, "")</f>
        <v>0</v>
      </c>
      <c r="H303">
        <f>IF(AND(F303="PASS", G303&lt;=IFERROR(VLOOKUP(A303,Graduation_Cutoff!$A$2:$B$8,2,FALSE),DATE(9999,12,31))),"Y","")</f>
        <v>0</v>
      </c>
    </row>
    <row r="304" spans="7:8">
      <c r="G304" s="2">
        <f>IF(F304="PASS", E304, "")</f>
        <v>0</v>
      </c>
      <c r="H304">
        <f>IF(AND(F304="PASS", G304&lt;=IFERROR(VLOOKUP(A304,Graduation_Cutoff!$A$2:$B$8,2,FALSE),DATE(9999,12,31))),"Y","")</f>
        <v>0</v>
      </c>
    </row>
    <row r="305" spans="7:8">
      <c r="G305" s="2">
        <f>IF(F305="PASS", E305, "")</f>
        <v>0</v>
      </c>
      <c r="H305">
        <f>IF(AND(F305="PASS", G305&lt;=IFERROR(VLOOKUP(A305,Graduation_Cutoff!$A$2:$B$8,2,FALSE),DATE(9999,12,31))),"Y","")</f>
        <v>0</v>
      </c>
    </row>
    <row r="306" spans="7:8">
      <c r="G306" s="2">
        <f>IF(F306="PASS", E306, "")</f>
        <v>0</v>
      </c>
      <c r="H306">
        <f>IF(AND(F306="PASS", G306&lt;=IFERROR(VLOOKUP(A306,Graduation_Cutoff!$A$2:$B$8,2,FALSE),DATE(9999,12,31))),"Y","")</f>
        <v>0</v>
      </c>
    </row>
    <row r="307" spans="7:8">
      <c r="G307" s="2">
        <f>IF(F307="PASS", E307, "")</f>
        <v>0</v>
      </c>
      <c r="H307">
        <f>IF(AND(F307="PASS", G307&lt;=IFERROR(VLOOKUP(A307,Graduation_Cutoff!$A$2:$B$8,2,FALSE),DATE(9999,12,31))),"Y","")</f>
        <v>0</v>
      </c>
    </row>
    <row r="308" spans="7:8">
      <c r="G308" s="2">
        <f>IF(F308="PASS", E308, "")</f>
        <v>0</v>
      </c>
      <c r="H308">
        <f>IF(AND(F308="PASS", G308&lt;=IFERROR(VLOOKUP(A308,Graduation_Cutoff!$A$2:$B$8,2,FALSE),DATE(9999,12,31))),"Y","")</f>
        <v>0</v>
      </c>
    </row>
    <row r="309" spans="7:8">
      <c r="G309" s="2">
        <f>IF(F309="PASS", E309, "")</f>
        <v>0</v>
      </c>
      <c r="H309">
        <f>IF(AND(F309="PASS", G309&lt;=IFERROR(VLOOKUP(A309,Graduation_Cutoff!$A$2:$B$8,2,FALSE),DATE(9999,12,31))),"Y","")</f>
        <v>0</v>
      </c>
    </row>
    <row r="310" spans="7:8">
      <c r="G310" s="2">
        <f>IF(F310="PASS", E310, "")</f>
        <v>0</v>
      </c>
      <c r="H310">
        <f>IF(AND(F310="PASS", G310&lt;=IFERROR(VLOOKUP(A310,Graduation_Cutoff!$A$2:$B$8,2,FALSE),DATE(9999,12,31))),"Y","")</f>
        <v>0</v>
      </c>
    </row>
    <row r="311" spans="7:8">
      <c r="G311" s="2">
        <f>IF(F311="PASS", E311, "")</f>
        <v>0</v>
      </c>
      <c r="H311">
        <f>IF(AND(F311="PASS", G311&lt;=IFERROR(VLOOKUP(A311,Graduation_Cutoff!$A$2:$B$8,2,FALSE),DATE(9999,12,31))),"Y","")</f>
        <v>0</v>
      </c>
    </row>
    <row r="312" spans="7:8">
      <c r="G312" s="2">
        <f>IF(F312="PASS", E312, "")</f>
        <v>0</v>
      </c>
      <c r="H312">
        <f>IF(AND(F312="PASS", G312&lt;=IFERROR(VLOOKUP(A312,Graduation_Cutoff!$A$2:$B$8,2,FALSE),DATE(9999,12,31))),"Y","")</f>
        <v>0</v>
      </c>
    </row>
    <row r="313" spans="7:8">
      <c r="G313" s="2">
        <f>IF(F313="PASS", E313, "")</f>
        <v>0</v>
      </c>
      <c r="H313">
        <f>IF(AND(F313="PASS", G313&lt;=IFERROR(VLOOKUP(A313,Graduation_Cutoff!$A$2:$B$8,2,FALSE),DATE(9999,12,31))),"Y","")</f>
        <v>0</v>
      </c>
    </row>
    <row r="314" spans="7:8">
      <c r="G314" s="2">
        <f>IF(F314="PASS", E314, "")</f>
        <v>0</v>
      </c>
      <c r="H314">
        <f>IF(AND(F314="PASS", G314&lt;=IFERROR(VLOOKUP(A314,Graduation_Cutoff!$A$2:$B$8,2,FALSE),DATE(9999,12,31))),"Y","")</f>
        <v>0</v>
      </c>
    </row>
    <row r="315" spans="7:8">
      <c r="G315" s="2">
        <f>IF(F315="PASS", E315, "")</f>
        <v>0</v>
      </c>
      <c r="H315">
        <f>IF(AND(F315="PASS", G315&lt;=IFERROR(VLOOKUP(A315,Graduation_Cutoff!$A$2:$B$8,2,FALSE),DATE(9999,12,31))),"Y","")</f>
        <v>0</v>
      </c>
    </row>
    <row r="316" spans="7:8">
      <c r="G316" s="2">
        <f>IF(F316="PASS", E316, "")</f>
        <v>0</v>
      </c>
      <c r="H316">
        <f>IF(AND(F316="PASS", G316&lt;=IFERROR(VLOOKUP(A316,Graduation_Cutoff!$A$2:$B$8,2,FALSE),DATE(9999,12,31))),"Y","")</f>
        <v>0</v>
      </c>
    </row>
    <row r="317" spans="7:8">
      <c r="G317" s="2">
        <f>IF(F317="PASS", E317, "")</f>
        <v>0</v>
      </c>
      <c r="H317">
        <f>IF(AND(F317="PASS", G317&lt;=IFERROR(VLOOKUP(A317,Graduation_Cutoff!$A$2:$B$8,2,FALSE),DATE(9999,12,31))),"Y","")</f>
        <v>0</v>
      </c>
    </row>
    <row r="318" spans="7:8">
      <c r="G318" s="2">
        <f>IF(F318="PASS", E318, "")</f>
        <v>0</v>
      </c>
      <c r="H318">
        <f>IF(AND(F318="PASS", G318&lt;=IFERROR(VLOOKUP(A318,Graduation_Cutoff!$A$2:$B$8,2,FALSE),DATE(9999,12,31))),"Y","")</f>
        <v>0</v>
      </c>
    </row>
    <row r="319" spans="7:8">
      <c r="G319" s="2">
        <f>IF(F319="PASS", E319, "")</f>
        <v>0</v>
      </c>
      <c r="H319">
        <f>IF(AND(F319="PASS", G319&lt;=IFERROR(VLOOKUP(A319,Graduation_Cutoff!$A$2:$B$8,2,FALSE),DATE(9999,12,31))),"Y","")</f>
        <v>0</v>
      </c>
    </row>
    <row r="320" spans="7:8">
      <c r="G320" s="2">
        <f>IF(F320="PASS", E320, "")</f>
        <v>0</v>
      </c>
      <c r="H320">
        <f>IF(AND(F320="PASS", G320&lt;=IFERROR(VLOOKUP(A320,Graduation_Cutoff!$A$2:$B$8,2,FALSE),DATE(9999,12,31))),"Y","")</f>
        <v>0</v>
      </c>
    </row>
    <row r="321" spans="7:8">
      <c r="G321" s="2">
        <f>IF(F321="PASS", E321, "")</f>
        <v>0</v>
      </c>
      <c r="H321">
        <f>IF(AND(F321="PASS", G321&lt;=IFERROR(VLOOKUP(A321,Graduation_Cutoff!$A$2:$B$8,2,FALSE),DATE(9999,12,31))),"Y","")</f>
        <v>0</v>
      </c>
    </row>
    <row r="322" spans="7:8">
      <c r="G322" s="2">
        <f>IF(F322="PASS", E322, "")</f>
        <v>0</v>
      </c>
      <c r="H322">
        <f>IF(AND(F322="PASS", G322&lt;=IFERROR(VLOOKUP(A322,Graduation_Cutoff!$A$2:$B$8,2,FALSE),DATE(9999,12,31))),"Y","")</f>
        <v>0</v>
      </c>
    </row>
    <row r="323" spans="7:8">
      <c r="G323" s="2">
        <f>IF(F323="PASS", E323, "")</f>
        <v>0</v>
      </c>
      <c r="H323">
        <f>IF(AND(F323="PASS", G323&lt;=IFERROR(VLOOKUP(A323,Graduation_Cutoff!$A$2:$B$8,2,FALSE),DATE(9999,12,31))),"Y","")</f>
        <v>0</v>
      </c>
    </row>
    <row r="324" spans="7:8">
      <c r="G324" s="2">
        <f>IF(F324="PASS", E324, "")</f>
        <v>0</v>
      </c>
      <c r="H324">
        <f>IF(AND(F324="PASS", G324&lt;=IFERROR(VLOOKUP(A324,Graduation_Cutoff!$A$2:$B$8,2,FALSE),DATE(9999,12,31))),"Y","")</f>
        <v>0</v>
      </c>
    </row>
    <row r="325" spans="7:8">
      <c r="G325" s="2">
        <f>IF(F325="PASS", E325, "")</f>
        <v>0</v>
      </c>
      <c r="H325">
        <f>IF(AND(F325="PASS", G325&lt;=IFERROR(VLOOKUP(A325,Graduation_Cutoff!$A$2:$B$8,2,FALSE),DATE(9999,12,31))),"Y","")</f>
        <v>0</v>
      </c>
    </row>
    <row r="326" spans="7:8">
      <c r="G326" s="2">
        <f>IF(F326="PASS", E326, "")</f>
        <v>0</v>
      </c>
      <c r="H326">
        <f>IF(AND(F326="PASS", G326&lt;=IFERROR(VLOOKUP(A326,Graduation_Cutoff!$A$2:$B$8,2,FALSE),DATE(9999,12,31))),"Y","")</f>
        <v>0</v>
      </c>
    </row>
    <row r="327" spans="7:8">
      <c r="G327" s="2">
        <f>IF(F327="PASS", E327, "")</f>
        <v>0</v>
      </c>
      <c r="H327">
        <f>IF(AND(F327="PASS", G327&lt;=IFERROR(VLOOKUP(A327,Graduation_Cutoff!$A$2:$B$8,2,FALSE),DATE(9999,12,31))),"Y","")</f>
        <v>0</v>
      </c>
    </row>
    <row r="328" spans="7:8">
      <c r="G328" s="2">
        <f>IF(F328="PASS", E328, "")</f>
        <v>0</v>
      </c>
      <c r="H328">
        <f>IF(AND(F328="PASS", G328&lt;=IFERROR(VLOOKUP(A328,Graduation_Cutoff!$A$2:$B$8,2,FALSE),DATE(9999,12,31))),"Y","")</f>
        <v>0</v>
      </c>
    </row>
    <row r="329" spans="7:8">
      <c r="G329" s="2">
        <f>IF(F329="PASS", E329, "")</f>
        <v>0</v>
      </c>
      <c r="H329">
        <f>IF(AND(F329="PASS", G329&lt;=IFERROR(VLOOKUP(A329,Graduation_Cutoff!$A$2:$B$8,2,FALSE),DATE(9999,12,31))),"Y","")</f>
        <v>0</v>
      </c>
    </row>
    <row r="330" spans="7:8">
      <c r="G330" s="2">
        <f>IF(F330="PASS", E330, "")</f>
        <v>0</v>
      </c>
      <c r="H330">
        <f>IF(AND(F330="PASS", G330&lt;=IFERROR(VLOOKUP(A330,Graduation_Cutoff!$A$2:$B$8,2,FALSE),DATE(9999,12,31))),"Y","")</f>
        <v>0</v>
      </c>
    </row>
    <row r="331" spans="7:8">
      <c r="G331" s="2">
        <f>IF(F331="PASS", E331, "")</f>
        <v>0</v>
      </c>
      <c r="H331">
        <f>IF(AND(F331="PASS", G331&lt;=IFERROR(VLOOKUP(A331,Graduation_Cutoff!$A$2:$B$8,2,FALSE),DATE(9999,12,31))),"Y","")</f>
        <v>0</v>
      </c>
    </row>
    <row r="332" spans="7:8">
      <c r="G332" s="2">
        <f>IF(F332="PASS", E332, "")</f>
        <v>0</v>
      </c>
      <c r="H332">
        <f>IF(AND(F332="PASS", G332&lt;=IFERROR(VLOOKUP(A332,Graduation_Cutoff!$A$2:$B$8,2,FALSE),DATE(9999,12,31))),"Y","")</f>
        <v>0</v>
      </c>
    </row>
    <row r="333" spans="7:8">
      <c r="G333" s="2">
        <f>IF(F333="PASS", E333, "")</f>
        <v>0</v>
      </c>
      <c r="H333">
        <f>IF(AND(F333="PASS", G333&lt;=IFERROR(VLOOKUP(A333,Graduation_Cutoff!$A$2:$B$8,2,FALSE),DATE(9999,12,31))),"Y","")</f>
        <v>0</v>
      </c>
    </row>
    <row r="334" spans="7:8">
      <c r="G334" s="2">
        <f>IF(F334="PASS", E334, "")</f>
        <v>0</v>
      </c>
      <c r="H334">
        <f>IF(AND(F334="PASS", G334&lt;=IFERROR(VLOOKUP(A334,Graduation_Cutoff!$A$2:$B$8,2,FALSE),DATE(9999,12,31))),"Y","")</f>
        <v>0</v>
      </c>
    </row>
    <row r="335" spans="7:8">
      <c r="G335" s="2">
        <f>IF(F335="PASS", E335, "")</f>
        <v>0</v>
      </c>
      <c r="H335">
        <f>IF(AND(F335="PASS", G335&lt;=IFERROR(VLOOKUP(A335,Graduation_Cutoff!$A$2:$B$8,2,FALSE),DATE(9999,12,31))),"Y","")</f>
        <v>0</v>
      </c>
    </row>
    <row r="336" spans="7:8">
      <c r="G336" s="2">
        <f>IF(F336="PASS", E336, "")</f>
        <v>0</v>
      </c>
      <c r="H336">
        <f>IF(AND(F336="PASS", G336&lt;=IFERROR(VLOOKUP(A336,Graduation_Cutoff!$A$2:$B$8,2,FALSE),DATE(9999,12,31))),"Y","")</f>
        <v>0</v>
      </c>
    </row>
    <row r="337" spans="7:8">
      <c r="G337" s="2">
        <f>IF(F337="PASS", E337, "")</f>
        <v>0</v>
      </c>
      <c r="H337">
        <f>IF(AND(F337="PASS", G337&lt;=IFERROR(VLOOKUP(A337,Graduation_Cutoff!$A$2:$B$8,2,FALSE),DATE(9999,12,31))),"Y","")</f>
        <v>0</v>
      </c>
    </row>
    <row r="338" spans="7:8">
      <c r="G338" s="2">
        <f>IF(F338="PASS", E338, "")</f>
        <v>0</v>
      </c>
      <c r="H338">
        <f>IF(AND(F338="PASS", G338&lt;=IFERROR(VLOOKUP(A338,Graduation_Cutoff!$A$2:$B$8,2,FALSE),DATE(9999,12,31))),"Y","")</f>
        <v>0</v>
      </c>
    </row>
    <row r="339" spans="7:8">
      <c r="G339" s="2">
        <f>IF(F339="PASS", E339, "")</f>
        <v>0</v>
      </c>
      <c r="H339">
        <f>IF(AND(F339="PASS", G339&lt;=IFERROR(VLOOKUP(A339,Graduation_Cutoff!$A$2:$B$8,2,FALSE),DATE(9999,12,31))),"Y","")</f>
        <v>0</v>
      </c>
    </row>
    <row r="340" spans="7:8">
      <c r="G340" s="2">
        <f>IF(F340="PASS", E340, "")</f>
        <v>0</v>
      </c>
      <c r="H340">
        <f>IF(AND(F340="PASS", G340&lt;=IFERROR(VLOOKUP(A340,Graduation_Cutoff!$A$2:$B$8,2,FALSE),DATE(9999,12,31))),"Y","")</f>
        <v>0</v>
      </c>
    </row>
    <row r="341" spans="7:8">
      <c r="G341" s="2">
        <f>IF(F341="PASS", E341, "")</f>
        <v>0</v>
      </c>
      <c r="H341">
        <f>IF(AND(F341="PASS", G341&lt;=IFERROR(VLOOKUP(A341,Graduation_Cutoff!$A$2:$B$8,2,FALSE),DATE(9999,12,31))),"Y","")</f>
        <v>0</v>
      </c>
    </row>
    <row r="342" spans="7:8">
      <c r="G342" s="2">
        <f>IF(F342="PASS", E342, "")</f>
        <v>0</v>
      </c>
      <c r="H342">
        <f>IF(AND(F342="PASS", G342&lt;=IFERROR(VLOOKUP(A342,Graduation_Cutoff!$A$2:$B$8,2,FALSE),DATE(9999,12,31))),"Y","")</f>
        <v>0</v>
      </c>
    </row>
    <row r="343" spans="7:8">
      <c r="G343" s="2">
        <f>IF(F343="PASS", E343, "")</f>
        <v>0</v>
      </c>
      <c r="H343">
        <f>IF(AND(F343="PASS", G343&lt;=IFERROR(VLOOKUP(A343,Graduation_Cutoff!$A$2:$B$8,2,FALSE),DATE(9999,12,31))),"Y","")</f>
        <v>0</v>
      </c>
    </row>
    <row r="344" spans="7:8">
      <c r="G344" s="2">
        <f>IF(F344="PASS", E344, "")</f>
        <v>0</v>
      </c>
      <c r="H344">
        <f>IF(AND(F344="PASS", G344&lt;=IFERROR(VLOOKUP(A344,Graduation_Cutoff!$A$2:$B$8,2,FALSE),DATE(9999,12,31))),"Y","")</f>
        <v>0</v>
      </c>
    </row>
    <row r="345" spans="7:8">
      <c r="G345" s="2">
        <f>IF(F345="PASS", E345, "")</f>
        <v>0</v>
      </c>
      <c r="H345">
        <f>IF(AND(F345="PASS", G345&lt;=IFERROR(VLOOKUP(A345,Graduation_Cutoff!$A$2:$B$8,2,FALSE),DATE(9999,12,31))),"Y","")</f>
        <v>0</v>
      </c>
    </row>
    <row r="346" spans="7:8">
      <c r="G346" s="2">
        <f>IF(F346="PASS", E346, "")</f>
        <v>0</v>
      </c>
      <c r="H346">
        <f>IF(AND(F346="PASS", G346&lt;=IFERROR(VLOOKUP(A346,Graduation_Cutoff!$A$2:$B$8,2,FALSE),DATE(9999,12,31))),"Y","")</f>
        <v>0</v>
      </c>
    </row>
    <row r="347" spans="7:8">
      <c r="G347" s="2">
        <f>IF(F347="PASS", E347, "")</f>
        <v>0</v>
      </c>
      <c r="H347">
        <f>IF(AND(F347="PASS", G347&lt;=IFERROR(VLOOKUP(A347,Graduation_Cutoff!$A$2:$B$8,2,FALSE),DATE(9999,12,31))),"Y","")</f>
        <v>0</v>
      </c>
    </row>
    <row r="348" spans="7:8">
      <c r="G348" s="2">
        <f>IF(F348="PASS", E348, "")</f>
        <v>0</v>
      </c>
      <c r="H348">
        <f>IF(AND(F348="PASS", G348&lt;=IFERROR(VLOOKUP(A348,Graduation_Cutoff!$A$2:$B$8,2,FALSE),DATE(9999,12,31))),"Y","")</f>
        <v>0</v>
      </c>
    </row>
    <row r="349" spans="7:8">
      <c r="G349" s="2">
        <f>IF(F349="PASS", E349, "")</f>
        <v>0</v>
      </c>
      <c r="H349">
        <f>IF(AND(F349="PASS", G349&lt;=IFERROR(VLOOKUP(A349,Graduation_Cutoff!$A$2:$B$8,2,FALSE),DATE(9999,12,31))),"Y","")</f>
        <v>0</v>
      </c>
    </row>
    <row r="350" spans="7:8">
      <c r="G350" s="2">
        <f>IF(F350="PASS", E350, "")</f>
        <v>0</v>
      </c>
      <c r="H350">
        <f>IF(AND(F350="PASS", G350&lt;=IFERROR(VLOOKUP(A350,Graduation_Cutoff!$A$2:$B$8,2,FALSE),DATE(9999,12,31))),"Y","")</f>
        <v>0</v>
      </c>
    </row>
    <row r="351" spans="7:8">
      <c r="G351" s="2">
        <f>IF(F351="PASS", E351, "")</f>
        <v>0</v>
      </c>
      <c r="H351">
        <f>IF(AND(F351="PASS", G351&lt;=IFERROR(VLOOKUP(A351,Graduation_Cutoff!$A$2:$B$8,2,FALSE),DATE(9999,12,31))),"Y","")</f>
        <v>0</v>
      </c>
    </row>
    <row r="352" spans="7:8">
      <c r="G352" s="2">
        <f>IF(F352="PASS", E352, "")</f>
        <v>0</v>
      </c>
      <c r="H352">
        <f>IF(AND(F352="PASS", G352&lt;=IFERROR(VLOOKUP(A352,Graduation_Cutoff!$A$2:$B$8,2,FALSE),DATE(9999,12,31))),"Y","")</f>
        <v>0</v>
      </c>
    </row>
    <row r="353" spans="7:8">
      <c r="G353" s="2">
        <f>IF(F353="PASS", E353, "")</f>
        <v>0</v>
      </c>
      <c r="H353">
        <f>IF(AND(F353="PASS", G353&lt;=IFERROR(VLOOKUP(A353,Graduation_Cutoff!$A$2:$B$8,2,FALSE),DATE(9999,12,31))),"Y","")</f>
        <v>0</v>
      </c>
    </row>
    <row r="354" spans="7:8">
      <c r="G354" s="2">
        <f>IF(F354="PASS", E354, "")</f>
        <v>0</v>
      </c>
      <c r="H354">
        <f>IF(AND(F354="PASS", G354&lt;=IFERROR(VLOOKUP(A354,Graduation_Cutoff!$A$2:$B$8,2,FALSE),DATE(9999,12,31))),"Y","")</f>
        <v>0</v>
      </c>
    </row>
    <row r="355" spans="7:8">
      <c r="G355" s="2">
        <f>IF(F355="PASS", E355, "")</f>
        <v>0</v>
      </c>
      <c r="H355">
        <f>IF(AND(F355="PASS", G355&lt;=IFERROR(VLOOKUP(A355,Graduation_Cutoff!$A$2:$B$8,2,FALSE),DATE(9999,12,31))),"Y","")</f>
        <v>0</v>
      </c>
    </row>
    <row r="356" spans="7:8">
      <c r="G356" s="2">
        <f>IF(F356="PASS", E356, "")</f>
        <v>0</v>
      </c>
      <c r="H356">
        <f>IF(AND(F356="PASS", G356&lt;=IFERROR(VLOOKUP(A356,Graduation_Cutoff!$A$2:$B$8,2,FALSE),DATE(9999,12,31))),"Y","")</f>
        <v>0</v>
      </c>
    </row>
    <row r="357" spans="7:8">
      <c r="G357" s="2">
        <f>IF(F357="PASS", E357, "")</f>
        <v>0</v>
      </c>
      <c r="H357">
        <f>IF(AND(F357="PASS", G357&lt;=IFERROR(VLOOKUP(A357,Graduation_Cutoff!$A$2:$B$8,2,FALSE),DATE(9999,12,31))),"Y","")</f>
        <v>0</v>
      </c>
    </row>
    <row r="358" spans="7:8">
      <c r="G358" s="2">
        <f>IF(F358="PASS", E358, "")</f>
        <v>0</v>
      </c>
      <c r="H358">
        <f>IF(AND(F358="PASS", G358&lt;=IFERROR(VLOOKUP(A358,Graduation_Cutoff!$A$2:$B$8,2,FALSE),DATE(9999,12,31))),"Y","")</f>
        <v>0</v>
      </c>
    </row>
    <row r="359" spans="7:8">
      <c r="G359" s="2">
        <f>IF(F359="PASS", E359, "")</f>
        <v>0</v>
      </c>
      <c r="H359">
        <f>IF(AND(F359="PASS", G359&lt;=IFERROR(VLOOKUP(A359,Graduation_Cutoff!$A$2:$B$8,2,FALSE),DATE(9999,12,31))),"Y","")</f>
        <v>0</v>
      </c>
    </row>
    <row r="360" spans="7:8">
      <c r="G360" s="2">
        <f>IF(F360="PASS", E360, "")</f>
        <v>0</v>
      </c>
      <c r="H360">
        <f>IF(AND(F360="PASS", G360&lt;=IFERROR(VLOOKUP(A360,Graduation_Cutoff!$A$2:$B$8,2,FALSE),DATE(9999,12,31))),"Y","")</f>
        <v>0</v>
      </c>
    </row>
    <row r="361" spans="7:8">
      <c r="G361" s="2">
        <f>IF(F361="PASS", E361, "")</f>
        <v>0</v>
      </c>
      <c r="H361">
        <f>IF(AND(F361="PASS", G361&lt;=IFERROR(VLOOKUP(A361,Graduation_Cutoff!$A$2:$B$8,2,FALSE),DATE(9999,12,31))),"Y","")</f>
        <v>0</v>
      </c>
    </row>
    <row r="362" spans="7:8">
      <c r="G362" s="2">
        <f>IF(F362="PASS", E362, "")</f>
        <v>0</v>
      </c>
      <c r="H362">
        <f>IF(AND(F362="PASS", G362&lt;=IFERROR(VLOOKUP(A362,Graduation_Cutoff!$A$2:$B$8,2,FALSE),DATE(9999,12,31))),"Y","")</f>
        <v>0</v>
      </c>
    </row>
    <row r="363" spans="7:8">
      <c r="G363" s="2">
        <f>IF(F363="PASS", E363, "")</f>
        <v>0</v>
      </c>
      <c r="H363">
        <f>IF(AND(F363="PASS", G363&lt;=IFERROR(VLOOKUP(A363,Graduation_Cutoff!$A$2:$B$8,2,FALSE),DATE(9999,12,31))),"Y","")</f>
        <v>0</v>
      </c>
    </row>
    <row r="364" spans="7:8">
      <c r="G364" s="2">
        <f>IF(F364="PASS", E364, "")</f>
        <v>0</v>
      </c>
      <c r="H364">
        <f>IF(AND(F364="PASS", G364&lt;=IFERROR(VLOOKUP(A364,Graduation_Cutoff!$A$2:$B$8,2,FALSE),DATE(9999,12,31))),"Y","")</f>
        <v>0</v>
      </c>
    </row>
    <row r="365" spans="7:8">
      <c r="G365" s="2">
        <f>IF(F365="PASS", E365, "")</f>
        <v>0</v>
      </c>
      <c r="H365">
        <f>IF(AND(F365="PASS", G365&lt;=IFERROR(VLOOKUP(A365,Graduation_Cutoff!$A$2:$B$8,2,FALSE),DATE(9999,12,31))),"Y","")</f>
        <v>0</v>
      </c>
    </row>
    <row r="366" spans="7:8">
      <c r="G366" s="2">
        <f>IF(F366="PASS", E366, "")</f>
        <v>0</v>
      </c>
      <c r="H366">
        <f>IF(AND(F366="PASS", G366&lt;=IFERROR(VLOOKUP(A366,Graduation_Cutoff!$A$2:$B$8,2,FALSE),DATE(9999,12,31))),"Y","")</f>
        <v>0</v>
      </c>
    </row>
    <row r="367" spans="7:8">
      <c r="G367" s="2">
        <f>IF(F367="PASS", E367, "")</f>
        <v>0</v>
      </c>
      <c r="H367">
        <f>IF(AND(F367="PASS", G367&lt;=IFERROR(VLOOKUP(A367,Graduation_Cutoff!$A$2:$B$8,2,FALSE),DATE(9999,12,31))),"Y","")</f>
        <v>0</v>
      </c>
    </row>
    <row r="368" spans="7:8">
      <c r="G368" s="2">
        <f>IF(F368="PASS", E368, "")</f>
        <v>0</v>
      </c>
      <c r="H368">
        <f>IF(AND(F368="PASS", G368&lt;=IFERROR(VLOOKUP(A368,Graduation_Cutoff!$A$2:$B$8,2,FALSE),DATE(9999,12,31))),"Y","")</f>
        <v>0</v>
      </c>
    </row>
    <row r="369" spans="7:8">
      <c r="G369" s="2">
        <f>IF(F369="PASS", E369, "")</f>
        <v>0</v>
      </c>
      <c r="H369">
        <f>IF(AND(F369="PASS", G369&lt;=IFERROR(VLOOKUP(A369,Graduation_Cutoff!$A$2:$B$8,2,FALSE),DATE(9999,12,31))),"Y","")</f>
        <v>0</v>
      </c>
    </row>
    <row r="370" spans="7:8">
      <c r="G370" s="2">
        <f>IF(F370="PASS", E370, "")</f>
        <v>0</v>
      </c>
      <c r="H370">
        <f>IF(AND(F370="PASS", G370&lt;=IFERROR(VLOOKUP(A370,Graduation_Cutoff!$A$2:$B$8,2,FALSE),DATE(9999,12,31))),"Y","")</f>
        <v>0</v>
      </c>
    </row>
    <row r="371" spans="7:8">
      <c r="G371" s="2">
        <f>IF(F371="PASS", E371, "")</f>
        <v>0</v>
      </c>
      <c r="H371">
        <f>IF(AND(F371="PASS", G371&lt;=IFERROR(VLOOKUP(A371,Graduation_Cutoff!$A$2:$B$8,2,FALSE),DATE(9999,12,31))),"Y","")</f>
        <v>0</v>
      </c>
    </row>
    <row r="372" spans="7:8">
      <c r="G372" s="2">
        <f>IF(F372="PASS", E372, "")</f>
        <v>0</v>
      </c>
      <c r="H372">
        <f>IF(AND(F372="PASS", G372&lt;=IFERROR(VLOOKUP(A372,Graduation_Cutoff!$A$2:$B$8,2,FALSE),DATE(9999,12,31))),"Y","")</f>
        <v>0</v>
      </c>
    </row>
    <row r="373" spans="7:8">
      <c r="G373" s="2">
        <f>IF(F373="PASS", E373, "")</f>
        <v>0</v>
      </c>
      <c r="H373">
        <f>IF(AND(F373="PASS", G373&lt;=IFERROR(VLOOKUP(A373,Graduation_Cutoff!$A$2:$B$8,2,FALSE),DATE(9999,12,31))),"Y","")</f>
        <v>0</v>
      </c>
    </row>
    <row r="374" spans="7:8">
      <c r="G374" s="2">
        <f>IF(F374="PASS", E374, "")</f>
        <v>0</v>
      </c>
      <c r="H374">
        <f>IF(AND(F374="PASS", G374&lt;=IFERROR(VLOOKUP(A374,Graduation_Cutoff!$A$2:$B$8,2,FALSE),DATE(9999,12,31))),"Y","")</f>
        <v>0</v>
      </c>
    </row>
    <row r="375" spans="7:8">
      <c r="G375" s="2">
        <f>IF(F375="PASS", E375, "")</f>
        <v>0</v>
      </c>
      <c r="H375">
        <f>IF(AND(F375="PASS", G375&lt;=IFERROR(VLOOKUP(A375,Graduation_Cutoff!$A$2:$B$8,2,FALSE),DATE(9999,12,31))),"Y","")</f>
        <v>0</v>
      </c>
    </row>
    <row r="376" spans="7:8">
      <c r="G376" s="2">
        <f>IF(F376="PASS", E376, "")</f>
        <v>0</v>
      </c>
      <c r="H376">
        <f>IF(AND(F376="PASS", G376&lt;=IFERROR(VLOOKUP(A376,Graduation_Cutoff!$A$2:$B$8,2,FALSE),DATE(9999,12,31))),"Y","")</f>
        <v>0</v>
      </c>
    </row>
    <row r="377" spans="7:8">
      <c r="G377" s="2">
        <f>IF(F377="PASS", E377, "")</f>
        <v>0</v>
      </c>
      <c r="H377">
        <f>IF(AND(F377="PASS", G377&lt;=IFERROR(VLOOKUP(A377,Graduation_Cutoff!$A$2:$B$8,2,FALSE),DATE(9999,12,31))),"Y","")</f>
        <v>0</v>
      </c>
    </row>
    <row r="378" spans="7:8">
      <c r="G378" s="2">
        <f>IF(F378="PASS", E378, "")</f>
        <v>0</v>
      </c>
      <c r="H378">
        <f>IF(AND(F378="PASS", G378&lt;=IFERROR(VLOOKUP(A378,Graduation_Cutoff!$A$2:$B$8,2,FALSE),DATE(9999,12,31))),"Y","")</f>
        <v>0</v>
      </c>
    </row>
    <row r="379" spans="7:8">
      <c r="G379" s="2">
        <f>IF(F379="PASS", E379, "")</f>
        <v>0</v>
      </c>
      <c r="H379">
        <f>IF(AND(F379="PASS", G379&lt;=IFERROR(VLOOKUP(A379,Graduation_Cutoff!$A$2:$B$8,2,FALSE),DATE(9999,12,31))),"Y","")</f>
        <v>0</v>
      </c>
    </row>
    <row r="380" spans="7:8">
      <c r="G380" s="2">
        <f>IF(F380="PASS", E380, "")</f>
        <v>0</v>
      </c>
      <c r="H380">
        <f>IF(AND(F380="PASS", G380&lt;=IFERROR(VLOOKUP(A380,Graduation_Cutoff!$A$2:$B$8,2,FALSE),DATE(9999,12,31))),"Y","")</f>
        <v>0</v>
      </c>
    </row>
    <row r="381" spans="7:8">
      <c r="G381" s="2">
        <f>IF(F381="PASS", E381, "")</f>
        <v>0</v>
      </c>
      <c r="H381">
        <f>IF(AND(F381="PASS", G381&lt;=IFERROR(VLOOKUP(A381,Graduation_Cutoff!$A$2:$B$8,2,FALSE),DATE(9999,12,31))),"Y","")</f>
        <v>0</v>
      </c>
    </row>
    <row r="382" spans="7:8">
      <c r="G382" s="2">
        <f>IF(F382="PASS", E382, "")</f>
        <v>0</v>
      </c>
      <c r="H382">
        <f>IF(AND(F382="PASS", G382&lt;=IFERROR(VLOOKUP(A382,Graduation_Cutoff!$A$2:$B$8,2,FALSE),DATE(9999,12,31))),"Y","")</f>
        <v>0</v>
      </c>
    </row>
    <row r="383" spans="7:8">
      <c r="G383" s="2">
        <f>IF(F383="PASS", E383, "")</f>
        <v>0</v>
      </c>
      <c r="H383">
        <f>IF(AND(F383="PASS", G383&lt;=IFERROR(VLOOKUP(A383,Graduation_Cutoff!$A$2:$B$8,2,FALSE),DATE(9999,12,31))),"Y","")</f>
        <v>0</v>
      </c>
    </row>
    <row r="384" spans="7:8">
      <c r="G384" s="2">
        <f>IF(F384="PASS", E384, "")</f>
        <v>0</v>
      </c>
      <c r="H384">
        <f>IF(AND(F384="PASS", G384&lt;=IFERROR(VLOOKUP(A384,Graduation_Cutoff!$A$2:$B$8,2,FALSE),DATE(9999,12,31))),"Y","")</f>
        <v>0</v>
      </c>
    </row>
    <row r="385" spans="7:8">
      <c r="G385" s="2">
        <f>IF(F385="PASS", E385, "")</f>
        <v>0</v>
      </c>
      <c r="H385">
        <f>IF(AND(F385="PASS", G385&lt;=IFERROR(VLOOKUP(A385,Graduation_Cutoff!$A$2:$B$8,2,FALSE),DATE(9999,12,31))),"Y","")</f>
        <v>0</v>
      </c>
    </row>
    <row r="386" spans="7:8">
      <c r="G386" s="2">
        <f>IF(F386="PASS", E386, "")</f>
        <v>0</v>
      </c>
      <c r="H386">
        <f>IF(AND(F386="PASS", G386&lt;=IFERROR(VLOOKUP(A386,Graduation_Cutoff!$A$2:$B$8,2,FALSE),DATE(9999,12,31))),"Y","")</f>
        <v>0</v>
      </c>
    </row>
    <row r="387" spans="7:8">
      <c r="G387" s="2">
        <f>IF(F387="PASS", E387, "")</f>
        <v>0</v>
      </c>
      <c r="H387">
        <f>IF(AND(F387="PASS", G387&lt;=IFERROR(VLOOKUP(A387,Graduation_Cutoff!$A$2:$B$8,2,FALSE),DATE(9999,12,31))),"Y","")</f>
        <v>0</v>
      </c>
    </row>
    <row r="388" spans="7:8">
      <c r="G388" s="2">
        <f>IF(F388="PASS", E388, "")</f>
        <v>0</v>
      </c>
      <c r="H388">
        <f>IF(AND(F388="PASS", G388&lt;=IFERROR(VLOOKUP(A388,Graduation_Cutoff!$A$2:$B$8,2,FALSE),DATE(9999,12,31))),"Y","")</f>
        <v>0</v>
      </c>
    </row>
    <row r="389" spans="7:8">
      <c r="G389" s="2">
        <f>IF(F389="PASS", E389, "")</f>
        <v>0</v>
      </c>
      <c r="H389">
        <f>IF(AND(F389="PASS", G389&lt;=IFERROR(VLOOKUP(A389,Graduation_Cutoff!$A$2:$B$8,2,FALSE),DATE(9999,12,31))),"Y","")</f>
        <v>0</v>
      </c>
    </row>
    <row r="390" spans="7:8">
      <c r="G390" s="2">
        <f>IF(F390="PASS", E390, "")</f>
        <v>0</v>
      </c>
      <c r="H390">
        <f>IF(AND(F390="PASS", G390&lt;=IFERROR(VLOOKUP(A390,Graduation_Cutoff!$A$2:$B$8,2,FALSE),DATE(9999,12,31))),"Y","")</f>
        <v>0</v>
      </c>
    </row>
    <row r="391" spans="7:8">
      <c r="G391" s="2">
        <f>IF(F391="PASS", E391, "")</f>
        <v>0</v>
      </c>
      <c r="H391">
        <f>IF(AND(F391="PASS", G391&lt;=IFERROR(VLOOKUP(A391,Graduation_Cutoff!$A$2:$B$8,2,FALSE),DATE(9999,12,31))),"Y","")</f>
        <v>0</v>
      </c>
    </row>
    <row r="392" spans="7:8">
      <c r="G392" s="2">
        <f>IF(F392="PASS", E392, "")</f>
        <v>0</v>
      </c>
      <c r="H392">
        <f>IF(AND(F392="PASS", G392&lt;=IFERROR(VLOOKUP(A392,Graduation_Cutoff!$A$2:$B$8,2,FALSE),DATE(9999,12,31))),"Y","")</f>
        <v>0</v>
      </c>
    </row>
    <row r="393" spans="7:8">
      <c r="G393" s="2">
        <f>IF(F393="PASS", E393, "")</f>
        <v>0</v>
      </c>
      <c r="H393">
        <f>IF(AND(F393="PASS", G393&lt;=IFERROR(VLOOKUP(A393,Graduation_Cutoff!$A$2:$B$8,2,FALSE),DATE(9999,12,31))),"Y","")</f>
        <v>0</v>
      </c>
    </row>
    <row r="394" spans="7:8">
      <c r="G394" s="2">
        <f>IF(F394="PASS", E394, "")</f>
        <v>0</v>
      </c>
      <c r="H394">
        <f>IF(AND(F394="PASS", G394&lt;=IFERROR(VLOOKUP(A394,Graduation_Cutoff!$A$2:$B$8,2,FALSE),DATE(9999,12,31))),"Y","")</f>
        <v>0</v>
      </c>
    </row>
    <row r="395" spans="7:8">
      <c r="G395" s="2">
        <f>IF(F395="PASS", E395, "")</f>
        <v>0</v>
      </c>
      <c r="H395">
        <f>IF(AND(F395="PASS", G395&lt;=IFERROR(VLOOKUP(A395,Graduation_Cutoff!$A$2:$B$8,2,FALSE),DATE(9999,12,31))),"Y","")</f>
        <v>0</v>
      </c>
    </row>
    <row r="396" spans="7:8">
      <c r="G396" s="2">
        <f>IF(F396="PASS", E396, "")</f>
        <v>0</v>
      </c>
      <c r="H396">
        <f>IF(AND(F396="PASS", G396&lt;=IFERROR(VLOOKUP(A396,Graduation_Cutoff!$A$2:$B$8,2,FALSE),DATE(9999,12,31))),"Y","")</f>
        <v>0</v>
      </c>
    </row>
    <row r="397" spans="7:8">
      <c r="G397" s="2">
        <f>IF(F397="PASS", E397, "")</f>
        <v>0</v>
      </c>
      <c r="H397">
        <f>IF(AND(F397="PASS", G397&lt;=IFERROR(VLOOKUP(A397,Graduation_Cutoff!$A$2:$B$8,2,FALSE),DATE(9999,12,31))),"Y","")</f>
        <v>0</v>
      </c>
    </row>
    <row r="398" spans="7:8">
      <c r="G398" s="2">
        <f>IF(F398="PASS", E398, "")</f>
        <v>0</v>
      </c>
      <c r="H398">
        <f>IF(AND(F398="PASS", G398&lt;=IFERROR(VLOOKUP(A398,Graduation_Cutoff!$A$2:$B$8,2,FALSE),DATE(9999,12,31))),"Y","")</f>
        <v>0</v>
      </c>
    </row>
    <row r="399" spans="7:8">
      <c r="G399" s="2">
        <f>IF(F399="PASS", E399, "")</f>
        <v>0</v>
      </c>
      <c r="H399">
        <f>IF(AND(F399="PASS", G399&lt;=IFERROR(VLOOKUP(A399,Graduation_Cutoff!$A$2:$B$8,2,FALSE),DATE(9999,12,31))),"Y","")</f>
        <v>0</v>
      </c>
    </row>
    <row r="400" spans="7:8">
      <c r="G400" s="2">
        <f>IF(F400="PASS", E400, "")</f>
        <v>0</v>
      </c>
      <c r="H400">
        <f>IF(AND(F400="PASS", G400&lt;=IFERROR(VLOOKUP(A400,Graduation_Cutoff!$A$2:$B$8,2,FALSE),DATE(9999,12,31))),"Y","")</f>
        <v>0</v>
      </c>
    </row>
    <row r="401" spans="7:8">
      <c r="G401" s="2">
        <f>IF(F401="PASS", E401, "")</f>
        <v>0</v>
      </c>
      <c r="H401">
        <f>IF(AND(F401="PASS", G401&lt;=IFERROR(VLOOKUP(A401,Graduation_Cutoff!$A$2:$B$8,2,FALSE),DATE(9999,12,31))),"Y","")</f>
        <v>0</v>
      </c>
    </row>
    <row r="402" spans="7:8">
      <c r="G402" s="2">
        <f>IF(F402="PASS", E402, "")</f>
        <v>0</v>
      </c>
      <c r="H402">
        <f>IF(AND(F402="PASS", G402&lt;=IFERROR(VLOOKUP(A402,Graduation_Cutoff!$A$2:$B$8,2,FALSE),DATE(9999,12,31))),"Y","")</f>
        <v>0</v>
      </c>
    </row>
    <row r="403" spans="7:8">
      <c r="G403" s="2">
        <f>IF(F403="PASS", E403, "")</f>
        <v>0</v>
      </c>
      <c r="H403">
        <f>IF(AND(F403="PASS", G403&lt;=IFERROR(VLOOKUP(A403,Graduation_Cutoff!$A$2:$B$8,2,FALSE),DATE(9999,12,31))),"Y","")</f>
        <v>0</v>
      </c>
    </row>
    <row r="404" spans="7:8">
      <c r="G404" s="2">
        <f>IF(F404="PASS", E404, "")</f>
        <v>0</v>
      </c>
      <c r="H404">
        <f>IF(AND(F404="PASS", G404&lt;=IFERROR(VLOOKUP(A404,Graduation_Cutoff!$A$2:$B$8,2,FALSE),DATE(9999,12,31))),"Y","")</f>
        <v>0</v>
      </c>
    </row>
    <row r="405" spans="7:8">
      <c r="G405" s="2">
        <f>IF(F405="PASS", E405, "")</f>
        <v>0</v>
      </c>
      <c r="H405">
        <f>IF(AND(F405="PASS", G405&lt;=IFERROR(VLOOKUP(A405,Graduation_Cutoff!$A$2:$B$8,2,FALSE),DATE(9999,12,31))),"Y","")</f>
        <v>0</v>
      </c>
    </row>
    <row r="406" spans="7:8">
      <c r="G406" s="2">
        <f>IF(F406="PASS", E406, "")</f>
        <v>0</v>
      </c>
      <c r="H406">
        <f>IF(AND(F406="PASS", G406&lt;=IFERROR(VLOOKUP(A406,Graduation_Cutoff!$A$2:$B$8,2,FALSE),DATE(9999,12,31))),"Y","")</f>
        <v>0</v>
      </c>
    </row>
    <row r="407" spans="7:8">
      <c r="G407" s="2">
        <f>IF(F407="PASS", E407, "")</f>
        <v>0</v>
      </c>
      <c r="H407">
        <f>IF(AND(F407="PASS", G407&lt;=IFERROR(VLOOKUP(A407,Graduation_Cutoff!$A$2:$B$8,2,FALSE),DATE(9999,12,31))),"Y","")</f>
        <v>0</v>
      </c>
    </row>
    <row r="408" spans="7:8">
      <c r="G408" s="2">
        <f>IF(F408="PASS", E408, "")</f>
        <v>0</v>
      </c>
      <c r="H408">
        <f>IF(AND(F408="PASS", G408&lt;=IFERROR(VLOOKUP(A408,Graduation_Cutoff!$A$2:$B$8,2,FALSE),DATE(9999,12,31))),"Y","")</f>
        <v>0</v>
      </c>
    </row>
    <row r="409" spans="7:8">
      <c r="G409" s="2">
        <f>IF(F409="PASS", E409, "")</f>
        <v>0</v>
      </c>
      <c r="H409">
        <f>IF(AND(F409="PASS", G409&lt;=IFERROR(VLOOKUP(A409,Graduation_Cutoff!$A$2:$B$8,2,FALSE),DATE(9999,12,31))),"Y","")</f>
        <v>0</v>
      </c>
    </row>
    <row r="410" spans="7:8">
      <c r="G410" s="2">
        <f>IF(F410="PASS", E410, "")</f>
        <v>0</v>
      </c>
      <c r="H410">
        <f>IF(AND(F410="PASS", G410&lt;=IFERROR(VLOOKUP(A410,Graduation_Cutoff!$A$2:$B$8,2,FALSE),DATE(9999,12,31))),"Y","")</f>
        <v>0</v>
      </c>
    </row>
    <row r="411" spans="7:8">
      <c r="G411" s="2">
        <f>IF(F411="PASS", E411, "")</f>
        <v>0</v>
      </c>
      <c r="H411">
        <f>IF(AND(F411="PASS", G411&lt;=IFERROR(VLOOKUP(A411,Graduation_Cutoff!$A$2:$B$8,2,FALSE),DATE(9999,12,31))),"Y","")</f>
        <v>0</v>
      </c>
    </row>
    <row r="412" spans="7:8">
      <c r="G412" s="2">
        <f>IF(F412="PASS", E412, "")</f>
        <v>0</v>
      </c>
      <c r="H412">
        <f>IF(AND(F412="PASS", G412&lt;=IFERROR(VLOOKUP(A412,Graduation_Cutoff!$A$2:$B$8,2,FALSE),DATE(9999,12,31))),"Y","")</f>
        <v>0</v>
      </c>
    </row>
    <row r="413" spans="7:8">
      <c r="G413" s="2">
        <f>IF(F413="PASS", E413, "")</f>
        <v>0</v>
      </c>
      <c r="H413">
        <f>IF(AND(F413="PASS", G413&lt;=IFERROR(VLOOKUP(A413,Graduation_Cutoff!$A$2:$B$8,2,FALSE),DATE(9999,12,31))),"Y","")</f>
        <v>0</v>
      </c>
    </row>
    <row r="414" spans="7:8">
      <c r="G414" s="2">
        <f>IF(F414="PASS", E414, "")</f>
        <v>0</v>
      </c>
      <c r="H414">
        <f>IF(AND(F414="PASS", G414&lt;=IFERROR(VLOOKUP(A414,Graduation_Cutoff!$A$2:$B$8,2,FALSE),DATE(9999,12,31))),"Y","")</f>
        <v>0</v>
      </c>
    </row>
    <row r="415" spans="7:8">
      <c r="G415" s="2">
        <f>IF(F415="PASS", E415, "")</f>
        <v>0</v>
      </c>
      <c r="H415">
        <f>IF(AND(F415="PASS", G415&lt;=IFERROR(VLOOKUP(A415,Graduation_Cutoff!$A$2:$B$8,2,FALSE),DATE(9999,12,31))),"Y","")</f>
        <v>0</v>
      </c>
    </row>
    <row r="416" spans="7:8">
      <c r="G416" s="2">
        <f>IF(F416="PASS", E416, "")</f>
        <v>0</v>
      </c>
      <c r="H416">
        <f>IF(AND(F416="PASS", G416&lt;=IFERROR(VLOOKUP(A416,Graduation_Cutoff!$A$2:$B$8,2,FALSE),DATE(9999,12,31))),"Y","")</f>
        <v>0</v>
      </c>
    </row>
    <row r="417" spans="7:8">
      <c r="G417" s="2">
        <f>IF(F417="PASS", E417, "")</f>
        <v>0</v>
      </c>
      <c r="H417">
        <f>IF(AND(F417="PASS", G417&lt;=IFERROR(VLOOKUP(A417,Graduation_Cutoff!$A$2:$B$8,2,FALSE),DATE(9999,12,31))),"Y","")</f>
        <v>0</v>
      </c>
    </row>
    <row r="418" spans="7:8">
      <c r="G418" s="2">
        <f>IF(F418="PASS", E418, "")</f>
        <v>0</v>
      </c>
      <c r="H418">
        <f>IF(AND(F418="PASS", G418&lt;=IFERROR(VLOOKUP(A418,Graduation_Cutoff!$A$2:$B$8,2,FALSE),DATE(9999,12,31))),"Y","")</f>
        <v>0</v>
      </c>
    </row>
    <row r="419" spans="7:8">
      <c r="G419" s="2">
        <f>IF(F419="PASS", E419, "")</f>
        <v>0</v>
      </c>
      <c r="H419">
        <f>IF(AND(F419="PASS", G419&lt;=IFERROR(VLOOKUP(A419,Graduation_Cutoff!$A$2:$B$8,2,FALSE),DATE(9999,12,31))),"Y","")</f>
        <v>0</v>
      </c>
    </row>
    <row r="420" spans="7:8">
      <c r="G420" s="2">
        <f>IF(F420="PASS", E420, "")</f>
        <v>0</v>
      </c>
      <c r="H420">
        <f>IF(AND(F420="PASS", G420&lt;=IFERROR(VLOOKUP(A420,Graduation_Cutoff!$A$2:$B$8,2,FALSE),DATE(9999,12,31))),"Y","")</f>
        <v>0</v>
      </c>
    </row>
    <row r="421" spans="7:8">
      <c r="G421" s="2">
        <f>IF(F421="PASS", E421, "")</f>
        <v>0</v>
      </c>
      <c r="H421">
        <f>IF(AND(F421="PASS", G421&lt;=IFERROR(VLOOKUP(A421,Graduation_Cutoff!$A$2:$B$8,2,FALSE),DATE(9999,12,31))),"Y","")</f>
        <v>0</v>
      </c>
    </row>
    <row r="422" spans="7:8">
      <c r="G422" s="2">
        <f>IF(F422="PASS", E422, "")</f>
        <v>0</v>
      </c>
      <c r="H422">
        <f>IF(AND(F422="PASS", G422&lt;=IFERROR(VLOOKUP(A422,Graduation_Cutoff!$A$2:$B$8,2,FALSE),DATE(9999,12,31))),"Y","")</f>
        <v>0</v>
      </c>
    </row>
    <row r="423" spans="7:8">
      <c r="G423" s="2">
        <f>IF(F423="PASS", E423, "")</f>
        <v>0</v>
      </c>
      <c r="H423">
        <f>IF(AND(F423="PASS", G423&lt;=IFERROR(VLOOKUP(A423,Graduation_Cutoff!$A$2:$B$8,2,FALSE),DATE(9999,12,31))),"Y","")</f>
        <v>0</v>
      </c>
    </row>
    <row r="424" spans="7:8">
      <c r="G424" s="2">
        <f>IF(F424="PASS", E424, "")</f>
        <v>0</v>
      </c>
      <c r="H424">
        <f>IF(AND(F424="PASS", G424&lt;=IFERROR(VLOOKUP(A424,Graduation_Cutoff!$A$2:$B$8,2,FALSE),DATE(9999,12,31))),"Y","")</f>
        <v>0</v>
      </c>
    </row>
    <row r="425" spans="7:8">
      <c r="G425" s="2">
        <f>IF(F425="PASS", E425, "")</f>
        <v>0</v>
      </c>
      <c r="H425">
        <f>IF(AND(F425="PASS", G425&lt;=IFERROR(VLOOKUP(A425,Graduation_Cutoff!$A$2:$B$8,2,FALSE),DATE(9999,12,31))),"Y","")</f>
        <v>0</v>
      </c>
    </row>
    <row r="426" spans="7:8">
      <c r="G426" s="2">
        <f>IF(F426="PASS", E426, "")</f>
        <v>0</v>
      </c>
      <c r="H426">
        <f>IF(AND(F426="PASS", G426&lt;=IFERROR(VLOOKUP(A426,Graduation_Cutoff!$A$2:$B$8,2,FALSE),DATE(9999,12,31))),"Y","")</f>
        <v>0</v>
      </c>
    </row>
    <row r="427" spans="7:8">
      <c r="G427" s="2">
        <f>IF(F427="PASS", E427, "")</f>
        <v>0</v>
      </c>
      <c r="H427">
        <f>IF(AND(F427="PASS", G427&lt;=IFERROR(VLOOKUP(A427,Graduation_Cutoff!$A$2:$B$8,2,FALSE),DATE(9999,12,31))),"Y","")</f>
        <v>0</v>
      </c>
    </row>
    <row r="428" spans="7:8">
      <c r="G428" s="2">
        <f>IF(F428="PASS", E428, "")</f>
        <v>0</v>
      </c>
      <c r="H428">
        <f>IF(AND(F428="PASS", G428&lt;=IFERROR(VLOOKUP(A428,Graduation_Cutoff!$A$2:$B$8,2,FALSE),DATE(9999,12,31))),"Y","")</f>
        <v>0</v>
      </c>
    </row>
    <row r="429" spans="7:8">
      <c r="G429" s="2">
        <f>IF(F429="PASS", E429, "")</f>
        <v>0</v>
      </c>
      <c r="H429">
        <f>IF(AND(F429="PASS", G429&lt;=IFERROR(VLOOKUP(A429,Graduation_Cutoff!$A$2:$B$8,2,FALSE),DATE(9999,12,31))),"Y","")</f>
        <v>0</v>
      </c>
    </row>
    <row r="430" spans="7:8">
      <c r="G430" s="2">
        <f>IF(F430="PASS", E430, "")</f>
        <v>0</v>
      </c>
      <c r="H430">
        <f>IF(AND(F430="PASS", G430&lt;=IFERROR(VLOOKUP(A430,Graduation_Cutoff!$A$2:$B$8,2,FALSE),DATE(9999,12,31))),"Y","")</f>
        <v>0</v>
      </c>
    </row>
    <row r="431" spans="7:8">
      <c r="G431" s="2">
        <f>IF(F431="PASS", E431, "")</f>
        <v>0</v>
      </c>
      <c r="H431">
        <f>IF(AND(F431="PASS", G431&lt;=IFERROR(VLOOKUP(A431,Graduation_Cutoff!$A$2:$B$8,2,FALSE),DATE(9999,12,31))),"Y","")</f>
        <v>0</v>
      </c>
    </row>
    <row r="432" spans="7:8">
      <c r="G432" s="2">
        <f>IF(F432="PASS", E432, "")</f>
        <v>0</v>
      </c>
      <c r="H432">
        <f>IF(AND(F432="PASS", G432&lt;=IFERROR(VLOOKUP(A432,Graduation_Cutoff!$A$2:$B$8,2,FALSE),DATE(9999,12,31))),"Y","")</f>
        <v>0</v>
      </c>
    </row>
    <row r="433" spans="7:8">
      <c r="G433" s="2">
        <f>IF(F433="PASS", E433, "")</f>
        <v>0</v>
      </c>
      <c r="H433">
        <f>IF(AND(F433="PASS", G433&lt;=IFERROR(VLOOKUP(A433,Graduation_Cutoff!$A$2:$B$8,2,FALSE),DATE(9999,12,31))),"Y","")</f>
        <v>0</v>
      </c>
    </row>
    <row r="434" spans="7:8">
      <c r="G434" s="2">
        <f>IF(F434="PASS", E434, "")</f>
        <v>0</v>
      </c>
      <c r="H434">
        <f>IF(AND(F434="PASS", G434&lt;=IFERROR(VLOOKUP(A434,Graduation_Cutoff!$A$2:$B$8,2,FALSE),DATE(9999,12,31))),"Y","")</f>
        <v>0</v>
      </c>
    </row>
    <row r="435" spans="7:8">
      <c r="G435" s="2">
        <f>IF(F435="PASS", E435, "")</f>
        <v>0</v>
      </c>
      <c r="H435">
        <f>IF(AND(F435="PASS", G435&lt;=IFERROR(VLOOKUP(A435,Graduation_Cutoff!$A$2:$B$8,2,FALSE),DATE(9999,12,31))),"Y","")</f>
        <v>0</v>
      </c>
    </row>
    <row r="436" spans="7:8">
      <c r="G436" s="2">
        <f>IF(F436="PASS", E436, "")</f>
        <v>0</v>
      </c>
      <c r="H436">
        <f>IF(AND(F436="PASS", G436&lt;=IFERROR(VLOOKUP(A436,Graduation_Cutoff!$A$2:$B$8,2,FALSE),DATE(9999,12,31))),"Y","")</f>
        <v>0</v>
      </c>
    </row>
    <row r="437" spans="7:8">
      <c r="G437" s="2">
        <f>IF(F437="PASS", E437, "")</f>
        <v>0</v>
      </c>
      <c r="H437">
        <f>IF(AND(F437="PASS", G437&lt;=IFERROR(VLOOKUP(A437,Graduation_Cutoff!$A$2:$B$8,2,FALSE),DATE(9999,12,31))),"Y","")</f>
        <v>0</v>
      </c>
    </row>
    <row r="438" spans="7:8">
      <c r="G438" s="2">
        <f>IF(F438="PASS", E438, "")</f>
        <v>0</v>
      </c>
      <c r="H438">
        <f>IF(AND(F438="PASS", G438&lt;=IFERROR(VLOOKUP(A438,Graduation_Cutoff!$A$2:$B$8,2,FALSE),DATE(9999,12,31))),"Y","")</f>
        <v>0</v>
      </c>
    </row>
    <row r="439" spans="7:8">
      <c r="G439" s="2">
        <f>IF(F439="PASS", E439, "")</f>
        <v>0</v>
      </c>
      <c r="H439">
        <f>IF(AND(F439="PASS", G439&lt;=IFERROR(VLOOKUP(A439,Graduation_Cutoff!$A$2:$B$8,2,FALSE),DATE(9999,12,31))),"Y","")</f>
        <v>0</v>
      </c>
    </row>
    <row r="440" spans="7:8">
      <c r="G440" s="2">
        <f>IF(F440="PASS", E440, "")</f>
        <v>0</v>
      </c>
      <c r="H440">
        <f>IF(AND(F440="PASS", G440&lt;=IFERROR(VLOOKUP(A440,Graduation_Cutoff!$A$2:$B$8,2,FALSE),DATE(9999,12,31))),"Y","")</f>
        <v>0</v>
      </c>
    </row>
    <row r="441" spans="7:8">
      <c r="G441" s="2">
        <f>IF(F441="PASS", E441, "")</f>
        <v>0</v>
      </c>
      <c r="H441">
        <f>IF(AND(F441="PASS", G441&lt;=IFERROR(VLOOKUP(A441,Graduation_Cutoff!$A$2:$B$8,2,FALSE),DATE(9999,12,31))),"Y","")</f>
        <v>0</v>
      </c>
    </row>
    <row r="442" spans="7:8">
      <c r="G442" s="2">
        <f>IF(F442="PASS", E442, "")</f>
        <v>0</v>
      </c>
      <c r="H442">
        <f>IF(AND(F442="PASS", G442&lt;=IFERROR(VLOOKUP(A442,Graduation_Cutoff!$A$2:$B$8,2,FALSE),DATE(9999,12,31))),"Y","")</f>
        <v>0</v>
      </c>
    </row>
    <row r="443" spans="7:8">
      <c r="G443" s="2">
        <f>IF(F443="PASS", E443, "")</f>
        <v>0</v>
      </c>
      <c r="H443">
        <f>IF(AND(F443="PASS", G443&lt;=IFERROR(VLOOKUP(A443,Graduation_Cutoff!$A$2:$B$8,2,FALSE),DATE(9999,12,31))),"Y","")</f>
        <v>0</v>
      </c>
    </row>
    <row r="444" spans="7:8">
      <c r="G444" s="2">
        <f>IF(F444="PASS", E444, "")</f>
        <v>0</v>
      </c>
      <c r="H444">
        <f>IF(AND(F444="PASS", G444&lt;=IFERROR(VLOOKUP(A444,Graduation_Cutoff!$A$2:$B$8,2,FALSE),DATE(9999,12,31))),"Y","")</f>
        <v>0</v>
      </c>
    </row>
    <row r="445" spans="7:8">
      <c r="G445" s="2">
        <f>IF(F445="PASS", E445, "")</f>
        <v>0</v>
      </c>
      <c r="H445">
        <f>IF(AND(F445="PASS", G445&lt;=IFERROR(VLOOKUP(A445,Graduation_Cutoff!$A$2:$B$8,2,FALSE),DATE(9999,12,31))),"Y","")</f>
        <v>0</v>
      </c>
    </row>
    <row r="446" spans="7:8">
      <c r="G446" s="2">
        <f>IF(F446="PASS", E446, "")</f>
        <v>0</v>
      </c>
      <c r="H446">
        <f>IF(AND(F446="PASS", G446&lt;=IFERROR(VLOOKUP(A446,Graduation_Cutoff!$A$2:$B$8,2,FALSE),DATE(9999,12,31))),"Y","")</f>
        <v>0</v>
      </c>
    </row>
    <row r="447" spans="7:8">
      <c r="G447" s="2">
        <f>IF(F447="PASS", E447, "")</f>
        <v>0</v>
      </c>
      <c r="H447">
        <f>IF(AND(F447="PASS", G447&lt;=IFERROR(VLOOKUP(A447,Graduation_Cutoff!$A$2:$B$8,2,FALSE),DATE(9999,12,31))),"Y","")</f>
        <v>0</v>
      </c>
    </row>
    <row r="448" spans="7:8">
      <c r="G448" s="2">
        <f>IF(F448="PASS", E448, "")</f>
        <v>0</v>
      </c>
      <c r="H448">
        <f>IF(AND(F448="PASS", G448&lt;=IFERROR(VLOOKUP(A448,Graduation_Cutoff!$A$2:$B$8,2,FALSE),DATE(9999,12,31))),"Y","")</f>
        <v>0</v>
      </c>
    </row>
    <row r="449" spans="7:8">
      <c r="G449" s="2">
        <f>IF(F449="PASS", E449, "")</f>
        <v>0</v>
      </c>
      <c r="H449">
        <f>IF(AND(F449="PASS", G449&lt;=IFERROR(VLOOKUP(A449,Graduation_Cutoff!$A$2:$B$8,2,FALSE),DATE(9999,12,31))),"Y","")</f>
        <v>0</v>
      </c>
    </row>
    <row r="450" spans="7:8">
      <c r="G450" s="2">
        <f>IF(F450="PASS", E450, "")</f>
        <v>0</v>
      </c>
      <c r="H450">
        <f>IF(AND(F450="PASS", G450&lt;=IFERROR(VLOOKUP(A450,Graduation_Cutoff!$A$2:$B$8,2,FALSE),DATE(9999,12,31))),"Y","")</f>
        <v>0</v>
      </c>
    </row>
    <row r="451" spans="7:8">
      <c r="G451" s="2">
        <f>IF(F451="PASS", E451, "")</f>
        <v>0</v>
      </c>
      <c r="H451">
        <f>IF(AND(F451="PASS", G451&lt;=IFERROR(VLOOKUP(A451,Graduation_Cutoff!$A$2:$B$8,2,FALSE),DATE(9999,12,31))),"Y","")</f>
        <v>0</v>
      </c>
    </row>
    <row r="452" spans="7:8">
      <c r="G452" s="2">
        <f>IF(F452="PASS", E452, "")</f>
        <v>0</v>
      </c>
      <c r="H452">
        <f>IF(AND(F452="PASS", G452&lt;=IFERROR(VLOOKUP(A452,Graduation_Cutoff!$A$2:$B$8,2,FALSE),DATE(9999,12,31))),"Y","")</f>
        <v>0</v>
      </c>
    </row>
    <row r="453" spans="7:8">
      <c r="G453" s="2">
        <f>IF(F453="PASS", E453, "")</f>
        <v>0</v>
      </c>
      <c r="H453">
        <f>IF(AND(F453="PASS", G453&lt;=IFERROR(VLOOKUP(A453,Graduation_Cutoff!$A$2:$B$8,2,FALSE),DATE(9999,12,31))),"Y","")</f>
        <v>0</v>
      </c>
    </row>
    <row r="454" spans="7:8">
      <c r="G454" s="2">
        <f>IF(F454="PASS", E454, "")</f>
        <v>0</v>
      </c>
      <c r="H454">
        <f>IF(AND(F454="PASS", G454&lt;=IFERROR(VLOOKUP(A454,Graduation_Cutoff!$A$2:$B$8,2,FALSE),DATE(9999,12,31))),"Y","")</f>
        <v>0</v>
      </c>
    </row>
    <row r="455" spans="7:8">
      <c r="G455" s="2">
        <f>IF(F455="PASS", E455, "")</f>
        <v>0</v>
      </c>
      <c r="H455">
        <f>IF(AND(F455="PASS", G455&lt;=IFERROR(VLOOKUP(A455,Graduation_Cutoff!$A$2:$B$8,2,FALSE),DATE(9999,12,31))),"Y","")</f>
        <v>0</v>
      </c>
    </row>
    <row r="456" spans="7:8">
      <c r="G456" s="2">
        <f>IF(F456="PASS", E456, "")</f>
        <v>0</v>
      </c>
      <c r="H456">
        <f>IF(AND(F456="PASS", G456&lt;=IFERROR(VLOOKUP(A456,Graduation_Cutoff!$A$2:$B$8,2,FALSE),DATE(9999,12,31))),"Y","")</f>
        <v>0</v>
      </c>
    </row>
    <row r="457" spans="7:8">
      <c r="G457" s="2">
        <f>IF(F457="PASS", E457, "")</f>
        <v>0</v>
      </c>
      <c r="H457">
        <f>IF(AND(F457="PASS", G457&lt;=IFERROR(VLOOKUP(A457,Graduation_Cutoff!$A$2:$B$8,2,FALSE),DATE(9999,12,31))),"Y","")</f>
        <v>0</v>
      </c>
    </row>
    <row r="458" spans="7:8">
      <c r="G458" s="2">
        <f>IF(F458="PASS", E458, "")</f>
        <v>0</v>
      </c>
      <c r="H458">
        <f>IF(AND(F458="PASS", G458&lt;=IFERROR(VLOOKUP(A458,Graduation_Cutoff!$A$2:$B$8,2,FALSE),DATE(9999,12,31))),"Y","")</f>
        <v>0</v>
      </c>
    </row>
    <row r="459" spans="7:8">
      <c r="G459" s="2">
        <f>IF(F459="PASS", E459, "")</f>
        <v>0</v>
      </c>
      <c r="H459">
        <f>IF(AND(F459="PASS", G459&lt;=IFERROR(VLOOKUP(A459,Graduation_Cutoff!$A$2:$B$8,2,FALSE),DATE(9999,12,31))),"Y","")</f>
        <v>0</v>
      </c>
    </row>
    <row r="460" spans="7:8">
      <c r="G460" s="2">
        <f>IF(F460="PASS", E460, "")</f>
        <v>0</v>
      </c>
      <c r="H460">
        <f>IF(AND(F460="PASS", G460&lt;=IFERROR(VLOOKUP(A460,Graduation_Cutoff!$A$2:$B$8,2,FALSE),DATE(9999,12,31))),"Y","")</f>
        <v>0</v>
      </c>
    </row>
    <row r="461" spans="7:8">
      <c r="G461" s="2">
        <f>IF(F461="PASS", E461, "")</f>
        <v>0</v>
      </c>
      <c r="H461">
        <f>IF(AND(F461="PASS", G461&lt;=IFERROR(VLOOKUP(A461,Graduation_Cutoff!$A$2:$B$8,2,FALSE),DATE(9999,12,31))),"Y","")</f>
        <v>0</v>
      </c>
    </row>
    <row r="462" spans="7:8">
      <c r="G462" s="2">
        <f>IF(F462="PASS", E462, "")</f>
        <v>0</v>
      </c>
      <c r="H462">
        <f>IF(AND(F462="PASS", G462&lt;=IFERROR(VLOOKUP(A462,Graduation_Cutoff!$A$2:$B$8,2,FALSE),DATE(9999,12,31))),"Y","")</f>
        <v>0</v>
      </c>
    </row>
    <row r="463" spans="7:8">
      <c r="G463" s="2">
        <f>IF(F463="PASS", E463, "")</f>
        <v>0</v>
      </c>
      <c r="H463">
        <f>IF(AND(F463="PASS", G463&lt;=IFERROR(VLOOKUP(A463,Graduation_Cutoff!$A$2:$B$8,2,FALSE),DATE(9999,12,31))),"Y","")</f>
        <v>0</v>
      </c>
    </row>
    <row r="464" spans="7:8">
      <c r="G464" s="2">
        <f>IF(F464="PASS", E464, "")</f>
        <v>0</v>
      </c>
      <c r="H464">
        <f>IF(AND(F464="PASS", G464&lt;=IFERROR(VLOOKUP(A464,Graduation_Cutoff!$A$2:$B$8,2,FALSE),DATE(9999,12,31))),"Y","")</f>
        <v>0</v>
      </c>
    </row>
    <row r="465" spans="7:8">
      <c r="G465" s="2">
        <f>IF(F465="PASS", E465, "")</f>
        <v>0</v>
      </c>
      <c r="H465">
        <f>IF(AND(F465="PASS", G465&lt;=IFERROR(VLOOKUP(A465,Graduation_Cutoff!$A$2:$B$8,2,FALSE),DATE(9999,12,31))),"Y","")</f>
        <v>0</v>
      </c>
    </row>
    <row r="466" spans="7:8">
      <c r="G466" s="2">
        <f>IF(F466="PASS", E466, "")</f>
        <v>0</v>
      </c>
      <c r="H466">
        <f>IF(AND(F466="PASS", G466&lt;=IFERROR(VLOOKUP(A466,Graduation_Cutoff!$A$2:$B$8,2,FALSE),DATE(9999,12,31))),"Y","")</f>
        <v>0</v>
      </c>
    </row>
    <row r="467" spans="7:8">
      <c r="G467" s="2">
        <f>IF(F467="PASS", E467, "")</f>
        <v>0</v>
      </c>
      <c r="H467">
        <f>IF(AND(F467="PASS", G467&lt;=IFERROR(VLOOKUP(A467,Graduation_Cutoff!$A$2:$B$8,2,FALSE),DATE(9999,12,31))),"Y","")</f>
        <v>0</v>
      </c>
    </row>
    <row r="468" spans="7:8">
      <c r="G468" s="2">
        <f>IF(F468="PASS", E468, "")</f>
        <v>0</v>
      </c>
      <c r="H468">
        <f>IF(AND(F468="PASS", G468&lt;=IFERROR(VLOOKUP(A468,Graduation_Cutoff!$A$2:$B$8,2,FALSE),DATE(9999,12,31))),"Y","")</f>
        <v>0</v>
      </c>
    </row>
    <row r="469" spans="7:8">
      <c r="G469" s="2">
        <f>IF(F469="PASS", E469, "")</f>
        <v>0</v>
      </c>
      <c r="H469">
        <f>IF(AND(F469="PASS", G469&lt;=IFERROR(VLOOKUP(A469,Graduation_Cutoff!$A$2:$B$8,2,FALSE),DATE(9999,12,31))),"Y","")</f>
        <v>0</v>
      </c>
    </row>
    <row r="470" spans="7:8">
      <c r="G470" s="2">
        <f>IF(F470="PASS", E470, "")</f>
        <v>0</v>
      </c>
      <c r="H470">
        <f>IF(AND(F470="PASS", G470&lt;=IFERROR(VLOOKUP(A470,Graduation_Cutoff!$A$2:$B$8,2,FALSE),DATE(9999,12,31))),"Y","")</f>
        <v>0</v>
      </c>
    </row>
    <row r="471" spans="7:8">
      <c r="G471" s="2">
        <f>IF(F471="PASS", E471, "")</f>
        <v>0</v>
      </c>
      <c r="H471">
        <f>IF(AND(F471="PASS", G471&lt;=IFERROR(VLOOKUP(A471,Graduation_Cutoff!$A$2:$B$8,2,FALSE),DATE(9999,12,31))),"Y","")</f>
        <v>0</v>
      </c>
    </row>
    <row r="472" spans="7:8">
      <c r="G472" s="2">
        <f>IF(F472="PASS", E472, "")</f>
        <v>0</v>
      </c>
      <c r="H472">
        <f>IF(AND(F472="PASS", G472&lt;=IFERROR(VLOOKUP(A472,Graduation_Cutoff!$A$2:$B$8,2,FALSE),DATE(9999,12,31))),"Y","")</f>
        <v>0</v>
      </c>
    </row>
    <row r="473" spans="7:8">
      <c r="G473" s="2">
        <f>IF(F473="PASS", E473, "")</f>
        <v>0</v>
      </c>
      <c r="H473">
        <f>IF(AND(F473="PASS", G473&lt;=IFERROR(VLOOKUP(A473,Graduation_Cutoff!$A$2:$B$8,2,FALSE),DATE(9999,12,31))),"Y","")</f>
        <v>0</v>
      </c>
    </row>
    <row r="474" spans="7:8">
      <c r="G474" s="2">
        <f>IF(F474="PASS", E474, "")</f>
        <v>0</v>
      </c>
      <c r="H474">
        <f>IF(AND(F474="PASS", G474&lt;=IFERROR(VLOOKUP(A474,Graduation_Cutoff!$A$2:$B$8,2,FALSE),DATE(9999,12,31))),"Y","")</f>
        <v>0</v>
      </c>
    </row>
    <row r="475" spans="7:8">
      <c r="G475" s="2">
        <f>IF(F475="PASS", E475, "")</f>
        <v>0</v>
      </c>
      <c r="H475">
        <f>IF(AND(F475="PASS", G475&lt;=IFERROR(VLOOKUP(A475,Graduation_Cutoff!$A$2:$B$8,2,FALSE),DATE(9999,12,31))),"Y","")</f>
        <v>0</v>
      </c>
    </row>
    <row r="476" spans="7:8">
      <c r="G476" s="2">
        <f>IF(F476="PASS", E476, "")</f>
        <v>0</v>
      </c>
      <c r="H476">
        <f>IF(AND(F476="PASS", G476&lt;=IFERROR(VLOOKUP(A476,Graduation_Cutoff!$A$2:$B$8,2,FALSE),DATE(9999,12,31))),"Y","")</f>
        <v>0</v>
      </c>
    </row>
    <row r="477" spans="7:8">
      <c r="G477" s="2">
        <f>IF(F477="PASS", E477, "")</f>
        <v>0</v>
      </c>
      <c r="H477">
        <f>IF(AND(F477="PASS", G477&lt;=IFERROR(VLOOKUP(A477,Graduation_Cutoff!$A$2:$B$8,2,FALSE),DATE(9999,12,31))),"Y","")</f>
        <v>0</v>
      </c>
    </row>
    <row r="478" spans="7:8">
      <c r="G478" s="2">
        <f>IF(F478="PASS", E478, "")</f>
        <v>0</v>
      </c>
      <c r="H478">
        <f>IF(AND(F478="PASS", G478&lt;=IFERROR(VLOOKUP(A478,Graduation_Cutoff!$A$2:$B$8,2,FALSE),DATE(9999,12,31))),"Y","")</f>
        <v>0</v>
      </c>
    </row>
    <row r="479" spans="7:8">
      <c r="G479" s="2">
        <f>IF(F479="PASS", E479, "")</f>
        <v>0</v>
      </c>
      <c r="H479">
        <f>IF(AND(F479="PASS", G479&lt;=IFERROR(VLOOKUP(A479,Graduation_Cutoff!$A$2:$B$8,2,FALSE),DATE(9999,12,31))),"Y","")</f>
        <v>0</v>
      </c>
    </row>
    <row r="480" spans="7:8">
      <c r="G480" s="2">
        <f>IF(F480="PASS", E480, "")</f>
        <v>0</v>
      </c>
      <c r="H480">
        <f>IF(AND(F480="PASS", G480&lt;=IFERROR(VLOOKUP(A480,Graduation_Cutoff!$A$2:$B$8,2,FALSE),DATE(9999,12,31))),"Y","")</f>
        <v>0</v>
      </c>
    </row>
    <row r="481" spans="7:8">
      <c r="G481" s="2">
        <f>IF(F481="PASS", E481, "")</f>
        <v>0</v>
      </c>
      <c r="H481">
        <f>IF(AND(F481="PASS", G481&lt;=IFERROR(VLOOKUP(A481,Graduation_Cutoff!$A$2:$B$8,2,FALSE),DATE(9999,12,31))),"Y","")</f>
        <v>0</v>
      </c>
    </row>
    <row r="482" spans="7:8">
      <c r="G482" s="2">
        <f>IF(F482="PASS", E482, "")</f>
        <v>0</v>
      </c>
      <c r="H482">
        <f>IF(AND(F482="PASS", G482&lt;=IFERROR(VLOOKUP(A482,Graduation_Cutoff!$A$2:$B$8,2,FALSE),DATE(9999,12,31))),"Y","")</f>
        <v>0</v>
      </c>
    </row>
    <row r="483" spans="7:8">
      <c r="G483" s="2">
        <f>IF(F483="PASS", E483, "")</f>
        <v>0</v>
      </c>
      <c r="H483">
        <f>IF(AND(F483="PASS", G483&lt;=IFERROR(VLOOKUP(A483,Graduation_Cutoff!$A$2:$B$8,2,FALSE),DATE(9999,12,31))),"Y","")</f>
        <v>0</v>
      </c>
    </row>
    <row r="484" spans="7:8">
      <c r="G484" s="2">
        <f>IF(F484="PASS", E484, "")</f>
        <v>0</v>
      </c>
      <c r="H484">
        <f>IF(AND(F484="PASS", G484&lt;=IFERROR(VLOOKUP(A484,Graduation_Cutoff!$A$2:$B$8,2,FALSE),DATE(9999,12,31))),"Y","")</f>
        <v>0</v>
      </c>
    </row>
    <row r="485" spans="7:8">
      <c r="G485" s="2">
        <f>IF(F485="PASS", E485, "")</f>
        <v>0</v>
      </c>
      <c r="H485">
        <f>IF(AND(F485="PASS", G485&lt;=IFERROR(VLOOKUP(A485,Graduation_Cutoff!$A$2:$B$8,2,FALSE),DATE(9999,12,31))),"Y","")</f>
        <v>0</v>
      </c>
    </row>
    <row r="486" spans="7:8">
      <c r="G486" s="2">
        <f>IF(F486="PASS", E486, "")</f>
        <v>0</v>
      </c>
      <c r="H486">
        <f>IF(AND(F486="PASS", G486&lt;=IFERROR(VLOOKUP(A486,Graduation_Cutoff!$A$2:$B$8,2,FALSE),DATE(9999,12,31))),"Y","")</f>
        <v>0</v>
      </c>
    </row>
    <row r="487" spans="7:8">
      <c r="G487" s="2">
        <f>IF(F487="PASS", E487, "")</f>
        <v>0</v>
      </c>
      <c r="H487">
        <f>IF(AND(F487="PASS", G487&lt;=IFERROR(VLOOKUP(A487,Graduation_Cutoff!$A$2:$B$8,2,FALSE),DATE(9999,12,31))),"Y","")</f>
        <v>0</v>
      </c>
    </row>
    <row r="488" spans="7:8">
      <c r="G488" s="2">
        <f>IF(F488="PASS", E488, "")</f>
        <v>0</v>
      </c>
      <c r="H488">
        <f>IF(AND(F488="PASS", G488&lt;=IFERROR(VLOOKUP(A488,Graduation_Cutoff!$A$2:$B$8,2,FALSE),DATE(9999,12,31))),"Y","")</f>
        <v>0</v>
      </c>
    </row>
    <row r="489" spans="7:8">
      <c r="G489" s="2">
        <f>IF(F489="PASS", E489, "")</f>
        <v>0</v>
      </c>
      <c r="H489">
        <f>IF(AND(F489="PASS", G489&lt;=IFERROR(VLOOKUP(A489,Graduation_Cutoff!$A$2:$B$8,2,FALSE),DATE(9999,12,31))),"Y","")</f>
        <v>0</v>
      </c>
    </row>
    <row r="490" spans="7:8">
      <c r="G490" s="2">
        <f>IF(F490="PASS", E490, "")</f>
        <v>0</v>
      </c>
      <c r="H490">
        <f>IF(AND(F490="PASS", G490&lt;=IFERROR(VLOOKUP(A490,Graduation_Cutoff!$A$2:$B$8,2,FALSE),DATE(9999,12,31))),"Y","")</f>
        <v>0</v>
      </c>
    </row>
    <row r="491" spans="7:8">
      <c r="G491" s="2">
        <f>IF(F491="PASS", E491, "")</f>
        <v>0</v>
      </c>
      <c r="H491">
        <f>IF(AND(F491="PASS", G491&lt;=IFERROR(VLOOKUP(A491,Graduation_Cutoff!$A$2:$B$8,2,FALSE),DATE(9999,12,31))),"Y","")</f>
        <v>0</v>
      </c>
    </row>
    <row r="492" spans="7:8">
      <c r="G492" s="2">
        <f>IF(F492="PASS", E492, "")</f>
        <v>0</v>
      </c>
      <c r="H492">
        <f>IF(AND(F492="PASS", G492&lt;=IFERROR(VLOOKUP(A492,Graduation_Cutoff!$A$2:$B$8,2,FALSE),DATE(9999,12,31))),"Y","")</f>
        <v>0</v>
      </c>
    </row>
    <row r="493" spans="7:8">
      <c r="G493" s="2">
        <f>IF(F493="PASS", E493, "")</f>
        <v>0</v>
      </c>
      <c r="H493">
        <f>IF(AND(F493="PASS", G493&lt;=IFERROR(VLOOKUP(A493,Graduation_Cutoff!$A$2:$B$8,2,FALSE),DATE(9999,12,31))),"Y","")</f>
        <v>0</v>
      </c>
    </row>
    <row r="494" spans="7:8">
      <c r="G494" s="2">
        <f>IF(F494="PASS", E494, "")</f>
        <v>0</v>
      </c>
      <c r="H494">
        <f>IF(AND(F494="PASS", G494&lt;=IFERROR(VLOOKUP(A494,Graduation_Cutoff!$A$2:$B$8,2,FALSE),DATE(9999,12,31))),"Y","")</f>
        <v>0</v>
      </c>
    </row>
    <row r="495" spans="7:8">
      <c r="G495" s="2">
        <f>IF(F495="PASS", E495, "")</f>
        <v>0</v>
      </c>
      <c r="H495">
        <f>IF(AND(F495="PASS", G495&lt;=IFERROR(VLOOKUP(A495,Graduation_Cutoff!$A$2:$B$8,2,FALSE),DATE(9999,12,31))),"Y","")</f>
        <v>0</v>
      </c>
    </row>
    <row r="496" spans="7:8">
      <c r="G496" s="2">
        <f>IF(F496="PASS", E496, "")</f>
        <v>0</v>
      </c>
      <c r="H496">
        <f>IF(AND(F496="PASS", G496&lt;=IFERROR(VLOOKUP(A496,Graduation_Cutoff!$A$2:$B$8,2,FALSE),DATE(9999,12,31))),"Y","")</f>
        <v>0</v>
      </c>
    </row>
    <row r="497" spans="7:8">
      <c r="G497" s="2">
        <f>IF(F497="PASS", E497, "")</f>
        <v>0</v>
      </c>
      <c r="H497">
        <f>IF(AND(F497="PASS", G497&lt;=IFERROR(VLOOKUP(A497,Graduation_Cutoff!$A$2:$B$8,2,FALSE),DATE(9999,12,31))),"Y","")</f>
        <v>0</v>
      </c>
    </row>
    <row r="498" spans="7:8">
      <c r="G498" s="2">
        <f>IF(F498="PASS", E498, "")</f>
        <v>0</v>
      </c>
      <c r="H498">
        <f>IF(AND(F498="PASS", G498&lt;=IFERROR(VLOOKUP(A498,Graduation_Cutoff!$A$2:$B$8,2,FALSE),DATE(9999,12,31))),"Y","")</f>
        <v>0</v>
      </c>
    </row>
    <row r="499" spans="7:8">
      <c r="G499" s="2">
        <f>IF(F499="PASS", E499, "")</f>
        <v>0</v>
      </c>
      <c r="H499">
        <f>IF(AND(F499="PASS", G499&lt;=IFERROR(VLOOKUP(A499,Graduation_Cutoff!$A$2:$B$8,2,FALSE),DATE(9999,12,31))),"Y","")</f>
        <v>0</v>
      </c>
    </row>
    <row r="500" spans="7:8">
      <c r="G500" s="2">
        <f>IF(F500="PASS", E500, "")</f>
        <v>0</v>
      </c>
      <c r="H500">
        <f>IF(AND(F500="PASS", G500&lt;=IFERROR(VLOOKUP(A500,Graduation_Cutoff!$A$2:$B$8,2,FALSE),DATE(9999,12,31))),"Y","")</f>
        <v>0</v>
      </c>
    </row>
    <row r="501" spans="7:8">
      <c r="G501" s="2">
        <f>IF(F501="PASS", E501, "")</f>
        <v>0</v>
      </c>
      <c r="H501">
        <f>IF(AND(F501="PASS", G501&lt;=IFERROR(VLOOKUP(A501,Graduation_Cutoff!$A$2:$B$8,2,FALSE),DATE(9999,12,31))),"Y","")</f>
        <v>0</v>
      </c>
    </row>
    <row r="502" spans="7:8">
      <c r="G502" s="2">
        <f>IF(F502="PASS", E502, "")</f>
        <v>0</v>
      </c>
      <c r="H502">
        <f>IF(AND(F502="PASS", G502&lt;=IFERROR(VLOOKUP(A502,Graduation_Cutoff!$A$2:$B$8,2,FALSE),DATE(9999,12,31))),"Y","")</f>
        <v>0</v>
      </c>
    </row>
    <row r="503" spans="7:8">
      <c r="G503" s="2">
        <f>IF(F503="PASS", E503, "")</f>
        <v>0</v>
      </c>
      <c r="H503">
        <f>IF(AND(F503="PASS", G503&lt;=IFERROR(VLOOKUP(A503,Graduation_Cutoff!$A$2:$B$8,2,FALSE),DATE(9999,12,31))),"Y","")</f>
        <v>0</v>
      </c>
    </row>
    <row r="504" spans="7:8">
      <c r="G504" s="2">
        <f>IF(F504="PASS", E504, "")</f>
        <v>0</v>
      </c>
      <c r="H504">
        <f>IF(AND(F504="PASS", G504&lt;=IFERROR(VLOOKUP(A504,Graduation_Cutoff!$A$2:$B$8,2,FALSE),DATE(9999,12,31))),"Y","")</f>
        <v>0</v>
      </c>
    </row>
    <row r="505" spans="7:8">
      <c r="G505" s="2">
        <f>IF(F505="PASS", E505, "")</f>
        <v>0</v>
      </c>
      <c r="H505">
        <f>IF(AND(F505="PASS", G505&lt;=IFERROR(VLOOKUP(A505,Graduation_Cutoff!$A$2:$B$8,2,FALSE),DATE(9999,12,31))),"Y","")</f>
        <v>0</v>
      </c>
    </row>
    <row r="506" spans="7:8">
      <c r="G506" s="2">
        <f>IF(F506="PASS", E506, "")</f>
        <v>0</v>
      </c>
      <c r="H506">
        <f>IF(AND(F506="PASS", G506&lt;=IFERROR(VLOOKUP(A506,Graduation_Cutoff!$A$2:$B$8,2,FALSE),DATE(9999,12,31))),"Y","")</f>
        <v>0</v>
      </c>
    </row>
    <row r="507" spans="7:8">
      <c r="G507" s="2">
        <f>IF(F507="PASS", E507, "")</f>
        <v>0</v>
      </c>
      <c r="H507">
        <f>IF(AND(F507="PASS", G507&lt;=IFERROR(VLOOKUP(A507,Graduation_Cutoff!$A$2:$B$8,2,FALSE),DATE(9999,12,31))),"Y","")</f>
        <v>0</v>
      </c>
    </row>
    <row r="508" spans="7:8">
      <c r="G508" s="2">
        <f>IF(F508="PASS", E508, "")</f>
        <v>0</v>
      </c>
      <c r="H508">
        <f>IF(AND(F508="PASS", G508&lt;=IFERROR(VLOOKUP(A508,Graduation_Cutoff!$A$2:$B$8,2,FALSE),DATE(9999,12,31))),"Y","")</f>
        <v>0</v>
      </c>
    </row>
    <row r="509" spans="7:8">
      <c r="G509" s="2">
        <f>IF(F509="PASS", E509, "")</f>
        <v>0</v>
      </c>
      <c r="H509">
        <f>IF(AND(F509="PASS", G509&lt;=IFERROR(VLOOKUP(A509,Graduation_Cutoff!$A$2:$B$8,2,FALSE),DATE(9999,12,31))),"Y","")</f>
        <v>0</v>
      </c>
    </row>
    <row r="510" spans="7:8">
      <c r="G510" s="2">
        <f>IF(F510="PASS", E510, "")</f>
        <v>0</v>
      </c>
      <c r="H510">
        <f>IF(AND(F510="PASS", G510&lt;=IFERROR(VLOOKUP(A510,Graduation_Cutoff!$A$2:$B$8,2,FALSE),DATE(9999,12,31))),"Y","")</f>
        <v>0</v>
      </c>
    </row>
    <row r="511" spans="7:8">
      <c r="G511" s="2">
        <f>IF(F511="PASS", E511, "")</f>
        <v>0</v>
      </c>
      <c r="H511">
        <f>IF(AND(F511="PASS", G511&lt;=IFERROR(VLOOKUP(A511,Graduation_Cutoff!$A$2:$B$8,2,FALSE),DATE(9999,12,31))),"Y","")</f>
        <v>0</v>
      </c>
    </row>
    <row r="512" spans="7:8">
      <c r="G512" s="2">
        <f>IF(F512="PASS", E512, "")</f>
        <v>0</v>
      </c>
      <c r="H512">
        <f>IF(AND(F512="PASS", G512&lt;=IFERROR(VLOOKUP(A512,Graduation_Cutoff!$A$2:$B$8,2,FALSE),DATE(9999,12,31))),"Y","")</f>
        <v>0</v>
      </c>
    </row>
    <row r="513" spans="7:8">
      <c r="G513" s="2">
        <f>IF(F513="PASS", E513, "")</f>
        <v>0</v>
      </c>
      <c r="H513">
        <f>IF(AND(F513="PASS", G513&lt;=IFERROR(VLOOKUP(A513,Graduation_Cutoff!$A$2:$B$8,2,FALSE),DATE(9999,12,31))),"Y","")</f>
        <v>0</v>
      </c>
    </row>
    <row r="514" spans="7:8">
      <c r="G514" s="2">
        <f>IF(F514="PASS", E514, "")</f>
        <v>0</v>
      </c>
      <c r="H514">
        <f>IF(AND(F514="PASS", G514&lt;=IFERROR(VLOOKUP(A514,Graduation_Cutoff!$A$2:$B$8,2,FALSE),DATE(9999,12,31))),"Y","")</f>
        <v>0</v>
      </c>
    </row>
    <row r="515" spans="7:8">
      <c r="G515" s="2">
        <f>IF(F515="PASS", E515, "")</f>
        <v>0</v>
      </c>
      <c r="H515">
        <f>IF(AND(F515="PASS", G515&lt;=IFERROR(VLOOKUP(A515,Graduation_Cutoff!$A$2:$B$8,2,FALSE),DATE(9999,12,31))),"Y","")</f>
        <v>0</v>
      </c>
    </row>
    <row r="516" spans="7:8">
      <c r="G516" s="2">
        <f>IF(F516="PASS", E516, "")</f>
        <v>0</v>
      </c>
      <c r="H516">
        <f>IF(AND(F516="PASS", G516&lt;=IFERROR(VLOOKUP(A516,Graduation_Cutoff!$A$2:$B$8,2,FALSE),DATE(9999,12,31))),"Y","")</f>
        <v>0</v>
      </c>
    </row>
    <row r="517" spans="7:8">
      <c r="G517" s="2">
        <f>IF(F517="PASS", E517, "")</f>
        <v>0</v>
      </c>
      <c r="H517">
        <f>IF(AND(F517="PASS", G517&lt;=IFERROR(VLOOKUP(A517,Graduation_Cutoff!$A$2:$B$8,2,FALSE),DATE(9999,12,31))),"Y","")</f>
        <v>0</v>
      </c>
    </row>
    <row r="518" spans="7:8">
      <c r="G518" s="2">
        <f>IF(F518="PASS", E518, "")</f>
        <v>0</v>
      </c>
      <c r="H518">
        <f>IF(AND(F518="PASS", G518&lt;=IFERROR(VLOOKUP(A518,Graduation_Cutoff!$A$2:$B$8,2,FALSE),DATE(9999,12,31))),"Y","")</f>
        <v>0</v>
      </c>
    </row>
    <row r="519" spans="7:8">
      <c r="G519" s="2">
        <f>IF(F519="PASS", E519, "")</f>
        <v>0</v>
      </c>
      <c r="H519">
        <f>IF(AND(F519="PASS", G519&lt;=IFERROR(VLOOKUP(A519,Graduation_Cutoff!$A$2:$B$8,2,FALSE),DATE(9999,12,31))),"Y","")</f>
        <v>0</v>
      </c>
    </row>
    <row r="520" spans="7:8">
      <c r="G520" s="2">
        <f>IF(F520="PASS", E520, "")</f>
        <v>0</v>
      </c>
      <c r="H520">
        <f>IF(AND(F520="PASS", G520&lt;=IFERROR(VLOOKUP(A520,Graduation_Cutoff!$A$2:$B$8,2,FALSE),DATE(9999,12,31))),"Y","")</f>
        <v>0</v>
      </c>
    </row>
    <row r="521" spans="7:8">
      <c r="G521" s="2">
        <f>IF(F521="PASS", E521, "")</f>
        <v>0</v>
      </c>
      <c r="H521">
        <f>IF(AND(F521="PASS", G521&lt;=IFERROR(VLOOKUP(A521,Graduation_Cutoff!$A$2:$B$8,2,FALSE),DATE(9999,12,31))),"Y","")</f>
        <v>0</v>
      </c>
    </row>
    <row r="522" spans="7:8">
      <c r="G522" s="2">
        <f>IF(F522="PASS", E522, "")</f>
        <v>0</v>
      </c>
      <c r="H522">
        <f>IF(AND(F522="PASS", G522&lt;=IFERROR(VLOOKUP(A522,Graduation_Cutoff!$A$2:$B$8,2,FALSE),DATE(9999,12,31))),"Y","")</f>
        <v>0</v>
      </c>
    </row>
    <row r="523" spans="7:8">
      <c r="G523" s="2">
        <f>IF(F523="PASS", E523, "")</f>
        <v>0</v>
      </c>
      <c r="H523">
        <f>IF(AND(F523="PASS", G523&lt;=IFERROR(VLOOKUP(A523,Graduation_Cutoff!$A$2:$B$8,2,FALSE),DATE(9999,12,31))),"Y","")</f>
        <v>0</v>
      </c>
    </row>
    <row r="524" spans="7:8">
      <c r="G524" s="2">
        <f>IF(F524="PASS", E524, "")</f>
        <v>0</v>
      </c>
      <c r="H524">
        <f>IF(AND(F524="PASS", G524&lt;=IFERROR(VLOOKUP(A524,Graduation_Cutoff!$A$2:$B$8,2,FALSE),DATE(9999,12,31))),"Y","")</f>
        <v>0</v>
      </c>
    </row>
    <row r="525" spans="7:8">
      <c r="G525" s="2">
        <f>IF(F525="PASS", E525, "")</f>
        <v>0</v>
      </c>
      <c r="H525">
        <f>IF(AND(F525="PASS", G525&lt;=IFERROR(VLOOKUP(A525,Graduation_Cutoff!$A$2:$B$8,2,FALSE),DATE(9999,12,31))),"Y","")</f>
        <v>0</v>
      </c>
    </row>
    <row r="526" spans="7:8">
      <c r="G526" s="2">
        <f>IF(F526="PASS", E526, "")</f>
        <v>0</v>
      </c>
      <c r="H526">
        <f>IF(AND(F526="PASS", G526&lt;=IFERROR(VLOOKUP(A526,Graduation_Cutoff!$A$2:$B$8,2,FALSE),DATE(9999,12,31))),"Y","")</f>
        <v>0</v>
      </c>
    </row>
    <row r="527" spans="7:8">
      <c r="G527" s="2">
        <f>IF(F527="PASS", E527, "")</f>
        <v>0</v>
      </c>
      <c r="H527">
        <f>IF(AND(F527="PASS", G527&lt;=IFERROR(VLOOKUP(A527,Graduation_Cutoff!$A$2:$B$8,2,FALSE),DATE(9999,12,31))),"Y","")</f>
        <v>0</v>
      </c>
    </row>
    <row r="528" spans="7:8">
      <c r="G528" s="2">
        <f>IF(F528="PASS", E528, "")</f>
        <v>0</v>
      </c>
      <c r="H528">
        <f>IF(AND(F528="PASS", G528&lt;=IFERROR(VLOOKUP(A528,Graduation_Cutoff!$A$2:$B$8,2,FALSE),DATE(9999,12,31))),"Y","")</f>
        <v>0</v>
      </c>
    </row>
    <row r="529" spans="7:8">
      <c r="G529" s="2">
        <f>IF(F529="PASS", E529, "")</f>
        <v>0</v>
      </c>
      <c r="H529">
        <f>IF(AND(F529="PASS", G529&lt;=IFERROR(VLOOKUP(A529,Graduation_Cutoff!$A$2:$B$8,2,FALSE),DATE(9999,12,31))),"Y","")</f>
        <v>0</v>
      </c>
    </row>
    <row r="530" spans="7:8">
      <c r="G530" s="2">
        <f>IF(F530="PASS", E530, "")</f>
        <v>0</v>
      </c>
      <c r="H530">
        <f>IF(AND(F530="PASS", G530&lt;=IFERROR(VLOOKUP(A530,Graduation_Cutoff!$A$2:$B$8,2,FALSE),DATE(9999,12,31))),"Y","")</f>
        <v>0</v>
      </c>
    </row>
    <row r="531" spans="7:8">
      <c r="G531" s="2">
        <f>IF(F531="PASS", E531, "")</f>
        <v>0</v>
      </c>
      <c r="H531">
        <f>IF(AND(F531="PASS", G531&lt;=IFERROR(VLOOKUP(A531,Graduation_Cutoff!$A$2:$B$8,2,FALSE),DATE(9999,12,31))),"Y","")</f>
        <v>0</v>
      </c>
    </row>
    <row r="532" spans="7:8">
      <c r="G532" s="2">
        <f>IF(F532="PASS", E532, "")</f>
        <v>0</v>
      </c>
      <c r="H532">
        <f>IF(AND(F532="PASS", G532&lt;=IFERROR(VLOOKUP(A532,Graduation_Cutoff!$A$2:$B$8,2,FALSE),DATE(9999,12,31))),"Y","")</f>
        <v>0</v>
      </c>
    </row>
    <row r="533" spans="7:8">
      <c r="G533" s="2">
        <f>IF(F533="PASS", E533, "")</f>
        <v>0</v>
      </c>
      <c r="H533">
        <f>IF(AND(F533="PASS", G533&lt;=IFERROR(VLOOKUP(A533,Graduation_Cutoff!$A$2:$B$8,2,FALSE),DATE(9999,12,31))),"Y","")</f>
        <v>0</v>
      </c>
    </row>
    <row r="534" spans="7:8">
      <c r="G534" s="2">
        <f>IF(F534="PASS", E534, "")</f>
        <v>0</v>
      </c>
      <c r="H534">
        <f>IF(AND(F534="PASS", G534&lt;=IFERROR(VLOOKUP(A534,Graduation_Cutoff!$A$2:$B$8,2,FALSE),DATE(9999,12,31))),"Y","")</f>
        <v>0</v>
      </c>
    </row>
    <row r="535" spans="7:8">
      <c r="G535" s="2">
        <f>IF(F535="PASS", E535, "")</f>
        <v>0</v>
      </c>
      <c r="H535">
        <f>IF(AND(F535="PASS", G535&lt;=IFERROR(VLOOKUP(A535,Graduation_Cutoff!$A$2:$B$8,2,FALSE),DATE(9999,12,31))),"Y","")</f>
        <v>0</v>
      </c>
    </row>
    <row r="536" spans="7:8">
      <c r="G536" s="2">
        <f>IF(F536="PASS", E536, "")</f>
        <v>0</v>
      </c>
      <c r="H536">
        <f>IF(AND(F536="PASS", G536&lt;=IFERROR(VLOOKUP(A536,Graduation_Cutoff!$A$2:$B$8,2,FALSE),DATE(9999,12,31))),"Y","")</f>
        <v>0</v>
      </c>
    </row>
    <row r="537" spans="7:8">
      <c r="G537" s="2">
        <f>IF(F537="PASS", E537, "")</f>
        <v>0</v>
      </c>
      <c r="H537">
        <f>IF(AND(F537="PASS", G537&lt;=IFERROR(VLOOKUP(A537,Graduation_Cutoff!$A$2:$B$8,2,FALSE),DATE(9999,12,31))),"Y","")</f>
        <v>0</v>
      </c>
    </row>
    <row r="538" spans="7:8">
      <c r="G538" s="2">
        <f>IF(F538="PASS", E538, "")</f>
        <v>0</v>
      </c>
      <c r="H538">
        <f>IF(AND(F538="PASS", G538&lt;=IFERROR(VLOOKUP(A538,Graduation_Cutoff!$A$2:$B$8,2,FALSE),DATE(9999,12,31))),"Y","")</f>
        <v>0</v>
      </c>
    </row>
    <row r="539" spans="7:8">
      <c r="G539" s="2">
        <f>IF(F539="PASS", E539, "")</f>
        <v>0</v>
      </c>
      <c r="H539">
        <f>IF(AND(F539="PASS", G539&lt;=IFERROR(VLOOKUP(A539,Graduation_Cutoff!$A$2:$B$8,2,FALSE),DATE(9999,12,31))),"Y","")</f>
        <v>0</v>
      </c>
    </row>
    <row r="540" spans="7:8">
      <c r="G540" s="2">
        <f>IF(F540="PASS", E540, "")</f>
        <v>0</v>
      </c>
      <c r="H540">
        <f>IF(AND(F540="PASS", G540&lt;=IFERROR(VLOOKUP(A540,Graduation_Cutoff!$A$2:$B$8,2,FALSE),DATE(9999,12,31))),"Y","")</f>
        <v>0</v>
      </c>
    </row>
    <row r="541" spans="7:8">
      <c r="G541" s="2">
        <f>IF(F541="PASS", E541, "")</f>
        <v>0</v>
      </c>
      <c r="H541">
        <f>IF(AND(F541="PASS", G541&lt;=IFERROR(VLOOKUP(A541,Graduation_Cutoff!$A$2:$B$8,2,FALSE),DATE(9999,12,31))),"Y","")</f>
        <v>0</v>
      </c>
    </row>
    <row r="542" spans="7:8">
      <c r="G542" s="2">
        <f>IF(F542="PASS", E542, "")</f>
        <v>0</v>
      </c>
      <c r="H542">
        <f>IF(AND(F542="PASS", G542&lt;=IFERROR(VLOOKUP(A542,Graduation_Cutoff!$A$2:$B$8,2,FALSE),DATE(9999,12,31))),"Y","")</f>
        <v>0</v>
      </c>
    </row>
    <row r="543" spans="7:8">
      <c r="G543" s="2">
        <f>IF(F543="PASS", E543, "")</f>
        <v>0</v>
      </c>
      <c r="H543">
        <f>IF(AND(F543="PASS", G543&lt;=IFERROR(VLOOKUP(A543,Graduation_Cutoff!$A$2:$B$8,2,FALSE),DATE(9999,12,31))),"Y","")</f>
        <v>0</v>
      </c>
    </row>
    <row r="544" spans="7:8">
      <c r="G544" s="2">
        <f>IF(F544="PASS", E544, "")</f>
        <v>0</v>
      </c>
      <c r="H544">
        <f>IF(AND(F544="PASS", G544&lt;=IFERROR(VLOOKUP(A544,Graduation_Cutoff!$A$2:$B$8,2,FALSE),DATE(9999,12,31))),"Y","")</f>
        <v>0</v>
      </c>
    </row>
    <row r="545" spans="7:8">
      <c r="G545" s="2">
        <f>IF(F545="PASS", E545, "")</f>
        <v>0</v>
      </c>
      <c r="H545">
        <f>IF(AND(F545="PASS", G545&lt;=IFERROR(VLOOKUP(A545,Graduation_Cutoff!$A$2:$B$8,2,FALSE),DATE(9999,12,31))),"Y","")</f>
        <v>0</v>
      </c>
    </row>
    <row r="546" spans="7:8">
      <c r="G546" s="2">
        <f>IF(F546="PASS", E546, "")</f>
        <v>0</v>
      </c>
      <c r="H546">
        <f>IF(AND(F546="PASS", G546&lt;=IFERROR(VLOOKUP(A546,Graduation_Cutoff!$A$2:$B$8,2,FALSE),DATE(9999,12,31))),"Y","")</f>
        <v>0</v>
      </c>
    </row>
    <row r="547" spans="7:8">
      <c r="G547" s="2">
        <f>IF(F547="PASS", E547, "")</f>
        <v>0</v>
      </c>
      <c r="H547">
        <f>IF(AND(F547="PASS", G547&lt;=IFERROR(VLOOKUP(A547,Graduation_Cutoff!$A$2:$B$8,2,FALSE),DATE(9999,12,31))),"Y","")</f>
        <v>0</v>
      </c>
    </row>
    <row r="548" spans="7:8">
      <c r="G548" s="2">
        <f>IF(F548="PASS", E548, "")</f>
        <v>0</v>
      </c>
      <c r="H548">
        <f>IF(AND(F548="PASS", G548&lt;=IFERROR(VLOOKUP(A548,Graduation_Cutoff!$A$2:$B$8,2,FALSE),DATE(9999,12,31))),"Y","")</f>
        <v>0</v>
      </c>
    </row>
    <row r="549" spans="7:8">
      <c r="G549" s="2">
        <f>IF(F549="PASS", E549, "")</f>
        <v>0</v>
      </c>
      <c r="H549">
        <f>IF(AND(F549="PASS", G549&lt;=IFERROR(VLOOKUP(A549,Graduation_Cutoff!$A$2:$B$8,2,FALSE),DATE(9999,12,31))),"Y","")</f>
        <v>0</v>
      </c>
    </row>
    <row r="550" spans="7:8">
      <c r="G550" s="2">
        <f>IF(F550="PASS", E550, "")</f>
        <v>0</v>
      </c>
      <c r="H550">
        <f>IF(AND(F550="PASS", G550&lt;=IFERROR(VLOOKUP(A550,Graduation_Cutoff!$A$2:$B$8,2,FALSE),DATE(9999,12,31))),"Y","")</f>
        <v>0</v>
      </c>
    </row>
    <row r="551" spans="7:8">
      <c r="G551" s="2">
        <f>IF(F551="PASS", E551, "")</f>
        <v>0</v>
      </c>
      <c r="H551">
        <f>IF(AND(F551="PASS", G551&lt;=IFERROR(VLOOKUP(A551,Graduation_Cutoff!$A$2:$B$8,2,FALSE),DATE(9999,12,31))),"Y","")</f>
        <v>0</v>
      </c>
    </row>
    <row r="552" spans="7:8">
      <c r="G552" s="2">
        <f>IF(F552="PASS", E552, "")</f>
        <v>0</v>
      </c>
      <c r="H552">
        <f>IF(AND(F552="PASS", G552&lt;=IFERROR(VLOOKUP(A552,Graduation_Cutoff!$A$2:$B$8,2,FALSE),DATE(9999,12,31))),"Y","")</f>
        <v>0</v>
      </c>
    </row>
    <row r="553" spans="7:8">
      <c r="G553" s="2">
        <f>IF(F553="PASS", E553, "")</f>
        <v>0</v>
      </c>
      <c r="H553">
        <f>IF(AND(F553="PASS", G553&lt;=IFERROR(VLOOKUP(A553,Graduation_Cutoff!$A$2:$B$8,2,FALSE),DATE(9999,12,31))),"Y","")</f>
        <v>0</v>
      </c>
    </row>
    <row r="554" spans="7:8">
      <c r="G554" s="2">
        <f>IF(F554="PASS", E554, "")</f>
        <v>0</v>
      </c>
      <c r="H554">
        <f>IF(AND(F554="PASS", G554&lt;=IFERROR(VLOOKUP(A554,Graduation_Cutoff!$A$2:$B$8,2,FALSE),DATE(9999,12,31))),"Y","")</f>
        <v>0</v>
      </c>
    </row>
    <row r="555" spans="7:8">
      <c r="G555" s="2">
        <f>IF(F555="PASS", E555, "")</f>
        <v>0</v>
      </c>
      <c r="H555">
        <f>IF(AND(F555="PASS", G555&lt;=IFERROR(VLOOKUP(A555,Graduation_Cutoff!$A$2:$B$8,2,FALSE),DATE(9999,12,31))),"Y","")</f>
        <v>0</v>
      </c>
    </row>
    <row r="556" spans="7:8">
      <c r="G556" s="2">
        <f>IF(F556="PASS", E556, "")</f>
        <v>0</v>
      </c>
      <c r="H556">
        <f>IF(AND(F556="PASS", G556&lt;=IFERROR(VLOOKUP(A556,Graduation_Cutoff!$A$2:$B$8,2,FALSE),DATE(9999,12,31))),"Y","")</f>
        <v>0</v>
      </c>
    </row>
    <row r="557" spans="7:8">
      <c r="G557" s="2">
        <f>IF(F557="PASS", E557, "")</f>
        <v>0</v>
      </c>
      <c r="H557">
        <f>IF(AND(F557="PASS", G557&lt;=IFERROR(VLOOKUP(A557,Graduation_Cutoff!$A$2:$B$8,2,FALSE),DATE(9999,12,31))),"Y","")</f>
        <v>0</v>
      </c>
    </row>
    <row r="558" spans="7:8">
      <c r="G558" s="2">
        <f>IF(F558="PASS", E558, "")</f>
        <v>0</v>
      </c>
      <c r="H558">
        <f>IF(AND(F558="PASS", G558&lt;=IFERROR(VLOOKUP(A558,Graduation_Cutoff!$A$2:$B$8,2,FALSE),DATE(9999,12,31))),"Y","")</f>
        <v>0</v>
      </c>
    </row>
    <row r="559" spans="7:8">
      <c r="G559" s="2">
        <f>IF(F559="PASS", E559, "")</f>
        <v>0</v>
      </c>
      <c r="H559">
        <f>IF(AND(F559="PASS", G559&lt;=IFERROR(VLOOKUP(A559,Graduation_Cutoff!$A$2:$B$8,2,FALSE),DATE(9999,12,31))),"Y","")</f>
        <v>0</v>
      </c>
    </row>
    <row r="560" spans="7:8">
      <c r="G560" s="2">
        <f>IF(F560="PASS", E560, "")</f>
        <v>0</v>
      </c>
      <c r="H560">
        <f>IF(AND(F560="PASS", G560&lt;=IFERROR(VLOOKUP(A560,Graduation_Cutoff!$A$2:$B$8,2,FALSE),DATE(9999,12,31))),"Y","")</f>
        <v>0</v>
      </c>
    </row>
    <row r="561" spans="7:8">
      <c r="G561" s="2">
        <f>IF(F561="PASS", E561, "")</f>
        <v>0</v>
      </c>
      <c r="H561">
        <f>IF(AND(F561="PASS", G561&lt;=IFERROR(VLOOKUP(A561,Graduation_Cutoff!$A$2:$B$8,2,FALSE),DATE(9999,12,31))),"Y","")</f>
        <v>0</v>
      </c>
    </row>
    <row r="562" spans="7:8">
      <c r="G562" s="2">
        <f>IF(F562="PASS", E562, "")</f>
        <v>0</v>
      </c>
      <c r="H562">
        <f>IF(AND(F562="PASS", G562&lt;=IFERROR(VLOOKUP(A562,Graduation_Cutoff!$A$2:$B$8,2,FALSE),DATE(9999,12,31))),"Y","")</f>
        <v>0</v>
      </c>
    </row>
    <row r="563" spans="7:8">
      <c r="G563" s="2">
        <f>IF(F563="PASS", E563, "")</f>
        <v>0</v>
      </c>
      <c r="H563">
        <f>IF(AND(F563="PASS", G563&lt;=IFERROR(VLOOKUP(A563,Graduation_Cutoff!$A$2:$B$8,2,FALSE),DATE(9999,12,31))),"Y","")</f>
        <v>0</v>
      </c>
    </row>
    <row r="564" spans="7:8">
      <c r="G564" s="2">
        <f>IF(F564="PASS", E564, "")</f>
        <v>0</v>
      </c>
      <c r="H564">
        <f>IF(AND(F564="PASS", G564&lt;=IFERROR(VLOOKUP(A564,Graduation_Cutoff!$A$2:$B$8,2,FALSE),DATE(9999,12,31))),"Y","")</f>
        <v>0</v>
      </c>
    </row>
    <row r="565" spans="7:8">
      <c r="G565" s="2">
        <f>IF(F565="PASS", E565, "")</f>
        <v>0</v>
      </c>
      <c r="H565">
        <f>IF(AND(F565="PASS", G565&lt;=IFERROR(VLOOKUP(A565,Graduation_Cutoff!$A$2:$B$8,2,FALSE),DATE(9999,12,31))),"Y","")</f>
        <v>0</v>
      </c>
    </row>
    <row r="566" spans="7:8">
      <c r="G566" s="2">
        <f>IF(F566="PASS", E566, "")</f>
        <v>0</v>
      </c>
      <c r="H566">
        <f>IF(AND(F566="PASS", G566&lt;=IFERROR(VLOOKUP(A566,Graduation_Cutoff!$A$2:$B$8,2,FALSE),DATE(9999,12,31))),"Y","")</f>
        <v>0</v>
      </c>
    </row>
    <row r="567" spans="7:8">
      <c r="G567" s="2">
        <f>IF(F567="PASS", E567, "")</f>
        <v>0</v>
      </c>
      <c r="H567">
        <f>IF(AND(F567="PASS", G567&lt;=IFERROR(VLOOKUP(A567,Graduation_Cutoff!$A$2:$B$8,2,FALSE),DATE(9999,12,31))),"Y","")</f>
        <v>0</v>
      </c>
    </row>
    <row r="568" spans="7:8">
      <c r="G568" s="2">
        <f>IF(F568="PASS", E568, "")</f>
        <v>0</v>
      </c>
      <c r="H568">
        <f>IF(AND(F568="PASS", G568&lt;=IFERROR(VLOOKUP(A568,Graduation_Cutoff!$A$2:$B$8,2,FALSE),DATE(9999,12,31))),"Y","")</f>
        <v>0</v>
      </c>
    </row>
    <row r="569" spans="7:8">
      <c r="G569" s="2">
        <f>IF(F569="PASS", E569, "")</f>
        <v>0</v>
      </c>
      <c r="H569">
        <f>IF(AND(F569="PASS", G569&lt;=IFERROR(VLOOKUP(A569,Graduation_Cutoff!$A$2:$B$8,2,FALSE),DATE(9999,12,31))),"Y","")</f>
        <v>0</v>
      </c>
    </row>
    <row r="570" spans="7:8">
      <c r="G570" s="2">
        <f>IF(F570="PASS", E570, "")</f>
        <v>0</v>
      </c>
      <c r="H570">
        <f>IF(AND(F570="PASS", G570&lt;=IFERROR(VLOOKUP(A570,Graduation_Cutoff!$A$2:$B$8,2,FALSE),DATE(9999,12,31))),"Y","")</f>
        <v>0</v>
      </c>
    </row>
    <row r="571" spans="7:8">
      <c r="G571" s="2">
        <f>IF(F571="PASS", E571, "")</f>
        <v>0</v>
      </c>
      <c r="H571">
        <f>IF(AND(F571="PASS", G571&lt;=IFERROR(VLOOKUP(A571,Graduation_Cutoff!$A$2:$B$8,2,FALSE),DATE(9999,12,31))),"Y","")</f>
        <v>0</v>
      </c>
    </row>
    <row r="572" spans="7:8">
      <c r="G572" s="2">
        <f>IF(F572="PASS", E572, "")</f>
        <v>0</v>
      </c>
      <c r="H572">
        <f>IF(AND(F572="PASS", G572&lt;=IFERROR(VLOOKUP(A572,Graduation_Cutoff!$A$2:$B$8,2,FALSE),DATE(9999,12,31))),"Y","")</f>
        <v>0</v>
      </c>
    </row>
    <row r="573" spans="7:8">
      <c r="G573" s="2">
        <f>IF(F573="PASS", E573, "")</f>
        <v>0</v>
      </c>
      <c r="H573">
        <f>IF(AND(F573="PASS", G573&lt;=IFERROR(VLOOKUP(A573,Graduation_Cutoff!$A$2:$B$8,2,FALSE),DATE(9999,12,31))),"Y","")</f>
        <v>0</v>
      </c>
    </row>
    <row r="574" spans="7:8">
      <c r="G574" s="2">
        <f>IF(F574="PASS", E574, "")</f>
        <v>0</v>
      </c>
      <c r="H574">
        <f>IF(AND(F574="PASS", G574&lt;=IFERROR(VLOOKUP(A574,Graduation_Cutoff!$A$2:$B$8,2,FALSE),DATE(9999,12,31))),"Y","")</f>
        <v>0</v>
      </c>
    </row>
    <row r="575" spans="7:8">
      <c r="G575" s="2">
        <f>IF(F575="PASS", E575, "")</f>
        <v>0</v>
      </c>
      <c r="H575">
        <f>IF(AND(F575="PASS", G575&lt;=IFERROR(VLOOKUP(A575,Graduation_Cutoff!$A$2:$B$8,2,FALSE),DATE(9999,12,31))),"Y","")</f>
        <v>0</v>
      </c>
    </row>
    <row r="576" spans="7:8">
      <c r="G576" s="2">
        <f>IF(F576="PASS", E576, "")</f>
        <v>0</v>
      </c>
      <c r="H576">
        <f>IF(AND(F576="PASS", G576&lt;=IFERROR(VLOOKUP(A576,Graduation_Cutoff!$A$2:$B$8,2,FALSE),DATE(9999,12,31))),"Y","")</f>
        <v>0</v>
      </c>
    </row>
    <row r="577" spans="7:8">
      <c r="G577" s="2">
        <f>IF(F577="PASS", E577, "")</f>
        <v>0</v>
      </c>
      <c r="H577">
        <f>IF(AND(F577="PASS", G577&lt;=IFERROR(VLOOKUP(A577,Graduation_Cutoff!$A$2:$B$8,2,FALSE),DATE(9999,12,31))),"Y","")</f>
        <v>0</v>
      </c>
    </row>
    <row r="578" spans="7:8">
      <c r="G578" s="2">
        <f>IF(F578="PASS", E578, "")</f>
        <v>0</v>
      </c>
      <c r="H578">
        <f>IF(AND(F578="PASS", G578&lt;=IFERROR(VLOOKUP(A578,Graduation_Cutoff!$A$2:$B$8,2,FALSE),DATE(9999,12,31))),"Y","")</f>
        <v>0</v>
      </c>
    </row>
    <row r="579" spans="7:8">
      <c r="G579" s="2">
        <f>IF(F579="PASS", E579, "")</f>
        <v>0</v>
      </c>
      <c r="H579">
        <f>IF(AND(F579="PASS", G579&lt;=IFERROR(VLOOKUP(A579,Graduation_Cutoff!$A$2:$B$8,2,FALSE),DATE(9999,12,31))),"Y","")</f>
        <v>0</v>
      </c>
    </row>
    <row r="580" spans="7:8">
      <c r="G580" s="2">
        <f>IF(F580="PASS", E580, "")</f>
        <v>0</v>
      </c>
      <c r="H580">
        <f>IF(AND(F580="PASS", G580&lt;=IFERROR(VLOOKUP(A580,Graduation_Cutoff!$A$2:$B$8,2,FALSE),DATE(9999,12,31))),"Y","")</f>
        <v>0</v>
      </c>
    </row>
    <row r="581" spans="7:8">
      <c r="G581" s="2">
        <f>IF(F581="PASS", E581, "")</f>
        <v>0</v>
      </c>
      <c r="H581">
        <f>IF(AND(F581="PASS", G581&lt;=IFERROR(VLOOKUP(A581,Graduation_Cutoff!$A$2:$B$8,2,FALSE),DATE(9999,12,31))),"Y","")</f>
        <v>0</v>
      </c>
    </row>
    <row r="582" spans="7:8">
      <c r="G582" s="2">
        <f>IF(F582="PASS", E582, "")</f>
        <v>0</v>
      </c>
      <c r="H582">
        <f>IF(AND(F582="PASS", G582&lt;=IFERROR(VLOOKUP(A582,Graduation_Cutoff!$A$2:$B$8,2,FALSE),DATE(9999,12,31))),"Y","")</f>
        <v>0</v>
      </c>
    </row>
    <row r="583" spans="7:8">
      <c r="G583" s="2">
        <f>IF(F583="PASS", E583, "")</f>
        <v>0</v>
      </c>
      <c r="H583">
        <f>IF(AND(F583="PASS", G583&lt;=IFERROR(VLOOKUP(A583,Graduation_Cutoff!$A$2:$B$8,2,FALSE),DATE(9999,12,31))),"Y","")</f>
        <v>0</v>
      </c>
    </row>
    <row r="584" spans="7:8">
      <c r="G584" s="2">
        <f>IF(F584="PASS", E584, "")</f>
        <v>0</v>
      </c>
      <c r="H584">
        <f>IF(AND(F584="PASS", G584&lt;=IFERROR(VLOOKUP(A584,Graduation_Cutoff!$A$2:$B$8,2,FALSE),DATE(9999,12,31))),"Y","")</f>
        <v>0</v>
      </c>
    </row>
    <row r="585" spans="7:8">
      <c r="G585" s="2">
        <f>IF(F585="PASS", E585, "")</f>
        <v>0</v>
      </c>
      <c r="H585">
        <f>IF(AND(F585="PASS", G585&lt;=IFERROR(VLOOKUP(A585,Graduation_Cutoff!$A$2:$B$8,2,FALSE),DATE(9999,12,31))),"Y","")</f>
        <v>0</v>
      </c>
    </row>
    <row r="586" spans="7:8">
      <c r="G586" s="2">
        <f>IF(F586="PASS", E586, "")</f>
        <v>0</v>
      </c>
      <c r="H586">
        <f>IF(AND(F586="PASS", G586&lt;=IFERROR(VLOOKUP(A586,Graduation_Cutoff!$A$2:$B$8,2,FALSE),DATE(9999,12,31))),"Y","")</f>
        <v>0</v>
      </c>
    </row>
    <row r="587" spans="7:8">
      <c r="G587" s="2">
        <f>IF(F587="PASS", E587, "")</f>
        <v>0</v>
      </c>
      <c r="H587">
        <f>IF(AND(F587="PASS", G587&lt;=IFERROR(VLOOKUP(A587,Graduation_Cutoff!$A$2:$B$8,2,FALSE),DATE(9999,12,31))),"Y","")</f>
        <v>0</v>
      </c>
    </row>
    <row r="588" spans="7:8">
      <c r="G588" s="2">
        <f>IF(F588="PASS", E588, "")</f>
        <v>0</v>
      </c>
      <c r="H588">
        <f>IF(AND(F588="PASS", G588&lt;=IFERROR(VLOOKUP(A588,Graduation_Cutoff!$A$2:$B$8,2,FALSE),DATE(9999,12,31))),"Y","")</f>
        <v>0</v>
      </c>
    </row>
    <row r="589" spans="7:8">
      <c r="G589" s="2">
        <f>IF(F589="PASS", E589, "")</f>
        <v>0</v>
      </c>
      <c r="H589">
        <f>IF(AND(F589="PASS", G589&lt;=IFERROR(VLOOKUP(A589,Graduation_Cutoff!$A$2:$B$8,2,FALSE),DATE(9999,12,31))),"Y","")</f>
        <v>0</v>
      </c>
    </row>
    <row r="590" spans="7:8">
      <c r="G590" s="2">
        <f>IF(F590="PASS", E590, "")</f>
        <v>0</v>
      </c>
      <c r="H590">
        <f>IF(AND(F590="PASS", G590&lt;=IFERROR(VLOOKUP(A590,Graduation_Cutoff!$A$2:$B$8,2,FALSE),DATE(9999,12,31))),"Y","")</f>
        <v>0</v>
      </c>
    </row>
    <row r="591" spans="7:8">
      <c r="G591" s="2">
        <f>IF(F591="PASS", E591, "")</f>
        <v>0</v>
      </c>
      <c r="H591">
        <f>IF(AND(F591="PASS", G591&lt;=IFERROR(VLOOKUP(A591,Graduation_Cutoff!$A$2:$B$8,2,FALSE),DATE(9999,12,31))),"Y","")</f>
        <v>0</v>
      </c>
    </row>
    <row r="592" spans="7:8">
      <c r="G592" s="2">
        <f>IF(F592="PASS", E592, "")</f>
        <v>0</v>
      </c>
      <c r="H592">
        <f>IF(AND(F592="PASS", G592&lt;=IFERROR(VLOOKUP(A592,Graduation_Cutoff!$A$2:$B$8,2,FALSE),DATE(9999,12,31))),"Y","")</f>
        <v>0</v>
      </c>
    </row>
    <row r="593" spans="7:8">
      <c r="G593" s="2">
        <f>IF(F593="PASS", E593, "")</f>
        <v>0</v>
      </c>
      <c r="H593">
        <f>IF(AND(F593="PASS", G593&lt;=IFERROR(VLOOKUP(A593,Graduation_Cutoff!$A$2:$B$8,2,FALSE),DATE(9999,12,31))),"Y","")</f>
        <v>0</v>
      </c>
    </row>
    <row r="594" spans="7:8">
      <c r="G594" s="2">
        <f>IF(F594="PASS", E594, "")</f>
        <v>0</v>
      </c>
      <c r="H594">
        <f>IF(AND(F594="PASS", G594&lt;=IFERROR(VLOOKUP(A594,Graduation_Cutoff!$A$2:$B$8,2,FALSE),DATE(9999,12,31))),"Y","")</f>
        <v>0</v>
      </c>
    </row>
    <row r="595" spans="7:8">
      <c r="G595" s="2">
        <f>IF(F595="PASS", E595, "")</f>
        <v>0</v>
      </c>
      <c r="H595">
        <f>IF(AND(F595="PASS", G595&lt;=IFERROR(VLOOKUP(A595,Graduation_Cutoff!$A$2:$B$8,2,FALSE),DATE(9999,12,31))),"Y","")</f>
        <v>0</v>
      </c>
    </row>
    <row r="596" spans="7:8">
      <c r="G596" s="2">
        <f>IF(F596="PASS", E596, "")</f>
        <v>0</v>
      </c>
      <c r="H596">
        <f>IF(AND(F596="PASS", G596&lt;=IFERROR(VLOOKUP(A596,Graduation_Cutoff!$A$2:$B$8,2,FALSE),DATE(9999,12,31))),"Y","")</f>
        <v>0</v>
      </c>
    </row>
    <row r="597" spans="7:8">
      <c r="G597" s="2">
        <f>IF(F597="PASS", E597, "")</f>
        <v>0</v>
      </c>
      <c r="H597">
        <f>IF(AND(F597="PASS", G597&lt;=IFERROR(VLOOKUP(A597,Graduation_Cutoff!$A$2:$B$8,2,FALSE),DATE(9999,12,31))),"Y","")</f>
        <v>0</v>
      </c>
    </row>
    <row r="598" spans="7:8">
      <c r="G598" s="2">
        <f>IF(F598="PASS", E598, "")</f>
        <v>0</v>
      </c>
      <c r="H598">
        <f>IF(AND(F598="PASS", G598&lt;=IFERROR(VLOOKUP(A598,Graduation_Cutoff!$A$2:$B$8,2,FALSE),DATE(9999,12,31))),"Y","")</f>
        <v>0</v>
      </c>
    </row>
    <row r="599" spans="7:8">
      <c r="G599" s="2">
        <f>IF(F599="PASS", E599, "")</f>
        <v>0</v>
      </c>
      <c r="H599">
        <f>IF(AND(F599="PASS", G599&lt;=IFERROR(VLOOKUP(A599,Graduation_Cutoff!$A$2:$B$8,2,FALSE),DATE(9999,12,31))),"Y","")</f>
        <v>0</v>
      </c>
    </row>
    <row r="600" spans="7:8">
      <c r="G600" s="2">
        <f>IF(F600="PASS", E600, "")</f>
        <v>0</v>
      </c>
      <c r="H600">
        <f>IF(AND(F600="PASS", G600&lt;=IFERROR(VLOOKUP(A600,Graduation_Cutoff!$A$2:$B$8,2,FALSE),DATE(9999,12,31))),"Y","")</f>
        <v>0</v>
      </c>
    </row>
    <row r="601" spans="7:8">
      <c r="G601" s="2">
        <f>IF(F601="PASS", E601, "")</f>
        <v>0</v>
      </c>
      <c r="H601">
        <f>IF(AND(F601="PASS", G601&lt;=IFERROR(VLOOKUP(A601,Graduation_Cutoff!$A$2:$B$8,2,FALSE),DATE(9999,12,31))),"Y","")</f>
        <v>0</v>
      </c>
    </row>
    <row r="602" spans="7:8">
      <c r="G602" s="2">
        <f>IF(F602="PASS", E602, "")</f>
        <v>0</v>
      </c>
      <c r="H602">
        <f>IF(AND(F602="PASS", G602&lt;=IFERROR(VLOOKUP(A602,Graduation_Cutoff!$A$2:$B$8,2,FALSE),DATE(9999,12,31))),"Y","")</f>
        <v>0</v>
      </c>
    </row>
    <row r="603" spans="7:8">
      <c r="G603" s="2">
        <f>IF(F603="PASS", E603, "")</f>
        <v>0</v>
      </c>
      <c r="H603">
        <f>IF(AND(F603="PASS", G603&lt;=IFERROR(VLOOKUP(A603,Graduation_Cutoff!$A$2:$B$8,2,FALSE),DATE(9999,12,31))),"Y","")</f>
        <v>0</v>
      </c>
    </row>
    <row r="604" spans="7:8">
      <c r="G604" s="2">
        <f>IF(F604="PASS", E604, "")</f>
        <v>0</v>
      </c>
      <c r="H604">
        <f>IF(AND(F604="PASS", G604&lt;=IFERROR(VLOOKUP(A604,Graduation_Cutoff!$A$2:$B$8,2,FALSE),DATE(9999,12,31))),"Y","")</f>
        <v>0</v>
      </c>
    </row>
    <row r="605" spans="7:8">
      <c r="G605" s="2">
        <f>IF(F605="PASS", E605, "")</f>
        <v>0</v>
      </c>
      <c r="H605">
        <f>IF(AND(F605="PASS", G605&lt;=IFERROR(VLOOKUP(A605,Graduation_Cutoff!$A$2:$B$8,2,FALSE),DATE(9999,12,31))),"Y","")</f>
        <v>0</v>
      </c>
    </row>
    <row r="606" spans="7:8">
      <c r="G606" s="2">
        <f>IF(F606="PASS", E606, "")</f>
        <v>0</v>
      </c>
      <c r="H606">
        <f>IF(AND(F606="PASS", G606&lt;=IFERROR(VLOOKUP(A606,Graduation_Cutoff!$A$2:$B$8,2,FALSE),DATE(9999,12,31))),"Y","")</f>
        <v>0</v>
      </c>
    </row>
    <row r="607" spans="7:8">
      <c r="G607" s="2">
        <f>IF(F607="PASS", E607, "")</f>
        <v>0</v>
      </c>
      <c r="H607">
        <f>IF(AND(F607="PASS", G607&lt;=IFERROR(VLOOKUP(A607,Graduation_Cutoff!$A$2:$B$8,2,FALSE),DATE(9999,12,31))),"Y","")</f>
        <v>0</v>
      </c>
    </row>
    <row r="608" spans="7:8">
      <c r="G608" s="2">
        <f>IF(F608="PASS", E608, "")</f>
        <v>0</v>
      </c>
      <c r="H608">
        <f>IF(AND(F608="PASS", G608&lt;=IFERROR(VLOOKUP(A608,Graduation_Cutoff!$A$2:$B$8,2,FALSE),DATE(9999,12,31))),"Y","")</f>
        <v>0</v>
      </c>
    </row>
    <row r="609" spans="7:8">
      <c r="G609" s="2">
        <f>IF(F609="PASS", E609, "")</f>
        <v>0</v>
      </c>
      <c r="H609">
        <f>IF(AND(F609="PASS", G609&lt;=IFERROR(VLOOKUP(A609,Graduation_Cutoff!$A$2:$B$8,2,FALSE),DATE(9999,12,31))),"Y","")</f>
        <v>0</v>
      </c>
    </row>
    <row r="610" spans="7:8">
      <c r="G610" s="2">
        <f>IF(F610="PASS", E610, "")</f>
        <v>0</v>
      </c>
      <c r="H610">
        <f>IF(AND(F610="PASS", G610&lt;=IFERROR(VLOOKUP(A610,Graduation_Cutoff!$A$2:$B$8,2,FALSE),DATE(9999,12,31))),"Y","")</f>
        <v>0</v>
      </c>
    </row>
    <row r="611" spans="7:8">
      <c r="G611" s="2">
        <f>IF(F611="PASS", E611, "")</f>
        <v>0</v>
      </c>
      <c r="H611">
        <f>IF(AND(F611="PASS", G611&lt;=IFERROR(VLOOKUP(A611,Graduation_Cutoff!$A$2:$B$8,2,FALSE),DATE(9999,12,31))),"Y","")</f>
        <v>0</v>
      </c>
    </row>
    <row r="612" spans="7:8">
      <c r="G612" s="2">
        <f>IF(F612="PASS", E612, "")</f>
        <v>0</v>
      </c>
      <c r="H612">
        <f>IF(AND(F612="PASS", G612&lt;=IFERROR(VLOOKUP(A612,Graduation_Cutoff!$A$2:$B$8,2,FALSE),DATE(9999,12,31))),"Y","")</f>
        <v>0</v>
      </c>
    </row>
    <row r="613" spans="7:8">
      <c r="G613" s="2">
        <f>IF(F613="PASS", E613, "")</f>
        <v>0</v>
      </c>
      <c r="H613">
        <f>IF(AND(F613="PASS", G613&lt;=IFERROR(VLOOKUP(A613,Graduation_Cutoff!$A$2:$B$8,2,FALSE),DATE(9999,12,31))),"Y","")</f>
        <v>0</v>
      </c>
    </row>
    <row r="614" spans="7:8">
      <c r="G614" s="2">
        <f>IF(F614="PASS", E614, "")</f>
        <v>0</v>
      </c>
      <c r="H614">
        <f>IF(AND(F614="PASS", G614&lt;=IFERROR(VLOOKUP(A614,Graduation_Cutoff!$A$2:$B$8,2,FALSE),DATE(9999,12,31))),"Y","")</f>
        <v>0</v>
      </c>
    </row>
    <row r="615" spans="7:8">
      <c r="G615" s="2">
        <f>IF(F615="PASS", E615, "")</f>
        <v>0</v>
      </c>
      <c r="H615">
        <f>IF(AND(F615="PASS", G615&lt;=IFERROR(VLOOKUP(A615,Graduation_Cutoff!$A$2:$B$8,2,FALSE),DATE(9999,12,31))),"Y","")</f>
        <v>0</v>
      </c>
    </row>
    <row r="616" spans="7:8">
      <c r="G616" s="2">
        <f>IF(F616="PASS", E616, "")</f>
        <v>0</v>
      </c>
      <c r="H616">
        <f>IF(AND(F616="PASS", G616&lt;=IFERROR(VLOOKUP(A616,Graduation_Cutoff!$A$2:$B$8,2,FALSE),DATE(9999,12,31))),"Y","")</f>
        <v>0</v>
      </c>
    </row>
    <row r="617" spans="7:8">
      <c r="G617" s="2">
        <f>IF(F617="PASS", E617, "")</f>
        <v>0</v>
      </c>
      <c r="H617">
        <f>IF(AND(F617="PASS", G617&lt;=IFERROR(VLOOKUP(A617,Graduation_Cutoff!$A$2:$B$8,2,FALSE),DATE(9999,12,31))),"Y","")</f>
        <v>0</v>
      </c>
    </row>
    <row r="618" spans="7:8">
      <c r="G618" s="2">
        <f>IF(F618="PASS", E618, "")</f>
        <v>0</v>
      </c>
      <c r="H618">
        <f>IF(AND(F618="PASS", G618&lt;=IFERROR(VLOOKUP(A618,Graduation_Cutoff!$A$2:$B$8,2,FALSE),DATE(9999,12,31))),"Y","")</f>
        <v>0</v>
      </c>
    </row>
    <row r="619" spans="7:8">
      <c r="G619" s="2">
        <f>IF(F619="PASS", E619, "")</f>
        <v>0</v>
      </c>
      <c r="H619">
        <f>IF(AND(F619="PASS", G619&lt;=IFERROR(VLOOKUP(A619,Graduation_Cutoff!$A$2:$B$8,2,FALSE),DATE(9999,12,31))),"Y","")</f>
        <v>0</v>
      </c>
    </row>
    <row r="620" spans="7:8">
      <c r="G620" s="2">
        <f>IF(F620="PASS", E620, "")</f>
        <v>0</v>
      </c>
      <c r="H620">
        <f>IF(AND(F620="PASS", G620&lt;=IFERROR(VLOOKUP(A620,Graduation_Cutoff!$A$2:$B$8,2,FALSE),DATE(9999,12,31))),"Y","")</f>
        <v>0</v>
      </c>
    </row>
    <row r="621" spans="7:8">
      <c r="G621" s="2">
        <f>IF(F621="PASS", E621, "")</f>
        <v>0</v>
      </c>
      <c r="H621">
        <f>IF(AND(F621="PASS", G621&lt;=IFERROR(VLOOKUP(A621,Graduation_Cutoff!$A$2:$B$8,2,FALSE),DATE(9999,12,31))),"Y","")</f>
        <v>0</v>
      </c>
    </row>
    <row r="622" spans="7:8">
      <c r="G622" s="2">
        <f>IF(F622="PASS", E622, "")</f>
        <v>0</v>
      </c>
      <c r="H622">
        <f>IF(AND(F622="PASS", G622&lt;=IFERROR(VLOOKUP(A622,Graduation_Cutoff!$A$2:$B$8,2,FALSE),DATE(9999,12,31))),"Y","")</f>
        <v>0</v>
      </c>
    </row>
    <row r="623" spans="7:8">
      <c r="G623" s="2">
        <f>IF(F623="PASS", E623, "")</f>
        <v>0</v>
      </c>
      <c r="H623">
        <f>IF(AND(F623="PASS", G623&lt;=IFERROR(VLOOKUP(A623,Graduation_Cutoff!$A$2:$B$8,2,FALSE),DATE(9999,12,31))),"Y","")</f>
        <v>0</v>
      </c>
    </row>
    <row r="624" spans="7:8">
      <c r="G624" s="2">
        <f>IF(F624="PASS", E624, "")</f>
        <v>0</v>
      </c>
      <c r="H624">
        <f>IF(AND(F624="PASS", G624&lt;=IFERROR(VLOOKUP(A624,Graduation_Cutoff!$A$2:$B$8,2,FALSE),DATE(9999,12,31))),"Y","")</f>
        <v>0</v>
      </c>
    </row>
    <row r="625" spans="7:8">
      <c r="G625" s="2">
        <f>IF(F625="PASS", E625, "")</f>
        <v>0</v>
      </c>
      <c r="H625">
        <f>IF(AND(F625="PASS", G625&lt;=IFERROR(VLOOKUP(A625,Graduation_Cutoff!$A$2:$B$8,2,FALSE),DATE(9999,12,31))),"Y","")</f>
        <v>0</v>
      </c>
    </row>
    <row r="626" spans="7:8">
      <c r="G626" s="2">
        <f>IF(F626="PASS", E626, "")</f>
        <v>0</v>
      </c>
      <c r="H626">
        <f>IF(AND(F626="PASS", G626&lt;=IFERROR(VLOOKUP(A626,Graduation_Cutoff!$A$2:$B$8,2,FALSE),DATE(9999,12,31))),"Y","")</f>
        <v>0</v>
      </c>
    </row>
    <row r="627" spans="7:8">
      <c r="G627" s="2">
        <f>IF(F627="PASS", E627, "")</f>
        <v>0</v>
      </c>
      <c r="H627">
        <f>IF(AND(F627="PASS", G627&lt;=IFERROR(VLOOKUP(A627,Graduation_Cutoff!$A$2:$B$8,2,FALSE),DATE(9999,12,31))),"Y","")</f>
        <v>0</v>
      </c>
    </row>
    <row r="628" spans="7:8">
      <c r="G628" s="2">
        <f>IF(F628="PASS", E628, "")</f>
        <v>0</v>
      </c>
      <c r="H628">
        <f>IF(AND(F628="PASS", G628&lt;=IFERROR(VLOOKUP(A628,Graduation_Cutoff!$A$2:$B$8,2,FALSE),DATE(9999,12,31))),"Y","")</f>
        <v>0</v>
      </c>
    </row>
    <row r="629" spans="7:8">
      <c r="G629" s="2">
        <f>IF(F629="PASS", E629, "")</f>
        <v>0</v>
      </c>
      <c r="H629">
        <f>IF(AND(F629="PASS", G629&lt;=IFERROR(VLOOKUP(A629,Graduation_Cutoff!$A$2:$B$8,2,FALSE),DATE(9999,12,31))),"Y","")</f>
        <v>0</v>
      </c>
    </row>
    <row r="630" spans="7:8">
      <c r="G630" s="2">
        <f>IF(F630="PASS", E630, "")</f>
        <v>0</v>
      </c>
      <c r="H630">
        <f>IF(AND(F630="PASS", G630&lt;=IFERROR(VLOOKUP(A630,Graduation_Cutoff!$A$2:$B$8,2,FALSE),DATE(9999,12,31))),"Y","")</f>
        <v>0</v>
      </c>
    </row>
    <row r="631" spans="7:8">
      <c r="G631" s="2">
        <f>IF(F631="PASS", E631, "")</f>
        <v>0</v>
      </c>
      <c r="H631">
        <f>IF(AND(F631="PASS", G631&lt;=IFERROR(VLOOKUP(A631,Graduation_Cutoff!$A$2:$B$8,2,FALSE),DATE(9999,12,31))),"Y","")</f>
        <v>0</v>
      </c>
    </row>
    <row r="632" spans="7:8">
      <c r="G632" s="2">
        <f>IF(F632="PASS", E632, "")</f>
        <v>0</v>
      </c>
      <c r="H632">
        <f>IF(AND(F632="PASS", G632&lt;=IFERROR(VLOOKUP(A632,Graduation_Cutoff!$A$2:$B$8,2,FALSE),DATE(9999,12,31))),"Y","")</f>
        <v>0</v>
      </c>
    </row>
    <row r="633" spans="7:8">
      <c r="G633" s="2">
        <f>IF(F633="PASS", E633, "")</f>
        <v>0</v>
      </c>
      <c r="H633">
        <f>IF(AND(F633="PASS", G633&lt;=IFERROR(VLOOKUP(A633,Graduation_Cutoff!$A$2:$B$8,2,FALSE),DATE(9999,12,31))),"Y","")</f>
        <v>0</v>
      </c>
    </row>
    <row r="634" spans="7:8">
      <c r="G634" s="2">
        <f>IF(F634="PASS", E634, "")</f>
        <v>0</v>
      </c>
      <c r="H634">
        <f>IF(AND(F634="PASS", G634&lt;=IFERROR(VLOOKUP(A634,Graduation_Cutoff!$A$2:$B$8,2,FALSE),DATE(9999,12,31))),"Y","")</f>
        <v>0</v>
      </c>
    </row>
    <row r="635" spans="7:8">
      <c r="G635" s="2">
        <f>IF(F635="PASS", E635, "")</f>
        <v>0</v>
      </c>
      <c r="H635">
        <f>IF(AND(F635="PASS", G635&lt;=IFERROR(VLOOKUP(A635,Graduation_Cutoff!$A$2:$B$8,2,FALSE),DATE(9999,12,31))),"Y","")</f>
        <v>0</v>
      </c>
    </row>
    <row r="636" spans="7:8">
      <c r="G636" s="2">
        <f>IF(F636="PASS", E636, "")</f>
        <v>0</v>
      </c>
      <c r="H636">
        <f>IF(AND(F636="PASS", G636&lt;=IFERROR(VLOOKUP(A636,Graduation_Cutoff!$A$2:$B$8,2,FALSE),DATE(9999,12,31))),"Y","")</f>
        <v>0</v>
      </c>
    </row>
    <row r="637" spans="7:8">
      <c r="G637" s="2">
        <f>IF(F637="PASS", E637, "")</f>
        <v>0</v>
      </c>
      <c r="H637">
        <f>IF(AND(F637="PASS", G637&lt;=IFERROR(VLOOKUP(A637,Graduation_Cutoff!$A$2:$B$8,2,FALSE),DATE(9999,12,31))),"Y","")</f>
        <v>0</v>
      </c>
    </row>
    <row r="638" spans="7:8">
      <c r="G638" s="2">
        <f>IF(F638="PASS", E638, "")</f>
        <v>0</v>
      </c>
      <c r="H638">
        <f>IF(AND(F638="PASS", G638&lt;=IFERROR(VLOOKUP(A638,Graduation_Cutoff!$A$2:$B$8,2,FALSE),DATE(9999,12,31))),"Y","")</f>
        <v>0</v>
      </c>
    </row>
    <row r="639" spans="7:8">
      <c r="G639" s="2">
        <f>IF(F639="PASS", E639, "")</f>
        <v>0</v>
      </c>
      <c r="H639">
        <f>IF(AND(F639="PASS", G639&lt;=IFERROR(VLOOKUP(A639,Graduation_Cutoff!$A$2:$B$8,2,FALSE),DATE(9999,12,31))),"Y","")</f>
        <v>0</v>
      </c>
    </row>
    <row r="640" spans="7:8">
      <c r="G640" s="2">
        <f>IF(F640="PASS", E640, "")</f>
        <v>0</v>
      </c>
      <c r="H640">
        <f>IF(AND(F640="PASS", G640&lt;=IFERROR(VLOOKUP(A640,Graduation_Cutoff!$A$2:$B$8,2,FALSE),DATE(9999,12,31))),"Y","")</f>
        <v>0</v>
      </c>
    </row>
    <row r="641" spans="7:8">
      <c r="G641" s="2">
        <f>IF(F641="PASS", E641, "")</f>
        <v>0</v>
      </c>
      <c r="H641">
        <f>IF(AND(F641="PASS", G641&lt;=IFERROR(VLOOKUP(A641,Graduation_Cutoff!$A$2:$B$8,2,FALSE),DATE(9999,12,31))),"Y","")</f>
        <v>0</v>
      </c>
    </row>
    <row r="642" spans="7:8">
      <c r="G642" s="2">
        <f>IF(F642="PASS", E642, "")</f>
        <v>0</v>
      </c>
      <c r="H642">
        <f>IF(AND(F642="PASS", G642&lt;=IFERROR(VLOOKUP(A642,Graduation_Cutoff!$A$2:$B$8,2,FALSE),DATE(9999,12,31))),"Y","")</f>
        <v>0</v>
      </c>
    </row>
    <row r="643" spans="7:8">
      <c r="G643" s="2">
        <f>IF(F643="PASS", E643, "")</f>
        <v>0</v>
      </c>
      <c r="H643">
        <f>IF(AND(F643="PASS", G643&lt;=IFERROR(VLOOKUP(A643,Graduation_Cutoff!$A$2:$B$8,2,FALSE),DATE(9999,12,31))),"Y","")</f>
        <v>0</v>
      </c>
    </row>
    <row r="644" spans="7:8">
      <c r="G644" s="2">
        <f>IF(F644="PASS", E644, "")</f>
        <v>0</v>
      </c>
      <c r="H644">
        <f>IF(AND(F644="PASS", G644&lt;=IFERROR(VLOOKUP(A644,Graduation_Cutoff!$A$2:$B$8,2,FALSE),DATE(9999,12,31))),"Y","")</f>
        <v>0</v>
      </c>
    </row>
    <row r="645" spans="7:8">
      <c r="G645" s="2">
        <f>IF(F645="PASS", E645, "")</f>
        <v>0</v>
      </c>
      <c r="H645">
        <f>IF(AND(F645="PASS", G645&lt;=IFERROR(VLOOKUP(A645,Graduation_Cutoff!$A$2:$B$8,2,FALSE),DATE(9999,12,31))),"Y","")</f>
        <v>0</v>
      </c>
    </row>
    <row r="646" spans="7:8">
      <c r="G646" s="2">
        <f>IF(F646="PASS", E646, "")</f>
        <v>0</v>
      </c>
      <c r="H646">
        <f>IF(AND(F646="PASS", G646&lt;=IFERROR(VLOOKUP(A646,Graduation_Cutoff!$A$2:$B$8,2,FALSE),DATE(9999,12,31))),"Y","")</f>
        <v>0</v>
      </c>
    </row>
    <row r="647" spans="7:8">
      <c r="G647" s="2">
        <f>IF(F647="PASS", E647, "")</f>
        <v>0</v>
      </c>
      <c r="H647">
        <f>IF(AND(F647="PASS", G647&lt;=IFERROR(VLOOKUP(A647,Graduation_Cutoff!$A$2:$B$8,2,FALSE),DATE(9999,12,31))),"Y","")</f>
        <v>0</v>
      </c>
    </row>
    <row r="648" spans="7:8">
      <c r="G648" s="2">
        <f>IF(F648="PASS", E648, "")</f>
        <v>0</v>
      </c>
      <c r="H648">
        <f>IF(AND(F648="PASS", G648&lt;=IFERROR(VLOOKUP(A648,Graduation_Cutoff!$A$2:$B$8,2,FALSE),DATE(9999,12,31))),"Y","")</f>
        <v>0</v>
      </c>
    </row>
    <row r="649" spans="7:8">
      <c r="G649" s="2">
        <f>IF(F649="PASS", E649, "")</f>
        <v>0</v>
      </c>
      <c r="H649">
        <f>IF(AND(F649="PASS", G649&lt;=IFERROR(VLOOKUP(A649,Graduation_Cutoff!$A$2:$B$8,2,FALSE),DATE(9999,12,31))),"Y","")</f>
        <v>0</v>
      </c>
    </row>
    <row r="650" spans="7:8">
      <c r="G650" s="2">
        <f>IF(F650="PASS", E650, "")</f>
        <v>0</v>
      </c>
      <c r="H650">
        <f>IF(AND(F650="PASS", G650&lt;=IFERROR(VLOOKUP(A650,Graduation_Cutoff!$A$2:$B$8,2,FALSE),DATE(9999,12,31))),"Y","")</f>
        <v>0</v>
      </c>
    </row>
    <row r="651" spans="7:8">
      <c r="G651" s="2">
        <f>IF(F651="PASS", E651, "")</f>
        <v>0</v>
      </c>
      <c r="H651">
        <f>IF(AND(F651="PASS", G651&lt;=IFERROR(VLOOKUP(A651,Graduation_Cutoff!$A$2:$B$8,2,FALSE),DATE(9999,12,31))),"Y","")</f>
        <v>0</v>
      </c>
    </row>
    <row r="652" spans="7:8">
      <c r="G652" s="2">
        <f>IF(F652="PASS", E652, "")</f>
        <v>0</v>
      </c>
      <c r="H652">
        <f>IF(AND(F652="PASS", G652&lt;=IFERROR(VLOOKUP(A652,Graduation_Cutoff!$A$2:$B$8,2,FALSE),DATE(9999,12,31))),"Y","")</f>
        <v>0</v>
      </c>
    </row>
    <row r="653" spans="7:8">
      <c r="G653" s="2">
        <f>IF(F653="PASS", E653, "")</f>
        <v>0</v>
      </c>
      <c r="H653">
        <f>IF(AND(F653="PASS", G653&lt;=IFERROR(VLOOKUP(A653,Graduation_Cutoff!$A$2:$B$8,2,FALSE),DATE(9999,12,31))),"Y","")</f>
        <v>0</v>
      </c>
    </row>
    <row r="654" spans="7:8">
      <c r="G654" s="2">
        <f>IF(F654="PASS", E654, "")</f>
        <v>0</v>
      </c>
      <c r="H654">
        <f>IF(AND(F654="PASS", G654&lt;=IFERROR(VLOOKUP(A654,Graduation_Cutoff!$A$2:$B$8,2,FALSE),DATE(9999,12,31))),"Y","")</f>
        <v>0</v>
      </c>
    </row>
    <row r="655" spans="7:8">
      <c r="G655" s="2">
        <f>IF(F655="PASS", E655, "")</f>
        <v>0</v>
      </c>
      <c r="H655">
        <f>IF(AND(F655="PASS", G655&lt;=IFERROR(VLOOKUP(A655,Graduation_Cutoff!$A$2:$B$8,2,FALSE),DATE(9999,12,31))),"Y","")</f>
        <v>0</v>
      </c>
    </row>
    <row r="656" spans="7:8">
      <c r="G656" s="2">
        <f>IF(F656="PASS", E656, "")</f>
        <v>0</v>
      </c>
      <c r="H656">
        <f>IF(AND(F656="PASS", G656&lt;=IFERROR(VLOOKUP(A656,Graduation_Cutoff!$A$2:$B$8,2,FALSE),DATE(9999,12,31))),"Y","")</f>
        <v>0</v>
      </c>
    </row>
    <row r="657" spans="7:8">
      <c r="G657" s="2">
        <f>IF(F657="PASS", E657, "")</f>
        <v>0</v>
      </c>
      <c r="H657">
        <f>IF(AND(F657="PASS", G657&lt;=IFERROR(VLOOKUP(A657,Graduation_Cutoff!$A$2:$B$8,2,FALSE),DATE(9999,12,31))),"Y","")</f>
        <v>0</v>
      </c>
    </row>
    <row r="658" spans="7:8">
      <c r="G658" s="2">
        <f>IF(F658="PASS", E658, "")</f>
        <v>0</v>
      </c>
      <c r="H658">
        <f>IF(AND(F658="PASS", G658&lt;=IFERROR(VLOOKUP(A658,Graduation_Cutoff!$A$2:$B$8,2,FALSE),DATE(9999,12,31))),"Y","")</f>
        <v>0</v>
      </c>
    </row>
    <row r="659" spans="7:8">
      <c r="G659" s="2">
        <f>IF(F659="PASS", E659, "")</f>
        <v>0</v>
      </c>
      <c r="H659">
        <f>IF(AND(F659="PASS", G659&lt;=IFERROR(VLOOKUP(A659,Graduation_Cutoff!$A$2:$B$8,2,FALSE),DATE(9999,12,31))),"Y","")</f>
        <v>0</v>
      </c>
    </row>
    <row r="660" spans="7:8">
      <c r="G660" s="2">
        <f>IF(F660="PASS", E660, "")</f>
        <v>0</v>
      </c>
      <c r="H660">
        <f>IF(AND(F660="PASS", G660&lt;=IFERROR(VLOOKUP(A660,Graduation_Cutoff!$A$2:$B$8,2,FALSE),DATE(9999,12,31))),"Y","")</f>
        <v>0</v>
      </c>
    </row>
    <row r="661" spans="7:8">
      <c r="G661" s="2">
        <f>IF(F661="PASS", E661, "")</f>
        <v>0</v>
      </c>
      <c r="H661">
        <f>IF(AND(F661="PASS", G661&lt;=IFERROR(VLOOKUP(A661,Graduation_Cutoff!$A$2:$B$8,2,FALSE),DATE(9999,12,31))),"Y","")</f>
        <v>0</v>
      </c>
    </row>
    <row r="662" spans="7:8">
      <c r="G662" s="2">
        <f>IF(F662="PASS", E662, "")</f>
        <v>0</v>
      </c>
      <c r="H662">
        <f>IF(AND(F662="PASS", G662&lt;=IFERROR(VLOOKUP(A662,Graduation_Cutoff!$A$2:$B$8,2,FALSE),DATE(9999,12,31))),"Y","")</f>
        <v>0</v>
      </c>
    </row>
    <row r="663" spans="7:8">
      <c r="G663" s="2">
        <f>IF(F663="PASS", E663, "")</f>
        <v>0</v>
      </c>
      <c r="H663">
        <f>IF(AND(F663="PASS", G663&lt;=IFERROR(VLOOKUP(A663,Graduation_Cutoff!$A$2:$B$8,2,FALSE),DATE(9999,12,31))),"Y","")</f>
        <v>0</v>
      </c>
    </row>
    <row r="664" spans="7:8">
      <c r="G664" s="2">
        <f>IF(F664="PASS", E664, "")</f>
        <v>0</v>
      </c>
      <c r="H664">
        <f>IF(AND(F664="PASS", G664&lt;=IFERROR(VLOOKUP(A664,Graduation_Cutoff!$A$2:$B$8,2,FALSE),DATE(9999,12,31))),"Y","")</f>
        <v>0</v>
      </c>
    </row>
    <row r="665" spans="7:8">
      <c r="G665" s="2">
        <f>IF(F665="PASS", E665, "")</f>
        <v>0</v>
      </c>
      <c r="H665">
        <f>IF(AND(F665="PASS", G665&lt;=IFERROR(VLOOKUP(A665,Graduation_Cutoff!$A$2:$B$8,2,FALSE),DATE(9999,12,31))),"Y","")</f>
        <v>0</v>
      </c>
    </row>
    <row r="666" spans="7:8">
      <c r="G666" s="2">
        <f>IF(F666="PASS", E666, "")</f>
        <v>0</v>
      </c>
      <c r="H666">
        <f>IF(AND(F666="PASS", G666&lt;=IFERROR(VLOOKUP(A666,Graduation_Cutoff!$A$2:$B$8,2,FALSE),DATE(9999,12,31))),"Y","")</f>
        <v>0</v>
      </c>
    </row>
    <row r="667" spans="7:8">
      <c r="G667" s="2">
        <f>IF(F667="PASS", E667, "")</f>
        <v>0</v>
      </c>
      <c r="H667">
        <f>IF(AND(F667="PASS", G667&lt;=IFERROR(VLOOKUP(A667,Graduation_Cutoff!$A$2:$B$8,2,FALSE),DATE(9999,12,31))),"Y","")</f>
        <v>0</v>
      </c>
    </row>
    <row r="668" spans="7:8">
      <c r="G668" s="2">
        <f>IF(F668="PASS", E668, "")</f>
        <v>0</v>
      </c>
      <c r="H668">
        <f>IF(AND(F668="PASS", G668&lt;=IFERROR(VLOOKUP(A668,Graduation_Cutoff!$A$2:$B$8,2,FALSE),DATE(9999,12,31))),"Y","")</f>
        <v>0</v>
      </c>
    </row>
    <row r="669" spans="7:8">
      <c r="G669" s="2">
        <f>IF(F669="PASS", E669, "")</f>
        <v>0</v>
      </c>
      <c r="H669">
        <f>IF(AND(F669="PASS", G669&lt;=IFERROR(VLOOKUP(A669,Graduation_Cutoff!$A$2:$B$8,2,FALSE),DATE(9999,12,31))),"Y","")</f>
        <v>0</v>
      </c>
    </row>
    <row r="670" spans="7:8">
      <c r="G670" s="2">
        <f>IF(F670="PASS", E670, "")</f>
        <v>0</v>
      </c>
      <c r="H670">
        <f>IF(AND(F670="PASS", G670&lt;=IFERROR(VLOOKUP(A670,Graduation_Cutoff!$A$2:$B$8,2,FALSE),DATE(9999,12,31))),"Y","")</f>
        <v>0</v>
      </c>
    </row>
    <row r="671" spans="7:8">
      <c r="G671" s="2">
        <f>IF(F671="PASS", E671, "")</f>
        <v>0</v>
      </c>
      <c r="H671">
        <f>IF(AND(F671="PASS", G671&lt;=IFERROR(VLOOKUP(A671,Graduation_Cutoff!$A$2:$B$8,2,FALSE),DATE(9999,12,31))),"Y","")</f>
        <v>0</v>
      </c>
    </row>
    <row r="672" spans="7:8">
      <c r="G672" s="2">
        <f>IF(F672="PASS", E672, "")</f>
        <v>0</v>
      </c>
      <c r="H672">
        <f>IF(AND(F672="PASS", G672&lt;=IFERROR(VLOOKUP(A672,Graduation_Cutoff!$A$2:$B$8,2,FALSE),DATE(9999,12,31))),"Y","")</f>
        <v>0</v>
      </c>
    </row>
    <row r="673" spans="7:8">
      <c r="G673" s="2">
        <f>IF(F673="PASS", E673, "")</f>
        <v>0</v>
      </c>
      <c r="H673">
        <f>IF(AND(F673="PASS", G673&lt;=IFERROR(VLOOKUP(A673,Graduation_Cutoff!$A$2:$B$8,2,FALSE),DATE(9999,12,31))),"Y","")</f>
        <v>0</v>
      </c>
    </row>
    <row r="674" spans="7:8">
      <c r="G674" s="2">
        <f>IF(F674="PASS", E674, "")</f>
        <v>0</v>
      </c>
      <c r="H674">
        <f>IF(AND(F674="PASS", G674&lt;=IFERROR(VLOOKUP(A674,Graduation_Cutoff!$A$2:$B$8,2,FALSE),DATE(9999,12,31))),"Y","")</f>
        <v>0</v>
      </c>
    </row>
    <row r="675" spans="7:8">
      <c r="G675" s="2">
        <f>IF(F675="PASS", E675, "")</f>
        <v>0</v>
      </c>
      <c r="H675">
        <f>IF(AND(F675="PASS", G675&lt;=IFERROR(VLOOKUP(A675,Graduation_Cutoff!$A$2:$B$8,2,FALSE),DATE(9999,12,31))),"Y","")</f>
        <v>0</v>
      </c>
    </row>
    <row r="676" spans="7:8">
      <c r="G676" s="2">
        <f>IF(F676="PASS", E676, "")</f>
        <v>0</v>
      </c>
      <c r="H676">
        <f>IF(AND(F676="PASS", G676&lt;=IFERROR(VLOOKUP(A676,Graduation_Cutoff!$A$2:$B$8,2,FALSE),DATE(9999,12,31))),"Y","")</f>
        <v>0</v>
      </c>
    </row>
    <row r="677" spans="7:8">
      <c r="G677" s="2">
        <f>IF(F677="PASS", E677, "")</f>
        <v>0</v>
      </c>
      <c r="H677">
        <f>IF(AND(F677="PASS", G677&lt;=IFERROR(VLOOKUP(A677,Graduation_Cutoff!$A$2:$B$8,2,FALSE),DATE(9999,12,31))),"Y","")</f>
        <v>0</v>
      </c>
    </row>
    <row r="678" spans="7:8">
      <c r="G678" s="2">
        <f>IF(F678="PASS", E678, "")</f>
        <v>0</v>
      </c>
      <c r="H678">
        <f>IF(AND(F678="PASS", G678&lt;=IFERROR(VLOOKUP(A678,Graduation_Cutoff!$A$2:$B$8,2,FALSE),DATE(9999,12,31))),"Y","")</f>
        <v>0</v>
      </c>
    </row>
    <row r="679" spans="7:8">
      <c r="G679" s="2">
        <f>IF(F679="PASS", E679, "")</f>
        <v>0</v>
      </c>
      <c r="H679">
        <f>IF(AND(F679="PASS", G679&lt;=IFERROR(VLOOKUP(A679,Graduation_Cutoff!$A$2:$B$8,2,FALSE),DATE(9999,12,31))),"Y","")</f>
        <v>0</v>
      </c>
    </row>
    <row r="680" spans="7:8">
      <c r="G680" s="2">
        <f>IF(F680="PASS", E680, "")</f>
        <v>0</v>
      </c>
      <c r="H680">
        <f>IF(AND(F680="PASS", G680&lt;=IFERROR(VLOOKUP(A680,Graduation_Cutoff!$A$2:$B$8,2,FALSE),DATE(9999,12,31))),"Y","")</f>
        <v>0</v>
      </c>
    </row>
    <row r="681" spans="7:8">
      <c r="G681" s="2">
        <f>IF(F681="PASS", E681, "")</f>
        <v>0</v>
      </c>
      <c r="H681">
        <f>IF(AND(F681="PASS", G681&lt;=IFERROR(VLOOKUP(A681,Graduation_Cutoff!$A$2:$B$8,2,FALSE),DATE(9999,12,31))),"Y","")</f>
        <v>0</v>
      </c>
    </row>
    <row r="682" spans="7:8">
      <c r="G682" s="2">
        <f>IF(F682="PASS", E682, "")</f>
        <v>0</v>
      </c>
      <c r="H682">
        <f>IF(AND(F682="PASS", G682&lt;=IFERROR(VLOOKUP(A682,Graduation_Cutoff!$A$2:$B$8,2,FALSE),DATE(9999,12,31))),"Y","")</f>
        <v>0</v>
      </c>
    </row>
    <row r="683" spans="7:8">
      <c r="G683" s="2">
        <f>IF(F683="PASS", E683, "")</f>
        <v>0</v>
      </c>
      <c r="H683">
        <f>IF(AND(F683="PASS", G683&lt;=IFERROR(VLOOKUP(A683,Graduation_Cutoff!$A$2:$B$8,2,FALSE),DATE(9999,12,31))),"Y","")</f>
        <v>0</v>
      </c>
    </row>
    <row r="684" spans="7:8">
      <c r="G684" s="2">
        <f>IF(F684="PASS", E684, "")</f>
        <v>0</v>
      </c>
      <c r="H684">
        <f>IF(AND(F684="PASS", G684&lt;=IFERROR(VLOOKUP(A684,Graduation_Cutoff!$A$2:$B$8,2,FALSE),DATE(9999,12,31))),"Y","")</f>
        <v>0</v>
      </c>
    </row>
    <row r="685" spans="7:8">
      <c r="G685" s="2">
        <f>IF(F685="PASS", E685, "")</f>
        <v>0</v>
      </c>
      <c r="H685">
        <f>IF(AND(F685="PASS", G685&lt;=IFERROR(VLOOKUP(A685,Graduation_Cutoff!$A$2:$B$8,2,FALSE),DATE(9999,12,31))),"Y","")</f>
        <v>0</v>
      </c>
    </row>
    <row r="686" spans="7:8">
      <c r="G686" s="2">
        <f>IF(F686="PASS", E686, "")</f>
        <v>0</v>
      </c>
      <c r="H686">
        <f>IF(AND(F686="PASS", G686&lt;=IFERROR(VLOOKUP(A686,Graduation_Cutoff!$A$2:$B$8,2,FALSE),DATE(9999,12,31))),"Y","")</f>
        <v>0</v>
      </c>
    </row>
    <row r="687" spans="7:8">
      <c r="G687" s="2">
        <f>IF(F687="PASS", E687, "")</f>
        <v>0</v>
      </c>
      <c r="H687">
        <f>IF(AND(F687="PASS", G687&lt;=IFERROR(VLOOKUP(A687,Graduation_Cutoff!$A$2:$B$8,2,FALSE),DATE(9999,12,31))),"Y","")</f>
        <v>0</v>
      </c>
    </row>
    <row r="688" spans="7:8">
      <c r="G688" s="2">
        <f>IF(F688="PASS", E688, "")</f>
        <v>0</v>
      </c>
      <c r="H688">
        <f>IF(AND(F688="PASS", G688&lt;=IFERROR(VLOOKUP(A688,Graduation_Cutoff!$A$2:$B$8,2,FALSE),DATE(9999,12,31))),"Y","")</f>
        <v>0</v>
      </c>
    </row>
    <row r="689" spans="7:8">
      <c r="G689" s="2">
        <f>IF(F689="PASS", E689, "")</f>
        <v>0</v>
      </c>
      <c r="H689">
        <f>IF(AND(F689="PASS", G689&lt;=IFERROR(VLOOKUP(A689,Graduation_Cutoff!$A$2:$B$8,2,FALSE),DATE(9999,12,31))),"Y","")</f>
        <v>0</v>
      </c>
    </row>
    <row r="690" spans="7:8">
      <c r="G690" s="2">
        <f>IF(F690="PASS", E690, "")</f>
        <v>0</v>
      </c>
      <c r="H690">
        <f>IF(AND(F690="PASS", G690&lt;=IFERROR(VLOOKUP(A690,Graduation_Cutoff!$A$2:$B$8,2,FALSE),DATE(9999,12,31))),"Y","")</f>
        <v>0</v>
      </c>
    </row>
    <row r="691" spans="7:8">
      <c r="G691" s="2">
        <f>IF(F691="PASS", E691, "")</f>
        <v>0</v>
      </c>
      <c r="H691">
        <f>IF(AND(F691="PASS", G691&lt;=IFERROR(VLOOKUP(A691,Graduation_Cutoff!$A$2:$B$8,2,FALSE),DATE(9999,12,31))),"Y","")</f>
        <v>0</v>
      </c>
    </row>
    <row r="692" spans="7:8">
      <c r="G692" s="2">
        <f>IF(F692="PASS", E692, "")</f>
        <v>0</v>
      </c>
      <c r="H692">
        <f>IF(AND(F692="PASS", G692&lt;=IFERROR(VLOOKUP(A692,Graduation_Cutoff!$A$2:$B$8,2,FALSE),DATE(9999,12,31))),"Y","")</f>
        <v>0</v>
      </c>
    </row>
    <row r="693" spans="7:8">
      <c r="G693" s="2">
        <f>IF(F693="PASS", E693, "")</f>
        <v>0</v>
      </c>
      <c r="H693">
        <f>IF(AND(F693="PASS", G693&lt;=IFERROR(VLOOKUP(A693,Graduation_Cutoff!$A$2:$B$8,2,FALSE),DATE(9999,12,31))),"Y","")</f>
        <v>0</v>
      </c>
    </row>
    <row r="694" spans="7:8">
      <c r="G694" s="2">
        <f>IF(F694="PASS", E694, "")</f>
        <v>0</v>
      </c>
      <c r="H694">
        <f>IF(AND(F694="PASS", G694&lt;=IFERROR(VLOOKUP(A694,Graduation_Cutoff!$A$2:$B$8,2,FALSE),DATE(9999,12,31))),"Y","")</f>
        <v>0</v>
      </c>
    </row>
    <row r="695" spans="7:8">
      <c r="G695" s="2">
        <f>IF(F695="PASS", E695, "")</f>
        <v>0</v>
      </c>
      <c r="H695">
        <f>IF(AND(F695="PASS", G695&lt;=IFERROR(VLOOKUP(A695,Graduation_Cutoff!$A$2:$B$8,2,FALSE),DATE(9999,12,31))),"Y","")</f>
        <v>0</v>
      </c>
    </row>
    <row r="696" spans="7:8">
      <c r="G696" s="2">
        <f>IF(F696="PASS", E696, "")</f>
        <v>0</v>
      </c>
      <c r="H696">
        <f>IF(AND(F696="PASS", G696&lt;=IFERROR(VLOOKUP(A696,Graduation_Cutoff!$A$2:$B$8,2,FALSE),DATE(9999,12,31))),"Y","")</f>
        <v>0</v>
      </c>
    </row>
    <row r="697" spans="7:8">
      <c r="G697" s="2">
        <f>IF(F697="PASS", E697, "")</f>
        <v>0</v>
      </c>
      <c r="H697">
        <f>IF(AND(F697="PASS", G697&lt;=IFERROR(VLOOKUP(A697,Graduation_Cutoff!$A$2:$B$8,2,FALSE),DATE(9999,12,31))),"Y","")</f>
        <v>0</v>
      </c>
    </row>
    <row r="698" spans="7:8">
      <c r="G698" s="2">
        <f>IF(F698="PASS", E698, "")</f>
        <v>0</v>
      </c>
      <c r="H698">
        <f>IF(AND(F698="PASS", G698&lt;=IFERROR(VLOOKUP(A698,Graduation_Cutoff!$A$2:$B$8,2,FALSE),DATE(9999,12,31))),"Y","")</f>
        <v>0</v>
      </c>
    </row>
    <row r="699" spans="7:8">
      <c r="G699" s="2">
        <f>IF(F699="PASS", E699, "")</f>
        <v>0</v>
      </c>
      <c r="H699">
        <f>IF(AND(F699="PASS", G699&lt;=IFERROR(VLOOKUP(A699,Graduation_Cutoff!$A$2:$B$8,2,FALSE),DATE(9999,12,31))),"Y","")</f>
        <v>0</v>
      </c>
    </row>
    <row r="700" spans="7:8">
      <c r="G700" s="2">
        <f>IF(F700="PASS", E700, "")</f>
        <v>0</v>
      </c>
      <c r="H700">
        <f>IF(AND(F700="PASS", G700&lt;=IFERROR(VLOOKUP(A700,Graduation_Cutoff!$A$2:$B$8,2,FALSE),DATE(9999,12,31))),"Y","")</f>
        <v>0</v>
      </c>
    </row>
    <row r="701" spans="7:8">
      <c r="G701" s="2">
        <f>IF(F701="PASS", E701, "")</f>
        <v>0</v>
      </c>
      <c r="H701">
        <f>IF(AND(F701="PASS", G701&lt;=IFERROR(VLOOKUP(A701,Graduation_Cutoff!$A$2:$B$8,2,FALSE),DATE(9999,12,31))),"Y","")</f>
        <v>0</v>
      </c>
    </row>
    <row r="702" spans="7:8">
      <c r="G702" s="2">
        <f>IF(F702="PASS", E702, "")</f>
        <v>0</v>
      </c>
      <c r="H702">
        <f>IF(AND(F702="PASS", G702&lt;=IFERROR(VLOOKUP(A702,Graduation_Cutoff!$A$2:$B$8,2,FALSE),DATE(9999,12,31))),"Y","")</f>
        <v>0</v>
      </c>
    </row>
    <row r="703" spans="7:8">
      <c r="G703" s="2">
        <f>IF(F703="PASS", E703, "")</f>
        <v>0</v>
      </c>
      <c r="H703">
        <f>IF(AND(F703="PASS", G703&lt;=IFERROR(VLOOKUP(A703,Graduation_Cutoff!$A$2:$B$8,2,FALSE),DATE(9999,12,31))),"Y","")</f>
        <v>0</v>
      </c>
    </row>
    <row r="704" spans="7:8">
      <c r="G704" s="2">
        <f>IF(F704="PASS", E704, "")</f>
        <v>0</v>
      </c>
      <c r="H704">
        <f>IF(AND(F704="PASS", G704&lt;=IFERROR(VLOOKUP(A704,Graduation_Cutoff!$A$2:$B$8,2,FALSE),DATE(9999,12,31))),"Y","")</f>
        <v>0</v>
      </c>
    </row>
    <row r="705" spans="7:8">
      <c r="G705" s="2">
        <f>IF(F705="PASS", E705, "")</f>
        <v>0</v>
      </c>
      <c r="H705">
        <f>IF(AND(F705="PASS", G705&lt;=IFERROR(VLOOKUP(A705,Graduation_Cutoff!$A$2:$B$8,2,FALSE),DATE(9999,12,31))),"Y","")</f>
        <v>0</v>
      </c>
    </row>
    <row r="706" spans="7:8">
      <c r="G706" s="2">
        <f>IF(F706="PASS", E706, "")</f>
        <v>0</v>
      </c>
      <c r="H706">
        <f>IF(AND(F706="PASS", G706&lt;=IFERROR(VLOOKUP(A706,Graduation_Cutoff!$A$2:$B$8,2,FALSE),DATE(9999,12,31))),"Y","")</f>
        <v>0</v>
      </c>
    </row>
    <row r="707" spans="7:8">
      <c r="G707" s="2">
        <f>IF(F707="PASS", E707, "")</f>
        <v>0</v>
      </c>
      <c r="H707">
        <f>IF(AND(F707="PASS", G707&lt;=IFERROR(VLOOKUP(A707,Graduation_Cutoff!$A$2:$B$8,2,FALSE),DATE(9999,12,31))),"Y","")</f>
        <v>0</v>
      </c>
    </row>
    <row r="708" spans="7:8">
      <c r="G708" s="2">
        <f>IF(F708="PASS", E708, "")</f>
        <v>0</v>
      </c>
      <c r="H708">
        <f>IF(AND(F708="PASS", G708&lt;=IFERROR(VLOOKUP(A708,Graduation_Cutoff!$A$2:$B$8,2,FALSE),DATE(9999,12,31))),"Y","")</f>
        <v>0</v>
      </c>
    </row>
    <row r="709" spans="7:8">
      <c r="G709" s="2">
        <f>IF(F709="PASS", E709, "")</f>
        <v>0</v>
      </c>
      <c r="H709">
        <f>IF(AND(F709="PASS", G709&lt;=IFERROR(VLOOKUP(A709,Graduation_Cutoff!$A$2:$B$8,2,FALSE),DATE(9999,12,31))),"Y","")</f>
        <v>0</v>
      </c>
    </row>
    <row r="710" spans="7:8">
      <c r="G710" s="2">
        <f>IF(F710="PASS", E710, "")</f>
        <v>0</v>
      </c>
      <c r="H710">
        <f>IF(AND(F710="PASS", G710&lt;=IFERROR(VLOOKUP(A710,Graduation_Cutoff!$A$2:$B$8,2,FALSE),DATE(9999,12,31))),"Y","")</f>
        <v>0</v>
      </c>
    </row>
    <row r="711" spans="7:8">
      <c r="G711" s="2">
        <f>IF(F711="PASS", E711, "")</f>
        <v>0</v>
      </c>
      <c r="H711">
        <f>IF(AND(F711="PASS", G711&lt;=IFERROR(VLOOKUP(A711,Graduation_Cutoff!$A$2:$B$8,2,FALSE),DATE(9999,12,31))),"Y","")</f>
        <v>0</v>
      </c>
    </row>
    <row r="712" spans="7:8">
      <c r="G712" s="2">
        <f>IF(F712="PASS", E712, "")</f>
        <v>0</v>
      </c>
      <c r="H712">
        <f>IF(AND(F712="PASS", G712&lt;=IFERROR(VLOOKUP(A712,Graduation_Cutoff!$A$2:$B$8,2,FALSE),DATE(9999,12,31))),"Y","")</f>
        <v>0</v>
      </c>
    </row>
    <row r="713" spans="7:8">
      <c r="G713" s="2">
        <f>IF(F713="PASS", E713, "")</f>
        <v>0</v>
      </c>
      <c r="H713">
        <f>IF(AND(F713="PASS", G713&lt;=IFERROR(VLOOKUP(A713,Graduation_Cutoff!$A$2:$B$8,2,FALSE),DATE(9999,12,31))),"Y","")</f>
        <v>0</v>
      </c>
    </row>
    <row r="714" spans="7:8">
      <c r="G714" s="2">
        <f>IF(F714="PASS", E714, "")</f>
        <v>0</v>
      </c>
      <c r="H714">
        <f>IF(AND(F714="PASS", G714&lt;=IFERROR(VLOOKUP(A714,Graduation_Cutoff!$A$2:$B$8,2,FALSE),DATE(9999,12,31))),"Y","")</f>
        <v>0</v>
      </c>
    </row>
    <row r="715" spans="7:8">
      <c r="G715" s="2">
        <f>IF(F715="PASS", E715, "")</f>
        <v>0</v>
      </c>
      <c r="H715">
        <f>IF(AND(F715="PASS", G715&lt;=IFERROR(VLOOKUP(A715,Graduation_Cutoff!$A$2:$B$8,2,FALSE),DATE(9999,12,31))),"Y","")</f>
        <v>0</v>
      </c>
    </row>
    <row r="716" spans="7:8">
      <c r="G716" s="2">
        <f>IF(F716="PASS", E716, "")</f>
        <v>0</v>
      </c>
      <c r="H716">
        <f>IF(AND(F716="PASS", G716&lt;=IFERROR(VLOOKUP(A716,Graduation_Cutoff!$A$2:$B$8,2,FALSE),DATE(9999,12,31))),"Y","")</f>
        <v>0</v>
      </c>
    </row>
    <row r="717" spans="7:8">
      <c r="G717" s="2">
        <f>IF(F717="PASS", E717, "")</f>
        <v>0</v>
      </c>
      <c r="H717">
        <f>IF(AND(F717="PASS", G717&lt;=IFERROR(VLOOKUP(A717,Graduation_Cutoff!$A$2:$B$8,2,FALSE),DATE(9999,12,31))),"Y","")</f>
        <v>0</v>
      </c>
    </row>
    <row r="718" spans="7:8">
      <c r="G718" s="2">
        <f>IF(F718="PASS", E718, "")</f>
        <v>0</v>
      </c>
      <c r="H718">
        <f>IF(AND(F718="PASS", G718&lt;=IFERROR(VLOOKUP(A718,Graduation_Cutoff!$A$2:$B$8,2,FALSE),DATE(9999,12,31))),"Y","")</f>
        <v>0</v>
      </c>
    </row>
    <row r="719" spans="7:8">
      <c r="G719" s="2">
        <f>IF(F719="PASS", E719, "")</f>
        <v>0</v>
      </c>
      <c r="H719">
        <f>IF(AND(F719="PASS", G719&lt;=IFERROR(VLOOKUP(A719,Graduation_Cutoff!$A$2:$B$8,2,FALSE),DATE(9999,12,31))),"Y","")</f>
        <v>0</v>
      </c>
    </row>
    <row r="720" spans="7:8">
      <c r="G720" s="2">
        <f>IF(F720="PASS", E720, "")</f>
        <v>0</v>
      </c>
      <c r="H720">
        <f>IF(AND(F720="PASS", G720&lt;=IFERROR(VLOOKUP(A720,Graduation_Cutoff!$A$2:$B$8,2,FALSE),DATE(9999,12,31))),"Y","")</f>
        <v>0</v>
      </c>
    </row>
    <row r="721" spans="7:8">
      <c r="G721" s="2">
        <f>IF(F721="PASS", E721, "")</f>
        <v>0</v>
      </c>
      <c r="H721">
        <f>IF(AND(F721="PASS", G721&lt;=IFERROR(VLOOKUP(A721,Graduation_Cutoff!$A$2:$B$8,2,FALSE),DATE(9999,12,31))),"Y","")</f>
        <v>0</v>
      </c>
    </row>
    <row r="722" spans="7:8">
      <c r="G722" s="2">
        <f>IF(F722="PASS", E722, "")</f>
        <v>0</v>
      </c>
      <c r="H722">
        <f>IF(AND(F722="PASS", G722&lt;=IFERROR(VLOOKUP(A722,Graduation_Cutoff!$A$2:$B$8,2,FALSE),DATE(9999,12,31))),"Y","")</f>
        <v>0</v>
      </c>
    </row>
    <row r="723" spans="7:8">
      <c r="G723" s="2">
        <f>IF(F723="PASS", E723, "")</f>
        <v>0</v>
      </c>
      <c r="H723">
        <f>IF(AND(F723="PASS", G723&lt;=IFERROR(VLOOKUP(A723,Graduation_Cutoff!$A$2:$B$8,2,FALSE),DATE(9999,12,31))),"Y","")</f>
        <v>0</v>
      </c>
    </row>
    <row r="724" spans="7:8">
      <c r="G724" s="2">
        <f>IF(F724="PASS", E724, "")</f>
        <v>0</v>
      </c>
      <c r="H724">
        <f>IF(AND(F724="PASS", G724&lt;=IFERROR(VLOOKUP(A724,Graduation_Cutoff!$A$2:$B$8,2,FALSE),DATE(9999,12,31))),"Y","")</f>
        <v>0</v>
      </c>
    </row>
    <row r="725" spans="7:8">
      <c r="G725" s="2">
        <f>IF(F725="PASS", E725, "")</f>
        <v>0</v>
      </c>
      <c r="H725">
        <f>IF(AND(F725="PASS", G725&lt;=IFERROR(VLOOKUP(A725,Graduation_Cutoff!$A$2:$B$8,2,FALSE),DATE(9999,12,31))),"Y","")</f>
        <v>0</v>
      </c>
    </row>
    <row r="726" spans="7:8">
      <c r="G726" s="2">
        <f>IF(F726="PASS", E726, "")</f>
        <v>0</v>
      </c>
      <c r="H726">
        <f>IF(AND(F726="PASS", G726&lt;=IFERROR(VLOOKUP(A726,Graduation_Cutoff!$A$2:$B$8,2,FALSE),DATE(9999,12,31))),"Y","")</f>
        <v>0</v>
      </c>
    </row>
    <row r="727" spans="7:8">
      <c r="G727" s="2">
        <f>IF(F727="PASS", E727, "")</f>
        <v>0</v>
      </c>
      <c r="H727">
        <f>IF(AND(F727="PASS", G727&lt;=IFERROR(VLOOKUP(A727,Graduation_Cutoff!$A$2:$B$8,2,FALSE),DATE(9999,12,31))),"Y","")</f>
        <v>0</v>
      </c>
    </row>
    <row r="728" spans="7:8">
      <c r="G728" s="2">
        <f>IF(F728="PASS", E728, "")</f>
        <v>0</v>
      </c>
      <c r="H728">
        <f>IF(AND(F728="PASS", G728&lt;=IFERROR(VLOOKUP(A728,Graduation_Cutoff!$A$2:$B$8,2,FALSE),DATE(9999,12,31))),"Y","")</f>
        <v>0</v>
      </c>
    </row>
    <row r="729" spans="7:8">
      <c r="G729" s="2">
        <f>IF(F729="PASS", E729, "")</f>
        <v>0</v>
      </c>
      <c r="H729">
        <f>IF(AND(F729="PASS", G729&lt;=IFERROR(VLOOKUP(A729,Graduation_Cutoff!$A$2:$B$8,2,FALSE),DATE(9999,12,31))),"Y","")</f>
        <v>0</v>
      </c>
    </row>
    <row r="730" spans="7:8">
      <c r="G730" s="2">
        <f>IF(F730="PASS", E730, "")</f>
        <v>0</v>
      </c>
      <c r="H730">
        <f>IF(AND(F730="PASS", G730&lt;=IFERROR(VLOOKUP(A730,Graduation_Cutoff!$A$2:$B$8,2,FALSE),DATE(9999,12,31))),"Y","")</f>
        <v>0</v>
      </c>
    </row>
    <row r="731" spans="7:8">
      <c r="G731" s="2">
        <f>IF(F731="PASS", E731, "")</f>
        <v>0</v>
      </c>
      <c r="H731">
        <f>IF(AND(F731="PASS", G731&lt;=IFERROR(VLOOKUP(A731,Graduation_Cutoff!$A$2:$B$8,2,FALSE),DATE(9999,12,31))),"Y","")</f>
        <v>0</v>
      </c>
    </row>
    <row r="732" spans="7:8">
      <c r="G732" s="2">
        <f>IF(F732="PASS", E732, "")</f>
        <v>0</v>
      </c>
      <c r="H732">
        <f>IF(AND(F732="PASS", G732&lt;=IFERROR(VLOOKUP(A732,Graduation_Cutoff!$A$2:$B$8,2,FALSE),DATE(9999,12,31))),"Y","")</f>
        <v>0</v>
      </c>
    </row>
    <row r="733" spans="7:8">
      <c r="G733" s="2">
        <f>IF(F733="PASS", E733, "")</f>
        <v>0</v>
      </c>
      <c r="H733">
        <f>IF(AND(F733="PASS", G733&lt;=IFERROR(VLOOKUP(A733,Graduation_Cutoff!$A$2:$B$8,2,FALSE),DATE(9999,12,31))),"Y","")</f>
        <v>0</v>
      </c>
    </row>
    <row r="734" spans="7:8">
      <c r="G734" s="2">
        <f>IF(F734="PASS", E734, "")</f>
        <v>0</v>
      </c>
      <c r="H734">
        <f>IF(AND(F734="PASS", G734&lt;=IFERROR(VLOOKUP(A734,Graduation_Cutoff!$A$2:$B$8,2,FALSE),DATE(9999,12,31))),"Y","")</f>
        <v>0</v>
      </c>
    </row>
    <row r="735" spans="7:8">
      <c r="G735" s="2">
        <f>IF(F735="PASS", E735, "")</f>
        <v>0</v>
      </c>
      <c r="H735">
        <f>IF(AND(F735="PASS", G735&lt;=IFERROR(VLOOKUP(A735,Graduation_Cutoff!$A$2:$B$8,2,FALSE),DATE(9999,12,31))),"Y","")</f>
        <v>0</v>
      </c>
    </row>
    <row r="736" spans="7:8">
      <c r="G736" s="2">
        <f>IF(F736="PASS", E736, "")</f>
        <v>0</v>
      </c>
      <c r="H736">
        <f>IF(AND(F736="PASS", G736&lt;=IFERROR(VLOOKUP(A736,Graduation_Cutoff!$A$2:$B$8,2,FALSE),DATE(9999,12,31))),"Y","")</f>
        <v>0</v>
      </c>
    </row>
    <row r="737" spans="7:8">
      <c r="G737" s="2">
        <f>IF(F737="PASS", E737, "")</f>
        <v>0</v>
      </c>
      <c r="H737">
        <f>IF(AND(F737="PASS", G737&lt;=IFERROR(VLOOKUP(A737,Graduation_Cutoff!$A$2:$B$8,2,FALSE),DATE(9999,12,31))),"Y","")</f>
        <v>0</v>
      </c>
    </row>
    <row r="738" spans="7:8">
      <c r="G738" s="2">
        <f>IF(F738="PASS", E738, "")</f>
        <v>0</v>
      </c>
      <c r="H738">
        <f>IF(AND(F738="PASS", G738&lt;=IFERROR(VLOOKUP(A738,Graduation_Cutoff!$A$2:$B$8,2,FALSE),DATE(9999,12,31))),"Y","")</f>
        <v>0</v>
      </c>
    </row>
    <row r="739" spans="7:8">
      <c r="G739" s="2">
        <f>IF(F739="PASS", E739, "")</f>
        <v>0</v>
      </c>
      <c r="H739">
        <f>IF(AND(F739="PASS", G739&lt;=IFERROR(VLOOKUP(A739,Graduation_Cutoff!$A$2:$B$8,2,FALSE),DATE(9999,12,31))),"Y","")</f>
        <v>0</v>
      </c>
    </row>
    <row r="740" spans="7:8">
      <c r="G740" s="2">
        <f>IF(F740="PASS", E740, "")</f>
        <v>0</v>
      </c>
      <c r="H740">
        <f>IF(AND(F740="PASS", G740&lt;=IFERROR(VLOOKUP(A740,Graduation_Cutoff!$A$2:$B$8,2,FALSE),DATE(9999,12,31))),"Y","")</f>
        <v>0</v>
      </c>
    </row>
    <row r="741" spans="7:8">
      <c r="G741" s="2">
        <f>IF(F741="PASS", E741, "")</f>
        <v>0</v>
      </c>
      <c r="H741">
        <f>IF(AND(F741="PASS", G741&lt;=IFERROR(VLOOKUP(A741,Graduation_Cutoff!$A$2:$B$8,2,FALSE),DATE(9999,12,31))),"Y","")</f>
        <v>0</v>
      </c>
    </row>
    <row r="742" spans="7:8">
      <c r="G742" s="2">
        <f>IF(F742="PASS", E742, "")</f>
        <v>0</v>
      </c>
      <c r="H742">
        <f>IF(AND(F742="PASS", G742&lt;=IFERROR(VLOOKUP(A742,Graduation_Cutoff!$A$2:$B$8,2,FALSE),DATE(9999,12,31))),"Y","")</f>
        <v>0</v>
      </c>
    </row>
    <row r="743" spans="7:8">
      <c r="G743" s="2">
        <f>IF(F743="PASS", E743, "")</f>
        <v>0</v>
      </c>
      <c r="H743">
        <f>IF(AND(F743="PASS", G743&lt;=IFERROR(VLOOKUP(A743,Graduation_Cutoff!$A$2:$B$8,2,FALSE),DATE(9999,12,31))),"Y","")</f>
        <v>0</v>
      </c>
    </row>
    <row r="744" spans="7:8">
      <c r="G744" s="2">
        <f>IF(F744="PASS", E744, "")</f>
        <v>0</v>
      </c>
      <c r="H744">
        <f>IF(AND(F744="PASS", G744&lt;=IFERROR(VLOOKUP(A744,Graduation_Cutoff!$A$2:$B$8,2,FALSE),DATE(9999,12,31))),"Y","")</f>
        <v>0</v>
      </c>
    </row>
    <row r="745" spans="7:8">
      <c r="G745" s="2">
        <f>IF(F745="PASS", E745, "")</f>
        <v>0</v>
      </c>
      <c r="H745">
        <f>IF(AND(F745="PASS", G745&lt;=IFERROR(VLOOKUP(A745,Graduation_Cutoff!$A$2:$B$8,2,FALSE),DATE(9999,12,31))),"Y","")</f>
        <v>0</v>
      </c>
    </row>
    <row r="746" spans="7:8">
      <c r="G746" s="2">
        <f>IF(F746="PASS", E746, "")</f>
        <v>0</v>
      </c>
      <c r="H746">
        <f>IF(AND(F746="PASS", G746&lt;=IFERROR(VLOOKUP(A746,Graduation_Cutoff!$A$2:$B$8,2,FALSE),DATE(9999,12,31))),"Y","")</f>
        <v>0</v>
      </c>
    </row>
    <row r="747" spans="7:8">
      <c r="G747" s="2">
        <f>IF(F747="PASS", E747, "")</f>
        <v>0</v>
      </c>
      <c r="H747">
        <f>IF(AND(F747="PASS", G747&lt;=IFERROR(VLOOKUP(A747,Graduation_Cutoff!$A$2:$B$8,2,FALSE),DATE(9999,12,31))),"Y","")</f>
        <v>0</v>
      </c>
    </row>
    <row r="748" spans="7:8">
      <c r="G748" s="2">
        <f>IF(F748="PASS", E748, "")</f>
        <v>0</v>
      </c>
      <c r="H748">
        <f>IF(AND(F748="PASS", G748&lt;=IFERROR(VLOOKUP(A748,Graduation_Cutoff!$A$2:$B$8,2,FALSE),DATE(9999,12,31))),"Y","")</f>
        <v>0</v>
      </c>
    </row>
    <row r="749" spans="7:8">
      <c r="G749" s="2">
        <f>IF(F749="PASS", E749, "")</f>
        <v>0</v>
      </c>
      <c r="H749">
        <f>IF(AND(F749="PASS", G749&lt;=IFERROR(VLOOKUP(A749,Graduation_Cutoff!$A$2:$B$8,2,FALSE),DATE(9999,12,31))),"Y","")</f>
        <v>0</v>
      </c>
    </row>
    <row r="750" spans="7:8">
      <c r="G750" s="2">
        <f>IF(F750="PASS", E750, "")</f>
        <v>0</v>
      </c>
      <c r="H750">
        <f>IF(AND(F750="PASS", G750&lt;=IFERROR(VLOOKUP(A750,Graduation_Cutoff!$A$2:$B$8,2,FALSE),DATE(9999,12,31))),"Y","")</f>
        <v>0</v>
      </c>
    </row>
    <row r="751" spans="7:8">
      <c r="G751" s="2">
        <f>IF(F751="PASS", E751, "")</f>
        <v>0</v>
      </c>
      <c r="H751">
        <f>IF(AND(F751="PASS", G751&lt;=IFERROR(VLOOKUP(A751,Graduation_Cutoff!$A$2:$B$8,2,FALSE),DATE(9999,12,31))),"Y","")</f>
        <v>0</v>
      </c>
    </row>
    <row r="752" spans="7:8">
      <c r="G752" s="2">
        <f>IF(F752="PASS", E752, "")</f>
        <v>0</v>
      </c>
      <c r="H752">
        <f>IF(AND(F752="PASS", G752&lt;=IFERROR(VLOOKUP(A752,Graduation_Cutoff!$A$2:$B$8,2,FALSE),DATE(9999,12,31))),"Y","")</f>
        <v>0</v>
      </c>
    </row>
    <row r="753" spans="7:8">
      <c r="G753" s="2">
        <f>IF(F753="PASS", E753, "")</f>
        <v>0</v>
      </c>
      <c r="H753">
        <f>IF(AND(F753="PASS", G753&lt;=IFERROR(VLOOKUP(A753,Graduation_Cutoff!$A$2:$B$8,2,FALSE),DATE(9999,12,31))),"Y","")</f>
        <v>0</v>
      </c>
    </row>
    <row r="754" spans="7:8">
      <c r="G754" s="2">
        <f>IF(F754="PASS", E754, "")</f>
        <v>0</v>
      </c>
      <c r="H754">
        <f>IF(AND(F754="PASS", G754&lt;=IFERROR(VLOOKUP(A754,Graduation_Cutoff!$A$2:$B$8,2,FALSE),DATE(9999,12,31))),"Y","")</f>
        <v>0</v>
      </c>
    </row>
    <row r="755" spans="7:8">
      <c r="G755" s="2">
        <f>IF(F755="PASS", E755, "")</f>
        <v>0</v>
      </c>
      <c r="H755">
        <f>IF(AND(F755="PASS", G755&lt;=IFERROR(VLOOKUP(A755,Graduation_Cutoff!$A$2:$B$8,2,FALSE),DATE(9999,12,31))),"Y","")</f>
        <v>0</v>
      </c>
    </row>
    <row r="756" spans="7:8">
      <c r="G756" s="2">
        <f>IF(F756="PASS", E756, "")</f>
        <v>0</v>
      </c>
      <c r="H756">
        <f>IF(AND(F756="PASS", G756&lt;=IFERROR(VLOOKUP(A756,Graduation_Cutoff!$A$2:$B$8,2,FALSE),DATE(9999,12,31))),"Y","")</f>
        <v>0</v>
      </c>
    </row>
    <row r="757" spans="7:8">
      <c r="G757" s="2">
        <f>IF(F757="PASS", E757, "")</f>
        <v>0</v>
      </c>
      <c r="H757">
        <f>IF(AND(F757="PASS", G757&lt;=IFERROR(VLOOKUP(A757,Graduation_Cutoff!$A$2:$B$8,2,FALSE),DATE(9999,12,31))),"Y","")</f>
        <v>0</v>
      </c>
    </row>
    <row r="758" spans="7:8">
      <c r="G758" s="2">
        <f>IF(F758="PASS", E758, "")</f>
        <v>0</v>
      </c>
      <c r="H758">
        <f>IF(AND(F758="PASS", G758&lt;=IFERROR(VLOOKUP(A758,Graduation_Cutoff!$A$2:$B$8,2,FALSE),DATE(9999,12,31))),"Y","")</f>
        <v>0</v>
      </c>
    </row>
    <row r="759" spans="7:8">
      <c r="G759" s="2">
        <f>IF(F759="PASS", E759, "")</f>
        <v>0</v>
      </c>
      <c r="H759">
        <f>IF(AND(F759="PASS", G759&lt;=IFERROR(VLOOKUP(A759,Graduation_Cutoff!$A$2:$B$8,2,FALSE),DATE(9999,12,31))),"Y","")</f>
        <v>0</v>
      </c>
    </row>
    <row r="760" spans="7:8">
      <c r="G760" s="2">
        <f>IF(F760="PASS", E760, "")</f>
        <v>0</v>
      </c>
      <c r="H760">
        <f>IF(AND(F760="PASS", G760&lt;=IFERROR(VLOOKUP(A760,Graduation_Cutoff!$A$2:$B$8,2,FALSE),DATE(9999,12,31))),"Y","")</f>
        <v>0</v>
      </c>
    </row>
    <row r="761" spans="7:8">
      <c r="G761" s="2">
        <f>IF(F761="PASS", E761, "")</f>
        <v>0</v>
      </c>
      <c r="H761">
        <f>IF(AND(F761="PASS", G761&lt;=IFERROR(VLOOKUP(A761,Graduation_Cutoff!$A$2:$B$8,2,FALSE),DATE(9999,12,31))),"Y","")</f>
        <v>0</v>
      </c>
    </row>
    <row r="762" spans="7:8">
      <c r="G762" s="2">
        <f>IF(F762="PASS", E762, "")</f>
        <v>0</v>
      </c>
      <c r="H762">
        <f>IF(AND(F762="PASS", G762&lt;=IFERROR(VLOOKUP(A762,Graduation_Cutoff!$A$2:$B$8,2,FALSE),DATE(9999,12,31))),"Y","")</f>
        <v>0</v>
      </c>
    </row>
    <row r="763" spans="7:8">
      <c r="G763" s="2">
        <f>IF(F763="PASS", E763, "")</f>
        <v>0</v>
      </c>
      <c r="H763">
        <f>IF(AND(F763="PASS", G763&lt;=IFERROR(VLOOKUP(A763,Graduation_Cutoff!$A$2:$B$8,2,FALSE),DATE(9999,12,31))),"Y","")</f>
        <v>0</v>
      </c>
    </row>
    <row r="764" spans="7:8">
      <c r="G764" s="2">
        <f>IF(F764="PASS", E764, "")</f>
        <v>0</v>
      </c>
      <c r="H764">
        <f>IF(AND(F764="PASS", G764&lt;=IFERROR(VLOOKUP(A764,Graduation_Cutoff!$A$2:$B$8,2,FALSE),DATE(9999,12,31))),"Y","")</f>
        <v>0</v>
      </c>
    </row>
    <row r="765" spans="7:8">
      <c r="G765" s="2">
        <f>IF(F765="PASS", E765, "")</f>
        <v>0</v>
      </c>
      <c r="H765">
        <f>IF(AND(F765="PASS", G765&lt;=IFERROR(VLOOKUP(A765,Graduation_Cutoff!$A$2:$B$8,2,FALSE),DATE(9999,12,31))),"Y","")</f>
        <v>0</v>
      </c>
    </row>
    <row r="766" spans="7:8">
      <c r="G766" s="2">
        <f>IF(F766="PASS", E766, "")</f>
        <v>0</v>
      </c>
      <c r="H766">
        <f>IF(AND(F766="PASS", G766&lt;=IFERROR(VLOOKUP(A766,Graduation_Cutoff!$A$2:$B$8,2,FALSE),DATE(9999,12,31))),"Y","")</f>
        <v>0</v>
      </c>
    </row>
    <row r="767" spans="7:8">
      <c r="G767" s="2">
        <f>IF(F767="PASS", E767, "")</f>
        <v>0</v>
      </c>
      <c r="H767">
        <f>IF(AND(F767="PASS", G767&lt;=IFERROR(VLOOKUP(A767,Graduation_Cutoff!$A$2:$B$8,2,FALSE),DATE(9999,12,31))),"Y","")</f>
        <v>0</v>
      </c>
    </row>
    <row r="768" spans="7:8">
      <c r="G768" s="2">
        <f>IF(F768="PASS", E768, "")</f>
        <v>0</v>
      </c>
      <c r="H768">
        <f>IF(AND(F768="PASS", G768&lt;=IFERROR(VLOOKUP(A768,Graduation_Cutoff!$A$2:$B$8,2,FALSE),DATE(9999,12,31))),"Y","")</f>
        <v>0</v>
      </c>
    </row>
    <row r="769" spans="7:8">
      <c r="G769" s="2">
        <f>IF(F769="PASS", E769, "")</f>
        <v>0</v>
      </c>
      <c r="H769">
        <f>IF(AND(F769="PASS", G769&lt;=IFERROR(VLOOKUP(A769,Graduation_Cutoff!$A$2:$B$8,2,FALSE),DATE(9999,12,31))),"Y","")</f>
        <v>0</v>
      </c>
    </row>
    <row r="770" spans="7:8">
      <c r="G770" s="2">
        <f>IF(F770="PASS", E770, "")</f>
        <v>0</v>
      </c>
      <c r="H770">
        <f>IF(AND(F770="PASS", G770&lt;=IFERROR(VLOOKUP(A770,Graduation_Cutoff!$A$2:$B$8,2,FALSE),DATE(9999,12,31))),"Y","")</f>
        <v>0</v>
      </c>
    </row>
    <row r="771" spans="7:8">
      <c r="G771" s="2">
        <f>IF(F771="PASS", E771, "")</f>
        <v>0</v>
      </c>
      <c r="H771">
        <f>IF(AND(F771="PASS", G771&lt;=IFERROR(VLOOKUP(A771,Graduation_Cutoff!$A$2:$B$8,2,FALSE),DATE(9999,12,31))),"Y","")</f>
        <v>0</v>
      </c>
    </row>
    <row r="772" spans="7:8">
      <c r="G772" s="2">
        <f>IF(F772="PASS", E772, "")</f>
        <v>0</v>
      </c>
      <c r="H772">
        <f>IF(AND(F772="PASS", G772&lt;=IFERROR(VLOOKUP(A772,Graduation_Cutoff!$A$2:$B$8,2,FALSE),DATE(9999,12,31))),"Y","")</f>
        <v>0</v>
      </c>
    </row>
    <row r="773" spans="7:8">
      <c r="G773" s="2">
        <f>IF(F773="PASS", E773, "")</f>
        <v>0</v>
      </c>
      <c r="H773">
        <f>IF(AND(F773="PASS", G773&lt;=IFERROR(VLOOKUP(A773,Graduation_Cutoff!$A$2:$B$8,2,FALSE),DATE(9999,12,31))),"Y","")</f>
        <v>0</v>
      </c>
    </row>
    <row r="774" spans="7:8">
      <c r="G774" s="2">
        <f>IF(F774="PASS", E774, "")</f>
        <v>0</v>
      </c>
      <c r="H774">
        <f>IF(AND(F774="PASS", G774&lt;=IFERROR(VLOOKUP(A774,Graduation_Cutoff!$A$2:$B$8,2,FALSE),DATE(9999,12,31))),"Y","")</f>
        <v>0</v>
      </c>
    </row>
    <row r="775" spans="7:8">
      <c r="G775" s="2">
        <f>IF(F775="PASS", E775, "")</f>
        <v>0</v>
      </c>
      <c r="H775">
        <f>IF(AND(F775="PASS", G775&lt;=IFERROR(VLOOKUP(A775,Graduation_Cutoff!$A$2:$B$8,2,FALSE),DATE(9999,12,31))),"Y","")</f>
        <v>0</v>
      </c>
    </row>
    <row r="776" spans="7:8">
      <c r="G776" s="2">
        <f>IF(F776="PASS", E776, "")</f>
        <v>0</v>
      </c>
      <c r="H776">
        <f>IF(AND(F776="PASS", G776&lt;=IFERROR(VLOOKUP(A776,Graduation_Cutoff!$A$2:$B$8,2,FALSE),DATE(9999,12,31))),"Y","")</f>
        <v>0</v>
      </c>
    </row>
    <row r="777" spans="7:8">
      <c r="G777" s="2">
        <f>IF(F777="PASS", E777, "")</f>
        <v>0</v>
      </c>
      <c r="H777">
        <f>IF(AND(F777="PASS", G777&lt;=IFERROR(VLOOKUP(A777,Graduation_Cutoff!$A$2:$B$8,2,FALSE),DATE(9999,12,31))),"Y","")</f>
        <v>0</v>
      </c>
    </row>
    <row r="778" spans="7:8">
      <c r="G778" s="2">
        <f>IF(F778="PASS", E778, "")</f>
        <v>0</v>
      </c>
      <c r="H778">
        <f>IF(AND(F778="PASS", G778&lt;=IFERROR(VLOOKUP(A778,Graduation_Cutoff!$A$2:$B$8,2,FALSE),DATE(9999,12,31))),"Y","")</f>
        <v>0</v>
      </c>
    </row>
    <row r="779" spans="7:8">
      <c r="G779" s="2">
        <f>IF(F779="PASS", E779, "")</f>
        <v>0</v>
      </c>
      <c r="H779">
        <f>IF(AND(F779="PASS", G779&lt;=IFERROR(VLOOKUP(A779,Graduation_Cutoff!$A$2:$B$8,2,FALSE),DATE(9999,12,31))),"Y","")</f>
        <v>0</v>
      </c>
    </row>
    <row r="780" spans="7:8">
      <c r="G780" s="2">
        <f>IF(F780="PASS", E780, "")</f>
        <v>0</v>
      </c>
      <c r="H780">
        <f>IF(AND(F780="PASS", G780&lt;=IFERROR(VLOOKUP(A780,Graduation_Cutoff!$A$2:$B$8,2,FALSE),DATE(9999,12,31))),"Y","")</f>
        <v>0</v>
      </c>
    </row>
    <row r="781" spans="7:8">
      <c r="G781" s="2">
        <f>IF(F781="PASS", E781, "")</f>
        <v>0</v>
      </c>
      <c r="H781">
        <f>IF(AND(F781="PASS", G781&lt;=IFERROR(VLOOKUP(A781,Graduation_Cutoff!$A$2:$B$8,2,FALSE),DATE(9999,12,31))),"Y","")</f>
        <v>0</v>
      </c>
    </row>
    <row r="782" spans="7:8">
      <c r="G782" s="2">
        <f>IF(F782="PASS", E782, "")</f>
        <v>0</v>
      </c>
      <c r="H782">
        <f>IF(AND(F782="PASS", G782&lt;=IFERROR(VLOOKUP(A782,Graduation_Cutoff!$A$2:$B$8,2,FALSE),DATE(9999,12,31))),"Y","")</f>
        <v>0</v>
      </c>
    </row>
    <row r="783" spans="7:8">
      <c r="G783" s="2">
        <f>IF(F783="PASS", E783, "")</f>
        <v>0</v>
      </c>
      <c r="H783">
        <f>IF(AND(F783="PASS", G783&lt;=IFERROR(VLOOKUP(A783,Graduation_Cutoff!$A$2:$B$8,2,FALSE),DATE(9999,12,31))),"Y","")</f>
        <v>0</v>
      </c>
    </row>
    <row r="784" spans="7:8">
      <c r="G784" s="2">
        <f>IF(F784="PASS", E784, "")</f>
        <v>0</v>
      </c>
      <c r="H784">
        <f>IF(AND(F784="PASS", G784&lt;=IFERROR(VLOOKUP(A784,Graduation_Cutoff!$A$2:$B$8,2,FALSE),DATE(9999,12,31))),"Y","")</f>
        <v>0</v>
      </c>
    </row>
    <row r="785" spans="7:8">
      <c r="G785" s="2">
        <f>IF(F785="PASS", E785, "")</f>
        <v>0</v>
      </c>
      <c r="H785">
        <f>IF(AND(F785="PASS", G785&lt;=IFERROR(VLOOKUP(A785,Graduation_Cutoff!$A$2:$B$8,2,FALSE),DATE(9999,12,31))),"Y","")</f>
        <v>0</v>
      </c>
    </row>
    <row r="786" spans="7:8">
      <c r="G786" s="2">
        <f>IF(F786="PASS", E786, "")</f>
        <v>0</v>
      </c>
      <c r="H786">
        <f>IF(AND(F786="PASS", G786&lt;=IFERROR(VLOOKUP(A786,Graduation_Cutoff!$A$2:$B$8,2,FALSE),DATE(9999,12,31))),"Y","")</f>
        <v>0</v>
      </c>
    </row>
    <row r="787" spans="7:8">
      <c r="G787" s="2">
        <f>IF(F787="PASS", E787, "")</f>
        <v>0</v>
      </c>
      <c r="H787">
        <f>IF(AND(F787="PASS", G787&lt;=IFERROR(VLOOKUP(A787,Graduation_Cutoff!$A$2:$B$8,2,FALSE),DATE(9999,12,31))),"Y","")</f>
        <v>0</v>
      </c>
    </row>
    <row r="788" spans="7:8">
      <c r="G788" s="2">
        <f>IF(F788="PASS", E788, "")</f>
        <v>0</v>
      </c>
      <c r="H788">
        <f>IF(AND(F788="PASS", G788&lt;=IFERROR(VLOOKUP(A788,Graduation_Cutoff!$A$2:$B$8,2,FALSE),DATE(9999,12,31))),"Y","")</f>
        <v>0</v>
      </c>
    </row>
    <row r="789" spans="7:8">
      <c r="G789" s="2">
        <f>IF(F789="PASS", E789, "")</f>
        <v>0</v>
      </c>
      <c r="H789">
        <f>IF(AND(F789="PASS", G789&lt;=IFERROR(VLOOKUP(A789,Graduation_Cutoff!$A$2:$B$8,2,FALSE),DATE(9999,12,31))),"Y","")</f>
        <v>0</v>
      </c>
    </row>
    <row r="790" spans="7:8">
      <c r="G790" s="2">
        <f>IF(F790="PASS", E790, "")</f>
        <v>0</v>
      </c>
      <c r="H790">
        <f>IF(AND(F790="PASS", G790&lt;=IFERROR(VLOOKUP(A790,Graduation_Cutoff!$A$2:$B$8,2,FALSE),DATE(9999,12,31))),"Y","")</f>
        <v>0</v>
      </c>
    </row>
    <row r="791" spans="7:8">
      <c r="G791" s="2">
        <f>IF(F791="PASS", E791, "")</f>
        <v>0</v>
      </c>
      <c r="H791">
        <f>IF(AND(F791="PASS", G791&lt;=IFERROR(VLOOKUP(A791,Graduation_Cutoff!$A$2:$B$8,2,FALSE),DATE(9999,12,31))),"Y","")</f>
        <v>0</v>
      </c>
    </row>
    <row r="792" spans="7:8">
      <c r="G792" s="2">
        <f>IF(F792="PASS", E792, "")</f>
        <v>0</v>
      </c>
      <c r="H792">
        <f>IF(AND(F792="PASS", G792&lt;=IFERROR(VLOOKUP(A792,Graduation_Cutoff!$A$2:$B$8,2,FALSE),DATE(9999,12,31))),"Y","")</f>
        <v>0</v>
      </c>
    </row>
    <row r="793" spans="7:8">
      <c r="G793" s="2">
        <f>IF(F793="PASS", E793, "")</f>
        <v>0</v>
      </c>
      <c r="H793">
        <f>IF(AND(F793="PASS", G793&lt;=IFERROR(VLOOKUP(A793,Graduation_Cutoff!$A$2:$B$8,2,FALSE),DATE(9999,12,31))),"Y","")</f>
        <v>0</v>
      </c>
    </row>
    <row r="794" spans="7:8">
      <c r="G794" s="2">
        <f>IF(F794="PASS", E794, "")</f>
        <v>0</v>
      </c>
      <c r="H794">
        <f>IF(AND(F794="PASS", G794&lt;=IFERROR(VLOOKUP(A794,Graduation_Cutoff!$A$2:$B$8,2,FALSE),DATE(9999,12,31))),"Y","")</f>
        <v>0</v>
      </c>
    </row>
    <row r="795" spans="7:8">
      <c r="G795" s="2">
        <f>IF(F795="PASS", E795, "")</f>
        <v>0</v>
      </c>
      <c r="H795">
        <f>IF(AND(F795="PASS", G795&lt;=IFERROR(VLOOKUP(A795,Graduation_Cutoff!$A$2:$B$8,2,FALSE),DATE(9999,12,31))),"Y","")</f>
        <v>0</v>
      </c>
    </row>
    <row r="796" spans="7:8">
      <c r="G796" s="2">
        <f>IF(F796="PASS", E796, "")</f>
        <v>0</v>
      </c>
      <c r="H796">
        <f>IF(AND(F796="PASS", G796&lt;=IFERROR(VLOOKUP(A796,Graduation_Cutoff!$A$2:$B$8,2,FALSE),DATE(9999,12,31))),"Y","")</f>
        <v>0</v>
      </c>
    </row>
    <row r="797" spans="7:8">
      <c r="G797" s="2">
        <f>IF(F797="PASS", E797, "")</f>
        <v>0</v>
      </c>
      <c r="H797">
        <f>IF(AND(F797="PASS", G797&lt;=IFERROR(VLOOKUP(A797,Graduation_Cutoff!$A$2:$B$8,2,FALSE),DATE(9999,12,31))),"Y","")</f>
        <v>0</v>
      </c>
    </row>
    <row r="798" spans="7:8">
      <c r="G798" s="2">
        <f>IF(F798="PASS", E798, "")</f>
        <v>0</v>
      </c>
      <c r="H798">
        <f>IF(AND(F798="PASS", G798&lt;=IFERROR(VLOOKUP(A798,Graduation_Cutoff!$A$2:$B$8,2,FALSE),DATE(9999,12,31))),"Y","")</f>
        <v>0</v>
      </c>
    </row>
    <row r="799" spans="7:8">
      <c r="G799" s="2">
        <f>IF(F799="PASS", E799, "")</f>
        <v>0</v>
      </c>
      <c r="H799">
        <f>IF(AND(F799="PASS", G799&lt;=IFERROR(VLOOKUP(A799,Graduation_Cutoff!$A$2:$B$8,2,FALSE),DATE(9999,12,31))),"Y","")</f>
        <v>0</v>
      </c>
    </row>
    <row r="800" spans="7:8">
      <c r="G800" s="2">
        <f>IF(F800="PASS", E800, "")</f>
        <v>0</v>
      </c>
      <c r="H800">
        <f>IF(AND(F800="PASS", G800&lt;=IFERROR(VLOOKUP(A800,Graduation_Cutoff!$A$2:$B$8,2,FALSE),DATE(9999,12,31))),"Y","")</f>
        <v>0</v>
      </c>
    </row>
    <row r="801" spans="7:8">
      <c r="G801" s="2">
        <f>IF(F801="PASS", E801, "")</f>
        <v>0</v>
      </c>
      <c r="H801">
        <f>IF(AND(F801="PASS", G801&lt;=IFERROR(VLOOKUP(A801,Graduation_Cutoff!$A$2:$B$8,2,FALSE),DATE(9999,12,31))),"Y","")</f>
        <v>0</v>
      </c>
    </row>
    <row r="802" spans="7:8">
      <c r="G802" s="2">
        <f>IF(F802="PASS", E802, "")</f>
        <v>0</v>
      </c>
      <c r="H802">
        <f>IF(AND(F802="PASS", G802&lt;=IFERROR(VLOOKUP(A802,Graduation_Cutoff!$A$2:$B$8,2,FALSE),DATE(9999,12,31))),"Y","")</f>
        <v>0</v>
      </c>
    </row>
    <row r="803" spans="7:8">
      <c r="G803" s="2">
        <f>IF(F803="PASS", E803, "")</f>
        <v>0</v>
      </c>
      <c r="H803">
        <f>IF(AND(F803="PASS", G803&lt;=IFERROR(VLOOKUP(A803,Graduation_Cutoff!$A$2:$B$8,2,FALSE),DATE(9999,12,31))),"Y","")</f>
        <v>0</v>
      </c>
    </row>
    <row r="804" spans="7:8">
      <c r="G804" s="2">
        <f>IF(F804="PASS", E804, "")</f>
        <v>0</v>
      </c>
      <c r="H804">
        <f>IF(AND(F804="PASS", G804&lt;=IFERROR(VLOOKUP(A804,Graduation_Cutoff!$A$2:$B$8,2,FALSE),DATE(9999,12,31))),"Y","")</f>
        <v>0</v>
      </c>
    </row>
    <row r="805" spans="7:8">
      <c r="G805" s="2">
        <f>IF(F805="PASS", E805, "")</f>
        <v>0</v>
      </c>
      <c r="H805">
        <f>IF(AND(F805="PASS", G805&lt;=IFERROR(VLOOKUP(A805,Graduation_Cutoff!$A$2:$B$8,2,FALSE),DATE(9999,12,31))),"Y","")</f>
        <v>0</v>
      </c>
    </row>
    <row r="806" spans="7:8">
      <c r="G806" s="2">
        <f>IF(F806="PASS", E806, "")</f>
        <v>0</v>
      </c>
      <c r="H806">
        <f>IF(AND(F806="PASS", G806&lt;=IFERROR(VLOOKUP(A806,Graduation_Cutoff!$A$2:$B$8,2,FALSE),DATE(9999,12,31))),"Y","")</f>
        <v>0</v>
      </c>
    </row>
    <row r="807" spans="7:8">
      <c r="G807" s="2">
        <f>IF(F807="PASS", E807, "")</f>
        <v>0</v>
      </c>
      <c r="H807">
        <f>IF(AND(F807="PASS", G807&lt;=IFERROR(VLOOKUP(A807,Graduation_Cutoff!$A$2:$B$8,2,FALSE),DATE(9999,12,31))),"Y","")</f>
        <v>0</v>
      </c>
    </row>
    <row r="808" spans="7:8">
      <c r="G808" s="2">
        <f>IF(F808="PASS", E808, "")</f>
        <v>0</v>
      </c>
      <c r="H808">
        <f>IF(AND(F808="PASS", G808&lt;=IFERROR(VLOOKUP(A808,Graduation_Cutoff!$A$2:$B$8,2,FALSE),DATE(9999,12,31))),"Y","")</f>
        <v>0</v>
      </c>
    </row>
    <row r="809" spans="7:8">
      <c r="G809" s="2">
        <f>IF(F809="PASS", E809, "")</f>
        <v>0</v>
      </c>
      <c r="H809">
        <f>IF(AND(F809="PASS", G809&lt;=IFERROR(VLOOKUP(A809,Graduation_Cutoff!$A$2:$B$8,2,FALSE),DATE(9999,12,31))),"Y","")</f>
        <v>0</v>
      </c>
    </row>
    <row r="810" spans="7:8">
      <c r="G810" s="2">
        <f>IF(F810="PASS", E810, "")</f>
        <v>0</v>
      </c>
      <c r="H810">
        <f>IF(AND(F810="PASS", G810&lt;=IFERROR(VLOOKUP(A810,Graduation_Cutoff!$A$2:$B$8,2,FALSE),DATE(9999,12,31))),"Y","")</f>
        <v>0</v>
      </c>
    </row>
    <row r="811" spans="7:8">
      <c r="G811" s="2">
        <f>IF(F811="PASS", E811, "")</f>
        <v>0</v>
      </c>
      <c r="H811">
        <f>IF(AND(F811="PASS", G811&lt;=IFERROR(VLOOKUP(A811,Graduation_Cutoff!$A$2:$B$8,2,FALSE),DATE(9999,12,31))),"Y","")</f>
        <v>0</v>
      </c>
    </row>
    <row r="812" spans="7:8">
      <c r="G812" s="2">
        <f>IF(F812="PASS", E812, "")</f>
        <v>0</v>
      </c>
      <c r="H812">
        <f>IF(AND(F812="PASS", G812&lt;=IFERROR(VLOOKUP(A812,Graduation_Cutoff!$A$2:$B$8,2,FALSE),DATE(9999,12,31))),"Y","")</f>
        <v>0</v>
      </c>
    </row>
    <row r="813" spans="7:8">
      <c r="G813" s="2">
        <f>IF(F813="PASS", E813, "")</f>
        <v>0</v>
      </c>
      <c r="H813">
        <f>IF(AND(F813="PASS", G813&lt;=IFERROR(VLOOKUP(A813,Graduation_Cutoff!$A$2:$B$8,2,FALSE),DATE(9999,12,31))),"Y","")</f>
        <v>0</v>
      </c>
    </row>
    <row r="814" spans="7:8">
      <c r="G814" s="2">
        <f>IF(F814="PASS", E814, "")</f>
        <v>0</v>
      </c>
      <c r="H814">
        <f>IF(AND(F814="PASS", G814&lt;=IFERROR(VLOOKUP(A814,Graduation_Cutoff!$A$2:$B$8,2,FALSE),DATE(9999,12,31))),"Y","")</f>
        <v>0</v>
      </c>
    </row>
    <row r="815" spans="7:8">
      <c r="G815" s="2">
        <f>IF(F815="PASS", E815, "")</f>
        <v>0</v>
      </c>
      <c r="H815">
        <f>IF(AND(F815="PASS", G815&lt;=IFERROR(VLOOKUP(A815,Graduation_Cutoff!$A$2:$B$8,2,FALSE),DATE(9999,12,31))),"Y","")</f>
        <v>0</v>
      </c>
    </row>
    <row r="816" spans="7:8">
      <c r="G816" s="2">
        <f>IF(F816="PASS", E816, "")</f>
        <v>0</v>
      </c>
      <c r="H816">
        <f>IF(AND(F816="PASS", G816&lt;=IFERROR(VLOOKUP(A816,Graduation_Cutoff!$A$2:$B$8,2,FALSE),DATE(9999,12,31))),"Y","")</f>
        <v>0</v>
      </c>
    </row>
    <row r="817" spans="7:8">
      <c r="G817" s="2">
        <f>IF(F817="PASS", E817, "")</f>
        <v>0</v>
      </c>
      <c r="H817">
        <f>IF(AND(F817="PASS", G817&lt;=IFERROR(VLOOKUP(A817,Graduation_Cutoff!$A$2:$B$8,2,FALSE),DATE(9999,12,31))),"Y","")</f>
        <v>0</v>
      </c>
    </row>
    <row r="818" spans="7:8">
      <c r="G818" s="2">
        <f>IF(F818="PASS", E818, "")</f>
        <v>0</v>
      </c>
      <c r="H818">
        <f>IF(AND(F818="PASS", G818&lt;=IFERROR(VLOOKUP(A818,Graduation_Cutoff!$A$2:$B$8,2,FALSE),DATE(9999,12,31))),"Y","")</f>
        <v>0</v>
      </c>
    </row>
    <row r="819" spans="7:8">
      <c r="G819" s="2">
        <f>IF(F819="PASS", E819, "")</f>
        <v>0</v>
      </c>
      <c r="H819">
        <f>IF(AND(F819="PASS", G819&lt;=IFERROR(VLOOKUP(A819,Graduation_Cutoff!$A$2:$B$8,2,FALSE),DATE(9999,12,31))),"Y","")</f>
        <v>0</v>
      </c>
    </row>
    <row r="820" spans="7:8">
      <c r="G820" s="2">
        <f>IF(F820="PASS", E820, "")</f>
        <v>0</v>
      </c>
      <c r="H820">
        <f>IF(AND(F820="PASS", G820&lt;=IFERROR(VLOOKUP(A820,Graduation_Cutoff!$A$2:$B$8,2,FALSE),DATE(9999,12,31))),"Y","")</f>
        <v>0</v>
      </c>
    </row>
    <row r="821" spans="7:8">
      <c r="G821" s="2">
        <f>IF(F821="PASS", E821, "")</f>
        <v>0</v>
      </c>
      <c r="H821">
        <f>IF(AND(F821="PASS", G821&lt;=IFERROR(VLOOKUP(A821,Graduation_Cutoff!$A$2:$B$8,2,FALSE),DATE(9999,12,31))),"Y","")</f>
        <v>0</v>
      </c>
    </row>
    <row r="822" spans="7:8">
      <c r="G822" s="2">
        <f>IF(F822="PASS", E822, "")</f>
        <v>0</v>
      </c>
      <c r="H822">
        <f>IF(AND(F822="PASS", G822&lt;=IFERROR(VLOOKUP(A822,Graduation_Cutoff!$A$2:$B$8,2,FALSE),DATE(9999,12,31))),"Y","")</f>
        <v>0</v>
      </c>
    </row>
    <row r="823" spans="7:8">
      <c r="G823" s="2">
        <f>IF(F823="PASS", E823, "")</f>
        <v>0</v>
      </c>
      <c r="H823">
        <f>IF(AND(F823="PASS", G823&lt;=IFERROR(VLOOKUP(A823,Graduation_Cutoff!$A$2:$B$8,2,FALSE),DATE(9999,12,31))),"Y","")</f>
        <v>0</v>
      </c>
    </row>
    <row r="824" spans="7:8">
      <c r="G824" s="2">
        <f>IF(F824="PASS", E824, "")</f>
        <v>0</v>
      </c>
      <c r="H824">
        <f>IF(AND(F824="PASS", G824&lt;=IFERROR(VLOOKUP(A824,Graduation_Cutoff!$A$2:$B$8,2,FALSE),DATE(9999,12,31))),"Y","")</f>
        <v>0</v>
      </c>
    </row>
    <row r="825" spans="7:8">
      <c r="G825" s="2">
        <f>IF(F825="PASS", E825, "")</f>
        <v>0</v>
      </c>
      <c r="H825">
        <f>IF(AND(F825="PASS", G825&lt;=IFERROR(VLOOKUP(A825,Graduation_Cutoff!$A$2:$B$8,2,FALSE),DATE(9999,12,31))),"Y","")</f>
        <v>0</v>
      </c>
    </row>
    <row r="826" spans="7:8">
      <c r="G826" s="2">
        <f>IF(F826="PASS", E826, "")</f>
        <v>0</v>
      </c>
      <c r="H826">
        <f>IF(AND(F826="PASS", G826&lt;=IFERROR(VLOOKUP(A826,Graduation_Cutoff!$A$2:$B$8,2,FALSE),DATE(9999,12,31))),"Y","")</f>
        <v>0</v>
      </c>
    </row>
    <row r="827" spans="7:8">
      <c r="G827" s="2">
        <f>IF(F827="PASS", E827, "")</f>
        <v>0</v>
      </c>
      <c r="H827">
        <f>IF(AND(F827="PASS", G827&lt;=IFERROR(VLOOKUP(A827,Graduation_Cutoff!$A$2:$B$8,2,FALSE),DATE(9999,12,31))),"Y","")</f>
        <v>0</v>
      </c>
    </row>
    <row r="828" spans="7:8">
      <c r="G828" s="2">
        <f>IF(F828="PASS", E828, "")</f>
        <v>0</v>
      </c>
      <c r="H828">
        <f>IF(AND(F828="PASS", G828&lt;=IFERROR(VLOOKUP(A828,Graduation_Cutoff!$A$2:$B$8,2,FALSE),DATE(9999,12,31))),"Y","")</f>
        <v>0</v>
      </c>
    </row>
    <row r="829" spans="7:8">
      <c r="G829" s="2">
        <f>IF(F829="PASS", E829, "")</f>
        <v>0</v>
      </c>
      <c r="H829">
        <f>IF(AND(F829="PASS", G829&lt;=IFERROR(VLOOKUP(A829,Graduation_Cutoff!$A$2:$B$8,2,FALSE),DATE(9999,12,31))),"Y","")</f>
        <v>0</v>
      </c>
    </row>
    <row r="830" spans="7:8">
      <c r="G830" s="2">
        <f>IF(F830="PASS", E830, "")</f>
        <v>0</v>
      </c>
      <c r="H830">
        <f>IF(AND(F830="PASS", G830&lt;=IFERROR(VLOOKUP(A830,Graduation_Cutoff!$A$2:$B$8,2,FALSE),DATE(9999,12,31))),"Y","")</f>
        <v>0</v>
      </c>
    </row>
    <row r="831" spans="7:8">
      <c r="G831" s="2">
        <f>IF(F831="PASS", E831, "")</f>
        <v>0</v>
      </c>
      <c r="H831">
        <f>IF(AND(F831="PASS", G831&lt;=IFERROR(VLOOKUP(A831,Graduation_Cutoff!$A$2:$B$8,2,FALSE),DATE(9999,12,31))),"Y","")</f>
        <v>0</v>
      </c>
    </row>
    <row r="832" spans="7:8">
      <c r="G832" s="2">
        <f>IF(F832="PASS", E832, "")</f>
        <v>0</v>
      </c>
      <c r="H832">
        <f>IF(AND(F832="PASS", G832&lt;=IFERROR(VLOOKUP(A832,Graduation_Cutoff!$A$2:$B$8,2,FALSE),DATE(9999,12,31))),"Y","")</f>
        <v>0</v>
      </c>
    </row>
    <row r="833" spans="7:8">
      <c r="G833" s="2">
        <f>IF(F833="PASS", E833, "")</f>
        <v>0</v>
      </c>
      <c r="H833">
        <f>IF(AND(F833="PASS", G833&lt;=IFERROR(VLOOKUP(A833,Graduation_Cutoff!$A$2:$B$8,2,FALSE),DATE(9999,12,31))),"Y","")</f>
        <v>0</v>
      </c>
    </row>
    <row r="834" spans="7:8">
      <c r="G834" s="2">
        <f>IF(F834="PASS", E834, "")</f>
        <v>0</v>
      </c>
      <c r="H834">
        <f>IF(AND(F834="PASS", G834&lt;=IFERROR(VLOOKUP(A834,Graduation_Cutoff!$A$2:$B$8,2,FALSE),DATE(9999,12,31))),"Y","")</f>
        <v>0</v>
      </c>
    </row>
    <row r="835" spans="7:8">
      <c r="G835" s="2">
        <f>IF(F835="PASS", E835, "")</f>
        <v>0</v>
      </c>
      <c r="H835">
        <f>IF(AND(F835="PASS", G835&lt;=IFERROR(VLOOKUP(A835,Graduation_Cutoff!$A$2:$B$8,2,FALSE),DATE(9999,12,31))),"Y","")</f>
        <v>0</v>
      </c>
    </row>
    <row r="836" spans="7:8">
      <c r="G836" s="2">
        <f>IF(F836="PASS", E836, "")</f>
        <v>0</v>
      </c>
      <c r="H836">
        <f>IF(AND(F836="PASS", G836&lt;=IFERROR(VLOOKUP(A836,Graduation_Cutoff!$A$2:$B$8,2,FALSE),DATE(9999,12,31))),"Y","")</f>
        <v>0</v>
      </c>
    </row>
    <row r="837" spans="7:8">
      <c r="G837" s="2">
        <f>IF(F837="PASS", E837, "")</f>
        <v>0</v>
      </c>
      <c r="H837">
        <f>IF(AND(F837="PASS", G837&lt;=IFERROR(VLOOKUP(A837,Graduation_Cutoff!$A$2:$B$8,2,FALSE),DATE(9999,12,31))),"Y","")</f>
        <v>0</v>
      </c>
    </row>
    <row r="838" spans="7:8">
      <c r="G838" s="2">
        <f>IF(F838="PASS", E838, "")</f>
        <v>0</v>
      </c>
      <c r="H838">
        <f>IF(AND(F838="PASS", G838&lt;=IFERROR(VLOOKUP(A838,Graduation_Cutoff!$A$2:$B$8,2,FALSE),DATE(9999,12,31))),"Y","")</f>
        <v>0</v>
      </c>
    </row>
    <row r="839" spans="7:8">
      <c r="G839" s="2">
        <f>IF(F839="PASS", E839, "")</f>
        <v>0</v>
      </c>
      <c r="H839">
        <f>IF(AND(F839="PASS", G839&lt;=IFERROR(VLOOKUP(A839,Graduation_Cutoff!$A$2:$B$8,2,FALSE),DATE(9999,12,31))),"Y","")</f>
        <v>0</v>
      </c>
    </row>
    <row r="840" spans="7:8">
      <c r="G840" s="2">
        <f>IF(F840="PASS", E840, "")</f>
        <v>0</v>
      </c>
      <c r="H840">
        <f>IF(AND(F840="PASS", G840&lt;=IFERROR(VLOOKUP(A840,Graduation_Cutoff!$A$2:$B$8,2,FALSE),DATE(9999,12,31))),"Y","")</f>
        <v>0</v>
      </c>
    </row>
    <row r="841" spans="7:8">
      <c r="G841" s="2">
        <f>IF(F841="PASS", E841, "")</f>
        <v>0</v>
      </c>
      <c r="H841">
        <f>IF(AND(F841="PASS", G841&lt;=IFERROR(VLOOKUP(A841,Graduation_Cutoff!$A$2:$B$8,2,FALSE),DATE(9999,12,31))),"Y","")</f>
        <v>0</v>
      </c>
    </row>
    <row r="842" spans="7:8">
      <c r="G842" s="2">
        <f>IF(F842="PASS", E842, "")</f>
        <v>0</v>
      </c>
      <c r="H842">
        <f>IF(AND(F842="PASS", G842&lt;=IFERROR(VLOOKUP(A842,Graduation_Cutoff!$A$2:$B$8,2,FALSE),DATE(9999,12,31))),"Y","")</f>
        <v>0</v>
      </c>
    </row>
    <row r="843" spans="7:8">
      <c r="G843" s="2">
        <f>IF(F843="PASS", E843, "")</f>
        <v>0</v>
      </c>
      <c r="H843">
        <f>IF(AND(F843="PASS", G843&lt;=IFERROR(VLOOKUP(A843,Graduation_Cutoff!$A$2:$B$8,2,FALSE),DATE(9999,12,31))),"Y","")</f>
        <v>0</v>
      </c>
    </row>
    <row r="844" spans="7:8">
      <c r="G844" s="2">
        <f>IF(F844="PASS", E844, "")</f>
        <v>0</v>
      </c>
      <c r="H844">
        <f>IF(AND(F844="PASS", G844&lt;=IFERROR(VLOOKUP(A844,Graduation_Cutoff!$A$2:$B$8,2,FALSE),DATE(9999,12,31))),"Y","")</f>
        <v>0</v>
      </c>
    </row>
    <row r="845" spans="7:8">
      <c r="G845" s="2">
        <f>IF(F845="PASS", E845, "")</f>
        <v>0</v>
      </c>
      <c r="H845">
        <f>IF(AND(F845="PASS", G845&lt;=IFERROR(VLOOKUP(A845,Graduation_Cutoff!$A$2:$B$8,2,FALSE),DATE(9999,12,31))),"Y","")</f>
        <v>0</v>
      </c>
    </row>
    <row r="846" spans="7:8">
      <c r="G846" s="2">
        <f>IF(F846="PASS", E846, "")</f>
        <v>0</v>
      </c>
      <c r="H846">
        <f>IF(AND(F846="PASS", G846&lt;=IFERROR(VLOOKUP(A846,Graduation_Cutoff!$A$2:$B$8,2,FALSE),DATE(9999,12,31))),"Y","")</f>
        <v>0</v>
      </c>
    </row>
    <row r="847" spans="7:8">
      <c r="G847" s="2">
        <f>IF(F847="PASS", E847, "")</f>
        <v>0</v>
      </c>
      <c r="H847">
        <f>IF(AND(F847="PASS", G847&lt;=IFERROR(VLOOKUP(A847,Graduation_Cutoff!$A$2:$B$8,2,FALSE),DATE(9999,12,31))),"Y","")</f>
        <v>0</v>
      </c>
    </row>
    <row r="848" spans="7:8">
      <c r="G848" s="2">
        <f>IF(F848="PASS", E848, "")</f>
        <v>0</v>
      </c>
      <c r="H848">
        <f>IF(AND(F848="PASS", G848&lt;=IFERROR(VLOOKUP(A848,Graduation_Cutoff!$A$2:$B$8,2,FALSE),DATE(9999,12,31))),"Y","")</f>
        <v>0</v>
      </c>
    </row>
    <row r="849" spans="7:8">
      <c r="G849" s="2">
        <f>IF(F849="PASS", E849, "")</f>
        <v>0</v>
      </c>
      <c r="H849">
        <f>IF(AND(F849="PASS", G849&lt;=IFERROR(VLOOKUP(A849,Graduation_Cutoff!$A$2:$B$8,2,FALSE),DATE(9999,12,31))),"Y","")</f>
        <v>0</v>
      </c>
    </row>
    <row r="850" spans="7:8">
      <c r="G850" s="2">
        <f>IF(F850="PASS", E850, "")</f>
        <v>0</v>
      </c>
      <c r="H850">
        <f>IF(AND(F850="PASS", G850&lt;=IFERROR(VLOOKUP(A850,Graduation_Cutoff!$A$2:$B$8,2,FALSE),DATE(9999,12,31))),"Y","")</f>
        <v>0</v>
      </c>
    </row>
    <row r="851" spans="7:8">
      <c r="G851" s="2">
        <f>IF(F851="PASS", E851, "")</f>
        <v>0</v>
      </c>
      <c r="H851">
        <f>IF(AND(F851="PASS", G851&lt;=IFERROR(VLOOKUP(A851,Graduation_Cutoff!$A$2:$B$8,2,FALSE),DATE(9999,12,31))),"Y","")</f>
        <v>0</v>
      </c>
    </row>
    <row r="852" spans="7:8">
      <c r="G852" s="2">
        <f>IF(F852="PASS", E852, "")</f>
        <v>0</v>
      </c>
      <c r="H852">
        <f>IF(AND(F852="PASS", G852&lt;=IFERROR(VLOOKUP(A852,Graduation_Cutoff!$A$2:$B$8,2,FALSE),DATE(9999,12,31))),"Y","")</f>
        <v>0</v>
      </c>
    </row>
    <row r="853" spans="7:8">
      <c r="G853" s="2">
        <f>IF(F853="PASS", E853, "")</f>
        <v>0</v>
      </c>
      <c r="H853">
        <f>IF(AND(F853="PASS", G853&lt;=IFERROR(VLOOKUP(A853,Graduation_Cutoff!$A$2:$B$8,2,FALSE),DATE(9999,12,31))),"Y","")</f>
        <v>0</v>
      </c>
    </row>
    <row r="854" spans="7:8">
      <c r="G854" s="2">
        <f>IF(F854="PASS", E854, "")</f>
        <v>0</v>
      </c>
      <c r="H854">
        <f>IF(AND(F854="PASS", G854&lt;=IFERROR(VLOOKUP(A854,Graduation_Cutoff!$A$2:$B$8,2,FALSE),DATE(9999,12,31))),"Y","")</f>
        <v>0</v>
      </c>
    </row>
    <row r="855" spans="7:8">
      <c r="G855" s="2">
        <f>IF(F855="PASS", E855, "")</f>
        <v>0</v>
      </c>
      <c r="H855">
        <f>IF(AND(F855="PASS", G855&lt;=IFERROR(VLOOKUP(A855,Graduation_Cutoff!$A$2:$B$8,2,FALSE),DATE(9999,12,31))),"Y","")</f>
        <v>0</v>
      </c>
    </row>
    <row r="856" spans="7:8">
      <c r="G856" s="2">
        <f>IF(F856="PASS", E856, "")</f>
        <v>0</v>
      </c>
      <c r="H856">
        <f>IF(AND(F856="PASS", G856&lt;=IFERROR(VLOOKUP(A856,Graduation_Cutoff!$A$2:$B$8,2,FALSE),DATE(9999,12,31))),"Y","")</f>
        <v>0</v>
      </c>
    </row>
    <row r="857" spans="7:8">
      <c r="G857" s="2">
        <f>IF(F857="PASS", E857, "")</f>
        <v>0</v>
      </c>
      <c r="H857">
        <f>IF(AND(F857="PASS", G857&lt;=IFERROR(VLOOKUP(A857,Graduation_Cutoff!$A$2:$B$8,2,FALSE),DATE(9999,12,31))),"Y","")</f>
        <v>0</v>
      </c>
    </row>
    <row r="858" spans="7:8">
      <c r="G858" s="2">
        <f>IF(F858="PASS", E858, "")</f>
        <v>0</v>
      </c>
      <c r="H858">
        <f>IF(AND(F858="PASS", G858&lt;=IFERROR(VLOOKUP(A858,Graduation_Cutoff!$A$2:$B$8,2,FALSE),DATE(9999,12,31))),"Y","")</f>
        <v>0</v>
      </c>
    </row>
    <row r="859" spans="7:8">
      <c r="G859" s="2">
        <f>IF(F859="PASS", E859, "")</f>
        <v>0</v>
      </c>
      <c r="H859">
        <f>IF(AND(F859="PASS", G859&lt;=IFERROR(VLOOKUP(A859,Graduation_Cutoff!$A$2:$B$8,2,FALSE),DATE(9999,12,31))),"Y","")</f>
        <v>0</v>
      </c>
    </row>
    <row r="860" spans="7:8">
      <c r="G860" s="2">
        <f>IF(F860="PASS", E860, "")</f>
        <v>0</v>
      </c>
      <c r="H860">
        <f>IF(AND(F860="PASS", G860&lt;=IFERROR(VLOOKUP(A860,Graduation_Cutoff!$A$2:$B$8,2,FALSE),DATE(9999,12,31))),"Y","")</f>
        <v>0</v>
      </c>
    </row>
    <row r="861" spans="7:8">
      <c r="G861" s="2">
        <f>IF(F861="PASS", E861, "")</f>
        <v>0</v>
      </c>
      <c r="H861">
        <f>IF(AND(F861="PASS", G861&lt;=IFERROR(VLOOKUP(A861,Graduation_Cutoff!$A$2:$B$8,2,FALSE),DATE(9999,12,31))),"Y","")</f>
        <v>0</v>
      </c>
    </row>
    <row r="862" spans="7:8">
      <c r="G862" s="2">
        <f>IF(F862="PASS", E862, "")</f>
        <v>0</v>
      </c>
      <c r="H862">
        <f>IF(AND(F862="PASS", G862&lt;=IFERROR(VLOOKUP(A862,Graduation_Cutoff!$A$2:$B$8,2,FALSE),DATE(9999,12,31))),"Y","")</f>
        <v>0</v>
      </c>
    </row>
    <row r="863" spans="7:8">
      <c r="G863" s="2">
        <f>IF(F863="PASS", E863, "")</f>
        <v>0</v>
      </c>
      <c r="H863">
        <f>IF(AND(F863="PASS", G863&lt;=IFERROR(VLOOKUP(A863,Graduation_Cutoff!$A$2:$B$8,2,FALSE),DATE(9999,12,31))),"Y","")</f>
        <v>0</v>
      </c>
    </row>
    <row r="864" spans="7:8">
      <c r="G864" s="2">
        <f>IF(F864="PASS", E864, "")</f>
        <v>0</v>
      </c>
      <c r="H864">
        <f>IF(AND(F864="PASS", G864&lt;=IFERROR(VLOOKUP(A864,Graduation_Cutoff!$A$2:$B$8,2,FALSE),DATE(9999,12,31))),"Y","")</f>
        <v>0</v>
      </c>
    </row>
    <row r="865" spans="7:8">
      <c r="G865" s="2">
        <f>IF(F865="PASS", E865, "")</f>
        <v>0</v>
      </c>
      <c r="H865">
        <f>IF(AND(F865="PASS", G865&lt;=IFERROR(VLOOKUP(A865,Graduation_Cutoff!$A$2:$B$8,2,FALSE),DATE(9999,12,31))),"Y","")</f>
        <v>0</v>
      </c>
    </row>
    <row r="866" spans="7:8">
      <c r="G866" s="2">
        <f>IF(F866="PASS", E866, "")</f>
        <v>0</v>
      </c>
      <c r="H866">
        <f>IF(AND(F866="PASS", G866&lt;=IFERROR(VLOOKUP(A866,Graduation_Cutoff!$A$2:$B$8,2,FALSE),DATE(9999,12,31))),"Y","")</f>
        <v>0</v>
      </c>
    </row>
    <row r="867" spans="7:8">
      <c r="G867" s="2">
        <f>IF(F867="PASS", E867, "")</f>
        <v>0</v>
      </c>
      <c r="H867">
        <f>IF(AND(F867="PASS", G867&lt;=IFERROR(VLOOKUP(A867,Graduation_Cutoff!$A$2:$B$8,2,FALSE),DATE(9999,12,31))),"Y","")</f>
        <v>0</v>
      </c>
    </row>
    <row r="868" spans="7:8">
      <c r="G868" s="2">
        <f>IF(F868="PASS", E868, "")</f>
        <v>0</v>
      </c>
      <c r="H868">
        <f>IF(AND(F868="PASS", G868&lt;=IFERROR(VLOOKUP(A868,Graduation_Cutoff!$A$2:$B$8,2,FALSE),DATE(9999,12,31))),"Y","")</f>
        <v>0</v>
      </c>
    </row>
    <row r="869" spans="7:8">
      <c r="G869" s="2">
        <f>IF(F869="PASS", E869, "")</f>
        <v>0</v>
      </c>
      <c r="H869">
        <f>IF(AND(F869="PASS", G869&lt;=IFERROR(VLOOKUP(A869,Graduation_Cutoff!$A$2:$B$8,2,FALSE),DATE(9999,12,31))),"Y","")</f>
        <v>0</v>
      </c>
    </row>
    <row r="870" spans="7:8">
      <c r="G870" s="2">
        <f>IF(F870="PASS", E870, "")</f>
        <v>0</v>
      </c>
      <c r="H870">
        <f>IF(AND(F870="PASS", G870&lt;=IFERROR(VLOOKUP(A870,Graduation_Cutoff!$A$2:$B$8,2,FALSE),DATE(9999,12,31))),"Y","")</f>
        <v>0</v>
      </c>
    </row>
    <row r="871" spans="7:8">
      <c r="G871" s="2">
        <f>IF(F871="PASS", E871, "")</f>
        <v>0</v>
      </c>
      <c r="H871">
        <f>IF(AND(F871="PASS", G871&lt;=IFERROR(VLOOKUP(A871,Graduation_Cutoff!$A$2:$B$8,2,FALSE),DATE(9999,12,31))),"Y","")</f>
        <v>0</v>
      </c>
    </row>
    <row r="872" spans="7:8">
      <c r="G872" s="2">
        <f>IF(F872="PASS", E872, "")</f>
        <v>0</v>
      </c>
      <c r="H872">
        <f>IF(AND(F872="PASS", G872&lt;=IFERROR(VLOOKUP(A872,Graduation_Cutoff!$A$2:$B$8,2,FALSE),DATE(9999,12,31))),"Y","")</f>
        <v>0</v>
      </c>
    </row>
    <row r="873" spans="7:8">
      <c r="G873" s="2">
        <f>IF(F873="PASS", E873, "")</f>
        <v>0</v>
      </c>
      <c r="H873">
        <f>IF(AND(F873="PASS", G873&lt;=IFERROR(VLOOKUP(A873,Graduation_Cutoff!$A$2:$B$8,2,FALSE),DATE(9999,12,31))),"Y","")</f>
        <v>0</v>
      </c>
    </row>
    <row r="874" spans="7:8">
      <c r="G874" s="2">
        <f>IF(F874="PASS", E874, "")</f>
        <v>0</v>
      </c>
      <c r="H874">
        <f>IF(AND(F874="PASS", G874&lt;=IFERROR(VLOOKUP(A874,Graduation_Cutoff!$A$2:$B$8,2,FALSE),DATE(9999,12,31))),"Y","")</f>
        <v>0</v>
      </c>
    </row>
    <row r="875" spans="7:8">
      <c r="G875" s="2">
        <f>IF(F875="PASS", E875, "")</f>
        <v>0</v>
      </c>
      <c r="H875">
        <f>IF(AND(F875="PASS", G875&lt;=IFERROR(VLOOKUP(A875,Graduation_Cutoff!$A$2:$B$8,2,FALSE),DATE(9999,12,31))),"Y","")</f>
        <v>0</v>
      </c>
    </row>
    <row r="876" spans="7:8">
      <c r="G876" s="2">
        <f>IF(F876="PASS", E876, "")</f>
        <v>0</v>
      </c>
      <c r="H876">
        <f>IF(AND(F876="PASS", G876&lt;=IFERROR(VLOOKUP(A876,Graduation_Cutoff!$A$2:$B$8,2,FALSE),DATE(9999,12,31))),"Y","")</f>
        <v>0</v>
      </c>
    </row>
    <row r="877" spans="7:8">
      <c r="G877" s="2">
        <f>IF(F877="PASS", E877, "")</f>
        <v>0</v>
      </c>
      <c r="H877">
        <f>IF(AND(F877="PASS", G877&lt;=IFERROR(VLOOKUP(A877,Graduation_Cutoff!$A$2:$B$8,2,FALSE),DATE(9999,12,31))),"Y","")</f>
        <v>0</v>
      </c>
    </row>
    <row r="878" spans="7:8">
      <c r="G878" s="2">
        <f>IF(F878="PASS", E878, "")</f>
        <v>0</v>
      </c>
      <c r="H878">
        <f>IF(AND(F878="PASS", G878&lt;=IFERROR(VLOOKUP(A878,Graduation_Cutoff!$A$2:$B$8,2,FALSE),DATE(9999,12,31))),"Y","")</f>
        <v>0</v>
      </c>
    </row>
    <row r="879" spans="7:8">
      <c r="G879" s="2">
        <f>IF(F879="PASS", E879, "")</f>
        <v>0</v>
      </c>
      <c r="H879">
        <f>IF(AND(F879="PASS", G879&lt;=IFERROR(VLOOKUP(A879,Graduation_Cutoff!$A$2:$B$8,2,FALSE),DATE(9999,12,31))),"Y","")</f>
        <v>0</v>
      </c>
    </row>
    <row r="880" spans="7:8">
      <c r="G880" s="2">
        <f>IF(F880="PASS", E880, "")</f>
        <v>0</v>
      </c>
      <c r="H880">
        <f>IF(AND(F880="PASS", G880&lt;=IFERROR(VLOOKUP(A880,Graduation_Cutoff!$A$2:$B$8,2,FALSE),DATE(9999,12,31))),"Y","")</f>
        <v>0</v>
      </c>
    </row>
    <row r="881" spans="7:8">
      <c r="G881" s="2">
        <f>IF(F881="PASS", E881, "")</f>
        <v>0</v>
      </c>
      <c r="H881">
        <f>IF(AND(F881="PASS", G881&lt;=IFERROR(VLOOKUP(A881,Graduation_Cutoff!$A$2:$B$8,2,FALSE),DATE(9999,12,31))),"Y","")</f>
        <v>0</v>
      </c>
    </row>
    <row r="882" spans="7:8">
      <c r="G882" s="2">
        <f>IF(F882="PASS", E882, "")</f>
        <v>0</v>
      </c>
      <c r="H882">
        <f>IF(AND(F882="PASS", G882&lt;=IFERROR(VLOOKUP(A882,Graduation_Cutoff!$A$2:$B$8,2,FALSE),DATE(9999,12,31))),"Y","")</f>
        <v>0</v>
      </c>
    </row>
    <row r="883" spans="7:8">
      <c r="G883" s="2">
        <f>IF(F883="PASS", E883, "")</f>
        <v>0</v>
      </c>
      <c r="H883">
        <f>IF(AND(F883="PASS", G883&lt;=IFERROR(VLOOKUP(A883,Graduation_Cutoff!$A$2:$B$8,2,FALSE),DATE(9999,12,31))),"Y","")</f>
        <v>0</v>
      </c>
    </row>
    <row r="884" spans="7:8">
      <c r="G884" s="2">
        <f>IF(F884="PASS", E884, "")</f>
        <v>0</v>
      </c>
      <c r="H884">
        <f>IF(AND(F884="PASS", G884&lt;=IFERROR(VLOOKUP(A884,Graduation_Cutoff!$A$2:$B$8,2,FALSE),DATE(9999,12,31))),"Y","")</f>
        <v>0</v>
      </c>
    </row>
    <row r="885" spans="7:8">
      <c r="G885" s="2">
        <f>IF(F885="PASS", E885, "")</f>
        <v>0</v>
      </c>
      <c r="H885">
        <f>IF(AND(F885="PASS", G885&lt;=IFERROR(VLOOKUP(A885,Graduation_Cutoff!$A$2:$B$8,2,FALSE),DATE(9999,12,31))),"Y","")</f>
        <v>0</v>
      </c>
    </row>
    <row r="886" spans="7:8">
      <c r="G886" s="2">
        <f>IF(F886="PASS", E886, "")</f>
        <v>0</v>
      </c>
      <c r="H886">
        <f>IF(AND(F886="PASS", G886&lt;=IFERROR(VLOOKUP(A886,Graduation_Cutoff!$A$2:$B$8,2,FALSE),DATE(9999,12,31))),"Y","")</f>
        <v>0</v>
      </c>
    </row>
    <row r="887" spans="7:8">
      <c r="G887" s="2">
        <f>IF(F887="PASS", E887, "")</f>
        <v>0</v>
      </c>
      <c r="H887">
        <f>IF(AND(F887="PASS", G887&lt;=IFERROR(VLOOKUP(A887,Graduation_Cutoff!$A$2:$B$8,2,FALSE),DATE(9999,12,31))),"Y","")</f>
        <v>0</v>
      </c>
    </row>
    <row r="888" spans="7:8">
      <c r="G888" s="2">
        <f>IF(F888="PASS", E888, "")</f>
        <v>0</v>
      </c>
      <c r="H888">
        <f>IF(AND(F888="PASS", G888&lt;=IFERROR(VLOOKUP(A888,Graduation_Cutoff!$A$2:$B$8,2,FALSE),DATE(9999,12,31))),"Y","")</f>
        <v>0</v>
      </c>
    </row>
    <row r="889" spans="7:8">
      <c r="G889" s="2">
        <f>IF(F889="PASS", E889, "")</f>
        <v>0</v>
      </c>
      <c r="H889">
        <f>IF(AND(F889="PASS", G889&lt;=IFERROR(VLOOKUP(A889,Graduation_Cutoff!$A$2:$B$8,2,FALSE),DATE(9999,12,31))),"Y","")</f>
        <v>0</v>
      </c>
    </row>
    <row r="890" spans="7:8">
      <c r="G890" s="2">
        <f>IF(F890="PASS", E890, "")</f>
        <v>0</v>
      </c>
      <c r="H890">
        <f>IF(AND(F890="PASS", G890&lt;=IFERROR(VLOOKUP(A890,Graduation_Cutoff!$A$2:$B$8,2,FALSE),DATE(9999,12,31))),"Y","")</f>
        <v>0</v>
      </c>
    </row>
    <row r="891" spans="7:8">
      <c r="G891" s="2">
        <f>IF(F891="PASS", E891, "")</f>
        <v>0</v>
      </c>
      <c r="H891">
        <f>IF(AND(F891="PASS", G891&lt;=IFERROR(VLOOKUP(A891,Graduation_Cutoff!$A$2:$B$8,2,FALSE),DATE(9999,12,31))),"Y","")</f>
        <v>0</v>
      </c>
    </row>
    <row r="892" spans="7:8">
      <c r="G892" s="2">
        <f>IF(F892="PASS", E892, "")</f>
        <v>0</v>
      </c>
      <c r="H892">
        <f>IF(AND(F892="PASS", G892&lt;=IFERROR(VLOOKUP(A892,Graduation_Cutoff!$A$2:$B$8,2,FALSE),DATE(9999,12,31))),"Y","")</f>
        <v>0</v>
      </c>
    </row>
    <row r="893" spans="7:8">
      <c r="G893" s="2">
        <f>IF(F893="PASS", E893, "")</f>
        <v>0</v>
      </c>
      <c r="H893">
        <f>IF(AND(F893="PASS", G893&lt;=IFERROR(VLOOKUP(A893,Graduation_Cutoff!$A$2:$B$8,2,FALSE),DATE(9999,12,31))),"Y","")</f>
        <v>0</v>
      </c>
    </row>
    <row r="894" spans="7:8">
      <c r="G894" s="2">
        <f>IF(F894="PASS", E894, "")</f>
        <v>0</v>
      </c>
      <c r="H894">
        <f>IF(AND(F894="PASS", G894&lt;=IFERROR(VLOOKUP(A894,Graduation_Cutoff!$A$2:$B$8,2,FALSE),DATE(9999,12,31))),"Y","")</f>
        <v>0</v>
      </c>
    </row>
    <row r="895" spans="7:8">
      <c r="G895" s="2">
        <f>IF(F895="PASS", E895, "")</f>
        <v>0</v>
      </c>
      <c r="H895">
        <f>IF(AND(F895="PASS", G895&lt;=IFERROR(VLOOKUP(A895,Graduation_Cutoff!$A$2:$B$8,2,FALSE),DATE(9999,12,31))),"Y","")</f>
        <v>0</v>
      </c>
    </row>
    <row r="896" spans="7:8">
      <c r="G896" s="2">
        <f>IF(F896="PASS", E896, "")</f>
        <v>0</v>
      </c>
      <c r="H896">
        <f>IF(AND(F896="PASS", G896&lt;=IFERROR(VLOOKUP(A896,Graduation_Cutoff!$A$2:$B$8,2,FALSE),DATE(9999,12,31))),"Y","")</f>
        <v>0</v>
      </c>
    </row>
    <row r="897" spans="7:8">
      <c r="G897" s="2">
        <f>IF(F897="PASS", E897, "")</f>
        <v>0</v>
      </c>
      <c r="H897">
        <f>IF(AND(F897="PASS", G897&lt;=IFERROR(VLOOKUP(A897,Graduation_Cutoff!$A$2:$B$8,2,FALSE),DATE(9999,12,31))),"Y","")</f>
        <v>0</v>
      </c>
    </row>
    <row r="898" spans="7:8">
      <c r="G898" s="2">
        <f>IF(F898="PASS", E898, "")</f>
        <v>0</v>
      </c>
      <c r="H898">
        <f>IF(AND(F898="PASS", G898&lt;=IFERROR(VLOOKUP(A898,Graduation_Cutoff!$A$2:$B$8,2,FALSE),DATE(9999,12,31))),"Y","")</f>
        <v>0</v>
      </c>
    </row>
    <row r="899" spans="7:8">
      <c r="G899" s="2">
        <f>IF(F899="PASS", E899, "")</f>
        <v>0</v>
      </c>
      <c r="H899">
        <f>IF(AND(F899="PASS", G899&lt;=IFERROR(VLOOKUP(A899,Graduation_Cutoff!$A$2:$B$8,2,FALSE),DATE(9999,12,31))),"Y","")</f>
        <v>0</v>
      </c>
    </row>
    <row r="900" spans="7:8">
      <c r="G900" s="2">
        <f>IF(F900="PASS", E900, "")</f>
        <v>0</v>
      </c>
      <c r="H900">
        <f>IF(AND(F900="PASS", G900&lt;=IFERROR(VLOOKUP(A900,Graduation_Cutoff!$A$2:$B$8,2,FALSE),DATE(9999,12,31))),"Y","")</f>
        <v>0</v>
      </c>
    </row>
    <row r="901" spans="7:8">
      <c r="G901" s="2">
        <f>IF(F901="PASS", E901, "")</f>
        <v>0</v>
      </c>
      <c r="H901">
        <f>IF(AND(F901="PASS", G901&lt;=IFERROR(VLOOKUP(A901,Graduation_Cutoff!$A$2:$B$8,2,FALSE),DATE(9999,12,31))),"Y","")</f>
        <v>0</v>
      </c>
    </row>
    <row r="902" spans="7:8">
      <c r="G902" s="2">
        <f>IF(F902="PASS", E902, "")</f>
        <v>0</v>
      </c>
      <c r="H902">
        <f>IF(AND(F902="PASS", G902&lt;=IFERROR(VLOOKUP(A902,Graduation_Cutoff!$A$2:$B$8,2,FALSE),DATE(9999,12,31))),"Y","")</f>
        <v>0</v>
      </c>
    </row>
    <row r="903" spans="7:8">
      <c r="G903" s="2">
        <f>IF(F903="PASS", E903, "")</f>
        <v>0</v>
      </c>
      <c r="H903">
        <f>IF(AND(F903="PASS", G903&lt;=IFERROR(VLOOKUP(A903,Graduation_Cutoff!$A$2:$B$8,2,FALSE),DATE(9999,12,31))),"Y","")</f>
        <v>0</v>
      </c>
    </row>
    <row r="904" spans="7:8">
      <c r="G904" s="2">
        <f>IF(F904="PASS", E904, "")</f>
        <v>0</v>
      </c>
      <c r="H904">
        <f>IF(AND(F904="PASS", G904&lt;=IFERROR(VLOOKUP(A904,Graduation_Cutoff!$A$2:$B$8,2,FALSE),DATE(9999,12,31))),"Y","")</f>
        <v>0</v>
      </c>
    </row>
    <row r="905" spans="7:8">
      <c r="G905" s="2">
        <f>IF(F905="PASS", E905, "")</f>
        <v>0</v>
      </c>
      <c r="H905">
        <f>IF(AND(F905="PASS", G905&lt;=IFERROR(VLOOKUP(A905,Graduation_Cutoff!$A$2:$B$8,2,FALSE),DATE(9999,12,31))),"Y","")</f>
        <v>0</v>
      </c>
    </row>
    <row r="906" spans="7:8">
      <c r="G906" s="2">
        <f>IF(F906="PASS", E906, "")</f>
        <v>0</v>
      </c>
      <c r="H906">
        <f>IF(AND(F906="PASS", G906&lt;=IFERROR(VLOOKUP(A906,Graduation_Cutoff!$A$2:$B$8,2,FALSE),DATE(9999,12,31))),"Y","")</f>
        <v>0</v>
      </c>
    </row>
    <row r="907" spans="7:8">
      <c r="G907" s="2">
        <f>IF(F907="PASS", E907, "")</f>
        <v>0</v>
      </c>
      <c r="H907">
        <f>IF(AND(F907="PASS", G907&lt;=IFERROR(VLOOKUP(A907,Graduation_Cutoff!$A$2:$B$8,2,FALSE),DATE(9999,12,31))),"Y","")</f>
        <v>0</v>
      </c>
    </row>
    <row r="908" spans="7:8">
      <c r="G908" s="2">
        <f>IF(F908="PASS", E908, "")</f>
        <v>0</v>
      </c>
      <c r="H908">
        <f>IF(AND(F908="PASS", G908&lt;=IFERROR(VLOOKUP(A908,Graduation_Cutoff!$A$2:$B$8,2,FALSE),DATE(9999,12,31))),"Y","")</f>
        <v>0</v>
      </c>
    </row>
    <row r="909" spans="7:8">
      <c r="G909" s="2">
        <f>IF(F909="PASS", E909, "")</f>
        <v>0</v>
      </c>
      <c r="H909">
        <f>IF(AND(F909="PASS", G909&lt;=IFERROR(VLOOKUP(A909,Graduation_Cutoff!$A$2:$B$8,2,FALSE),DATE(9999,12,31))),"Y","")</f>
        <v>0</v>
      </c>
    </row>
    <row r="910" spans="7:8">
      <c r="G910" s="2">
        <f>IF(F910="PASS", E910, "")</f>
        <v>0</v>
      </c>
      <c r="H910">
        <f>IF(AND(F910="PASS", G910&lt;=IFERROR(VLOOKUP(A910,Graduation_Cutoff!$A$2:$B$8,2,FALSE),DATE(9999,12,31))),"Y","")</f>
        <v>0</v>
      </c>
    </row>
    <row r="911" spans="7:8">
      <c r="G911" s="2">
        <f>IF(F911="PASS", E911, "")</f>
        <v>0</v>
      </c>
      <c r="H911">
        <f>IF(AND(F911="PASS", G911&lt;=IFERROR(VLOOKUP(A911,Graduation_Cutoff!$A$2:$B$8,2,FALSE),DATE(9999,12,31))),"Y","")</f>
        <v>0</v>
      </c>
    </row>
    <row r="912" spans="7:8">
      <c r="G912" s="2">
        <f>IF(F912="PASS", E912, "")</f>
        <v>0</v>
      </c>
      <c r="H912">
        <f>IF(AND(F912="PASS", G912&lt;=IFERROR(VLOOKUP(A912,Graduation_Cutoff!$A$2:$B$8,2,FALSE),DATE(9999,12,31))),"Y","")</f>
        <v>0</v>
      </c>
    </row>
    <row r="913" spans="7:8">
      <c r="G913" s="2">
        <f>IF(F913="PASS", E913, "")</f>
        <v>0</v>
      </c>
      <c r="H913">
        <f>IF(AND(F913="PASS", G913&lt;=IFERROR(VLOOKUP(A913,Graduation_Cutoff!$A$2:$B$8,2,FALSE),DATE(9999,12,31))),"Y","")</f>
        <v>0</v>
      </c>
    </row>
    <row r="914" spans="7:8">
      <c r="G914" s="2">
        <f>IF(F914="PASS", E914, "")</f>
        <v>0</v>
      </c>
      <c r="H914">
        <f>IF(AND(F914="PASS", G914&lt;=IFERROR(VLOOKUP(A914,Graduation_Cutoff!$A$2:$B$8,2,FALSE),DATE(9999,12,31))),"Y","")</f>
        <v>0</v>
      </c>
    </row>
    <row r="915" spans="7:8">
      <c r="G915" s="2">
        <f>IF(F915="PASS", E915, "")</f>
        <v>0</v>
      </c>
      <c r="H915">
        <f>IF(AND(F915="PASS", G915&lt;=IFERROR(VLOOKUP(A915,Graduation_Cutoff!$A$2:$B$8,2,FALSE),DATE(9999,12,31))),"Y","")</f>
        <v>0</v>
      </c>
    </row>
    <row r="916" spans="7:8">
      <c r="G916" s="2">
        <f>IF(F916="PASS", E916, "")</f>
        <v>0</v>
      </c>
      <c r="H916">
        <f>IF(AND(F916="PASS", G916&lt;=IFERROR(VLOOKUP(A916,Graduation_Cutoff!$A$2:$B$8,2,FALSE),DATE(9999,12,31))),"Y","")</f>
        <v>0</v>
      </c>
    </row>
    <row r="917" spans="7:8">
      <c r="G917" s="2">
        <f>IF(F917="PASS", E917, "")</f>
        <v>0</v>
      </c>
      <c r="H917">
        <f>IF(AND(F917="PASS", G917&lt;=IFERROR(VLOOKUP(A917,Graduation_Cutoff!$A$2:$B$8,2,FALSE),DATE(9999,12,31))),"Y","")</f>
        <v>0</v>
      </c>
    </row>
    <row r="918" spans="7:8">
      <c r="G918" s="2">
        <f>IF(F918="PASS", E918, "")</f>
        <v>0</v>
      </c>
      <c r="H918">
        <f>IF(AND(F918="PASS", G918&lt;=IFERROR(VLOOKUP(A918,Graduation_Cutoff!$A$2:$B$8,2,FALSE),DATE(9999,12,31))),"Y","")</f>
        <v>0</v>
      </c>
    </row>
    <row r="919" spans="7:8">
      <c r="G919" s="2">
        <f>IF(F919="PASS", E919, "")</f>
        <v>0</v>
      </c>
      <c r="H919">
        <f>IF(AND(F919="PASS", G919&lt;=IFERROR(VLOOKUP(A919,Graduation_Cutoff!$A$2:$B$8,2,FALSE),DATE(9999,12,31))),"Y","")</f>
        <v>0</v>
      </c>
    </row>
    <row r="920" spans="7:8">
      <c r="G920" s="2">
        <f>IF(F920="PASS", E920, "")</f>
        <v>0</v>
      </c>
      <c r="H920">
        <f>IF(AND(F920="PASS", G920&lt;=IFERROR(VLOOKUP(A920,Graduation_Cutoff!$A$2:$B$8,2,FALSE),DATE(9999,12,31))),"Y","")</f>
        <v>0</v>
      </c>
    </row>
    <row r="921" spans="7:8">
      <c r="G921" s="2">
        <f>IF(F921="PASS", E921, "")</f>
        <v>0</v>
      </c>
      <c r="H921">
        <f>IF(AND(F921="PASS", G921&lt;=IFERROR(VLOOKUP(A921,Graduation_Cutoff!$A$2:$B$8,2,FALSE),DATE(9999,12,31))),"Y","")</f>
        <v>0</v>
      </c>
    </row>
    <row r="922" spans="7:8">
      <c r="G922" s="2">
        <f>IF(F922="PASS", E922, "")</f>
        <v>0</v>
      </c>
      <c r="H922">
        <f>IF(AND(F922="PASS", G922&lt;=IFERROR(VLOOKUP(A922,Graduation_Cutoff!$A$2:$B$8,2,FALSE),DATE(9999,12,31))),"Y","")</f>
        <v>0</v>
      </c>
    </row>
    <row r="923" spans="7:8">
      <c r="G923" s="2">
        <f>IF(F923="PASS", E923, "")</f>
        <v>0</v>
      </c>
      <c r="H923">
        <f>IF(AND(F923="PASS", G923&lt;=IFERROR(VLOOKUP(A923,Graduation_Cutoff!$A$2:$B$8,2,FALSE),DATE(9999,12,31))),"Y","")</f>
        <v>0</v>
      </c>
    </row>
    <row r="924" spans="7:8">
      <c r="G924" s="2">
        <f>IF(F924="PASS", E924, "")</f>
        <v>0</v>
      </c>
      <c r="H924">
        <f>IF(AND(F924="PASS", G924&lt;=IFERROR(VLOOKUP(A924,Graduation_Cutoff!$A$2:$B$8,2,FALSE),DATE(9999,12,31))),"Y","")</f>
        <v>0</v>
      </c>
    </row>
    <row r="925" spans="7:8">
      <c r="G925" s="2">
        <f>IF(F925="PASS", E925, "")</f>
        <v>0</v>
      </c>
      <c r="H925">
        <f>IF(AND(F925="PASS", G925&lt;=IFERROR(VLOOKUP(A925,Graduation_Cutoff!$A$2:$B$8,2,FALSE),DATE(9999,12,31))),"Y","")</f>
        <v>0</v>
      </c>
    </row>
    <row r="926" spans="7:8">
      <c r="G926" s="2">
        <f>IF(F926="PASS", E926, "")</f>
        <v>0</v>
      </c>
      <c r="H926">
        <f>IF(AND(F926="PASS", G926&lt;=IFERROR(VLOOKUP(A926,Graduation_Cutoff!$A$2:$B$8,2,FALSE),DATE(9999,12,31))),"Y","")</f>
        <v>0</v>
      </c>
    </row>
    <row r="927" spans="7:8">
      <c r="G927" s="2">
        <f>IF(F927="PASS", E927, "")</f>
        <v>0</v>
      </c>
      <c r="H927">
        <f>IF(AND(F927="PASS", G927&lt;=IFERROR(VLOOKUP(A927,Graduation_Cutoff!$A$2:$B$8,2,FALSE),DATE(9999,12,31))),"Y","")</f>
        <v>0</v>
      </c>
    </row>
    <row r="928" spans="7:8">
      <c r="G928" s="2">
        <f>IF(F928="PASS", E928, "")</f>
        <v>0</v>
      </c>
      <c r="H928">
        <f>IF(AND(F928="PASS", G928&lt;=IFERROR(VLOOKUP(A928,Graduation_Cutoff!$A$2:$B$8,2,FALSE),DATE(9999,12,31))),"Y","")</f>
        <v>0</v>
      </c>
    </row>
    <row r="929" spans="7:8">
      <c r="G929" s="2">
        <f>IF(F929="PASS", E929, "")</f>
        <v>0</v>
      </c>
      <c r="H929">
        <f>IF(AND(F929="PASS", G929&lt;=IFERROR(VLOOKUP(A929,Graduation_Cutoff!$A$2:$B$8,2,FALSE),DATE(9999,12,31))),"Y","")</f>
        <v>0</v>
      </c>
    </row>
    <row r="930" spans="7:8">
      <c r="G930" s="2">
        <f>IF(F930="PASS", E930, "")</f>
        <v>0</v>
      </c>
      <c r="H930">
        <f>IF(AND(F930="PASS", G930&lt;=IFERROR(VLOOKUP(A930,Graduation_Cutoff!$A$2:$B$8,2,FALSE),DATE(9999,12,31))),"Y","")</f>
        <v>0</v>
      </c>
    </row>
    <row r="931" spans="7:8">
      <c r="G931" s="2">
        <f>IF(F931="PASS", E931, "")</f>
        <v>0</v>
      </c>
      <c r="H931">
        <f>IF(AND(F931="PASS", G931&lt;=IFERROR(VLOOKUP(A931,Graduation_Cutoff!$A$2:$B$8,2,FALSE),DATE(9999,12,31))),"Y","")</f>
        <v>0</v>
      </c>
    </row>
    <row r="932" spans="7:8">
      <c r="G932" s="2">
        <f>IF(F932="PASS", E932, "")</f>
        <v>0</v>
      </c>
      <c r="H932">
        <f>IF(AND(F932="PASS", G932&lt;=IFERROR(VLOOKUP(A932,Graduation_Cutoff!$A$2:$B$8,2,FALSE),DATE(9999,12,31))),"Y","")</f>
        <v>0</v>
      </c>
    </row>
    <row r="933" spans="7:8">
      <c r="G933" s="2">
        <f>IF(F933="PASS", E933, "")</f>
        <v>0</v>
      </c>
      <c r="H933">
        <f>IF(AND(F933="PASS", G933&lt;=IFERROR(VLOOKUP(A933,Graduation_Cutoff!$A$2:$B$8,2,FALSE),DATE(9999,12,31))),"Y","")</f>
        <v>0</v>
      </c>
    </row>
    <row r="934" spans="7:8">
      <c r="G934" s="2">
        <f>IF(F934="PASS", E934, "")</f>
        <v>0</v>
      </c>
      <c r="H934">
        <f>IF(AND(F934="PASS", G934&lt;=IFERROR(VLOOKUP(A934,Graduation_Cutoff!$A$2:$B$8,2,FALSE),DATE(9999,12,31))),"Y","")</f>
        <v>0</v>
      </c>
    </row>
    <row r="935" spans="7:8">
      <c r="G935" s="2">
        <f>IF(F935="PASS", E935, "")</f>
        <v>0</v>
      </c>
      <c r="H935">
        <f>IF(AND(F935="PASS", G935&lt;=IFERROR(VLOOKUP(A935,Graduation_Cutoff!$A$2:$B$8,2,FALSE),DATE(9999,12,31))),"Y","")</f>
        <v>0</v>
      </c>
    </row>
    <row r="936" spans="7:8">
      <c r="G936" s="2">
        <f>IF(F936="PASS", E936, "")</f>
        <v>0</v>
      </c>
      <c r="H936">
        <f>IF(AND(F936="PASS", G936&lt;=IFERROR(VLOOKUP(A936,Graduation_Cutoff!$A$2:$B$8,2,FALSE),DATE(9999,12,31))),"Y","")</f>
        <v>0</v>
      </c>
    </row>
    <row r="937" spans="7:8">
      <c r="G937" s="2">
        <f>IF(F937="PASS", E937, "")</f>
        <v>0</v>
      </c>
      <c r="H937">
        <f>IF(AND(F937="PASS", G937&lt;=IFERROR(VLOOKUP(A937,Graduation_Cutoff!$A$2:$B$8,2,FALSE),DATE(9999,12,31))),"Y","")</f>
        <v>0</v>
      </c>
    </row>
    <row r="938" spans="7:8">
      <c r="G938" s="2">
        <f>IF(F938="PASS", E938, "")</f>
        <v>0</v>
      </c>
      <c r="H938">
        <f>IF(AND(F938="PASS", G938&lt;=IFERROR(VLOOKUP(A938,Graduation_Cutoff!$A$2:$B$8,2,FALSE),DATE(9999,12,31))),"Y","")</f>
        <v>0</v>
      </c>
    </row>
    <row r="939" spans="7:8">
      <c r="G939" s="2">
        <f>IF(F939="PASS", E939, "")</f>
        <v>0</v>
      </c>
      <c r="H939">
        <f>IF(AND(F939="PASS", G939&lt;=IFERROR(VLOOKUP(A939,Graduation_Cutoff!$A$2:$B$8,2,FALSE),DATE(9999,12,31))),"Y","")</f>
        <v>0</v>
      </c>
    </row>
    <row r="940" spans="7:8">
      <c r="G940" s="2">
        <f>IF(F940="PASS", E940, "")</f>
        <v>0</v>
      </c>
      <c r="H940">
        <f>IF(AND(F940="PASS", G940&lt;=IFERROR(VLOOKUP(A940,Graduation_Cutoff!$A$2:$B$8,2,FALSE),DATE(9999,12,31))),"Y","")</f>
        <v>0</v>
      </c>
    </row>
    <row r="941" spans="7:8">
      <c r="G941" s="2">
        <f>IF(F941="PASS", E941, "")</f>
        <v>0</v>
      </c>
      <c r="H941">
        <f>IF(AND(F941="PASS", G941&lt;=IFERROR(VLOOKUP(A941,Graduation_Cutoff!$A$2:$B$8,2,FALSE),DATE(9999,12,31))),"Y","")</f>
        <v>0</v>
      </c>
    </row>
    <row r="942" spans="7:8">
      <c r="G942" s="2">
        <f>IF(F942="PASS", E942, "")</f>
        <v>0</v>
      </c>
      <c r="H942">
        <f>IF(AND(F942="PASS", G942&lt;=IFERROR(VLOOKUP(A942,Graduation_Cutoff!$A$2:$B$8,2,FALSE),DATE(9999,12,31))),"Y","")</f>
        <v>0</v>
      </c>
    </row>
    <row r="943" spans="7:8">
      <c r="G943" s="2">
        <f>IF(F943="PASS", E943, "")</f>
        <v>0</v>
      </c>
      <c r="H943">
        <f>IF(AND(F943="PASS", G943&lt;=IFERROR(VLOOKUP(A943,Graduation_Cutoff!$A$2:$B$8,2,FALSE),DATE(9999,12,31))),"Y","")</f>
        <v>0</v>
      </c>
    </row>
    <row r="944" spans="7:8">
      <c r="G944" s="2">
        <f>IF(F944="PASS", E944, "")</f>
        <v>0</v>
      </c>
      <c r="H944">
        <f>IF(AND(F944="PASS", G944&lt;=IFERROR(VLOOKUP(A944,Graduation_Cutoff!$A$2:$B$8,2,FALSE),DATE(9999,12,31))),"Y","")</f>
        <v>0</v>
      </c>
    </row>
    <row r="945" spans="7:8">
      <c r="G945" s="2">
        <f>IF(F945="PASS", E945, "")</f>
        <v>0</v>
      </c>
      <c r="H945">
        <f>IF(AND(F945="PASS", G945&lt;=IFERROR(VLOOKUP(A945,Graduation_Cutoff!$A$2:$B$8,2,FALSE),DATE(9999,12,31))),"Y","")</f>
        <v>0</v>
      </c>
    </row>
    <row r="946" spans="7:8">
      <c r="G946" s="2">
        <f>IF(F946="PASS", E946, "")</f>
        <v>0</v>
      </c>
      <c r="H946">
        <f>IF(AND(F946="PASS", G946&lt;=IFERROR(VLOOKUP(A946,Graduation_Cutoff!$A$2:$B$8,2,FALSE),DATE(9999,12,31))),"Y","")</f>
        <v>0</v>
      </c>
    </row>
    <row r="947" spans="7:8">
      <c r="G947" s="2">
        <f>IF(F947="PASS", E947, "")</f>
        <v>0</v>
      </c>
      <c r="H947">
        <f>IF(AND(F947="PASS", G947&lt;=IFERROR(VLOOKUP(A947,Graduation_Cutoff!$A$2:$B$8,2,FALSE),DATE(9999,12,31))),"Y","")</f>
        <v>0</v>
      </c>
    </row>
    <row r="948" spans="7:8">
      <c r="G948" s="2">
        <f>IF(F948="PASS", E948, "")</f>
        <v>0</v>
      </c>
      <c r="H948">
        <f>IF(AND(F948="PASS", G948&lt;=IFERROR(VLOOKUP(A948,Graduation_Cutoff!$A$2:$B$8,2,FALSE),DATE(9999,12,31))),"Y","")</f>
        <v>0</v>
      </c>
    </row>
    <row r="949" spans="7:8">
      <c r="G949" s="2">
        <f>IF(F949="PASS", E949, "")</f>
        <v>0</v>
      </c>
      <c r="H949">
        <f>IF(AND(F949="PASS", G949&lt;=IFERROR(VLOOKUP(A949,Graduation_Cutoff!$A$2:$B$8,2,FALSE),DATE(9999,12,31))),"Y","")</f>
        <v>0</v>
      </c>
    </row>
    <row r="950" spans="7:8">
      <c r="G950" s="2">
        <f>IF(F950="PASS", E950, "")</f>
        <v>0</v>
      </c>
      <c r="H950">
        <f>IF(AND(F950="PASS", G950&lt;=IFERROR(VLOOKUP(A950,Graduation_Cutoff!$A$2:$B$8,2,FALSE),DATE(9999,12,31))),"Y","")</f>
        <v>0</v>
      </c>
    </row>
    <row r="951" spans="7:8">
      <c r="G951" s="2">
        <f>IF(F951="PASS", E951, "")</f>
        <v>0</v>
      </c>
      <c r="H951">
        <f>IF(AND(F951="PASS", G951&lt;=IFERROR(VLOOKUP(A951,Graduation_Cutoff!$A$2:$B$8,2,FALSE),DATE(9999,12,31))),"Y","")</f>
        <v>0</v>
      </c>
    </row>
    <row r="952" spans="7:8">
      <c r="G952" s="2">
        <f>IF(F952="PASS", E952, "")</f>
        <v>0</v>
      </c>
      <c r="H952">
        <f>IF(AND(F952="PASS", G952&lt;=IFERROR(VLOOKUP(A952,Graduation_Cutoff!$A$2:$B$8,2,FALSE),DATE(9999,12,31))),"Y","")</f>
        <v>0</v>
      </c>
    </row>
    <row r="953" spans="7:8">
      <c r="G953" s="2">
        <f>IF(F953="PASS", E953, "")</f>
        <v>0</v>
      </c>
      <c r="H953">
        <f>IF(AND(F953="PASS", G953&lt;=IFERROR(VLOOKUP(A953,Graduation_Cutoff!$A$2:$B$8,2,FALSE),DATE(9999,12,31))),"Y","")</f>
        <v>0</v>
      </c>
    </row>
    <row r="954" spans="7:8">
      <c r="G954" s="2">
        <f>IF(F954="PASS", E954, "")</f>
        <v>0</v>
      </c>
      <c r="H954">
        <f>IF(AND(F954="PASS", G954&lt;=IFERROR(VLOOKUP(A954,Graduation_Cutoff!$A$2:$B$8,2,FALSE),DATE(9999,12,31))),"Y","")</f>
        <v>0</v>
      </c>
    </row>
    <row r="955" spans="7:8">
      <c r="G955" s="2">
        <f>IF(F955="PASS", E955, "")</f>
        <v>0</v>
      </c>
      <c r="H955">
        <f>IF(AND(F955="PASS", G955&lt;=IFERROR(VLOOKUP(A955,Graduation_Cutoff!$A$2:$B$8,2,FALSE),DATE(9999,12,31))),"Y","")</f>
        <v>0</v>
      </c>
    </row>
    <row r="956" spans="7:8">
      <c r="G956" s="2">
        <f>IF(F956="PASS", E956, "")</f>
        <v>0</v>
      </c>
      <c r="H956">
        <f>IF(AND(F956="PASS", G956&lt;=IFERROR(VLOOKUP(A956,Graduation_Cutoff!$A$2:$B$8,2,FALSE),DATE(9999,12,31))),"Y","")</f>
        <v>0</v>
      </c>
    </row>
    <row r="957" spans="7:8">
      <c r="G957" s="2">
        <f>IF(F957="PASS", E957, "")</f>
        <v>0</v>
      </c>
      <c r="H957">
        <f>IF(AND(F957="PASS", G957&lt;=IFERROR(VLOOKUP(A957,Graduation_Cutoff!$A$2:$B$8,2,FALSE),DATE(9999,12,31))),"Y","")</f>
        <v>0</v>
      </c>
    </row>
    <row r="958" spans="7:8">
      <c r="G958" s="2">
        <f>IF(F958="PASS", E958, "")</f>
        <v>0</v>
      </c>
      <c r="H958">
        <f>IF(AND(F958="PASS", G958&lt;=IFERROR(VLOOKUP(A958,Graduation_Cutoff!$A$2:$B$8,2,FALSE),DATE(9999,12,31))),"Y","")</f>
        <v>0</v>
      </c>
    </row>
    <row r="959" spans="7:8">
      <c r="G959" s="2">
        <f>IF(F959="PASS", E959, "")</f>
        <v>0</v>
      </c>
      <c r="H959">
        <f>IF(AND(F959="PASS", G959&lt;=IFERROR(VLOOKUP(A959,Graduation_Cutoff!$A$2:$B$8,2,FALSE),DATE(9999,12,31))),"Y","")</f>
        <v>0</v>
      </c>
    </row>
    <row r="960" spans="7:8">
      <c r="G960" s="2">
        <f>IF(F960="PASS", E960, "")</f>
        <v>0</v>
      </c>
      <c r="H960">
        <f>IF(AND(F960="PASS", G960&lt;=IFERROR(VLOOKUP(A960,Graduation_Cutoff!$A$2:$B$8,2,FALSE),DATE(9999,12,31))),"Y","")</f>
        <v>0</v>
      </c>
    </row>
    <row r="961" spans="7:8">
      <c r="G961" s="2">
        <f>IF(F961="PASS", E961, "")</f>
        <v>0</v>
      </c>
      <c r="H961">
        <f>IF(AND(F961="PASS", G961&lt;=IFERROR(VLOOKUP(A961,Graduation_Cutoff!$A$2:$B$8,2,FALSE),DATE(9999,12,31))),"Y","")</f>
        <v>0</v>
      </c>
    </row>
    <row r="962" spans="7:8">
      <c r="G962" s="2">
        <f>IF(F962="PASS", E962, "")</f>
        <v>0</v>
      </c>
      <c r="H962">
        <f>IF(AND(F962="PASS", G962&lt;=IFERROR(VLOOKUP(A962,Graduation_Cutoff!$A$2:$B$8,2,FALSE),DATE(9999,12,31))),"Y","")</f>
        <v>0</v>
      </c>
    </row>
    <row r="963" spans="7:8">
      <c r="G963" s="2">
        <f>IF(F963="PASS", E963, "")</f>
        <v>0</v>
      </c>
      <c r="H963">
        <f>IF(AND(F963="PASS", G963&lt;=IFERROR(VLOOKUP(A963,Graduation_Cutoff!$A$2:$B$8,2,FALSE),DATE(9999,12,31))),"Y","")</f>
        <v>0</v>
      </c>
    </row>
    <row r="964" spans="7:8">
      <c r="G964" s="2">
        <f>IF(F964="PASS", E964, "")</f>
        <v>0</v>
      </c>
      <c r="H964">
        <f>IF(AND(F964="PASS", G964&lt;=IFERROR(VLOOKUP(A964,Graduation_Cutoff!$A$2:$B$8,2,FALSE),DATE(9999,12,31))),"Y","")</f>
        <v>0</v>
      </c>
    </row>
    <row r="965" spans="7:8">
      <c r="G965" s="2">
        <f>IF(F965="PASS", E965, "")</f>
        <v>0</v>
      </c>
      <c r="H965">
        <f>IF(AND(F965="PASS", G965&lt;=IFERROR(VLOOKUP(A965,Graduation_Cutoff!$A$2:$B$8,2,FALSE),DATE(9999,12,31))),"Y","")</f>
        <v>0</v>
      </c>
    </row>
    <row r="966" spans="7:8">
      <c r="G966" s="2">
        <f>IF(F966="PASS", E966, "")</f>
        <v>0</v>
      </c>
      <c r="H966">
        <f>IF(AND(F966="PASS", G966&lt;=IFERROR(VLOOKUP(A966,Graduation_Cutoff!$A$2:$B$8,2,FALSE),DATE(9999,12,31))),"Y","")</f>
        <v>0</v>
      </c>
    </row>
    <row r="967" spans="7:8">
      <c r="G967" s="2">
        <f>IF(F967="PASS", E967, "")</f>
        <v>0</v>
      </c>
      <c r="H967">
        <f>IF(AND(F967="PASS", G967&lt;=IFERROR(VLOOKUP(A967,Graduation_Cutoff!$A$2:$B$8,2,FALSE),DATE(9999,12,31))),"Y","")</f>
        <v>0</v>
      </c>
    </row>
    <row r="968" spans="7:8">
      <c r="G968" s="2">
        <f>IF(F968="PASS", E968, "")</f>
        <v>0</v>
      </c>
      <c r="H968">
        <f>IF(AND(F968="PASS", G968&lt;=IFERROR(VLOOKUP(A968,Graduation_Cutoff!$A$2:$B$8,2,FALSE),DATE(9999,12,31))),"Y","")</f>
        <v>0</v>
      </c>
    </row>
    <row r="969" spans="7:8">
      <c r="G969" s="2">
        <f>IF(F969="PASS", E969, "")</f>
        <v>0</v>
      </c>
      <c r="H969">
        <f>IF(AND(F969="PASS", G969&lt;=IFERROR(VLOOKUP(A969,Graduation_Cutoff!$A$2:$B$8,2,FALSE),DATE(9999,12,31))),"Y","")</f>
        <v>0</v>
      </c>
    </row>
    <row r="970" spans="7:8">
      <c r="G970" s="2">
        <f>IF(F970="PASS", E970, "")</f>
        <v>0</v>
      </c>
      <c r="H970">
        <f>IF(AND(F970="PASS", G970&lt;=IFERROR(VLOOKUP(A970,Graduation_Cutoff!$A$2:$B$8,2,FALSE),DATE(9999,12,31))),"Y","")</f>
        <v>0</v>
      </c>
    </row>
    <row r="971" spans="7:8">
      <c r="G971" s="2">
        <f>IF(F971="PASS", E971, "")</f>
        <v>0</v>
      </c>
      <c r="H971">
        <f>IF(AND(F971="PASS", G971&lt;=IFERROR(VLOOKUP(A971,Graduation_Cutoff!$A$2:$B$8,2,FALSE),DATE(9999,12,31))),"Y","")</f>
        <v>0</v>
      </c>
    </row>
    <row r="972" spans="7:8">
      <c r="G972" s="2">
        <f>IF(F972="PASS", E972, "")</f>
        <v>0</v>
      </c>
      <c r="H972">
        <f>IF(AND(F972="PASS", G972&lt;=IFERROR(VLOOKUP(A972,Graduation_Cutoff!$A$2:$B$8,2,FALSE),DATE(9999,12,31))),"Y","")</f>
        <v>0</v>
      </c>
    </row>
    <row r="973" spans="7:8">
      <c r="G973" s="2">
        <f>IF(F973="PASS", E973, "")</f>
        <v>0</v>
      </c>
      <c r="H973">
        <f>IF(AND(F973="PASS", G973&lt;=IFERROR(VLOOKUP(A973,Graduation_Cutoff!$A$2:$B$8,2,FALSE),DATE(9999,12,31))),"Y","")</f>
        <v>0</v>
      </c>
    </row>
    <row r="974" spans="7:8">
      <c r="G974" s="2">
        <f>IF(F974="PASS", E974, "")</f>
        <v>0</v>
      </c>
      <c r="H974">
        <f>IF(AND(F974="PASS", G974&lt;=IFERROR(VLOOKUP(A974,Graduation_Cutoff!$A$2:$B$8,2,FALSE),DATE(9999,12,31))),"Y","")</f>
        <v>0</v>
      </c>
    </row>
    <row r="975" spans="7:8">
      <c r="G975" s="2">
        <f>IF(F975="PASS", E975, "")</f>
        <v>0</v>
      </c>
      <c r="H975">
        <f>IF(AND(F975="PASS", G975&lt;=IFERROR(VLOOKUP(A975,Graduation_Cutoff!$A$2:$B$8,2,FALSE),DATE(9999,12,31))),"Y","")</f>
        <v>0</v>
      </c>
    </row>
    <row r="976" spans="7:8">
      <c r="G976" s="2">
        <f>IF(F976="PASS", E976, "")</f>
        <v>0</v>
      </c>
      <c r="H976">
        <f>IF(AND(F976="PASS", G976&lt;=IFERROR(VLOOKUP(A976,Graduation_Cutoff!$A$2:$B$8,2,FALSE),DATE(9999,12,31))),"Y","")</f>
        <v>0</v>
      </c>
    </row>
    <row r="977" spans="7:8">
      <c r="G977" s="2">
        <f>IF(F977="PASS", E977, "")</f>
        <v>0</v>
      </c>
      <c r="H977">
        <f>IF(AND(F977="PASS", G977&lt;=IFERROR(VLOOKUP(A977,Graduation_Cutoff!$A$2:$B$8,2,FALSE),DATE(9999,12,31))),"Y","")</f>
        <v>0</v>
      </c>
    </row>
    <row r="978" spans="7:8">
      <c r="G978" s="2">
        <f>IF(F978="PASS", E978, "")</f>
        <v>0</v>
      </c>
      <c r="H978">
        <f>IF(AND(F978="PASS", G978&lt;=IFERROR(VLOOKUP(A978,Graduation_Cutoff!$A$2:$B$8,2,FALSE),DATE(9999,12,31))),"Y","")</f>
        <v>0</v>
      </c>
    </row>
    <row r="979" spans="7:8">
      <c r="G979" s="2">
        <f>IF(F979="PASS", E979, "")</f>
        <v>0</v>
      </c>
      <c r="H979">
        <f>IF(AND(F979="PASS", G979&lt;=IFERROR(VLOOKUP(A979,Graduation_Cutoff!$A$2:$B$8,2,FALSE),DATE(9999,12,31))),"Y","")</f>
        <v>0</v>
      </c>
    </row>
    <row r="980" spans="7:8">
      <c r="G980" s="2">
        <f>IF(F980="PASS", E980, "")</f>
        <v>0</v>
      </c>
      <c r="H980">
        <f>IF(AND(F980="PASS", G980&lt;=IFERROR(VLOOKUP(A980,Graduation_Cutoff!$A$2:$B$8,2,FALSE),DATE(9999,12,31))),"Y","")</f>
        <v>0</v>
      </c>
    </row>
    <row r="981" spans="7:8">
      <c r="G981" s="2">
        <f>IF(F981="PASS", E981, "")</f>
        <v>0</v>
      </c>
      <c r="H981">
        <f>IF(AND(F981="PASS", G981&lt;=IFERROR(VLOOKUP(A981,Graduation_Cutoff!$A$2:$B$8,2,FALSE),DATE(9999,12,31))),"Y","")</f>
        <v>0</v>
      </c>
    </row>
    <row r="982" spans="7:8">
      <c r="G982" s="2">
        <f>IF(F982="PASS", E982, "")</f>
        <v>0</v>
      </c>
      <c r="H982">
        <f>IF(AND(F982="PASS", G982&lt;=IFERROR(VLOOKUP(A982,Graduation_Cutoff!$A$2:$B$8,2,FALSE),DATE(9999,12,31))),"Y","")</f>
        <v>0</v>
      </c>
    </row>
    <row r="983" spans="7:8">
      <c r="G983" s="2">
        <f>IF(F983="PASS", E983, "")</f>
        <v>0</v>
      </c>
      <c r="H983">
        <f>IF(AND(F983="PASS", G983&lt;=IFERROR(VLOOKUP(A983,Graduation_Cutoff!$A$2:$B$8,2,FALSE),DATE(9999,12,31))),"Y","")</f>
        <v>0</v>
      </c>
    </row>
    <row r="984" spans="7:8">
      <c r="G984" s="2">
        <f>IF(F984="PASS", E984, "")</f>
        <v>0</v>
      </c>
      <c r="H984">
        <f>IF(AND(F984="PASS", G984&lt;=IFERROR(VLOOKUP(A984,Graduation_Cutoff!$A$2:$B$8,2,FALSE),DATE(9999,12,31))),"Y","")</f>
        <v>0</v>
      </c>
    </row>
    <row r="985" spans="7:8">
      <c r="G985" s="2">
        <f>IF(F985="PASS", E985, "")</f>
        <v>0</v>
      </c>
      <c r="H985">
        <f>IF(AND(F985="PASS", G985&lt;=IFERROR(VLOOKUP(A985,Graduation_Cutoff!$A$2:$B$8,2,FALSE),DATE(9999,12,31))),"Y","")</f>
        <v>0</v>
      </c>
    </row>
    <row r="986" spans="7:8">
      <c r="G986" s="2">
        <f>IF(F986="PASS", E986, "")</f>
        <v>0</v>
      </c>
      <c r="H986">
        <f>IF(AND(F986="PASS", G986&lt;=IFERROR(VLOOKUP(A986,Graduation_Cutoff!$A$2:$B$8,2,FALSE),DATE(9999,12,31))),"Y","")</f>
        <v>0</v>
      </c>
    </row>
    <row r="987" spans="7:8">
      <c r="G987" s="2">
        <f>IF(F987="PASS", E987, "")</f>
        <v>0</v>
      </c>
      <c r="H987">
        <f>IF(AND(F987="PASS", G987&lt;=IFERROR(VLOOKUP(A987,Graduation_Cutoff!$A$2:$B$8,2,FALSE),DATE(9999,12,31))),"Y","")</f>
        <v>0</v>
      </c>
    </row>
    <row r="988" spans="7:8">
      <c r="G988" s="2">
        <f>IF(F988="PASS", E988, "")</f>
        <v>0</v>
      </c>
      <c r="H988">
        <f>IF(AND(F988="PASS", G988&lt;=IFERROR(VLOOKUP(A988,Graduation_Cutoff!$A$2:$B$8,2,FALSE),DATE(9999,12,31))),"Y","")</f>
        <v>0</v>
      </c>
    </row>
    <row r="989" spans="7:8">
      <c r="G989" s="2">
        <f>IF(F989="PASS", E989, "")</f>
        <v>0</v>
      </c>
      <c r="H989">
        <f>IF(AND(F989="PASS", G989&lt;=IFERROR(VLOOKUP(A989,Graduation_Cutoff!$A$2:$B$8,2,FALSE),DATE(9999,12,31))),"Y","")</f>
        <v>0</v>
      </c>
    </row>
    <row r="990" spans="7:8">
      <c r="G990" s="2">
        <f>IF(F990="PASS", E990, "")</f>
        <v>0</v>
      </c>
      <c r="H990">
        <f>IF(AND(F990="PASS", G990&lt;=IFERROR(VLOOKUP(A990,Graduation_Cutoff!$A$2:$B$8,2,FALSE),DATE(9999,12,31))),"Y","")</f>
        <v>0</v>
      </c>
    </row>
    <row r="991" spans="7:8">
      <c r="G991" s="2">
        <f>IF(F991="PASS", E991, "")</f>
        <v>0</v>
      </c>
      <c r="H991">
        <f>IF(AND(F991="PASS", G991&lt;=IFERROR(VLOOKUP(A991,Graduation_Cutoff!$A$2:$B$8,2,FALSE),DATE(9999,12,31))),"Y","")</f>
        <v>0</v>
      </c>
    </row>
    <row r="992" spans="7:8">
      <c r="G992" s="2">
        <f>IF(F992="PASS", E992, "")</f>
        <v>0</v>
      </c>
      <c r="H992">
        <f>IF(AND(F992="PASS", G992&lt;=IFERROR(VLOOKUP(A992,Graduation_Cutoff!$A$2:$B$8,2,FALSE),DATE(9999,12,31))),"Y","")</f>
        <v>0</v>
      </c>
    </row>
    <row r="993" spans="7:8">
      <c r="G993" s="2">
        <f>IF(F993="PASS", E993, "")</f>
        <v>0</v>
      </c>
      <c r="H993">
        <f>IF(AND(F993="PASS", G993&lt;=IFERROR(VLOOKUP(A993,Graduation_Cutoff!$A$2:$B$8,2,FALSE),DATE(9999,12,31))),"Y","")</f>
        <v>0</v>
      </c>
    </row>
    <row r="994" spans="7:8">
      <c r="G994" s="2">
        <f>IF(F994="PASS", E994, "")</f>
        <v>0</v>
      </c>
      <c r="H994">
        <f>IF(AND(F994="PASS", G994&lt;=IFERROR(VLOOKUP(A994,Graduation_Cutoff!$A$2:$B$8,2,FALSE),DATE(9999,12,31))),"Y","")</f>
        <v>0</v>
      </c>
    </row>
    <row r="995" spans="7:8">
      <c r="G995" s="2">
        <f>IF(F995="PASS", E995, "")</f>
        <v>0</v>
      </c>
      <c r="H995">
        <f>IF(AND(F995="PASS", G995&lt;=IFERROR(VLOOKUP(A995,Graduation_Cutoff!$A$2:$B$8,2,FALSE),DATE(9999,12,31))),"Y","")</f>
        <v>0</v>
      </c>
    </row>
    <row r="996" spans="7:8">
      <c r="G996" s="2">
        <f>IF(F996="PASS", E996, "")</f>
        <v>0</v>
      </c>
      <c r="H996">
        <f>IF(AND(F996="PASS", G996&lt;=IFERROR(VLOOKUP(A996,Graduation_Cutoff!$A$2:$B$8,2,FALSE),DATE(9999,12,31))),"Y","")</f>
        <v>0</v>
      </c>
    </row>
    <row r="997" spans="7:8">
      <c r="G997" s="2">
        <f>IF(F997="PASS", E997, "")</f>
        <v>0</v>
      </c>
      <c r="H997">
        <f>IF(AND(F997="PASS", G997&lt;=IFERROR(VLOOKUP(A997,Graduation_Cutoff!$A$2:$B$8,2,FALSE),DATE(9999,12,31))),"Y","")</f>
        <v>0</v>
      </c>
    </row>
    <row r="998" spans="7:8">
      <c r="G998" s="2">
        <f>IF(F998="PASS", E998, "")</f>
        <v>0</v>
      </c>
      <c r="H998">
        <f>IF(AND(F998="PASS", G998&lt;=IFERROR(VLOOKUP(A998,Graduation_Cutoff!$A$2:$B$8,2,FALSE),DATE(9999,12,31))),"Y","")</f>
        <v>0</v>
      </c>
    </row>
    <row r="999" spans="7:8">
      <c r="G999" s="2">
        <f>IF(F999="PASS", E999, "")</f>
        <v>0</v>
      </c>
      <c r="H999">
        <f>IF(AND(F999="PASS", G999&lt;=IFERROR(VLOOKUP(A999,Graduation_Cutoff!$A$2:$B$8,2,FALSE),DATE(9999,12,31))),"Y","")</f>
        <v>0</v>
      </c>
    </row>
    <row r="1000" spans="7:8">
      <c r="G1000" s="2">
        <f>IF(F1000="PASS", E1000, "")</f>
        <v>0</v>
      </c>
      <c r="H1000">
        <f>IF(AND(F1000="PASS", G1000&lt;=IFERROR(VLOOKUP(A1000,Graduation_Cutoff!$A$2:$B$8,2,FALSE),DATE(9999,12,31))),"Y","")</f>
        <v>0</v>
      </c>
    </row>
    <row r="1001" spans="7:8">
      <c r="G1001" s="2">
        <f>IF(F1001="PASS", E1001, "")</f>
        <v>0</v>
      </c>
      <c r="H1001">
        <f>IF(AND(F1001="PASS", G1001&lt;=IFERROR(VLOOKUP(A1001,Graduation_Cutoff!$A$2:$B$8,2,FALSE),DATE(9999,12,31))),"Y","")</f>
        <v>0</v>
      </c>
    </row>
    <row r="1002" spans="7:8">
      <c r="G1002" s="2">
        <f>IF(F1002="PASS", E1002, "")</f>
        <v>0</v>
      </c>
      <c r="H1002">
        <f>IF(AND(F1002="PASS", G1002&lt;=IFERROR(VLOOKUP(A1002,Graduation_Cutoff!$A$2:$B$8,2,FALSE),DATE(9999,12,31))),"Y","")</f>
        <v>0</v>
      </c>
    </row>
    <row r="1003" spans="7:8">
      <c r="G1003" s="2">
        <f>IF(F1003="PASS", E1003, "")</f>
        <v>0</v>
      </c>
      <c r="H1003">
        <f>IF(AND(F1003="PASS", G1003&lt;=IFERROR(VLOOKUP(A1003,Graduation_Cutoff!$A$2:$B$8,2,FALSE),DATE(9999,12,31))),"Y","")</f>
        <v>0</v>
      </c>
    </row>
    <row r="1004" spans="7:8">
      <c r="G1004" s="2">
        <f>IF(F1004="PASS", E1004, "")</f>
        <v>0</v>
      </c>
      <c r="H1004">
        <f>IF(AND(F1004="PASS", G1004&lt;=IFERROR(VLOOKUP(A1004,Graduation_Cutoff!$A$2:$B$8,2,FALSE),DATE(9999,12,31))),"Y","")</f>
        <v>0</v>
      </c>
    </row>
    <row r="1005" spans="7:8">
      <c r="G1005" s="2">
        <f>IF(F1005="PASS", E1005, "")</f>
        <v>0</v>
      </c>
      <c r="H1005">
        <f>IF(AND(F1005="PASS", G1005&lt;=IFERROR(VLOOKUP(A1005,Graduation_Cutoff!$A$2:$B$8,2,FALSE),DATE(9999,12,31))),"Y","")</f>
        <v>0</v>
      </c>
    </row>
    <row r="1006" spans="7:8">
      <c r="G1006" s="2">
        <f>IF(F1006="PASS", E1006, "")</f>
        <v>0</v>
      </c>
      <c r="H1006">
        <f>IF(AND(F1006="PASS", G1006&lt;=IFERROR(VLOOKUP(A1006,Graduation_Cutoff!$A$2:$B$8,2,FALSE),DATE(9999,12,31))),"Y","")</f>
        <v>0</v>
      </c>
    </row>
    <row r="1007" spans="7:8">
      <c r="G1007" s="2">
        <f>IF(F1007="PASS", E1007, "")</f>
        <v>0</v>
      </c>
      <c r="H1007">
        <f>IF(AND(F1007="PASS", G1007&lt;=IFERROR(VLOOKUP(A1007,Graduation_Cutoff!$A$2:$B$8,2,FALSE),DATE(9999,12,31))),"Y","")</f>
        <v>0</v>
      </c>
    </row>
    <row r="1008" spans="7:8">
      <c r="G1008" s="2">
        <f>IF(F1008="PASS", E1008, "")</f>
        <v>0</v>
      </c>
      <c r="H1008">
        <f>IF(AND(F1008="PASS", G1008&lt;=IFERROR(VLOOKUP(A1008,Graduation_Cutoff!$A$2:$B$8,2,FALSE),DATE(9999,12,31))),"Y","")</f>
        <v>0</v>
      </c>
    </row>
    <row r="1009" spans="7:8">
      <c r="G1009" s="2">
        <f>IF(F1009="PASS", E1009, "")</f>
        <v>0</v>
      </c>
      <c r="H1009">
        <f>IF(AND(F1009="PASS", G1009&lt;=IFERROR(VLOOKUP(A1009,Graduation_Cutoff!$A$2:$B$8,2,FALSE),DATE(9999,12,31))),"Y","")</f>
        <v>0</v>
      </c>
    </row>
    <row r="1010" spans="7:8">
      <c r="G1010" s="2">
        <f>IF(F1010="PASS", E1010, "")</f>
        <v>0</v>
      </c>
      <c r="H1010">
        <f>IF(AND(F1010="PASS", G1010&lt;=IFERROR(VLOOKUP(A1010,Graduation_Cutoff!$A$2:$B$8,2,FALSE),DATE(9999,12,31))),"Y","")</f>
        <v>0</v>
      </c>
    </row>
    <row r="1011" spans="7:8">
      <c r="G1011" s="2">
        <f>IF(F1011="PASS", E1011, "")</f>
        <v>0</v>
      </c>
      <c r="H1011">
        <f>IF(AND(F1011="PASS", G1011&lt;=IFERROR(VLOOKUP(A1011,Graduation_Cutoff!$A$2:$B$8,2,FALSE),DATE(9999,12,31))),"Y","")</f>
        <v>0</v>
      </c>
    </row>
    <row r="1012" spans="7:8">
      <c r="G1012" s="2">
        <f>IF(F1012="PASS", E1012, "")</f>
        <v>0</v>
      </c>
      <c r="H1012">
        <f>IF(AND(F1012="PASS", G1012&lt;=IFERROR(VLOOKUP(A1012,Graduation_Cutoff!$A$2:$B$8,2,FALSE),DATE(9999,12,31))),"Y","")</f>
        <v>0</v>
      </c>
    </row>
    <row r="1013" spans="7:8">
      <c r="G1013" s="2">
        <f>IF(F1013="PASS", E1013, "")</f>
        <v>0</v>
      </c>
      <c r="H1013">
        <f>IF(AND(F1013="PASS", G1013&lt;=IFERROR(VLOOKUP(A1013,Graduation_Cutoff!$A$2:$B$8,2,FALSE),DATE(9999,12,31))),"Y","")</f>
        <v>0</v>
      </c>
    </row>
    <row r="1014" spans="7:8">
      <c r="G1014" s="2">
        <f>IF(F1014="PASS", E1014, "")</f>
        <v>0</v>
      </c>
      <c r="H1014">
        <f>IF(AND(F1014="PASS", G1014&lt;=IFERROR(VLOOKUP(A1014,Graduation_Cutoff!$A$2:$B$8,2,FALSE),DATE(9999,12,31))),"Y","")</f>
        <v>0</v>
      </c>
    </row>
    <row r="1015" spans="7:8">
      <c r="G1015" s="2">
        <f>IF(F1015="PASS", E1015, "")</f>
        <v>0</v>
      </c>
      <c r="H1015">
        <f>IF(AND(F1015="PASS", G1015&lt;=IFERROR(VLOOKUP(A1015,Graduation_Cutoff!$A$2:$B$8,2,FALSE),DATE(9999,12,31))),"Y","")</f>
        <v>0</v>
      </c>
    </row>
    <row r="1016" spans="7:8">
      <c r="G1016" s="2">
        <f>IF(F1016="PASS", E1016, "")</f>
        <v>0</v>
      </c>
      <c r="H1016">
        <f>IF(AND(F1016="PASS", G1016&lt;=IFERROR(VLOOKUP(A1016,Graduation_Cutoff!$A$2:$B$8,2,FALSE),DATE(9999,12,31))),"Y","")</f>
        <v>0</v>
      </c>
    </row>
    <row r="1017" spans="7:8">
      <c r="G1017" s="2">
        <f>IF(F1017="PASS", E1017, "")</f>
        <v>0</v>
      </c>
      <c r="H1017">
        <f>IF(AND(F1017="PASS", G1017&lt;=IFERROR(VLOOKUP(A1017,Graduation_Cutoff!$A$2:$B$8,2,FALSE),DATE(9999,12,31))),"Y","")</f>
        <v>0</v>
      </c>
    </row>
    <row r="1018" spans="7:8">
      <c r="G1018" s="2">
        <f>IF(F1018="PASS", E1018, "")</f>
        <v>0</v>
      </c>
      <c r="H1018">
        <f>IF(AND(F1018="PASS", G1018&lt;=IFERROR(VLOOKUP(A1018,Graduation_Cutoff!$A$2:$B$8,2,FALSE),DATE(9999,12,31))),"Y","")</f>
        <v>0</v>
      </c>
    </row>
    <row r="1019" spans="7:8">
      <c r="G1019" s="2">
        <f>IF(F1019="PASS", E1019, "")</f>
        <v>0</v>
      </c>
      <c r="H1019">
        <f>IF(AND(F1019="PASS", G1019&lt;=IFERROR(VLOOKUP(A1019,Graduation_Cutoff!$A$2:$B$8,2,FALSE),DATE(9999,12,31))),"Y","")</f>
        <v>0</v>
      </c>
    </row>
    <row r="1020" spans="7:8">
      <c r="G1020" s="2">
        <f>IF(F1020="PASS", E1020, "")</f>
        <v>0</v>
      </c>
      <c r="H1020">
        <f>IF(AND(F1020="PASS", G1020&lt;=IFERROR(VLOOKUP(A1020,Graduation_Cutoff!$A$2:$B$8,2,FALSE),DATE(9999,12,31))),"Y","")</f>
        <v>0</v>
      </c>
    </row>
    <row r="1021" spans="7:8">
      <c r="G1021" s="2">
        <f>IF(F1021="PASS", E1021, "")</f>
        <v>0</v>
      </c>
      <c r="H1021">
        <f>IF(AND(F1021="PASS", G1021&lt;=IFERROR(VLOOKUP(A1021,Graduation_Cutoff!$A$2:$B$8,2,FALSE),DATE(9999,12,31))),"Y","")</f>
        <v>0</v>
      </c>
    </row>
    <row r="1022" spans="7:8">
      <c r="G1022" s="2">
        <f>IF(F1022="PASS", E1022, "")</f>
        <v>0</v>
      </c>
      <c r="H1022">
        <f>IF(AND(F1022="PASS", G1022&lt;=IFERROR(VLOOKUP(A1022,Graduation_Cutoff!$A$2:$B$8,2,FALSE),DATE(9999,12,31))),"Y","")</f>
        <v>0</v>
      </c>
    </row>
    <row r="1023" spans="7:8">
      <c r="G1023" s="2">
        <f>IF(F1023="PASS", E1023, "")</f>
        <v>0</v>
      </c>
      <c r="H1023">
        <f>IF(AND(F1023="PASS", G1023&lt;=IFERROR(VLOOKUP(A1023,Graduation_Cutoff!$A$2:$B$8,2,FALSE),DATE(9999,12,31))),"Y","")</f>
        <v>0</v>
      </c>
    </row>
    <row r="1024" spans="7:8">
      <c r="G1024" s="2">
        <f>IF(F1024="PASS", E1024, "")</f>
        <v>0</v>
      </c>
      <c r="H1024">
        <f>IF(AND(F1024="PASS", G1024&lt;=IFERROR(VLOOKUP(A1024,Graduation_Cutoff!$A$2:$B$8,2,FALSE),DATE(9999,12,31))),"Y","")</f>
        <v>0</v>
      </c>
    </row>
    <row r="1025" spans="7:8">
      <c r="G1025" s="2">
        <f>IF(F1025="PASS", E1025, "")</f>
        <v>0</v>
      </c>
      <c r="H1025">
        <f>IF(AND(F1025="PASS", G1025&lt;=IFERROR(VLOOKUP(A1025,Graduation_Cutoff!$A$2:$B$8,2,FALSE),DATE(9999,12,31))),"Y","")</f>
        <v>0</v>
      </c>
    </row>
    <row r="1026" spans="7:8">
      <c r="G1026" s="2">
        <f>IF(F1026="PASS", E1026, "")</f>
        <v>0</v>
      </c>
      <c r="H1026">
        <f>IF(AND(F1026="PASS", G1026&lt;=IFERROR(VLOOKUP(A1026,Graduation_Cutoff!$A$2:$B$8,2,FALSE),DATE(9999,12,31))),"Y","")</f>
        <v>0</v>
      </c>
    </row>
    <row r="1027" spans="7:8">
      <c r="G1027" s="2">
        <f>IF(F1027="PASS", E1027, "")</f>
        <v>0</v>
      </c>
      <c r="H1027">
        <f>IF(AND(F1027="PASS", G1027&lt;=IFERROR(VLOOKUP(A1027,Graduation_Cutoff!$A$2:$B$8,2,FALSE),DATE(9999,12,31))),"Y","")</f>
        <v>0</v>
      </c>
    </row>
    <row r="1028" spans="7:8">
      <c r="G1028" s="2">
        <f>IF(F1028="PASS", E1028, "")</f>
        <v>0</v>
      </c>
      <c r="H1028">
        <f>IF(AND(F1028="PASS", G1028&lt;=IFERROR(VLOOKUP(A1028,Graduation_Cutoff!$A$2:$B$8,2,FALSE),DATE(9999,12,31))),"Y","")</f>
        <v>0</v>
      </c>
    </row>
    <row r="1029" spans="7:8">
      <c r="G1029" s="2">
        <f>IF(F1029="PASS", E1029, "")</f>
        <v>0</v>
      </c>
      <c r="H1029">
        <f>IF(AND(F1029="PASS", G1029&lt;=IFERROR(VLOOKUP(A1029,Graduation_Cutoff!$A$2:$B$8,2,FALSE),DATE(9999,12,31))),"Y","")</f>
        <v>0</v>
      </c>
    </row>
    <row r="1030" spans="7:8">
      <c r="G1030" s="2">
        <f>IF(F1030="PASS", E1030, "")</f>
        <v>0</v>
      </c>
      <c r="H1030">
        <f>IF(AND(F1030="PASS", G1030&lt;=IFERROR(VLOOKUP(A1030,Graduation_Cutoff!$A$2:$B$8,2,FALSE),DATE(9999,12,31))),"Y","")</f>
        <v>0</v>
      </c>
    </row>
    <row r="1031" spans="7:8">
      <c r="G1031" s="2">
        <f>IF(F1031="PASS", E1031, "")</f>
        <v>0</v>
      </c>
      <c r="H1031">
        <f>IF(AND(F1031="PASS", G1031&lt;=IFERROR(VLOOKUP(A1031,Graduation_Cutoff!$A$2:$B$8,2,FALSE),DATE(9999,12,31))),"Y","")</f>
        <v>0</v>
      </c>
    </row>
    <row r="1032" spans="7:8">
      <c r="G1032" s="2">
        <f>IF(F1032="PASS", E1032, "")</f>
        <v>0</v>
      </c>
      <c r="H1032">
        <f>IF(AND(F1032="PASS", G1032&lt;=IFERROR(VLOOKUP(A1032,Graduation_Cutoff!$A$2:$B$8,2,FALSE),DATE(9999,12,31))),"Y","")</f>
        <v>0</v>
      </c>
    </row>
    <row r="1033" spans="7:8">
      <c r="G1033" s="2">
        <f>IF(F1033="PASS", E1033, "")</f>
        <v>0</v>
      </c>
      <c r="H1033">
        <f>IF(AND(F1033="PASS", G1033&lt;=IFERROR(VLOOKUP(A1033,Graduation_Cutoff!$A$2:$B$8,2,FALSE),DATE(9999,12,31))),"Y","")</f>
        <v>0</v>
      </c>
    </row>
    <row r="1034" spans="7:8">
      <c r="G1034" s="2">
        <f>IF(F1034="PASS", E1034, "")</f>
        <v>0</v>
      </c>
      <c r="H1034">
        <f>IF(AND(F1034="PASS", G1034&lt;=IFERROR(VLOOKUP(A1034,Graduation_Cutoff!$A$2:$B$8,2,FALSE),DATE(9999,12,31))),"Y","")</f>
        <v>0</v>
      </c>
    </row>
    <row r="1035" spans="7:8">
      <c r="G1035" s="2">
        <f>IF(F1035="PASS", E1035, "")</f>
        <v>0</v>
      </c>
      <c r="H1035">
        <f>IF(AND(F1035="PASS", G1035&lt;=IFERROR(VLOOKUP(A1035,Graduation_Cutoff!$A$2:$B$8,2,FALSE),DATE(9999,12,31))),"Y","")</f>
        <v>0</v>
      </c>
    </row>
    <row r="1036" spans="7:8">
      <c r="G1036" s="2">
        <f>IF(F1036="PASS", E1036, "")</f>
        <v>0</v>
      </c>
      <c r="H1036">
        <f>IF(AND(F1036="PASS", G1036&lt;=IFERROR(VLOOKUP(A1036,Graduation_Cutoff!$A$2:$B$8,2,FALSE),DATE(9999,12,31))),"Y","")</f>
        <v>0</v>
      </c>
    </row>
    <row r="1037" spans="7:8">
      <c r="G1037" s="2">
        <f>IF(F1037="PASS", E1037, "")</f>
        <v>0</v>
      </c>
      <c r="H1037">
        <f>IF(AND(F1037="PASS", G1037&lt;=IFERROR(VLOOKUP(A1037,Graduation_Cutoff!$A$2:$B$8,2,FALSE),DATE(9999,12,31))),"Y","")</f>
        <v>0</v>
      </c>
    </row>
    <row r="1038" spans="7:8">
      <c r="G1038" s="2">
        <f>IF(F1038="PASS", E1038, "")</f>
        <v>0</v>
      </c>
      <c r="H1038">
        <f>IF(AND(F1038="PASS", G1038&lt;=IFERROR(VLOOKUP(A1038,Graduation_Cutoff!$A$2:$B$8,2,FALSE),DATE(9999,12,31))),"Y","")</f>
        <v>0</v>
      </c>
    </row>
    <row r="1039" spans="7:8">
      <c r="G1039" s="2">
        <f>IF(F1039="PASS", E1039, "")</f>
        <v>0</v>
      </c>
      <c r="H1039">
        <f>IF(AND(F1039="PASS", G1039&lt;=IFERROR(VLOOKUP(A1039,Graduation_Cutoff!$A$2:$B$8,2,FALSE),DATE(9999,12,31))),"Y","")</f>
        <v>0</v>
      </c>
    </row>
    <row r="1040" spans="7:8">
      <c r="G1040" s="2">
        <f>IF(F1040="PASS", E1040, "")</f>
        <v>0</v>
      </c>
      <c r="H1040">
        <f>IF(AND(F1040="PASS", G1040&lt;=IFERROR(VLOOKUP(A1040,Graduation_Cutoff!$A$2:$B$8,2,FALSE),DATE(9999,12,31))),"Y","")</f>
        <v>0</v>
      </c>
    </row>
    <row r="1041" spans="7:8">
      <c r="G1041" s="2">
        <f>IF(F1041="PASS", E1041, "")</f>
        <v>0</v>
      </c>
      <c r="H1041">
        <f>IF(AND(F1041="PASS", G1041&lt;=IFERROR(VLOOKUP(A1041,Graduation_Cutoff!$A$2:$B$8,2,FALSE),DATE(9999,12,31))),"Y","")</f>
        <v>0</v>
      </c>
    </row>
    <row r="1042" spans="7:8">
      <c r="G1042" s="2">
        <f>IF(F1042="PASS", E1042, "")</f>
        <v>0</v>
      </c>
      <c r="H1042">
        <f>IF(AND(F1042="PASS", G1042&lt;=IFERROR(VLOOKUP(A1042,Graduation_Cutoff!$A$2:$B$8,2,FALSE),DATE(9999,12,31))),"Y","")</f>
        <v>0</v>
      </c>
    </row>
    <row r="1043" spans="7:8">
      <c r="G1043" s="2">
        <f>IF(F1043="PASS", E1043, "")</f>
        <v>0</v>
      </c>
      <c r="H1043">
        <f>IF(AND(F1043="PASS", G1043&lt;=IFERROR(VLOOKUP(A1043,Graduation_Cutoff!$A$2:$B$8,2,FALSE),DATE(9999,12,31))),"Y","")</f>
        <v>0</v>
      </c>
    </row>
    <row r="1044" spans="7:8">
      <c r="G1044" s="2">
        <f>IF(F1044="PASS", E1044, "")</f>
        <v>0</v>
      </c>
      <c r="H1044">
        <f>IF(AND(F1044="PASS", G1044&lt;=IFERROR(VLOOKUP(A1044,Graduation_Cutoff!$A$2:$B$8,2,FALSE),DATE(9999,12,31))),"Y","")</f>
        <v>0</v>
      </c>
    </row>
    <row r="1045" spans="7:8">
      <c r="G1045" s="2">
        <f>IF(F1045="PASS", E1045, "")</f>
        <v>0</v>
      </c>
      <c r="H1045">
        <f>IF(AND(F1045="PASS", G1045&lt;=IFERROR(VLOOKUP(A1045,Graduation_Cutoff!$A$2:$B$8,2,FALSE),DATE(9999,12,31))),"Y","")</f>
        <v>0</v>
      </c>
    </row>
    <row r="1046" spans="7:8">
      <c r="G1046" s="2">
        <f>IF(F1046="PASS", E1046, "")</f>
        <v>0</v>
      </c>
      <c r="H1046">
        <f>IF(AND(F1046="PASS", G1046&lt;=IFERROR(VLOOKUP(A1046,Graduation_Cutoff!$A$2:$B$8,2,FALSE),DATE(9999,12,31))),"Y","")</f>
        <v>0</v>
      </c>
    </row>
    <row r="1047" spans="7:8">
      <c r="G1047" s="2">
        <f>IF(F1047="PASS", E1047, "")</f>
        <v>0</v>
      </c>
      <c r="H1047">
        <f>IF(AND(F1047="PASS", G1047&lt;=IFERROR(VLOOKUP(A1047,Graduation_Cutoff!$A$2:$B$8,2,FALSE),DATE(9999,12,31))),"Y","")</f>
        <v>0</v>
      </c>
    </row>
    <row r="1048" spans="7:8">
      <c r="G1048" s="2">
        <f>IF(F1048="PASS", E1048, "")</f>
        <v>0</v>
      </c>
      <c r="H1048">
        <f>IF(AND(F1048="PASS", G1048&lt;=IFERROR(VLOOKUP(A1048,Graduation_Cutoff!$A$2:$B$8,2,FALSE),DATE(9999,12,31))),"Y","")</f>
        <v>0</v>
      </c>
    </row>
    <row r="1049" spans="7:8">
      <c r="G1049" s="2">
        <f>IF(F1049="PASS", E1049, "")</f>
        <v>0</v>
      </c>
      <c r="H1049">
        <f>IF(AND(F1049="PASS", G1049&lt;=IFERROR(VLOOKUP(A1049,Graduation_Cutoff!$A$2:$B$8,2,FALSE),DATE(9999,12,31))),"Y","")</f>
        <v>0</v>
      </c>
    </row>
    <row r="1050" spans="7:8">
      <c r="G1050" s="2">
        <f>IF(F1050="PASS", E1050, "")</f>
        <v>0</v>
      </c>
      <c r="H1050">
        <f>IF(AND(F1050="PASS", G1050&lt;=IFERROR(VLOOKUP(A1050,Graduation_Cutoff!$A$2:$B$8,2,FALSE),DATE(9999,12,31))),"Y","")</f>
        <v>0</v>
      </c>
    </row>
    <row r="1051" spans="7:8">
      <c r="G1051" s="2">
        <f>IF(F1051="PASS", E1051, "")</f>
        <v>0</v>
      </c>
      <c r="H1051">
        <f>IF(AND(F1051="PASS", G1051&lt;=IFERROR(VLOOKUP(A1051,Graduation_Cutoff!$A$2:$B$8,2,FALSE),DATE(9999,12,31))),"Y","")</f>
        <v>0</v>
      </c>
    </row>
    <row r="1052" spans="7:8">
      <c r="G1052" s="2">
        <f>IF(F1052="PASS", E1052, "")</f>
        <v>0</v>
      </c>
      <c r="H1052">
        <f>IF(AND(F1052="PASS", G1052&lt;=IFERROR(VLOOKUP(A1052,Graduation_Cutoff!$A$2:$B$8,2,FALSE),DATE(9999,12,31))),"Y","")</f>
        <v>0</v>
      </c>
    </row>
    <row r="1053" spans="7:8">
      <c r="G1053" s="2">
        <f>IF(F1053="PASS", E1053, "")</f>
        <v>0</v>
      </c>
      <c r="H1053">
        <f>IF(AND(F1053="PASS", G1053&lt;=IFERROR(VLOOKUP(A1053,Graduation_Cutoff!$A$2:$B$8,2,FALSE),DATE(9999,12,31))),"Y","")</f>
        <v>0</v>
      </c>
    </row>
    <row r="1054" spans="7:8">
      <c r="G1054" s="2">
        <f>IF(F1054="PASS", E1054, "")</f>
        <v>0</v>
      </c>
      <c r="H1054">
        <f>IF(AND(F1054="PASS", G1054&lt;=IFERROR(VLOOKUP(A1054,Graduation_Cutoff!$A$2:$B$8,2,FALSE),DATE(9999,12,31))),"Y","")</f>
        <v>0</v>
      </c>
    </row>
    <row r="1055" spans="7:8">
      <c r="G1055" s="2">
        <f>IF(F1055="PASS", E1055, "")</f>
        <v>0</v>
      </c>
      <c r="H1055">
        <f>IF(AND(F1055="PASS", G1055&lt;=IFERROR(VLOOKUP(A1055,Graduation_Cutoff!$A$2:$B$8,2,FALSE),DATE(9999,12,31))),"Y","")</f>
        <v>0</v>
      </c>
    </row>
    <row r="1056" spans="7:8">
      <c r="G1056" s="2">
        <f>IF(F1056="PASS", E1056, "")</f>
        <v>0</v>
      </c>
      <c r="H1056">
        <f>IF(AND(F1056="PASS", G1056&lt;=IFERROR(VLOOKUP(A1056,Graduation_Cutoff!$A$2:$B$8,2,FALSE),DATE(9999,12,31))),"Y","")</f>
        <v>0</v>
      </c>
    </row>
    <row r="1057" spans="7:8">
      <c r="G1057" s="2">
        <f>IF(F1057="PASS", E1057, "")</f>
        <v>0</v>
      </c>
      <c r="H1057">
        <f>IF(AND(F1057="PASS", G1057&lt;=IFERROR(VLOOKUP(A1057,Graduation_Cutoff!$A$2:$B$8,2,FALSE),DATE(9999,12,31))),"Y","")</f>
        <v>0</v>
      </c>
    </row>
    <row r="1058" spans="7:8">
      <c r="G1058" s="2">
        <f>IF(F1058="PASS", E1058, "")</f>
        <v>0</v>
      </c>
      <c r="H1058">
        <f>IF(AND(F1058="PASS", G1058&lt;=IFERROR(VLOOKUP(A1058,Graduation_Cutoff!$A$2:$B$8,2,FALSE),DATE(9999,12,31))),"Y","")</f>
        <v>0</v>
      </c>
    </row>
    <row r="1059" spans="7:8">
      <c r="G1059" s="2">
        <f>IF(F1059="PASS", E1059, "")</f>
        <v>0</v>
      </c>
      <c r="H1059">
        <f>IF(AND(F1059="PASS", G1059&lt;=IFERROR(VLOOKUP(A1059,Graduation_Cutoff!$A$2:$B$8,2,FALSE),DATE(9999,12,31))),"Y","")</f>
        <v>0</v>
      </c>
    </row>
    <row r="1060" spans="7:8">
      <c r="G1060" s="2">
        <f>IF(F1060="PASS", E1060, "")</f>
        <v>0</v>
      </c>
      <c r="H1060">
        <f>IF(AND(F1060="PASS", G1060&lt;=IFERROR(VLOOKUP(A1060,Graduation_Cutoff!$A$2:$B$8,2,FALSE),DATE(9999,12,31))),"Y","")</f>
        <v>0</v>
      </c>
    </row>
    <row r="1061" spans="7:8">
      <c r="G1061" s="2">
        <f>IF(F1061="PASS", E1061, "")</f>
        <v>0</v>
      </c>
      <c r="H1061">
        <f>IF(AND(F1061="PASS", G1061&lt;=IFERROR(VLOOKUP(A1061,Graduation_Cutoff!$A$2:$B$8,2,FALSE),DATE(9999,12,31))),"Y","")</f>
        <v>0</v>
      </c>
    </row>
    <row r="1062" spans="7:8">
      <c r="G1062" s="2">
        <f>IF(F1062="PASS", E1062, "")</f>
        <v>0</v>
      </c>
      <c r="H1062">
        <f>IF(AND(F1062="PASS", G1062&lt;=IFERROR(VLOOKUP(A1062,Graduation_Cutoff!$A$2:$B$8,2,FALSE),DATE(9999,12,31))),"Y","")</f>
        <v>0</v>
      </c>
    </row>
    <row r="1063" spans="7:8">
      <c r="G1063" s="2">
        <f>IF(F1063="PASS", E1063, "")</f>
        <v>0</v>
      </c>
      <c r="H1063">
        <f>IF(AND(F1063="PASS", G1063&lt;=IFERROR(VLOOKUP(A1063,Graduation_Cutoff!$A$2:$B$8,2,FALSE),DATE(9999,12,31))),"Y","")</f>
        <v>0</v>
      </c>
    </row>
    <row r="1064" spans="7:8">
      <c r="G1064" s="2">
        <f>IF(F1064="PASS", E1064, "")</f>
        <v>0</v>
      </c>
      <c r="H1064">
        <f>IF(AND(F1064="PASS", G1064&lt;=IFERROR(VLOOKUP(A1064,Graduation_Cutoff!$A$2:$B$8,2,FALSE),DATE(9999,12,31))),"Y","")</f>
        <v>0</v>
      </c>
    </row>
    <row r="1065" spans="7:8">
      <c r="G1065" s="2">
        <f>IF(F1065="PASS", E1065, "")</f>
        <v>0</v>
      </c>
      <c r="H1065">
        <f>IF(AND(F1065="PASS", G1065&lt;=IFERROR(VLOOKUP(A1065,Graduation_Cutoff!$A$2:$B$8,2,FALSE),DATE(9999,12,31))),"Y","")</f>
        <v>0</v>
      </c>
    </row>
    <row r="1066" spans="7:8">
      <c r="G1066" s="2">
        <f>IF(F1066="PASS", E1066, "")</f>
        <v>0</v>
      </c>
      <c r="H1066">
        <f>IF(AND(F1066="PASS", G1066&lt;=IFERROR(VLOOKUP(A1066,Graduation_Cutoff!$A$2:$B$8,2,FALSE),DATE(9999,12,31))),"Y","")</f>
        <v>0</v>
      </c>
    </row>
    <row r="1067" spans="7:8">
      <c r="G1067" s="2">
        <f>IF(F1067="PASS", E1067, "")</f>
        <v>0</v>
      </c>
      <c r="H1067">
        <f>IF(AND(F1067="PASS", G1067&lt;=IFERROR(VLOOKUP(A1067,Graduation_Cutoff!$A$2:$B$8,2,FALSE),DATE(9999,12,31))),"Y","")</f>
        <v>0</v>
      </c>
    </row>
    <row r="1068" spans="7:8">
      <c r="G1068" s="2">
        <f>IF(F1068="PASS", E1068, "")</f>
        <v>0</v>
      </c>
      <c r="H1068">
        <f>IF(AND(F1068="PASS", G1068&lt;=IFERROR(VLOOKUP(A1068,Graduation_Cutoff!$A$2:$B$8,2,FALSE),DATE(9999,12,31))),"Y","")</f>
        <v>0</v>
      </c>
    </row>
    <row r="1069" spans="7:8">
      <c r="G1069" s="2">
        <f>IF(F1069="PASS", E1069, "")</f>
        <v>0</v>
      </c>
      <c r="H1069">
        <f>IF(AND(F1069="PASS", G1069&lt;=IFERROR(VLOOKUP(A1069,Graduation_Cutoff!$A$2:$B$8,2,FALSE),DATE(9999,12,31))),"Y","")</f>
        <v>0</v>
      </c>
    </row>
    <row r="1070" spans="7:8">
      <c r="G1070" s="2">
        <f>IF(F1070="PASS", E1070, "")</f>
        <v>0</v>
      </c>
      <c r="H1070">
        <f>IF(AND(F1070="PASS", G1070&lt;=IFERROR(VLOOKUP(A1070,Graduation_Cutoff!$A$2:$B$8,2,FALSE),DATE(9999,12,31))),"Y","")</f>
        <v>0</v>
      </c>
    </row>
    <row r="1071" spans="7:8">
      <c r="G1071" s="2">
        <f>IF(F1071="PASS", E1071, "")</f>
        <v>0</v>
      </c>
      <c r="H1071">
        <f>IF(AND(F1071="PASS", G1071&lt;=IFERROR(VLOOKUP(A1071,Graduation_Cutoff!$A$2:$B$8,2,FALSE),DATE(9999,12,31))),"Y","")</f>
        <v>0</v>
      </c>
    </row>
    <row r="1072" spans="7:8">
      <c r="G1072" s="2">
        <f>IF(F1072="PASS", E1072, "")</f>
        <v>0</v>
      </c>
      <c r="H1072">
        <f>IF(AND(F1072="PASS", G1072&lt;=IFERROR(VLOOKUP(A1072,Graduation_Cutoff!$A$2:$B$8,2,FALSE),DATE(9999,12,31))),"Y","")</f>
        <v>0</v>
      </c>
    </row>
    <row r="1073" spans="7:8">
      <c r="G1073" s="2">
        <f>IF(F1073="PASS", E1073, "")</f>
        <v>0</v>
      </c>
      <c r="H1073">
        <f>IF(AND(F1073="PASS", G1073&lt;=IFERROR(VLOOKUP(A1073,Graduation_Cutoff!$A$2:$B$8,2,FALSE),DATE(9999,12,31))),"Y","")</f>
        <v>0</v>
      </c>
    </row>
    <row r="1074" spans="7:8">
      <c r="G1074" s="2">
        <f>IF(F1074="PASS", E1074, "")</f>
        <v>0</v>
      </c>
      <c r="H1074">
        <f>IF(AND(F1074="PASS", G1074&lt;=IFERROR(VLOOKUP(A1074,Graduation_Cutoff!$A$2:$B$8,2,FALSE),DATE(9999,12,31))),"Y","")</f>
        <v>0</v>
      </c>
    </row>
    <row r="1075" spans="7:8">
      <c r="G1075" s="2">
        <f>IF(F1075="PASS", E1075, "")</f>
        <v>0</v>
      </c>
      <c r="H1075">
        <f>IF(AND(F1075="PASS", G1075&lt;=IFERROR(VLOOKUP(A1075,Graduation_Cutoff!$A$2:$B$8,2,FALSE),DATE(9999,12,31))),"Y","")</f>
        <v>0</v>
      </c>
    </row>
    <row r="1076" spans="7:8">
      <c r="G1076" s="2">
        <f>IF(F1076="PASS", E1076, "")</f>
        <v>0</v>
      </c>
      <c r="H1076">
        <f>IF(AND(F1076="PASS", G1076&lt;=IFERROR(VLOOKUP(A1076,Graduation_Cutoff!$A$2:$B$8,2,FALSE),DATE(9999,12,31))),"Y","")</f>
        <v>0</v>
      </c>
    </row>
    <row r="1077" spans="7:8">
      <c r="G1077" s="2">
        <f>IF(F1077="PASS", E1077, "")</f>
        <v>0</v>
      </c>
      <c r="H1077">
        <f>IF(AND(F1077="PASS", G1077&lt;=IFERROR(VLOOKUP(A1077,Graduation_Cutoff!$A$2:$B$8,2,FALSE),DATE(9999,12,31))),"Y","")</f>
        <v>0</v>
      </c>
    </row>
    <row r="1078" spans="7:8">
      <c r="G1078" s="2">
        <f>IF(F1078="PASS", E1078, "")</f>
        <v>0</v>
      </c>
      <c r="H1078">
        <f>IF(AND(F1078="PASS", G1078&lt;=IFERROR(VLOOKUP(A1078,Graduation_Cutoff!$A$2:$B$8,2,FALSE),DATE(9999,12,31))),"Y","")</f>
        <v>0</v>
      </c>
    </row>
    <row r="1079" spans="7:8">
      <c r="G1079" s="2">
        <f>IF(F1079="PASS", E1079, "")</f>
        <v>0</v>
      </c>
      <c r="H1079">
        <f>IF(AND(F1079="PASS", G1079&lt;=IFERROR(VLOOKUP(A1079,Graduation_Cutoff!$A$2:$B$8,2,FALSE),DATE(9999,12,31))),"Y","")</f>
        <v>0</v>
      </c>
    </row>
    <row r="1080" spans="7:8">
      <c r="G1080" s="2">
        <f>IF(F1080="PASS", E1080, "")</f>
        <v>0</v>
      </c>
      <c r="H1080">
        <f>IF(AND(F1080="PASS", G1080&lt;=IFERROR(VLOOKUP(A1080,Graduation_Cutoff!$A$2:$B$8,2,FALSE),DATE(9999,12,31))),"Y","")</f>
        <v>0</v>
      </c>
    </row>
    <row r="1081" spans="7:8">
      <c r="G1081" s="2">
        <f>IF(F1081="PASS", E1081, "")</f>
        <v>0</v>
      </c>
      <c r="H1081">
        <f>IF(AND(F1081="PASS", G1081&lt;=IFERROR(VLOOKUP(A1081,Graduation_Cutoff!$A$2:$B$8,2,FALSE),DATE(9999,12,31))),"Y","")</f>
        <v>0</v>
      </c>
    </row>
    <row r="1082" spans="7:8">
      <c r="G1082" s="2">
        <f>IF(F1082="PASS", E1082, "")</f>
        <v>0</v>
      </c>
      <c r="H1082">
        <f>IF(AND(F1082="PASS", G1082&lt;=IFERROR(VLOOKUP(A1082,Graduation_Cutoff!$A$2:$B$8,2,FALSE),DATE(9999,12,31))),"Y","")</f>
        <v>0</v>
      </c>
    </row>
    <row r="1083" spans="7:8">
      <c r="G1083" s="2">
        <f>IF(F1083="PASS", E1083, "")</f>
        <v>0</v>
      </c>
      <c r="H1083">
        <f>IF(AND(F1083="PASS", G1083&lt;=IFERROR(VLOOKUP(A1083,Graduation_Cutoff!$A$2:$B$8,2,FALSE),DATE(9999,12,31))),"Y","")</f>
        <v>0</v>
      </c>
    </row>
    <row r="1084" spans="7:8">
      <c r="G1084" s="2">
        <f>IF(F1084="PASS", E1084, "")</f>
        <v>0</v>
      </c>
      <c r="H1084">
        <f>IF(AND(F1084="PASS", G1084&lt;=IFERROR(VLOOKUP(A1084,Graduation_Cutoff!$A$2:$B$8,2,FALSE),DATE(9999,12,31))),"Y","")</f>
        <v>0</v>
      </c>
    </row>
    <row r="1085" spans="7:8">
      <c r="G1085" s="2">
        <f>IF(F1085="PASS", E1085, "")</f>
        <v>0</v>
      </c>
      <c r="H1085">
        <f>IF(AND(F1085="PASS", G1085&lt;=IFERROR(VLOOKUP(A1085,Graduation_Cutoff!$A$2:$B$8,2,FALSE),DATE(9999,12,31))),"Y","")</f>
        <v>0</v>
      </c>
    </row>
    <row r="1086" spans="7:8">
      <c r="G1086" s="2">
        <f>IF(F1086="PASS", E1086, "")</f>
        <v>0</v>
      </c>
      <c r="H1086">
        <f>IF(AND(F1086="PASS", G1086&lt;=IFERROR(VLOOKUP(A1086,Graduation_Cutoff!$A$2:$B$8,2,FALSE),DATE(9999,12,31))),"Y","")</f>
        <v>0</v>
      </c>
    </row>
    <row r="1087" spans="7:8">
      <c r="G1087" s="2">
        <f>IF(F1087="PASS", E1087, "")</f>
        <v>0</v>
      </c>
      <c r="H1087">
        <f>IF(AND(F1087="PASS", G1087&lt;=IFERROR(VLOOKUP(A1087,Graduation_Cutoff!$A$2:$B$8,2,FALSE),DATE(9999,12,31))),"Y","")</f>
        <v>0</v>
      </c>
    </row>
    <row r="1088" spans="7:8">
      <c r="G1088" s="2">
        <f>IF(F1088="PASS", E1088, "")</f>
        <v>0</v>
      </c>
      <c r="H1088">
        <f>IF(AND(F1088="PASS", G1088&lt;=IFERROR(VLOOKUP(A1088,Graduation_Cutoff!$A$2:$B$8,2,FALSE),DATE(9999,12,31))),"Y","")</f>
        <v>0</v>
      </c>
    </row>
    <row r="1089" spans="7:8">
      <c r="G1089" s="2">
        <f>IF(F1089="PASS", E1089, "")</f>
        <v>0</v>
      </c>
      <c r="H1089">
        <f>IF(AND(F1089="PASS", G1089&lt;=IFERROR(VLOOKUP(A1089,Graduation_Cutoff!$A$2:$B$8,2,FALSE),DATE(9999,12,31))),"Y","")</f>
        <v>0</v>
      </c>
    </row>
    <row r="1090" spans="7:8">
      <c r="G1090" s="2">
        <f>IF(F1090="PASS", E1090, "")</f>
        <v>0</v>
      </c>
      <c r="H1090">
        <f>IF(AND(F1090="PASS", G1090&lt;=IFERROR(VLOOKUP(A1090,Graduation_Cutoff!$A$2:$B$8,2,FALSE),DATE(9999,12,31))),"Y","")</f>
        <v>0</v>
      </c>
    </row>
    <row r="1091" spans="7:8">
      <c r="G1091" s="2">
        <f>IF(F1091="PASS", E1091, "")</f>
        <v>0</v>
      </c>
      <c r="H1091">
        <f>IF(AND(F1091="PASS", G1091&lt;=IFERROR(VLOOKUP(A1091,Graduation_Cutoff!$A$2:$B$8,2,FALSE),DATE(9999,12,31))),"Y","")</f>
        <v>0</v>
      </c>
    </row>
    <row r="1092" spans="7:8">
      <c r="G1092" s="2">
        <f>IF(F1092="PASS", E1092, "")</f>
        <v>0</v>
      </c>
      <c r="H1092">
        <f>IF(AND(F1092="PASS", G1092&lt;=IFERROR(VLOOKUP(A1092,Graduation_Cutoff!$A$2:$B$8,2,FALSE),DATE(9999,12,31))),"Y","")</f>
        <v>0</v>
      </c>
    </row>
    <row r="1093" spans="7:8">
      <c r="G1093" s="2">
        <f>IF(F1093="PASS", E1093, "")</f>
        <v>0</v>
      </c>
      <c r="H1093">
        <f>IF(AND(F1093="PASS", G1093&lt;=IFERROR(VLOOKUP(A1093,Graduation_Cutoff!$A$2:$B$8,2,FALSE),DATE(9999,12,31))),"Y","")</f>
        <v>0</v>
      </c>
    </row>
    <row r="1094" spans="7:8">
      <c r="G1094" s="2">
        <f>IF(F1094="PASS", E1094, "")</f>
        <v>0</v>
      </c>
      <c r="H1094">
        <f>IF(AND(F1094="PASS", G1094&lt;=IFERROR(VLOOKUP(A1094,Graduation_Cutoff!$A$2:$B$8,2,FALSE),DATE(9999,12,31))),"Y","")</f>
        <v>0</v>
      </c>
    </row>
    <row r="1095" spans="7:8">
      <c r="G1095" s="2">
        <f>IF(F1095="PASS", E1095, "")</f>
        <v>0</v>
      </c>
      <c r="H1095">
        <f>IF(AND(F1095="PASS", G1095&lt;=IFERROR(VLOOKUP(A1095,Graduation_Cutoff!$A$2:$B$8,2,FALSE),DATE(9999,12,31))),"Y","")</f>
        <v>0</v>
      </c>
    </row>
    <row r="1096" spans="7:8">
      <c r="G1096" s="2">
        <f>IF(F1096="PASS", E1096, "")</f>
        <v>0</v>
      </c>
      <c r="H1096">
        <f>IF(AND(F1096="PASS", G1096&lt;=IFERROR(VLOOKUP(A1096,Graduation_Cutoff!$A$2:$B$8,2,FALSE),DATE(9999,12,31))),"Y","")</f>
        <v>0</v>
      </c>
    </row>
    <row r="1097" spans="7:8">
      <c r="G1097" s="2">
        <f>IF(F1097="PASS", E1097, "")</f>
        <v>0</v>
      </c>
      <c r="H1097">
        <f>IF(AND(F1097="PASS", G1097&lt;=IFERROR(VLOOKUP(A1097,Graduation_Cutoff!$A$2:$B$8,2,FALSE),DATE(9999,12,31))),"Y","")</f>
        <v>0</v>
      </c>
    </row>
    <row r="1098" spans="7:8">
      <c r="G1098" s="2">
        <f>IF(F1098="PASS", E1098, "")</f>
        <v>0</v>
      </c>
      <c r="H1098">
        <f>IF(AND(F1098="PASS", G1098&lt;=IFERROR(VLOOKUP(A1098,Graduation_Cutoff!$A$2:$B$8,2,FALSE),DATE(9999,12,31))),"Y","")</f>
        <v>0</v>
      </c>
    </row>
    <row r="1099" spans="7:8">
      <c r="G1099" s="2">
        <f>IF(F1099="PASS", E1099, "")</f>
        <v>0</v>
      </c>
      <c r="H1099">
        <f>IF(AND(F1099="PASS", G1099&lt;=IFERROR(VLOOKUP(A1099,Graduation_Cutoff!$A$2:$B$8,2,FALSE),DATE(9999,12,31))),"Y","")</f>
        <v>0</v>
      </c>
    </row>
    <row r="1100" spans="7:8">
      <c r="G1100" s="2">
        <f>IF(F1100="PASS", E1100, "")</f>
        <v>0</v>
      </c>
      <c r="H1100">
        <f>IF(AND(F1100="PASS", G1100&lt;=IFERROR(VLOOKUP(A1100,Graduation_Cutoff!$A$2:$B$8,2,FALSE),DATE(9999,12,31))),"Y","")</f>
        <v>0</v>
      </c>
    </row>
    <row r="1101" spans="7:8">
      <c r="G1101" s="2">
        <f>IF(F1101="PASS", E1101, "")</f>
        <v>0</v>
      </c>
      <c r="H1101">
        <f>IF(AND(F1101="PASS", G1101&lt;=IFERROR(VLOOKUP(A1101,Graduation_Cutoff!$A$2:$B$8,2,FALSE),DATE(9999,12,31))),"Y","")</f>
        <v>0</v>
      </c>
    </row>
    <row r="1102" spans="7:8">
      <c r="G1102" s="2">
        <f>IF(F1102="PASS", E1102, "")</f>
        <v>0</v>
      </c>
      <c r="H1102">
        <f>IF(AND(F1102="PASS", G1102&lt;=IFERROR(VLOOKUP(A1102,Graduation_Cutoff!$A$2:$B$8,2,FALSE),DATE(9999,12,31))),"Y","")</f>
        <v>0</v>
      </c>
    </row>
    <row r="1103" spans="7:8">
      <c r="G1103" s="2">
        <f>IF(F1103="PASS", E1103, "")</f>
        <v>0</v>
      </c>
      <c r="H1103">
        <f>IF(AND(F1103="PASS", G1103&lt;=IFERROR(VLOOKUP(A1103,Graduation_Cutoff!$A$2:$B$8,2,FALSE),DATE(9999,12,31))),"Y","")</f>
        <v>0</v>
      </c>
    </row>
    <row r="1104" spans="7:8">
      <c r="G1104" s="2">
        <f>IF(F1104="PASS", E1104, "")</f>
        <v>0</v>
      </c>
      <c r="H1104">
        <f>IF(AND(F1104="PASS", G1104&lt;=IFERROR(VLOOKUP(A1104,Graduation_Cutoff!$A$2:$B$8,2,FALSE),DATE(9999,12,31))),"Y","")</f>
        <v>0</v>
      </c>
    </row>
    <row r="1105" spans="7:8">
      <c r="G1105" s="2">
        <f>IF(F1105="PASS", E1105, "")</f>
        <v>0</v>
      </c>
      <c r="H1105">
        <f>IF(AND(F1105="PASS", G1105&lt;=IFERROR(VLOOKUP(A1105,Graduation_Cutoff!$A$2:$B$8,2,FALSE),DATE(9999,12,31))),"Y","")</f>
        <v>0</v>
      </c>
    </row>
    <row r="1106" spans="7:8">
      <c r="G1106" s="2">
        <f>IF(F1106="PASS", E1106, "")</f>
        <v>0</v>
      </c>
      <c r="H1106">
        <f>IF(AND(F1106="PASS", G1106&lt;=IFERROR(VLOOKUP(A1106,Graduation_Cutoff!$A$2:$B$8,2,FALSE),DATE(9999,12,31))),"Y","")</f>
        <v>0</v>
      </c>
    </row>
    <row r="1107" spans="7:8">
      <c r="G1107" s="2">
        <f>IF(F1107="PASS", E1107, "")</f>
        <v>0</v>
      </c>
      <c r="H1107">
        <f>IF(AND(F1107="PASS", G1107&lt;=IFERROR(VLOOKUP(A1107,Graduation_Cutoff!$A$2:$B$8,2,FALSE),DATE(9999,12,31))),"Y","")</f>
        <v>0</v>
      </c>
    </row>
    <row r="1108" spans="7:8">
      <c r="G1108" s="2">
        <f>IF(F1108="PASS", E1108, "")</f>
        <v>0</v>
      </c>
      <c r="H1108">
        <f>IF(AND(F1108="PASS", G1108&lt;=IFERROR(VLOOKUP(A1108,Graduation_Cutoff!$A$2:$B$8,2,FALSE),DATE(9999,12,31))),"Y","")</f>
        <v>0</v>
      </c>
    </row>
    <row r="1109" spans="7:8">
      <c r="G1109" s="2">
        <f>IF(F1109="PASS", E1109, "")</f>
        <v>0</v>
      </c>
      <c r="H1109">
        <f>IF(AND(F1109="PASS", G1109&lt;=IFERROR(VLOOKUP(A1109,Graduation_Cutoff!$A$2:$B$8,2,FALSE),DATE(9999,12,31))),"Y","")</f>
        <v>0</v>
      </c>
    </row>
    <row r="1110" spans="7:8">
      <c r="G1110" s="2">
        <f>IF(F1110="PASS", E1110, "")</f>
        <v>0</v>
      </c>
      <c r="H1110">
        <f>IF(AND(F1110="PASS", G1110&lt;=IFERROR(VLOOKUP(A1110,Graduation_Cutoff!$A$2:$B$8,2,FALSE),DATE(9999,12,31))),"Y","")</f>
        <v>0</v>
      </c>
    </row>
    <row r="1111" spans="7:8">
      <c r="G1111" s="2">
        <f>IF(F1111="PASS", E1111, "")</f>
        <v>0</v>
      </c>
      <c r="H1111">
        <f>IF(AND(F1111="PASS", G1111&lt;=IFERROR(VLOOKUP(A1111,Graduation_Cutoff!$A$2:$B$8,2,FALSE),DATE(9999,12,31))),"Y","")</f>
        <v>0</v>
      </c>
    </row>
    <row r="1112" spans="7:8">
      <c r="G1112" s="2">
        <f>IF(F1112="PASS", E1112, "")</f>
        <v>0</v>
      </c>
      <c r="H1112">
        <f>IF(AND(F1112="PASS", G1112&lt;=IFERROR(VLOOKUP(A1112,Graduation_Cutoff!$A$2:$B$8,2,FALSE),DATE(9999,12,31))),"Y","")</f>
        <v>0</v>
      </c>
    </row>
    <row r="1113" spans="7:8">
      <c r="G1113" s="2">
        <f>IF(F1113="PASS", E1113, "")</f>
        <v>0</v>
      </c>
      <c r="H1113">
        <f>IF(AND(F1113="PASS", G1113&lt;=IFERROR(VLOOKUP(A1113,Graduation_Cutoff!$A$2:$B$8,2,FALSE),DATE(9999,12,31))),"Y","")</f>
        <v>0</v>
      </c>
    </row>
    <row r="1114" spans="7:8">
      <c r="G1114" s="2">
        <f>IF(F1114="PASS", E1114, "")</f>
        <v>0</v>
      </c>
      <c r="H1114">
        <f>IF(AND(F1114="PASS", G1114&lt;=IFERROR(VLOOKUP(A1114,Graduation_Cutoff!$A$2:$B$8,2,FALSE),DATE(9999,12,31))),"Y","")</f>
        <v>0</v>
      </c>
    </row>
    <row r="1115" spans="7:8">
      <c r="G1115" s="2">
        <f>IF(F1115="PASS", E1115, "")</f>
        <v>0</v>
      </c>
      <c r="H1115">
        <f>IF(AND(F1115="PASS", G1115&lt;=IFERROR(VLOOKUP(A1115,Graduation_Cutoff!$A$2:$B$8,2,FALSE),DATE(9999,12,31))),"Y","")</f>
        <v>0</v>
      </c>
    </row>
    <row r="1116" spans="7:8">
      <c r="G1116" s="2">
        <f>IF(F1116="PASS", E1116, "")</f>
        <v>0</v>
      </c>
      <c r="H1116">
        <f>IF(AND(F1116="PASS", G1116&lt;=IFERROR(VLOOKUP(A1116,Graduation_Cutoff!$A$2:$B$8,2,FALSE),DATE(9999,12,31))),"Y","")</f>
        <v>0</v>
      </c>
    </row>
    <row r="1117" spans="7:8">
      <c r="G1117" s="2">
        <f>IF(F1117="PASS", E1117, "")</f>
        <v>0</v>
      </c>
      <c r="H1117">
        <f>IF(AND(F1117="PASS", G1117&lt;=IFERROR(VLOOKUP(A1117,Graduation_Cutoff!$A$2:$B$8,2,FALSE),DATE(9999,12,31))),"Y","")</f>
        <v>0</v>
      </c>
    </row>
    <row r="1118" spans="7:8">
      <c r="G1118" s="2">
        <f>IF(F1118="PASS", E1118, "")</f>
        <v>0</v>
      </c>
      <c r="H1118">
        <f>IF(AND(F1118="PASS", G1118&lt;=IFERROR(VLOOKUP(A1118,Graduation_Cutoff!$A$2:$B$8,2,FALSE),DATE(9999,12,31))),"Y","")</f>
        <v>0</v>
      </c>
    </row>
    <row r="1119" spans="7:8">
      <c r="G1119" s="2">
        <f>IF(F1119="PASS", E1119, "")</f>
        <v>0</v>
      </c>
      <c r="H1119">
        <f>IF(AND(F1119="PASS", G1119&lt;=IFERROR(VLOOKUP(A1119,Graduation_Cutoff!$A$2:$B$8,2,FALSE),DATE(9999,12,31))),"Y","")</f>
        <v>0</v>
      </c>
    </row>
    <row r="1120" spans="7:8">
      <c r="G1120" s="2">
        <f>IF(F1120="PASS", E1120, "")</f>
        <v>0</v>
      </c>
      <c r="H1120">
        <f>IF(AND(F1120="PASS", G1120&lt;=IFERROR(VLOOKUP(A1120,Graduation_Cutoff!$A$2:$B$8,2,FALSE),DATE(9999,12,31))),"Y","")</f>
        <v>0</v>
      </c>
    </row>
    <row r="1121" spans="7:8">
      <c r="G1121" s="2">
        <f>IF(F1121="PASS", E1121, "")</f>
        <v>0</v>
      </c>
      <c r="H1121">
        <f>IF(AND(F1121="PASS", G1121&lt;=IFERROR(VLOOKUP(A1121,Graduation_Cutoff!$A$2:$B$8,2,FALSE),DATE(9999,12,31))),"Y","")</f>
        <v>0</v>
      </c>
    </row>
    <row r="1122" spans="7:8">
      <c r="G1122" s="2">
        <f>IF(F1122="PASS", E1122, "")</f>
        <v>0</v>
      </c>
      <c r="H1122">
        <f>IF(AND(F1122="PASS", G1122&lt;=IFERROR(VLOOKUP(A1122,Graduation_Cutoff!$A$2:$B$8,2,FALSE),DATE(9999,12,31))),"Y","")</f>
        <v>0</v>
      </c>
    </row>
    <row r="1123" spans="7:8">
      <c r="G1123" s="2">
        <f>IF(F1123="PASS", E1123, "")</f>
        <v>0</v>
      </c>
      <c r="H1123">
        <f>IF(AND(F1123="PASS", G1123&lt;=IFERROR(VLOOKUP(A1123,Graduation_Cutoff!$A$2:$B$8,2,FALSE),DATE(9999,12,31))),"Y","")</f>
        <v>0</v>
      </c>
    </row>
    <row r="1124" spans="7:8">
      <c r="G1124" s="2">
        <f>IF(F1124="PASS", E1124, "")</f>
        <v>0</v>
      </c>
      <c r="H1124">
        <f>IF(AND(F1124="PASS", G1124&lt;=IFERROR(VLOOKUP(A1124,Graduation_Cutoff!$A$2:$B$8,2,FALSE),DATE(9999,12,31))),"Y","")</f>
        <v>0</v>
      </c>
    </row>
    <row r="1125" spans="7:8">
      <c r="G1125" s="2">
        <f>IF(F1125="PASS", E1125, "")</f>
        <v>0</v>
      </c>
      <c r="H1125">
        <f>IF(AND(F1125="PASS", G1125&lt;=IFERROR(VLOOKUP(A1125,Graduation_Cutoff!$A$2:$B$8,2,FALSE),DATE(9999,12,31))),"Y","")</f>
        <v>0</v>
      </c>
    </row>
    <row r="1126" spans="7:8">
      <c r="G1126" s="2">
        <f>IF(F1126="PASS", E1126, "")</f>
        <v>0</v>
      </c>
      <c r="H1126">
        <f>IF(AND(F1126="PASS", G1126&lt;=IFERROR(VLOOKUP(A1126,Graduation_Cutoff!$A$2:$B$8,2,FALSE),DATE(9999,12,31))),"Y","")</f>
        <v>0</v>
      </c>
    </row>
    <row r="1127" spans="7:8">
      <c r="G1127" s="2">
        <f>IF(F1127="PASS", E1127, "")</f>
        <v>0</v>
      </c>
      <c r="H1127">
        <f>IF(AND(F1127="PASS", G1127&lt;=IFERROR(VLOOKUP(A1127,Graduation_Cutoff!$A$2:$B$8,2,FALSE),DATE(9999,12,31))),"Y","")</f>
        <v>0</v>
      </c>
    </row>
    <row r="1128" spans="7:8">
      <c r="G1128" s="2">
        <f>IF(F1128="PASS", E1128, "")</f>
        <v>0</v>
      </c>
      <c r="H1128">
        <f>IF(AND(F1128="PASS", G1128&lt;=IFERROR(VLOOKUP(A1128,Graduation_Cutoff!$A$2:$B$8,2,FALSE),DATE(9999,12,31))),"Y","")</f>
        <v>0</v>
      </c>
    </row>
    <row r="1129" spans="7:8">
      <c r="G1129" s="2">
        <f>IF(F1129="PASS", E1129, "")</f>
        <v>0</v>
      </c>
      <c r="H1129">
        <f>IF(AND(F1129="PASS", G1129&lt;=IFERROR(VLOOKUP(A1129,Graduation_Cutoff!$A$2:$B$8,2,FALSE),DATE(9999,12,31))),"Y","")</f>
        <v>0</v>
      </c>
    </row>
    <row r="1130" spans="7:8">
      <c r="G1130" s="2">
        <f>IF(F1130="PASS", E1130, "")</f>
        <v>0</v>
      </c>
      <c r="H1130">
        <f>IF(AND(F1130="PASS", G1130&lt;=IFERROR(VLOOKUP(A1130,Graduation_Cutoff!$A$2:$B$8,2,FALSE),DATE(9999,12,31))),"Y","")</f>
        <v>0</v>
      </c>
    </row>
    <row r="1131" spans="7:8">
      <c r="G1131" s="2">
        <f>IF(F1131="PASS", E1131, "")</f>
        <v>0</v>
      </c>
      <c r="H1131">
        <f>IF(AND(F1131="PASS", G1131&lt;=IFERROR(VLOOKUP(A1131,Graduation_Cutoff!$A$2:$B$8,2,FALSE),DATE(9999,12,31))),"Y","")</f>
        <v>0</v>
      </c>
    </row>
    <row r="1132" spans="7:8">
      <c r="G1132" s="2">
        <f>IF(F1132="PASS", E1132, "")</f>
        <v>0</v>
      </c>
      <c r="H1132">
        <f>IF(AND(F1132="PASS", G1132&lt;=IFERROR(VLOOKUP(A1132,Graduation_Cutoff!$A$2:$B$8,2,FALSE),DATE(9999,12,31))),"Y","")</f>
        <v>0</v>
      </c>
    </row>
    <row r="1133" spans="7:8">
      <c r="G1133" s="2">
        <f>IF(F1133="PASS", E1133, "")</f>
        <v>0</v>
      </c>
      <c r="H1133">
        <f>IF(AND(F1133="PASS", G1133&lt;=IFERROR(VLOOKUP(A1133,Graduation_Cutoff!$A$2:$B$8,2,FALSE),DATE(9999,12,31))),"Y","")</f>
        <v>0</v>
      </c>
    </row>
    <row r="1134" spans="7:8">
      <c r="G1134" s="2">
        <f>IF(F1134="PASS", E1134, "")</f>
        <v>0</v>
      </c>
      <c r="H1134">
        <f>IF(AND(F1134="PASS", G1134&lt;=IFERROR(VLOOKUP(A1134,Graduation_Cutoff!$A$2:$B$8,2,FALSE),DATE(9999,12,31))),"Y","")</f>
        <v>0</v>
      </c>
    </row>
    <row r="1135" spans="7:8">
      <c r="G1135" s="2">
        <f>IF(F1135="PASS", E1135, "")</f>
        <v>0</v>
      </c>
      <c r="H1135">
        <f>IF(AND(F1135="PASS", G1135&lt;=IFERROR(VLOOKUP(A1135,Graduation_Cutoff!$A$2:$B$8,2,FALSE),DATE(9999,12,31))),"Y","")</f>
        <v>0</v>
      </c>
    </row>
    <row r="1136" spans="7:8">
      <c r="G1136" s="2">
        <f>IF(F1136="PASS", E1136, "")</f>
        <v>0</v>
      </c>
      <c r="H1136">
        <f>IF(AND(F1136="PASS", G1136&lt;=IFERROR(VLOOKUP(A1136,Graduation_Cutoff!$A$2:$B$8,2,FALSE),DATE(9999,12,31))),"Y","")</f>
        <v>0</v>
      </c>
    </row>
    <row r="1137" spans="7:8">
      <c r="G1137" s="2">
        <f>IF(F1137="PASS", E1137, "")</f>
        <v>0</v>
      </c>
      <c r="H1137">
        <f>IF(AND(F1137="PASS", G1137&lt;=IFERROR(VLOOKUP(A1137,Graduation_Cutoff!$A$2:$B$8,2,FALSE),DATE(9999,12,31))),"Y","")</f>
        <v>0</v>
      </c>
    </row>
    <row r="1138" spans="7:8">
      <c r="G1138" s="2">
        <f>IF(F1138="PASS", E1138, "")</f>
        <v>0</v>
      </c>
      <c r="H1138">
        <f>IF(AND(F1138="PASS", G1138&lt;=IFERROR(VLOOKUP(A1138,Graduation_Cutoff!$A$2:$B$8,2,FALSE),DATE(9999,12,31))),"Y","")</f>
        <v>0</v>
      </c>
    </row>
    <row r="1139" spans="7:8">
      <c r="G1139" s="2">
        <f>IF(F1139="PASS", E1139, "")</f>
        <v>0</v>
      </c>
      <c r="H1139">
        <f>IF(AND(F1139="PASS", G1139&lt;=IFERROR(VLOOKUP(A1139,Graduation_Cutoff!$A$2:$B$8,2,FALSE),DATE(9999,12,31))),"Y","")</f>
        <v>0</v>
      </c>
    </row>
    <row r="1140" spans="7:8">
      <c r="G1140" s="2">
        <f>IF(F1140="PASS", E1140, "")</f>
        <v>0</v>
      </c>
      <c r="H1140">
        <f>IF(AND(F1140="PASS", G1140&lt;=IFERROR(VLOOKUP(A1140,Graduation_Cutoff!$A$2:$B$8,2,FALSE),DATE(9999,12,31))),"Y","")</f>
        <v>0</v>
      </c>
    </row>
    <row r="1141" spans="7:8">
      <c r="G1141" s="2">
        <f>IF(F1141="PASS", E1141, "")</f>
        <v>0</v>
      </c>
      <c r="H1141">
        <f>IF(AND(F1141="PASS", G1141&lt;=IFERROR(VLOOKUP(A1141,Graduation_Cutoff!$A$2:$B$8,2,FALSE),DATE(9999,12,31))),"Y","")</f>
        <v>0</v>
      </c>
    </row>
    <row r="1142" spans="7:8">
      <c r="G1142" s="2">
        <f>IF(F1142="PASS", E1142, "")</f>
        <v>0</v>
      </c>
      <c r="H1142">
        <f>IF(AND(F1142="PASS", G1142&lt;=IFERROR(VLOOKUP(A1142,Graduation_Cutoff!$A$2:$B$8,2,FALSE),DATE(9999,12,31))),"Y","")</f>
        <v>0</v>
      </c>
    </row>
    <row r="1143" spans="7:8">
      <c r="G1143" s="2">
        <f>IF(F1143="PASS", E1143, "")</f>
        <v>0</v>
      </c>
      <c r="H1143">
        <f>IF(AND(F1143="PASS", G1143&lt;=IFERROR(VLOOKUP(A1143,Graduation_Cutoff!$A$2:$B$8,2,FALSE),DATE(9999,12,31))),"Y","")</f>
        <v>0</v>
      </c>
    </row>
    <row r="1144" spans="7:8">
      <c r="G1144" s="2">
        <f>IF(F1144="PASS", E1144, "")</f>
        <v>0</v>
      </c>
      <c r="H1144">
        <f>IF(AND(F1144="PASS", G1144&lt;=IFERROR(VLOOKUP(A1144,Graduation_Cutoff!$A$2:$B$8,2,FALSE),DATE(9999,12,31))),"Y","")</f>
        <v>0</v>
      </c>
    </row>
    <row r="1145" spans="7:8">
      <c r="G1145" s="2">
        <f>IF(F1145="PASS", E1145, "")</f>
        <v>0</v>
      </c>
      <c r="H1145">
        <f>IF(AND(F1145="PASS", G1145&lt;=IFERROR(VLOOKUP(A1145,Graduation_Cutoff!$A$2:$B$8,2,FALSE),DATE(9999,12,31))),"Y","")</f>
        <v>0</v>
      </c>
    </row>
    <row r="1146" spans="7:8">
      <c r="G1146" s="2">
        <f>IF(F1146="PASS", E1146, "")</f>
        <v>0</v>
      </c>
      <c r="H1146">
        <f>IF(AND(F1146="PASS", G1146&lt;=IFERROR(VLOOKUP(A1146,Graduation_Cutoff!$A$2:$B$8,2,FALSE),DATE(9999,12,31))),"Y","")</f>
        <v>0</v>
      </c>
    </row>
    <row r="1147" spans="7:8">
      <c r="G1147" s="2">
        <f>IF(F1147="PASS", E1147, "")</f>
        <v>0</v>
      </c>
      <c r="H1147">
        <f>IF(AND(F1147="PASS", G1147&lt;=IFERROR(VLOOKUP(A1147,Graduation_Cutoff!$A$2:$B$8,2,FALSE),DATE(9999,12,31))),"Y","")</f>
        <v>0</v>
      </c>
    </row>
    <row r="1148" spans="7:8">
      <c r="G1148" s="2">
        <f>IF(F1148="PASS", E1148, "")</f>
        <v>0</v>
      </c>
      <c r="H1148">
        <f>IF(AND(F1148="PASS", G1148&lt;=IFERROR(VLOOKUP(A1148,Graduation_Cutoff!$A$2:$B$8,2,FALSE),DATE(9999,12,31))),"Y","")</f>
        <v>0</v>
      </c>
    </row>
    <row r="1149" spans="7:8">
      <c r="G1149" s="2">
        <f>IF(F1149="PASS", E1149, "")</f>
        <v>0</v>
      </c>
      <c r="H1149">
        <f>IF(AND(F1149="PASS", G1149&lt;=IFERROR(VLOOKUP(A1149,Graduation_Cutoff!$A$2:$B$8,2,FALSE),DATE(9999,12,31))),"Y","")</f>
        <v>0</v>
      </c>
    </row>
    <row r="1150" spans="7:8">
      <c r="G1150" s="2">
        <f>IF(F1150="PASS", E1150, "")</f>
        <v>0</v>
      </c>
      <c r="H1150">
        <f>IF(AND(F1150="PASS", G1150&lt;=IFERROR(VLOOKUP(A1150,Graduation_Cutoff!$A$2:$B$8,2,FALSE),DATE(9999,12,31))),"Y","")</f>
        <v>0</v>
      </c>
    </row>
    <row r="1151" spans="7:8">
      <c r="G1151" s="2">
        <f>IF(F1151="PASS", E1151, "")</f>
        <v>0</v>
      </c>
      <c r="H1151">
        <f>IF(AND(F1151="PASS", G1151&lt;=IFERROR(VLOOKUP(A1151,Graduation_Cutoff!$A$2:$B$8,2,FALSE),DATE(9999,12,31))),"Y","")</f>
        <v>0</v>
      </c>
    </row>
    <row r="1152" spans="7:8">
      <c r="G1152" s="2">
        <f>IF(F1152="PASS", E1152, "")</f>
        <v>0</v>
      </c>
      <c r="H1152">
        <f>IF(AND(F1152="PASS", G1152&lt;=IFERROR(VLOOKUP(A1152,Graduation_Cutoff!$A$2:$B$8,2,FALSE),DATE(9999,12,31))),"Y","")</f>
        <v>0</v>
      </c>
    </row>
    <row r="1153" spans="7:8">
      <c r="G1153" s="2">
        <f>IF(F1153="PASS", E1153, "")</f>
        <v>0</v>
      </c>
      <c r="H1153">
        <f>IF(AND(F1153="PASS", G1153&lt;=IFERROR(VLOOKUP(A1153,Graduation_Cutoff!$A$2:$B$8,2,FALSE),DATE(9999,12,31))),"Y","")</f>
        <v>0</v>
      </c>
    </row>
    <row r="1154" spans="7:8">
      <c r="G1154" s="2">
        <f>IF(F1154="PASS", E1154, "")</f>
        <v>0</v>
      </c>
      <c r="H1154">
        <f>IF(AND(F1154="PASS", G1154&lt;=IFERROR(VLOOKUP(A1154,Graduation_Cutoff!$A$2:$B$8,2,FALSE),DATE(9999,12,31))),"Y","")</f>
        <v>0</v>
      </c>
    </row>
    <row r="1155" spans="7:8">
      <c r="G1155" s="2">
        <f>IF(F1155="PASS", E1155, "")</f>
        <v>0</v>
      </c>
      <c r="H1155">
        <f>IF(AND(F1155="PASS", G1155&lt;=IFERROR(VLOOKUP(A1155,Graduation_Cutoff!$A$2:$B$8,2,FALSE),DATE(9999,12,31))),"Y","")</f>
        <v>0</v>
      </c>
    </row>
    <row r="1156" spans="7:8">
      <c r="G1156" s="2">
        <f>IF(F1156="PASS", E1156, "")</f>
        <v>0</v>
      </c>
      <c r="H1156">
        <f>IF(AND(F1156="PASS", G1156&lt;=IFERROR(VLOOKUP(A1156,Graduation_Cutoff!$A$2:$B$8,2,FALSE),DATE(9999,12,31))),"Y","")</f>
        <v>0</v>
      </c>
    </row>
    <row r="1157" spans="7:8">
      <c r="G1157" s="2">
        <f>IF(F1157="PASS", E1157, "")</f>
        <v>0</v>
      </c>
      <c r="H1157">
        <f>IF(AND(F1157="PASS", G1157&lt;=IFERROR(VLOOKUP(A1157,Graduation_Cutoff!$A$2:$B$8,2,FALSE),DATE(9999,12,31))),"Y","")</f>
        <v>0</v>
      </c>
    </row>
    <row r="1158" spans="7:8">
      <c r="G1158" s="2">
        <f>IF(F1158="PASS", E1158, "")</f>
        <v>0</v>
      </c>
      <c r="H1158">
        <f>IF(AND(F1158="PASS", G1158&lt;=IFERROR(VLOOKUP(A1158,Graduation_Cutoff!$A$2:$B$8,2,FALSE),DATE(9999,12,31))),"Y","")</f>
        <v>0</v>
      </c>
    </row>
    <row r="1159" spans="7:8">
      <c r="G1159" s="2">
        <f>IF(F1159="PASS", E1159, "")</f>
        <v>0</v>
      </c>
      <c r="H1159">
        <f>IF(AND(F1159="PASS", G1159&lt;=IFERROR(VLOOKUP(A1159,Graduation_Cutoff!$A$2:$B$8,2,FALSE),DATE(9999,12,31))),"Y","")</f>
        <v>0</v>
      </c>
    </row>
    <row r="1160" spans="7:8">
      <c r="G1160" s="2">
        <f>IF(F1160="PASS", E1160, "")</f>
        <v>0</v>
      </c>
      <c r="H1160">
        <f>IF(AND(F1160="PASS", G1160&lt;=IFERROR(VLOOKUP(A1160,Graduation_Cutoff!$A$2:$B$8,2,FALSE),DATE(9999,12,31))),"Y","")</f>
        <v>0</v>
      </c>
    </row>
    <row r="1161" spans="7:8">
      <c r="G1161" s="2">
        <f>IF(F1161="PASS", E1161, "")</f>
        <v>0</v>
      </c>
      <c r="H1161">
        <f>IF(AND(F1161="PASS", G1161&lt;=IFERROR(VLOOKUP(A1161,Graduation_Cutoff!$A$2:$B$8,2,FALSE),DATE(9999,12,31))),"Y","")</f>
        <v>0</v>
      </c>
    </row>
    <row r="1162" spans="7:8">
      <c r="G1162" s="2">
        <f>IF(F1162="PASS", E1162, "")</f>
        <v>0</v>
      </c>
      <c r="H1162">
        <f>IF(AND(F1162="PASS", G1162&lt;=IFERROR(VLOOKUP(A1162,Graduation_Cutoff!$A$2:$B$8,2,FALSE),DATE(9999,12,31))),"Y","")</f>
        <v>0</v>
      </c>
    </row>
    <row r="1163" spans="7:8">
      <c r="G1163" s="2">
        <f>IF(F1163="PASS", E1163, "")</f>
        <v>0</v>
      </c>
      <c r="H1163">
        <f>IF(AND(F1163="PASS", G1163&lt;=IFERROR(VLOOKUP(A1163,Graduation_Cutoff!$A$2:$B$8,2,FALSE),DATE(9999,12,31))),"Y","")</f>
        <v>0</v>
      </c>
    </row>
    <row r="1164" spans="7:8">
      <c r="G1164" s="2">
        <f>IF(F1164="PASS", E1164, "")</f>
        <v>0</v>
      </c>
      <c r="H1164">
        <f>IF(AND(F1164="PASS", G1164&lt;=IFERROR(VLOOKUP(A1164,Graduation_Cutoff!$A$2:$B$8,2,FALSE),DATE(9999,12,31))),"Y","")</f>
        <v>0</v>
      </c>
    </row>
    <row r="1165" spans="7:8">
      <c r="G1165" s="2">
        <f>IF(F1165="PASS", E1165, "")</f>
        <v>0</v>
      </c>
      <c r="H1165">
        <f>IF(AND(F1165="PASS", G1165&lt;=IFERROR(VLOOKUP(A1165,Graduation_Cutoff!$A$2:$B$8,2,FALSE),DATE(9999,12,31))),"Y","")</f>
        <v>0</v>
      </c>
    </row>
    <row r="1166" spans="7:8">
      <c r="G1166" s="2">
        <f>IF(F1166="PASS", E1166, "")</f>
        <v>0</v>
      </c>
      <c r="H1166">
        <f>IF(AND(F1166="PASS", G1166&lt;=IFERROR(VLOOKUP(A1166,Graduation_Cutoff!$A$2:$B$8,2,FALSE),DATE(9999,12,31))),"Y","")</f>
        <v>0</v>
      </c>
    </row>
    <row r="1167" spans="7:8">
      <c r="G1167" s="2">
        <f>IF(F1167="PASS", E1167, "")</f>
        <v>0</v>
      </c>
      <c r="H1167">
        <f>IF(AND(F1167="PASS", G1167&lt;=IFERROR(VLOOKUP(A1167,Graduation_Cutoff!$A$2:$B$8,2,FALSE),DATE(9999,12,31))),"Y","")</f>
        <v>0</v>
      </c>
    </row>
    <row r="1168" spans="7:8">
      <c r="G1168" s="2">
        <f>IF(F1168="PASS", E1168, "")</f>
        <v>0</v>
      </c>
      <c r="H1168">
        <f>IF(AND(F1168="PASS", G1168&lt;=IFERROR(VLOOKUP(A1168,Graduation_Cutoff!$A$2:$B$8,2,FALSE),DATE(9999,12,31))),"Y","")</f>
        <v>0</v>
      </c>
    </row>
    <row r="1169" spans="7:8">
      <c r="G1169" s="2">
        <f>IF(F1169="PASS", E1169, "")</f>
        <v>0</v>
      </c>
      <c r="H1169">
        <f>IF(AND(F1169="PASS", G1169&lt;=IFERROR(VLOOKUP(A1169,Graduation_Cutoff!$A$2:$B$8,2,FALSE),DATE(9999,12,31))),"Y","")</f>
        <v>0</v>
      </c>
    </row>
    <row r="1170" spans="7:8">
      <c r="G1170" s="2">
        <f>IF(F1170="PASS", E1170, "")</f>
        <v>0</v>
      </c>
      <c r="H1170">
        <f>IF(AND(F1170="PASS", G1170&lt;=IFERROR(VLOOKUP(A1170,Graduation_Cutoff!$A$2:$B$8,2,FALSE),DATE(9999,12,31))),"Y","")</f>
        <v>0</v>
      </c>
    </row>
    <row r="1171" spans="7:8">
      <c r="G1171" s="2">
        <f>IF(F1171="PASS", E1171, "")</f>
        <v>0</v>
      </c>
      <c r="H1171">
        <f>IF(AND(F1171="PASS", G1171&lt;=IFERROR(VLOOKUP(A1171,Graduation_Cutoff!$A$2:$B$8,2,FALSE),DATE(9999,12,31))),"Y","")</f>
        <v>0</v>
      </c>
    </row>
    <row r="1172" spans="7:8">
      <c r="G1172" s="2">
        <f>IF(F1172="PASS", E1172, "")</f>
        <v>0</v>
      </c>
      <c r="H1172">
        <f>IF(AND(F1172="PASS", G1172&lt;=IFERROR(VLOOKUP(A1172,Graduation_Cutoff!$A$2:$B$8,2,FALSE),DATE(9999,12,31))),"Y","")</f>
        <v>0</v>
      </c>
    </row>
    <row r="1173" spans="7:8">
      <c r="G1173" s="2">
        <f>IF(F1173="PASS", E1173, "")</f>
        <v>0</v>
      </c>
      <c r="H1173">
        <f>IF(AND(F1173="PASS", G1173&lt;=IFERROR(VLOOKUP(A1173,Graduation_Cutoff!$A$2:$B$8,2,FALSE),DATE(9999,12,31))),"Y","")</f>
        <v>0</v>
      </c>
    </row>
    <row r="1174" spans="7:8">
      <c r="G1174" s="2">
        <f>IF(F1174="PASS", E1174, "")</f>
        <v>0</v>
      </c>
      <c r="H1174">
        <f>IF(AND(F1174="PASS", G1174&lt;=IFERROR(VLOOKUP(A1174,Graduation_Cutoff!$A$2:$B$8,2,FALSE),DATE(9999,12,31))),"Y","")</f>
        <v>0</v>
      </c>
    </row>
    <row r="1175" spans="7:8">
      <c r="G1175" s="2">
        <f>IF(F1175="PASS", E1175, "")</f>
        <v>0</v>
      </c>
      <c r="H1175">
        <f>IF(AND(F1175="PASS", G1175&lt;=IFERROR(VLOOKUP(A1175,Graduation_Cutoff!$A$2:$B$8,2,FALSE),DATE(9999,12,31))),"Y","")</f>
        <v>0</v>
      </c>
    </row>
    <row r="1176" spans="7:8">
      <c r="G1176" s="2">
        <f>IF(F1176="PASS", E1176, "")</f>
        <v>0</v>
      </c>
      <c r="H1176">
        <f>IF(AND(F1176="PASS", G1176&lt;=IFERROR(VLOOKUP(A1176,Graduation_Cutoff!$A$2:$B$8,2,FALSE),DATE(9999,12,31))),"Y","")</f>
        <v>0</v>
      </c>
    </row>
    <row r="1177" spans="7:8">
      <c r="G1177" s="2">
        <f>IF(F1177="PASS", E1177, "")</f>
        <v>0</v>
      </c>
      <c r="H1177">
        <f>IF(AND(F1177="PASS", G1177&lt;=IFERROR(VLOOKUP(A1177,Graduation_Cutoff!$A$2:$B$8,2,FALSE),DATE(9999,12,31))),"Y","")</f>
        <v>0</v>
      </c>
    </row>
    <row r="1178" spans="7:8">
      <c r="G1178" s="2">
        <f>IF(F1178="PASS", E1178, "")</f>
        <v>0</v>
      </c>
      <c r="H1178">
        <f>IF(AND(F1178="PASS", G1178&lt;=IFERROR(VLOOKUP(A1178,Graduation_Cutoff!$A$2:$B$8,2,FALSE),DATE(9999,12,31))),"Y","")</f>
        <v>0</v>
      </c>
    </row>
    <row r="1179" spans="7:8">
      <c r="G1179" s="2">
        <f>IF(F1179="PASS", E1179, "")</f>
        <v>0</v>
      </c>
      <c r="H1179">
        <f>IF(AND(F1179="PASS", G1179&lt;=IFERROR(VLOOKUP(A1179,Graduation_Cutoff!$A$2:$B$8,2,FALSE),DATE(9999,12,31))),"Y","")</f>
        <v>0</v>
      </c>
    </row>
    <row r="1180" spans="7:8">
      <c r="G1180" s="2">
        <f>IF(F1180="PASS", E1180, "")</f>
        <v>0</v>
      </c>
      <c r="H1180">
        <f>IF(AND(F1180="PASS", G1180&lt;=IFERROR(VLOOKUP(A1180,Graduation_Cutoff!$A$2:$B$8,2,FALSE),DATE(9999,12,31))),"Y","")</f>
        <v>0</v>
      </c>
    </row>
    <row r="1181" spans="7:8">
      <c r="G1181" s="2">
        <f>IF(F1181="PASS", E1181, "")</f>
        <v>0</v>
      </c>
      <c r="H1181">
        <f>IF(AND(F1181="PASS", G1181&lt;=IFERROR(VLOOKUP(A1181,Graduation_Cutoff!$A$2:$B$8,2,FALSE),DATE(9999,12,31))),"Y","")</f>
        <v>0</v>
      </c>
    </row>
    <row r="1182" spans="7:8">
      <c r="G1182" s="2">
        <f>IF(F1182="PASS", E1182, "")</f>
        <v>0</v>
      </c>
      <c r="H1182">
        <f>IF(AND(F1182="PASS", G1182&lt;=IFERROR(VLOOKUP(A1182,Graduation_Cutoff!$A$2:$B$8,2,FALSE),DATE(9999,12,31))),"Y","")</f>
        <v>0</v>
      </c>
    </row>
    <row r="1183" spans="7:8">
      <c r="G1183" s="2">
        <f>IF(F1183="PASS", E1183, "")</f>
        <v>0</v>
      </c>
      <c r="H1183">
        <f>IF(AND(F1183="PASS", G1183&lt;=IFERROR(VLOOKUP(A1183,Graduation_Cutoff!$A$2:$B$8,2,FALSE),DATE(9999,12,31))),"Y","")</f>
        <v>0</v>
      </c>
    </row>
    <row r="1184" spans="7:8">
      <c r="G1184" s="2">
        <f>IF(F1184="PASS", E1184, "")</f>
        <v>0</v>
      </c>
      <c r="H1184">
        <f>IF(AND(F1184="PASS", G1184&lt;=IFERROR(VLOOKUP(A1184,Graduation_Cutoff!$A$2:$B$8,2,FALSE),DATE(9999,12,31))),"Y","")</f>
        <v>0</v>
      </c>
    </row>
    <row r="1185" spans="7:8">
      <c r="G1185" s="2">
        <f>IF(F1185="PASS", E1185, "")</f>
        <v>0</v>
      </c>
      <c r="H1185">
        <f>IF(AND(F1185="PASS", G1185&lt;=IFERROR(VLOOKUP(A1185,Graduation_Cutoff!$A$2:$B$8,2,FALSE),DATE(9999,12,31))),"Y","")</f>
        <v>0</v>
      </c>
    </row>
    <row r="1186" spans="7:8">
      <c r="G1186" s="2">
        <f>IF(F1186="PASS", E1186, "")</f>
        <v>0</v>
      </c>
      <c r="H1186">
        <f>IF(AND(F1186="PASS", G1186&lt;=IFERROR(VLOOKUP(A1186,Graduation_Cutoff!$A$2:$B$8,2,FALSE),DATE(9999,12,31))),"Y","")</f>
        <v>0</v>
      </c>
    </row>
    <row r="1187" spans="7:8">
      <c r="G1187" s="2">
        <f>IF(F1187="PASS", E1187, "")</f>
        <v>0</v>
      </c>
      <c r="H1187">
        <f>IF(AND(F1187="PASS", G1187&lt;=IFERROR(VLOOKUP(A1187,Graduation_Cutoff!$A$2:$B$8,2,FALSE),DATE(9999,12,31))),"Y","")</f>
        <v>0</v>
      </c>
    </row>
    <row r="1188" spans="7:8">
      <c r="G1188" s="2">
        <f>IF(F1188="PASS", E1188, "")</f>
        <v>0</v>
      </c>
      <c r="H1188">
        <f>IF(AND(F1188="PASS", G1188&lt;=IFERROR(VLOOKUP(A1188,Graduation_Cutoff!$A$2:$B$8,2,FALSE),DATE(9999,12,31))),"Y","")</f>
        <v>0</v>
      </c>
    </row>
    <row r="1189" spans="7:8">
      <c r="G1189" s="2">
        <f>IF(F1189="PASS", E1189, "")</f>
        <v>0</v>
      </c>
      <c r="H1189">
        <f>IF(AND(F1189="PASS", G1189&lt;=IFERROR(VLOOKUP(A1189,Graduation_Cutoff!$A$2:$B$8,2,FALSE),DATE(9999,12,31))),"Y","")</f>
        <v>0</v>
      </c>
    </row>
    <row r="1190" spans="7:8">
      <c r="G1190" s="2">
        <f>IF(F1190="PASS", E1190, "")</f>
        <v>0</v>
      </c>
      <c r="H1190">
        <f>IF(AND(F1190="PASS", G1190&lt;=IFERROR(VLOOKUP(A1190,Graduation_Cutoff!$A$2:$B$8,2,FALSE),DATE(9999,12,31))),"Y","")</f>
        <v>0</v>
      </c>
    </row>
    <row r="1191" spans="7:8">
      <c r="G1191" s="2">
        <f>IF(F1191="PASS", E1191, "")</f>
        <v>0</v>
      </c>
      <c r="H1191">
        <f>IF(AND(F1191="PASS", G1191&lt;=IFERROR(VLOOKUP(A1191,Graduation_Cutoff!$A$2:$B$8,2,FALSE),DATE(9999,12,31))),"Y","")</f>
        <v>0</v>
      </c>
    </row>
    <row r="1192" spans="7:8">
      <c r="G1192" s="2">
        <f>IF(F1192="PASS", E1192, "")</f>
        <v>0</v>
      </c>
      <c r="H1192">
        <f>IF(AND(F1192="PASS", G1192&lt;=IFERROR(VLOOKUP(A1192,Graduation_Cutoff!$A$2:$B$8,2,FALSE),DATE(9999,12,31))),"Y","")</f>
        <v>0</v>
      </c>
    </row>
    <row r="1193" spans="7:8">
      <c r="G1193" s="2">
        <f>IF(F1193="PASS", E1193, "")</f>
        <v>0</v>
      </c>
      <c r="H1193">
        <f>IF(AND(F1193="PASS", G1193&lt;=IFERROR(VLOOKUP(A1193,Graduation_Cutoff!$A$2:$B$8,2,FALSE),DATE(9999,12,31))),"Y","")</f>
        <v>0</v>
      </c>
    </row>
    <row r="1194" spans="7:8">
      <c r="G1194" s="2">
        <f>IF(F1194="PASS", E1194, "")</f>
        <v>0</v>
      </c>
      <c r="H1194">
        <f>IF(AND(F1194="PASS", G1194&lt;=IFERROR(VLOOKUP(A1194,Graduation_Cutoff!$A$2:$B$8,2,FALSE),DATE(9999,12,31))),"Y","")</f>
        <v>0</v>
      </c>
    </row>
    <row r="1195" spans="7:8">
      <c r="G1195" s="2">
        <f>IF(F1195="PASS", E1195, "")</f>
        <v>0</v>
      </c>
      <c r="H1195">
        <f>IF(AND(F1195="PASS", G1195&lt;=IFERROR(VLOOKUP(A1195,Graduation_Cutoff!$A$2:$B$8,2,FALSE),DATE(9999,12,31))),"Y","")</f>
        <v>0</v>
      </c>
    </row>
    <row r="1196" spans="7:8">
      <c r="G1196" s="2">
        <f>IF(F1196="PASS", E1196, "")</f>
        <v>0</v>
      </c>
      <c r="H1196">
        <f>IF(AND(F1196="PASS", G1196&lt;=IFERROR(VLOOKUP(A1196,Graduation_Cutoff!$A$2:$B$8,2,FALSE),DATE(9999,12,31))),"Y","")</f>
        <v>0</v>
      </c>
    </row>
    <row r="1197" spans="7:8">
      <c r="G1197" s="2">
        <f>IF(F1197="PASS", E1197, "")</f>
        <v>0</v>
      </c>
      <c r="H1197">
        <f>IF(AND(F1197="PASS", G1197&lt;=IFERROR(VLOOKUP(A1197,Graduation_Cutoff!$A$2:$B$8,2,FALSE),DATE(9999,12,31))),"Y","")</f>
        <v>0</v>
      </c>
    </row>
    <row r="1198" spans="7:8">
      <c r="G1198" s="2">
        <f>IF(F1198="PASS", E1198, "")</f>
        <v>0</v>
      </c>
      <c r="H1198">
        <f>IF(AND(F1198="PASS", G1198&lt;=IFERROR(VLOOKUP(A1198,Graduation_Cutoff!$A$2:$B$8,2,FALSE),DATE(9999,12,31))),"Y","")</f>
        <v>0</v>
      </c>
    </row>
    <row r="1199" spans="7:8">
      <c r="G1199" s="2">
        <f>IF(F1199="PASS", E1199, "")</f>
        <v>0</v>
      </c>
      <c r="H1199">
        <f>IF(AND(F1199="PASS", G1199&lt;=IFERROR(VLOOKUP(A1199,Graduation_Cutoff!$A$2:$B$8,2,FALSE),DATE(9999,12,31))),"Y","")</f>
        <v>0</v>
      </c>
    </row>
    <row r="1200" spans="7:8">
      <c r="G1200" s="2">
        <f>IF(F1200="PASS", E1200, "")</f>
        <v>0</v>
      </c>
      <c r="H1200">
        <f>IF(AND(F1200="PASS", G1200&lt;=IFERROR(VLOOKUP(A1200,Graduation_Cutoff!$A$2:$B$8,2,FALSE),DATE(9999,12,31))),"Y","")</f>
        <v>0</v>
      </c>
    </row>
    <row r="1201" spans="7:8">
      <c r="G1201" s="2">
        <f>IF(F1201="PASS", E1201, "")</f>
        <v>0</v>
      </c>
      <c r="H1201">
        <f>IF(AND(F1201="PASS", G1201&lt;=IFERROR(VLOOKUP(A1201,Graduation_Cutoff!$A$2:$B$8,2,FALSE),DATE(9999,12,31))),"Y","")</f>
        <v>0</v>
      </c>
    </row>
    <row r="1202" spans="7:8">
      <c r="G1202" s="2">
        <f>IF(F1202="PASS", E1202, "")</f>
        <v>0</v>
      </c>
      <c r="H1202">
        <f>IF(AND(F1202="PASS", G1202&lt;=IFERROR(VLOOKUP(A1202,Graduation_Cutoff!$A$2:$B$8,2,FALSE),DATE(9999,12,31))),"Y","")</f>
        <v>0</v>
      </c>
    </row>
    <row r="1203" spans="7:8">
      <c r="G1203" s="2">
        <f>IF(F1203="PASS", E1203, "")</f>
        <v>0</v>
      </c>
      <c r="H1203">
        <f>IF(AND(F1203="PASS", G1203&lt;=IFERROR(VLOOKUP(A1203,Graduation_Cutoff!$A$2:$B$8,2,FALSE),DATE(9999,12,31))),"Y","")</f>
        <v>0</v>
      </c>
    </row>
    <row r="1204" spans="7:8">
      <c r="G1204" s="2">
        <f>IF(F1204="PASS", E1204, "")</f>
        <v>0</v>
      </c>
      <c r="H1204">
        <f>IF(AND(F1204="PASS", G1204&lt;=IFERROR(VLOOKUP(A1204,Graduation_Cutoff!$A$2:$B$8,2,FALSE),DATE(9999,12,31))),"Y","")</f>
        <v>0</v>
      </c>
    </row>
    <row r="1205" spans="7:8">
      <c r="G1205" s="2">
        <f>IF(F1205="PASS", E1205, "")</f>
        <v>0</v>
      </c>
      <c r="H1205">
        <f>IF(AND(F1205="PASS", G1205&lt;=IFERROR(VLOOKUP(A1205,Graduation_Cutoff!$A$2:$B$8,2,FALSE),DATE(9999,12,31))),"Y","")</f>
        <v>0</v>
      </c>
    </row>
    <row r="1206" spans="7:8">
      <c r="G1206" s="2">
        <f>IF(F1206="PASS", E1206, "")</f>
        <v>0</v>
      </c>
      <c r="H1206">
        <f>IF(AND(F1206="PASS", G1206&lt;=IFERROR(VLOOKUP(A1206,Graduation_Cutoff!$A$2:$B$8,2,FALSE),DATE(9999,12,31))),"Y","")</f>
        <v>0</v>
      </c>
    </row>
    <row r="1207" spans="7:8">
      <c r="G1207" s="2">
        <f>IF(F1207="PASS", E1207, "")</f>
        <v>0</v>
      </c>
      <c r="H1207">
        <f>IF(AND(F1207="PASS", G1207&lt;=IFERROR(VLOOKUP(A1207,Graduation_Cutoff!$A$2:$B$8,2,FALSE),DATE(9999,12,31))),"Y","")</f>
        <v>0</v>
      </c>
    </row>
    <row r="1208" spans="7:8">
      <c r="G1208" s="2">
        <f>IF(F1208="PASS", E1208, "")</f>
        <v>0</v>
      </c>
      <c r="H1208">
        <f>IF(AND(F1208="PASS", G1208&lt;=IFERROR(VLOOKUP(A1208,Graduation_Cutoff!$A$2:$B$8,2,FALSE),DATE(9999,12,31))),"Y","")</f>
        <v>0</v>
      </c>
    </row>
    <row r="1209" spans="7:8">
      <c r="G1209" s="2">
        <f>IF(F1209="PASS", E1209, "")</f>
        <v>0</v>
      </c>
      <c r="H1209">
        <f>IF(AND(F1209="PASS", G1209&lt;=IFERROR(VLOOKUP(A1209,Graduation_Cutoff!$A$2:$B$8,2,FALSE),DATE(9999,12,31))),"Y","")</f>
        <v>0</v>
      </c>
    </row>
    <row r="1210" spans="7:8">
      <c r="G1210" s="2">
        <f>IF(F1210="PASS", E1210, "")</f>
        <v>0</v>
      </c>
      <c r="H1210">
        <f>IF(AND(F1210="PASS", G1210&lt;=IFERROR(VLOOKUP(A1210,Graduation_Cutoff!$A$2:$B$8,2,FALSE),DATE(9999,12,31))),"Y","")</f>
        <v>0</v>
      </c>
    </row>
    <row r="1211" spans="7:8">
      <c r="G1211" s="2">
        <f>IF(F1211="PASS", E1211, "")</f>
        <v>0</v>
      </c>
      <c r="H1211">
        <f>IF(AND(F1211="PASS", G1211&lt;=IFERROR(VLOOKUP(A1211,Graduation_Cutoff!$A$2:$B$8,2,FALSE),DATE(9999,12,31))),"Y","")</f>
        <v>0</v>
      </c>
    </row>
    <row r="1212" spans="7:8">
      <c r="G1212" s="2">
        <f>IF(F1212="PASS", E1212, "")</f>
        <v>0</v>
      </c>
      <c r="H1212">
        <f>IF(AND(F1212="PASS", G1212&lt;=IFERROR(VLOOKUP(A1212,Graduation_Cutoff!$A$2:$B$8,2,FALSE),DATE(9999,12,31))),"Y","")</f>
        <v>0</v>
      </c>
    </row>
    <row r="1213" spans="7:8">
      <c r="G1213" s="2">
        <f>IF(F1213="PASS", E1213, "")</f>
        <v>0</v>
      </c>
      <c r="H1213">
        <f>IF(AND(F1213="PASS", G1213&lt;=IFERROR(VLOOKUP(A1213,Graduation_Cutoff!$A$2:$B$8,2,FALSE),DATE(9999,12,31))),"Y","")</f>
        <v>0</v>
      </c>
    </row>
    <row r="1214" spans="7:8">
      <c r="G1214" s="2">
        <f>IF(F1214="PASS", E1214, "")</f>
        <v>0</v>
      </c>
      <c r="H1214">
        <f>IF(AND(F1214="PASS", G1214&lt;=IFERROR(VLOOKUP(A1214,Graduation_Cutoff!$A$2:$B$8,2,FALSE),DATE(9999,12,31))),"Y","")</f>
        <v>0</v>
      </c>
    </row>
    <row r="1215" spans="7:8">
      <c r="G1215" s="2">
        <f>IF(F1215="PASS", E1215, "")</f>
        <v>0</v>
      </c>
      <c r="H1215">
        <f>IF(AND(F1215="PASS", G1215&lt;=IFERROR(VLOOKUP(A1215,Graduation_Cutoff!$A$2:$B$8,2,FALSE),DATE(9999,12,31))),"Y","")</f>
        <v>0</v>
      </c>
    </row>
    <row r="1216" spans="7:8">
      <c r="G1216" s="2">
        <f>IF(F1216="PASS", E1216, "")</f>
        <v>0</v>
      </c>
      <c r="H1216">
        <f>IF(AND(F1216="PASS", G1216&lt;=IFERROR(VLOOKUP(A1216,Graduation_Cutoff!$A$2:$B$8,2,FALSE),DATE(9999,12,31))),"Y","")</f>
        <v>0</v>
      </c>
    </row>
    <row r="1217" spans="7:8">
      <c r="G1217" s="2">
        <f>IF(F1217="PASS", E1217, "")</f>
        <v>0</v>
      </c>
      <c r="H1217">
        <f>IF(AND(F1217="PASS", G1217&lt;=IFERROR(VLOOKUP(A1217,Graduation_Cutoff!$A$2:$B$8,2,FALSE),DATE(9999,12,31))),"Y","")</f>
        <v>0</v>
      </c>
    </row>
    <row r="1218" spans="7:8">
      <c r="G1218" s="2">
        <f>IF(F1218="PASS", E1218, "")</f>
        <v>0</v>
      </c>
      <c r="H1218">
        <f>IF(AND(F1218="PASS", G1218&lt;=IFERROR(VLOOKUP(A1218,Graduation_Cutoff!$A$2:$B$8,2,FALSE),DATE(9999,12,31))),"Y","")</f>
        <v>0</v>
      </c>
    </row>
    <row r="1219" spans="7:8">
      <c r="G1219" s="2">
        <f>IF(F1219="PASS", E1219, "")</f>
        <v>0</v>
      </c>
      <c r="H1219">
        <f>IF(AND(F1219="PASS", G1219&lt;=IFERROR(VLOOKUP(A1219,Graduation_Cutoff!$A$2:$B$8,2,FALSE),DATE(9999,12,31))),"Y","")</f>
        <v>0</v>
      </c>
    </row>
    <row r="1220" spans="7:8">
      <c r="G1220" s="2">
        <f>IF(F1220="PASS", E1220, "")</f>
        <v>0</v>
      </c>
      <c r="H1220">
        <f>IF(AND(F1220="PASS", G1220&lt;=IFERROR(VLOOKUP(A1220,Graduation_Cutoff!$A$2:$B$8,2,FALSE),DATE(9999,12,31))),"Y","")</f>
        <v>0</v>
      </c>
    </row>
    <row r="1221" spans="7:8">
      <c r="G1221" s="2">
        <f>IF(F1221="PASS", E1221, "")</f>
        <v>0</v>
      </c>
      <c r="H1221">
        <f>IF(AND(F1221="PASS", G1221&lt;=IFERROR(VLOOKUP(A1221,Graduation_Cutoff!$A$2:$B$8,2,FALSE),DATE(9999,12,31))),"Y","")</f>
        <v>0</v>
      </c>
    </row>
    <row r="1222" spans="7:8">
      <c r="G1222" s="2">
        <f>IF(F1222="PASS", E1222, "")</f>
        <v>0</v>
      </c>
      <c r="H1222">
        <f>IF(AND(F1222="PASS", G1222&lt;=IFERROR(VLOOKUP(A1222,Graduation_Cutoff!$A$2:$B$8,2,FALSE),DATE(9999,12,31))),"Y","")</f>
        <v>0</v>
      </c>
    </row>
    <row r="1223" spans="7:8">
      <c r="G1223" s="2">
        <f>IF(F1223="PASS", E1223, "")</f>
        <v>0</v>
      </c>
      <c r="H1223">
        <f>IF(AND(F1223="PASS", G1223&lt;=IFERROR(VLOOKUP(A1223,Graduation_Cutoff!$A$2:$B$8,2,FALSE),DATE(9999,12,31))),"Y","")</f>
        <v>0</v>
      </c>
    </row>
    <row r="1224" spans="7:8">
      <c r="G1224" s="2">
        <f>IF(F1224="PASS", E1224, "")</f>
        <v>0</v>
      </c>
      <c r="H1224">
        <f>IF(AND(F1224="PASS", G1224&lt;=IFERROR(VLOOKUP(A1224,Graduation_Cutoff!$A$2:$B$8,2,FALSE),DATE(9999,12,31))),"Y","")</f>
        <v>0</v>
      </c>
    </row>
    <row r="1225" spans="7:8">
      <c r="G1225" s="2">
        <f>IF(F1225="PASS", E1225, "")</f>
        <v>0</v>
      </c>
      <c r="H1225">
        <f>IF(AND(F1225="PASS", G1225&lt;=IFERROR(VLOOKUP(A1225,Graduation_Cutoff!$A$2:$B$8,2,FALSE),DATE(9999,12,31))),"Y","")</f>
        <v>0</v>
      </c>
    </row>
    <row r="1226" spans="7:8">
      <c r="G1226" s="2">
        <f>IF(F1226="PASS", E1226, "")</f>
        <v>0</v>
      </c>
      <c r="H1226">
        <f>IF(AND(F1226="PASS", G1226&lt;=IFERROR(VLOOKUP(A1226,Graduation_Cutoff!$A$2:$B$8,2,FALSE),DATE(9999,12,31))),"Y","")</f>
        <v>0</v>
      </c>
    </row>
    <row r="1227" spans="7:8">
      <c r="G1227" s="2">
        <f>IF(F1227="PASS", E1227, "")</f>
        <v>0</v>
      </c>
      <c r="H1227">
        <f>IF(AND(F1227="PASS", G1227&lt;=IFERROR(VLOOKUP(A1227,Graduation_Cutoff!$A$2:$B$8,2,FALSE),DATE(9999,12,31))),"Y","")</f>
        <v>0</v>
      </c>
    </row>
    <row r="1228" spans="7:8">
      <c r="G1228" s="2">
        <f>IF(F1228="PASS", E1228, "")</f>
        <v>0</v>
      </c>
      <c r="H1228">
        <f>IF(AND(F1228="PASS", G1228&lt;=IFERROR(VLOOKUP(A1228,Graduation_Cutoff!$A$2:$B$8,2,FALSE),DATE(9999,12,31))),"Y","")</f>
        <v>0</v>
      </c>
    </row>
    <row r="1229" spans="7:8">
      <c r="G1229" s="2">
        <f>IF(F1229="PASS", E1229, "")</f>
        <v>0</v>
      </c>
      <c r="H1229">
        <f>IF(AND(F1229="PASS", G1229&lt;=IFERROR(VLOOKUP(A1229,Graduation_Cutoff!$A$2:$B$8,2,FALSE),DATE(9999,12,31))),"Y","")</f>
        <v>0</v>
      </c>
    </row>
    <row r="1230" spans="7:8">
      <c r="G1230" s="2">
        <f>IF(F1230="PASS", E1230, "")</f>
        <v>0</v>
      </c>
      <c r="H1230">
        <f>IF(AND(F1230="PASS", G1230&lt;=IFERROR(VLOOKUP(A1230,Graduation_Cutoff!$A$2:$B$8,2,FALSE),DATE(9999,12,31))),"Y","")</f>
        <v>0</v>
      </c>
    </row>
    <row r="1231" spans="7:8">
      <c r="G1231" s="2">
        <f>IF(F1231="PASS", E1231, "")</f>
        <v>0</v>
      </c>
      <c r="H1231">
        <f>IF(AND(F1231="PASS", G1231&lt;=IFERROR(VLOOKUP(A1231,Graduation_Cutoff!$A$2:$B$8,2,FALSE),DATE(9999,12,31))),"Y","")</f>
        <v>0</v>
      </c>
    </row>
    <row r="1232" spans="7:8">
      <c r="G1232" s="2">
        <f>IF(F1232="PASS", E1232, "")</f>
        <v>0</v>
      </c>
      <c r="H1232">
        <f>IF(AND(F1232="PASS", G1232&lt;=IFERROR(VLOOKUP(A1232,Graduation_Cutoff!$A$2:$B$8,2,FALSE),DATE(9999,12,31))),"Y","")</f>
        <v>0</v>
      </c>
    </row>
    <row r="1233" spans="7:8">
      <c r="G1233" s="2">
        <f>IF(F1233="PASS", E1233, "")</f>
        <v>0</v>
      </c>
      <c r="H1233">
        <f>IF(AND(F1233="PASS", G1233&lt;=IFERROR(VLOOKUP(A1233,Graduation_Cutoff!$A$2:$B$8,2,FALSE),DATE(9999,12,31))),"Y","")</f>
        <v>0</v>
      </c>
    </row>
    <row r="1234" spans="7:8">
      <c r="G1234" s="2">
        <f>IF(F1234="PASS", E1234, "")</f>
        <v>0</v>
      </c>
      <c r="H1234">
        <f>IF(AND(F1234="PASS", G1234&lt;=IFERROR(VLOOKUP(A1234,Graduation_Cutoff!$A$2:$B$8,2,FALSE),DATE(9999,12,31))),"Y","")</f>
        <v>0</v>
      </c>
    </row>
    <row r="1235" spans="7:8">
      <c r="G1235" s="2">
        <f>IF(F1235="PASS", E1235, "")</f>
        <v>0</v>
      </c>
      <c r="H1235">
        <f>IF(AND(F1235="PASS", G1235&lt;=IFERROR(VLOOKUP(A1235,Graduation_Cutoff!$A$2:$B$8,2,FALSE),DATE(9999,12,31))),"Y","")</f>
        <v>0</v>
      </c>
    </row>
    <row r="1236" spans="7:8">
      <c r="G1236" s="2">
        <f>IF(F1236="PASS", E1236, "")</f>
        <v>0</v>
      </c>
      <c r="H1236">
        <f>IF(AND(F1236="PASS", G1236&lt;=IFERROR(VLOOKUP(A1236,Graduation_Cutoff!$A$2:$B$8,2,FALSE),DATE(9999,12,31))),"Y","")</f>
        <v>0</v>
      </c>
    </row>
    <row r="1237" spans="7:8">
      <c r="G1237" s="2">
        <f>IF(F1237="PASS", E1237, "")</f>
        <v>0</v>
      </c>
      <c r="H1237">
        <f>IF(AND(F1237="PASS", G1237&lt;=IFERROR(VLOOKUP(A1237,Graduation_Cutoff!$A$2:$B$8,2,FALSE),DATE(9999,12,31))),"Y","")</f>
        <v>0</v>
      </c>
    </row>
    <row r="1238" spans="7:8">
      <c r="G1238" s="2">
        <f>IF(F1238="PASS", E1238, "")</f>
        <v>0</v>
      </c>
      <c r="H1238">
        <f>IF(AND(F1238="PASS", G1238&lt;=IFERROR(VLOOKUP(A1238,Graduation_Cutoff!$A$2:$B$8,2,FALSE),DATE(9999,12,31))),"Y","")</f>
        <v>0</v>
      </c>
    </row>
    <row r="1239" spans="7:8">
      <c r="G1239" s="2">
        <f>IF(F1239="PASS", E1239, "")</f>
        <v>0</v>
      </c>
      <c r="H1239">
        <f>IF(AND(F1239="PASS", G1239&lt;=IFERROR(VLOOKUP(A1239,Graduation_Cutoff!$A$2:$B$8,2,FALSE),DATE(9999,12,31))),"Y","")</f>
        <v>0</v>
      </c>
    </row>
    <row r="1240" spans="7:8">
      <c r="G1240" s="2">
        <f>IF(F1240="PASS", E1240, "")</f>
        <v>0</v>
      </c>
      <c r="H1240">
        <f>IF(AND(F1240="PASS", G1240&lt;=IFERROR(VLOOKUP(A1240,Graduation_Cutoff!$A$2:$B$8,2,FALSE),DATE(9999,12,31))),"Y","")</f>
        <v>0</v>
      </c>
    </row>
    <row r="1241" spans="7:8">
      <c r="G1241" s="2">
        <f>IF(F1241="PASS", E1241, "")</f>
        <v>0</v>
      </c>
      <c r="H1241">
        <f>IF(AND(F1241="PASS", G1241&lt;=IFERROR(VLOOKUP(A1241,Graduation_Cutoff!$A$2:$B$8,2,FALSE),DATE(9999,12,31))),"Y","")</f>
        <v>0</v>
      </c>
    </row>
    <row r="1242" spans="7:8">
      <c r="G1242" s="2">
        <f>IF(F1242="PASS", E1242, "")</f>
        <v>0</v>
      </c>
      <c r="H1242">
        <f>IF(AND(F1242="PASS", G1242&lt;=IFERROR(VLOOKUP(A1242,Graduation_Cutoff!$A$2:$B$8,2,FALSE),DATE(9999,12,31))),"Y","")</f>
        <v>0</v>
      </c>
    </row>
    <row r="1243" spans="7:8">
      <c r="G1243" s="2">
        <f>IF(F1243="PASS", E1243, "")</f>
        <v>0</v>
      </c>
      <c r="H1243">
        <f>IF(AND(F1243="PASS", G1243&lt;=IFERROR(VLOOKUP(A1243,Graduation_Cutoff!$A$2:$B$8,2,FALSE),DATE(9999,12,31))),"Y","")</f>
        <v>0</v>
      </c>
    </row>
    <row r="1244" spans="7:8">
      <c r="G1244" s="2">
        <f>IF(F1244="PASS", E1244, "")</f>
        <v>0</v>
      </c>
      <c r="H1244">
        <f>IF(AND(F1244="PASS", G1244&lt;=IFERROR(VLOOKUP(A1244,Graduation_Cutoff!$A$2:$B$8,2,FALSE),DATE(9999,12,31))),"Y","")</f>
        <v>0</v>
      </c>
    </row>
    <row r="1245" spans="7:8">
      <c r="G1245" s="2">
        <f>IF(F1245="PASS", E1245, "")</f>
        <v>0</v>
      </c>
      <c r="H1245">
        <f>IF(AND(F1245="PASS", G1245&lt;=IFERROR(VLOOKUP(A1245,Graduation_Cutoff!$A$2:$B$8,2,FALSE),DATE(9999,12,31))),"Y","")</f>
        <v>0</v>
      </c>
    </row>
    <row r="1246" spans="7:8">
      <c r="G1246" s="2">
        <f>IF(F1246="PASS", E1246, "")</f>
        <v>0</v>
      </c>
      <c r="H1246">
        <f>IF(AND(F1246="PASS", G1246&lt;=IFERROR(VLOOKUP(A1246,Graduation_Cutoff!$A$2:$B$8,2,FALSE),DATE(9999,12,31))),"Y","")</f>
        <v>0</v>
      </c>
    </row>
    <row r="1247" spans="7:8">
      <c r="G1247" s="2">
        <f>IF(F1247="PASS", E1247, "")</f>
        <v>0</v>
      </c>
      <c r="H1247">
        <f>IF(AND(F1247="PASS", G1247&lt;=IFERROR(VLOOKUP(A1247,Graduation_Cutoff!$A$2:$B$8,2,FALSE),DATE(9999,12,31))),"Y","")</f>
        <v>0</v>
      </c>
    </row>
    <row r="1248" spans="7:8">
      <c r="G1248" s="2">
        <f>IF(F1248="PASS", E1248, "")</f>
        <v>0</v>
      </c>
      <c r="H1248">
        <f>IF(AND(F1248="PASS", G1248&lt;=IFERROR(VLOOKUP(A1248,Graduation_Cutoff!$A$2:$B$8,2,FALSE),DATE(9999,12,31))),"Y","")</f>
        <v>0</v>
      </c>
    </row>
    <row r="1249" spans="7:8">
      <c r="G1249" s="2">
        <f>IF(F1249="PASS", E1249, "")</f>
        <v>0</v>
      </c>
      <c r="H1249">
        <f>IF(AND(F1249="PASS", G1249&lt;=IFERROR(VLOOKUP(A1249,Graduation_Cutoff!$A$2:$B$8,2,FALSE),DATE(9999,12,31))),"Y","")</f>
        <v>0</v>
      </c>
    </row>
    <row r="1250" spans="7:8">
      <c r="G1250" s="2">
        <f>IF(F1250="PASS", E1250, "")</f>
        <v>0</v>
      </c>
      <c r="H1250">
        <f>IF(AND(F1250="PASS", G1250&lt;=IFERROR(VLOOKUP(A1250,Graduation_Cutoff!$A$2:$B$8,2,FALSE),DATE(9999,12,31))),"Y","")</f>
        <v>0</v>
      </c>
    </row>
    <row r="1251" spans="7:8">
      <c r="G1251" s="2">
        <f>IF(F1251="PASS", E1251, "")</f>
        <v>0</v>
      </c>
      <c r="H1251">
        <f>IF(AND(F1251="PASS", G1251&lt;=IFERROR(VLOOKUP(A1251,Graduation_Cutoff!$A$2:$B$8,2,FALSE),DATE(9999,12,31))),"Y","")</f>
        <v>0</v>
      </c>
    </row>
    <row r="1252" spans="7:8">
      <c r="G1252" s="2">
        <f>IF(F1252="PASS", E1252, "")</f>
        <v>0</v>
      </c>
      <c r="H1252">
        <f>IF(AND(F1252="PASS", G1252&lt;=IFERROR(VLOOKUP(A1252,Graduation_Cutoff!$A$2:$B$8,2,FALSE),DATE(9999,12,31))),"Y","")</f>
        <v>0</v>
      </c>
    </row>
    <row r="1253" spans="7:8">
      <c r="G1253" s="2">
        <f>IF(F1253="PASS", E1253, "")</f>
        <v>0</v>
      </c>
      <c r="H1253">
        <f>IF(AND(F1253="PASS", G1253&lt;=IFERROR(VLOOKUP(A1253,Graduation_Cutoff!$A$2:$B$8,2,FALSE),DATE(9999,12,31))),"Y","")</f>
        <v>0</v>
      </c>
    </row>
    <row r="1254" spans="7:8">
      <c r="G1254" s="2">
        <f>IF(F1254="PASS", E1254, "")</f>
        <v>0</v>
      </c>
      <c r="H1254">
        <f>IF(AND(F1254="PASS", G1254&lt;=IFERROR(VLOOKUP(A1254,Graduation_Cutoff!$A$2:$B$8,2,FALSE),DATE(9999,12,31))),"Y","")</f>
        <v>0</v>
      </c>
    </row>
    <row r="1255" spans="7:8">
      <c r="G1255" s="2">
        <f>IF(F1255="PASS", E1255, "")</f>
        <v>0</v>
      </c>
      <c r="H1255">
        <f>IF(AND(F1255="PASS", G1255&lt;=IFERROR(VLOOKUP(A1255,Graduation_Cutoff!$A$2:$B$8,2,FALSE),DATE(9999,12,31))),"Y","")</f>
        <v>0</v>
      </c>
    </row>
    <row r="1256" spans="7:8">
      <c r="G1256" s="2">
        <f>IF(F1256="PASS", E1256, "")</f>
        <v>0</v>
      </c>
      <c r="H1256">
        <f>IF(AND(F1256="PASS", G1256&lt;=IFERROR(VLOOKUP(A1256,Graduation_Cutoff!$A$2:$B$8,2,FALSE),DATE(9999,12,31))),"Y","")</f>
        <v>0</v>
      </c>
    </row>
    <row r="1257" spans="7:8">
      <c r="G1257" s="2">
        <f>IF(F1257="PASS", E1257, "")</f>
        <v>0</v>
      </c>
      <c r="H1257">
        <f>IF(AND(F1257="PASS", G1257&lt;=IFERROR(VLOOKUP(A1257,Graduation_Cutoff!$A$2:$B$8,2,FALSE),DATE(9999,12,31))),"Y","")</f>
        <v>0</v>
      </c>
    </row>
    <row r="1258" spans="7:8">
      <c r="G1258" s="2">
        <f>IF(F1258="PASS", E1258, "")</f>
        <v>0</v>
      </c>
      <c r="H1258">
        <f>IF(AND(F1258="PASS", G1258&lt;=IFERROR(VLOOKUP(A1258,Graduation_Cutoff!$A$2:$B$8,2,FALSE),DATE(9999,12,31))),"Y","")</f>
        <v>0</v>
      </c>
    </row>
    <row r="1259" spans="7:8">
      <c r="G1259" s="2">
        <f>IF(F1259="PASS", E1259, "")</f>
        <v>0</v>
      </c>
      <c r="H1259">
        <f>IF(AND(F1259="PASS", G1259&lt;=IFERROR(VLOOKUP(A1259,Graduation_Cutoff!$A$2:$B$8,2,FALSE),DATE(9999,12,31))),"Y","")</f>
        <v>0</v>
      </c>
    </row>
    <row r="1260" spans="7:8">
      <c r="G1260" s="2">
        <f>IF(F1260="PASS", E1260, "")</f>
        <v>0</v>
      </c>
      <c r="H1260">
        <f>IF(AND(F1260="PASS", G1260&lt;=IFERROR(VLOOKUP(A1260,Graduation_Cutoff!$A$2:$B$8,2,FALSE),DATE(9999,12,31))),"Y","")</f>
        <v>0</v>
      </c>
    </row>
    <row r="1261" spans="7:8">
      <c r="G1261" s="2">
        <f>IF(F1261="PASS", E1261, "")</f>
        <v>0</v>
      </c>
      <c r="H1261">
        <f>IF(AND(F1261="PASS", G1261&lt;=IFERROR(VLOOKUP(A1261,Graduation_Cutoff!$A$2:$B$8,2,FALSE),DATE(9999,12,31))),"Y","")</f>
        <v>0</v>
      </c>
    </row>
    <row r="1262" spans="7:8">
      <c r="G1262" s="2">
        <f>IF(F1262="PASS", E1262, "")</f>
        <v>0</v>
      </c>
      <c r="H1262">
        <f>IF(AND(F1262="PASS", G1262&lt;=IFERROR(VLOOKUP(A1262,Graduation_Cutoff!$A$2:$B$8,2,FALSE),DATE(9999,12,31))),"Y","")</f>
        <v>0</v>
      </c>
    </row>
    <row r="1263" spans="7:8">
      <c r="G1263" s="2">
        <f>IF(F1263="PASS", E1263, "")</f>
        <v>0</v>
      </c>
      <c r="H1263">
        <f>IF(AND(F1263="PASS", G1263&lt;=IFERROR(VLOOKUP(A1263,Graduation_Cutoff!$A$2:$B$8,2,FALSE),DATE(9999,12,31))),"Y","")</f>
        <v>0</v>
      </c>
    </row>
    <row r="1264" spans="7:8">
      <c r="G1264" s="2">
        <f>IF(F1264="PASS", E1264, "")</f>
        <v>0</v>
      </c>
      <c r="H1264">
        <f>IF(AND(F1264="PASS", G1264&lt;=IFERROR(VLOOKUP(A1264,Graduation_Cutoff!$A$2:$B$8,2,FALSE),DATE(9999,12,31))),"Y","")</f>
        <v>0</v>
      </c>
    </row>
    <row r="1265" spans="7:8">
      <c r="G1265" s="2">
        <f>IF(F1265="PASS", E1265, "")</f>
        <v>0</v>
      </c>
      <c r="H1265">
        <f>IF(AND(F1265="PASS", G1265&lt;=IFERROR(VLOOKUP(A1265,Graduation_Cutoff!$A$2:$B$8,2,FALSE),DATE(9999,12,31))),"Y","")</f>
        <v>0</v>
      </c>
    </row>
    <row r="1266" spans="7:8">
      <c r="G1266" s="2">
        <f>IF(F1266="PASS", E1266, "")</f>
        <v>0</v>
      </c>
      <c r="H1266">
        <f>IF(AND(F1266="PASS", G1266&lt;=IFERROR(VLOOKUP(A1266,Graduation_Cutoff!$A$2:$B$8,2,FALSE),DATE(9999,12,31))),"Y","")</f>
        <v>0</v>
      </c>
    </row>
    <row r="1267" spans="7:8">
      <c r="G1267" s="2">
        <f>IF(F1267="PASS", E1267, "")</f>
        <v>0</v>
      </c>
      <c r="H1267">
        <f>IF(AND(F1267="PASS", G1267&lt;=IFERROR(VLOOKUP(A1267,Graduation_Cutoff!$A$2:$B$8,2,FALSE),DATE(9999,12,31))),"Y","")</f>
        <v>0</v>
      </c>
    </row>
    <row r="1268" spans="7:8">
      <c r="G1268" s="2">
        <f>IF(F1268="PASS", E1268, "")</f>
        <v>0</v>
      </c>
      <c r="H1268">
        <f>IF(AND(F1268="PASS", G1268&lt;=IFERROR(VLOOKUP(A1268,Graduation_Cutoff!$A$2:$B$8,2,FALSE),DATE(9999,12,31))),"Y","")</f>
        <v>0</v>
      </c>
    </row>
    <row r="1269" spans="7:8">
      <c r="G1269" s="2">
        <f>IF(F1269="PASS", E1269, "")</f>
        <v>0</v>
      </c>
      <c r="H1269">
        <f>IF(AND(F1269="PASS", G1269&lt;=IFERROR(VLOOKUP(A1269,Graduation_Cutoff!$A$2:$B$8,2,FALSE),DATE(9999,12,31))),"Y","")</f>
        <v>0</v>
      </c>
    </row>
    <row r="1270" spans="7:8">
      <c r="G1270" s="2">
        <f>IF(F1270="PASS", E1270, "")</f>
        <v>0</v>
      </c>
      <c r="H1270">
        <f>IF(AND(F1270="PASS", G1270&lt;=IFERROR(VLOOKUP(A1270,Graduation_Cutoff!$A$2:$B$8,2,FALSE),DATE(9999,12,31))),"Y","")</f>
        <v>0</v>
      </c>
    </row>
    <row r="1271" spans="7:8">
      <c r="G1271" s="2">
        <f>IF(F1271="PASS", E1271, "")</f>
        <v>0</v>
      </c>
      <c r="H1271">
        <f>IF(AND(F1271="PASS", G1271&lt;=IFERROR(VLOOKUP(A1271,Graduation_Cutoff!$A$2:$B$8,2,FALSE),DATE(9999,12,31))),"Y","")</f>
        <v>0</v>
      </c>
    </row>
    <row r="1272" spans="7:8">
      <c r="G1272" s="2">
        <f>IF(F1272="PASS", E1272, "")</f>
        <v>0</v>
      </c>
      <c r="H1272">
        <f>IF(AND(F1272="PASS", G1272&lt;=IFERROR(VLOOKUP(A1272,Graduation_Cutoff!$A$2:$B$8,2,FALSE),DATE(9999,12,31))),"Y","")</f>
        <v>0</v>
      </c>
    </row>
    <row r="1273" spans="7:8">
      <c r="G1273" s="2">
        <f>IF(F1273="PASS", E1273, "")</f>
        <v>0</v>
      </c>
      <c r="H1273">
        <f>IF(AND(F1273="PASS", G1273&lt;=IFERROR(VLOOKUP(A1273,Graduation_Cutoff!$A$2:$B$8,2,FALSE),DATE(9999,12,31))),"Y","")</f>
        <v>0</v>
      </c>
    </row>
    <row r="1274" spans="7:8">
      <c r="G1274" s="2">
        <f>IF(F1274="PASS", E1274, "")</f>
        <v>0</v>
      </c>
      <c r="H1274">
        <f>IF(AND(F1274="PASS", G1274&lt;=IFERROR(VLOOKUP(A1274,Graduation_Cutoff!$A$2:$B$8,2,FALSE),DATE(9999,12,31))),"Y","")</f>
        <v>0</v>
      </c>
    </row>
    <row r="1275" spans="7:8">
      <c r="G1275" s="2">
        <f>IF(F1275="PASS", E1275, "")</f>
        <v>0</v>
      </c>
      <c r="H1275">
        <f>IF(AND(F1275="PASS", G1275&lt;=IFERROR(VLOOKUP(A1275,Graduation_Cutoff!$A$2:$B$8,2,FALSE),DATE(9999,12,31))),"Y","")</f>
        <v>0</v>
      </c>
    </row>
    <row r="1276" spans="7:8">
      <c r="G1276" s="2">
        <f>IF(F1276="PASS", E1276, "")</f>
        <v>0</v>
      </c>
      <c r="H1276">
        <f>IF(AND(F1276="PASS", G1276&lt;=IFERROR(VLOOKUP(A1276,Graduation_Cutoff!$A$2:$B$8,2,FALSE),DATE(9999,12,31))),"Y","")</f>
        <v>0</v>
      </c>
    </row>
    <row r="1277" spans="7:8">
      <c r="G1277" s="2">
        <f>IF(F1277="PASS", E1277, "")</f>
        <v>0</v>
      </c>
      <c r="H1277">
        <f>IF(AND(F1277="PASS", G1277&lt;=IFERROR(VLOOKUP(A1277,Graduation_Cutoff!$A$2:$B$8,2,FALSE),DATE(9999,12,31))),"Y","")</f>
        <v>0</v>
      </c>
    </row>
    <row r="1278" spans="7:8">
      <c r="G1278" s="2">
        <f>IF(F1278="PASS", E1278, "")</f>
        <v>0</v>
      </c>
      <c r="H1278">
        <f>IF(AND(F1278="PASS", G1278&lt;=IFERROR(VLOOKUP(A1278,Graduation_Cutoff!$A$2:$B$8,2,FALSE),DATE(9999,12,31))),"Y","")</f>
        <v>0</v>
      </c>
    </row>
    <row r="1279" spans="7:8">
      <c r="G1279" s="2">
        <f>IF(F1279="PASS", E1279, "")</f>
        <v>0</v>
      </c>
      <c r="H1279">
        <f>IF(AND(F1279="PASS", G1279&lt;=IFERROR(VLOOKUP(A1279,Graduation_Cutoff!$A$2:$B$8,2,FALSE),DATE(9999,12,31))),"Y","")</f>
        <v>0</v>
      </c>
    </row>
    <row r="1280" spans="7:8">
      <c r="G1280" s="2">
        <f>IF(F1280="PASS", E1280, "")</f>
        <v>0</v>
      </c>
      <c r="H1280">
        <f>IF(AND(F1280="PASS", G1280&lt;=IFERROR(VLOOKUP(A1280,Graduation_Cutoff!$A$2:$B$8,2,FALSE),DATE(9999,12,31))),"Y","")</f>
        <v>0</v>
      </c>
    </row>
    <row r="1281" spans="7:8">
      <c r="G1281" s="2">
        <f>IF(F1281="PASS", E1281, "")</f>
        <v>0</v>
      </c>
      <c r="H1281">
        <f>IF(AND(F1281="PASS", G1281&lt;=IFERROR(VLOOKUP(A1281,Graduation_Cutoff!$A$2:$B$8,2,FALSE),DATE(9999,12,31))),"Y","")</f>
        <v>0</v>
      </c>
    </row>
    <row r="1282" spans="7:8">
      <c r="G1282" s="2">
        <f>IF(F1282="PASS", E1282, "")</f>
        <v>0</v>
      </c>
      <c r="H1282">
        <f>IF(AND(F1282="PASS", G1282&lt;=IFERROR(VLOOKUP(A1282,Graduation_Cutoff!$A$2:$B$8,2,FALSE),DATE(9999,12,31))),"Y","")</f>
        <v>0</v>
      </c>
    </row>
    <row r="1283" spans="7:8">
      <c r="G1283" s="2">
        <f>IF(F1283="PASS", E1283, "")</f>
        <v>0</v>
      </c>
      <c r="H1283">
        <f>IF(AND(F1283="PASS", G1283&lt;=IFERROR(VLOOKUP(A1283,Graduation_Cutoff!$A$2:$B$8,2,FALSE),DATE(9999,12,31))),"Y","")</f>
        <v>0</v>
      </c>
    </row>
    <row r="1284" spans="7:8">
      <c r="G1284" s="2">
        <f>IF(F1284="PASS", E1284, "")</f>
        <v>0</v>
      </c>
      <c r="H1284">
        <f>IF(AND(F1284="PASS", G1284&lt;=IFERROR(VLOOKUP(A1284,Graduation_Cutoff!$A$2:$B$8,2,FALSE),DATE(9999,12,31))),"Y","")</f>
        <v>0</v>
      </c>
    </row>
    <row r="1285" spans="7:8">
      <c r="G1285" s="2">
        <f>IF(F1285="PASS", E1285, "")</f>
        <v>0</v>
      </c>
      <c r="H1285">
        <f>IF(AND(F1285="PASS", G1285&lt;=IFERROR(VLOOKUP(A1285,Graduation_Cutoff!$A$2:$B$8,2,FALSE),DATE(9999,12,31))),"Y","")</f>
        <v>0</v>
      </c>
    </row>
    <row r="1286" spans="7:8">
      <c r="G1286" s="2">
        <f>IF(F1286="PASS", E1286, "")</f>
        <v>0</v>
      </c>
      <c r="H1286">
        <f>IF(AND(F1286="PASS", G1286&lt;=IFERROR(VLOOKUP(A1286,Graduation_Cutoff!$A$2:$B$8,2,FALSE),DATE(9999,12,31))),"Y","")</f>
        <v>0</v>
      </c>
    </row>
    <row r="1287" spans="7:8">
      <c r="G1287" s="2">
        <f>IF(F1287="PASS", E1287, "")</f>
        <v>0</v>
      </c>
      <c r="H1287">
        <f>IF(AND(F1287="PASS", G1287&lt;=IFERROR(VLOOKUP(A1287,Graduation_Cutoff!$A$2:$B$8,2,FALSE),DATE(9999,12,31))),"Y","")</f>
        <v>0</v>
      </c>
    </row>
    <row r="1288" spans="7:8">
      <c r="G1288" s="2">
        <f>IF(F1288="PASS", E1288, "")</f>
        <v>0</v>
      </c>
      <c r="H1288">
        <f>IF(AND(F1288="PASS", G1288&lt;=IFERROR(VLOOKUP(A1288,Graduation_Cutoff!$A$2:$B$8,2,FALSE),DATE(9999,12,31))),"Y","")</f>
        <v>0</v>
      </c>
    </row>
    <row r="1289" spans="7:8">
      <c r="G1289" s="2">
        <f>IF(F1289="PASS", E1289, "")</f>
        <v>0</v>
      </c>
      <c r="H1289">
        <f>IF(AND(F1289="PASS", G1289&lt;=IFERROR(VLOOKUP(A1289,Graduation_Cutoff!$A$2:$B$8,2,FALSE),DATE(9999,12,31))),"Y","")</f>
        <v>0</v>
      </c>
    </row>
    <row r="1290" spans="7:8">
      <c r="G1290" s="2">
        <f>IF(F1290="PASS", E1290, "")</f>
        <v>0</v>
      </c>
      <c r="H1290">
        <f>IF(AND(F1290="PASS", G1290&lt;=IFERROR(VLOOKUP(A1290,Graduation_Cutoff!$A$2:$B$8,2,FALSE),DATE(9999,12,31))),"Y","")</f>
        <v>0</v>
      </c>
    </row>
    <row r="1291" spans="7:8">
      <c r="G1291" s="2">
        <f>IF(F1291="PASS", E1291, "")</f>
        <v>0</v>
      </c>
      <c r="H1291">
        <f>IF(AND(F1291="PASS", G1291&lt;=IFERROR(VLOOKUP(A1291,Graduation_Cutoff!$A$2:$B$8,2,FALSE),DATE(9999,12,31))),"Y","")</f>
        <v>0</v>
      </c>
    </row>
    <row r="1292" spans="7:8">
      <c r="G1292" s="2">
        <f>IF(F1292="PASS", E1292, "")</f>
        <v>0</v>
      </c>
      <c r="H1292">
        <f>IF(AND(F1292="PASS", G1292&lt;=IFERROR(VLOOKUP(A1292,Graduation_Cutoff!$A$2:$B$8,2,FALSE),DATE(9999,12,31))),"Y","")</f>
        <v>0</v>
      </c>
    </row>
    <row r="1293" spans="7:8">
      <c r="G1293" s="2">
        <f>IF(F1293="PASS", E1293, "")</f>
        <v>0</v>
      </c>
      <c r="H1293">
        <f>IF(AND(F1293="PASS", G1293&lt;=IFERROR(VLOOKUP(A1293,Graduation_Cutoff!$A$2:$B$8,2,FALSE),DATE(9999,12,31))),"Y","")</f>
        <v>0</v>
      </c>
    </row>
    <row r="1294" spans="7:8">
      <c r="G1294" s="2">
        <f>IF(F1294="PASS", E1294, "")</f>
        <v>0</v>
      </c>
      <c r="H1294">
        <f>IF(AND(F1294="PASS", G1294&lt;=IFERROR(VLOOKUP(A1294,Graduation_Cutoff!$A$2:$B$8,2,FALSE),DATE(9999,12,31))),"Y","")</f>
        <v>0</v>
      </c>
    </row>
    <row r="1295" spans="7:8">
      <c r="G1295" s="2">
        <f>IF(F1295="PASS", E1295, "")</f>
        <v>0</v>
      </c>
      <c r="H1295">
        <f>IF(AND(F1295="PASS", G1295&lt;=IFERROR(VLOOKUP(A1295,Graduation_Cutoff!$A$2:$B$8,2,FALSE),DATE(9999,12,31))),"Y","")</f>
        <v>0</v>
      </c>
    </row>
    <row r="1296" spans="7:8">
      <c r="G1296" s="2">
        <f>IF(F1296="PASS", E1296, "")</f>
        <v>0</v>
      </c>
      <c r="H1296">
        <f>IF(AND(F1296="PASS", G1296&lt;=IFERROR(VLOOKUP(A1296,Graduation_Cutoff!$A$2:$B$8,2,FALSE),DATE(9999,12,31))),"Y","")</f>
        <v>0</v>
      </c>
    </row>
    <row r="1297" spans="7:8">
      <c r="G1297" s="2">
        <f>IF(F1297="PASS", E1297, "")</f>
        <v>0</v>
      </c>
      <c r="H1297">
        <f>IF(AND(F1297="PASS", G1297&lt;=IFERROR(VLOOKUP(A1297,Graduation_Cutoff!$A$2:$B$8,2,FALSE),DATE(9999,12,31))),"Y","")</f>
        <v>0</v>
      </c>
    </row>
    <row r="1298" spans="7:8">
      <c r="G1298" s="2">
        <f>IF(F1298="PASS", E1298, "")</f>
        <v>0</v>
      </c>
      <c r="H1298">
        <f>IF(AND(F1298="PASS", G1298&lt;=IFERROR(VLOOKUP(A1298,Graduation_Cutoff!$A$2:$B$8,2,FALSE),DATE(9999,12,31))),"Y","")</f>
        <v>0</v>
      </c>
    </row>
    <row r="1299" spans="7:8">
      <c r="G1299" s="2">
        <f>IF(F1299="PASS", E1299, "")</f>
        <v>0</v>
      </c>
      <c r="H1299">
        <f>IF(AND(F1299="PASS", G1299&lt;=IFERROR(VLOOKUP(A1299,Graduation_Cutoff!$A$2:$B$8,2,FALSE),DATE(9999,12,31))),"Y","")</f>
        <v>0</v>
      </c>
    </row>
    <row r="1300" spans="7:8">
      <c r="G1300" s="2">
        <f>IF(F1300="PASS", E1300, "")</f>
        <v>0</v>
      </c>
      <c r="H1300">
        <f>IF(AND(F1300="PASS", G1300&lt;=IFERROR(VLOOKUP(A1300,Graduation_Cutoff!$A$2:$B$8,2,FALSE),DATE(9999,12,31))),"Y","")</f>
        <v>0</v>
      </c>
    </row>
    <row r="1301" spans="7:8">
      <c r="G1301" s="2">
        <f>IF(F1301="PASS", E1301, "")</f>
        <v>0</v>
      </c>
      <c r="H1301">
        <f>IF(AND(F1301="PASS", G1301&lt;=IFERROR(VLOOKUP(A1301,Graduation_Cutoff!$A$2:$B$8,2,FALSE),DATE(9999,12,31))),"Y","")</f>
        <v>0</v>
      </c>
    </row>
    <row r="1302" spans="7:8">
      <c r="G1302" s="2">
        <f>IF(F1302="PASS", E1302, "")</f>
        <v>0</v>
      </c>
      <c r="H1302">
        <f>IF(AND(F1302="PASS", G1302&lt;=IFERROR(VLOOKUP(A1302,Graduation_Cutoff!$A$2:$B$8,2,FALSE),DATE(9999,12,31))),"Y","")</f>
        <v>0</v>
      </c>
    </row>
    <row r="1303" spans="7:8">
      <c r="G1303" s="2">
        <f>IF(F1303="PASS", E1303, "")</f>
        <v>0</v>
      </c>
      <c r="H1303">
        <f>IF(AND(F1303="PASS", G1303&lt;=IFERROR(VLOOKUP(A1303,Graduation_Cutoff!$A$2:$B$8,2,FALSE),DATE(9999,12,31))),"Y","")</f>
        <v>0</v>
      </c>
    </row>
    <row r="1304" spans="7:8">
      <c r="G1304" s="2">
        <f>IF(F1304="PASS", E1304, "")</f>
        <v>0</v>
      </c>
      <c r="H1304">
        <f>IF(AND(F1304="PASS", G1304&lt;=IFERROR(VLOOKUP(A1304,Graduation_Cutoff!$A$2:$B$8,2,FALSE),DATE(9999,12,31))),"Y","")</f>
        <v>0</v>
      </c>
    </row>
    <row r="1305" spans="7:8">
      <c r="G1305" s="2">
        <f>IF(F1305="PASS", E1305, "")</f>
        <v>0</v>
      </c>
      <c r="H1305">
        <f>IF(AND(F1305="PASS", G1305&lt;=IFERROR(VLOOKUP(A1305,Graduation_Cutoff!$A$2:$B$8,2,FALSE),DATE(9999,12,31))),"Y","")</f>
        <v>0</v>
      </c>
    </row>
    <row r="1306" spans="7:8">
      <c r="G1306" s="2">
        <f>IF(F1306="PASS", E1306, "")</f>
        <v>0</v>
      </c>
      <c r="H1306">
        <f>IF(AND(F1306="PASS", G1306&lt;=IFERROR(VLOOKUP(A1306,Graduation_Cutoff!$A$2:$B$8,2,FALSE),DATE(9999,12,31))),"Y","")</f>
        <v>0</v>
      </c>
    </row>
    <row r="1307" spans="7:8">
      <c r="G1307" s="2">
        <f>IF(F1307="PASS", E1307, "")</f>
        <v>0</v>
      </c>
      <c r="H1307">
        <f>IF(AND(F1307="PASS", G1307&lt;=IFERROR(VLOOKUP(A1307,Graduation_Cutoff!$A$2:$B$8,2,FALSE),DATE(9999,12,31))),"Y","")</f>
        <v>0</v>
      </c>
    </row>
    <row r="1308" spans="7:8">
      <c r="G1308" s="2">
        <f>IF(F1308="PASS", E1308, "")</f>
        <v>0</v>
      </c>
      <c r="H1308">
        <f>IF(AND(F1308="PASS", G1308&lt;=IFERROR(VLOOKUP(A1308,Graduation_Cutoff!$A$2:$B$8,2,FALSE),DATE(9999,12,31))),"Y","")</f>
        <v>0</v>
      </c>
    </row>
    <row r="1309" spans="7:8">
      <c r="G1309" s="2">
        <f>IF(F1309="PASS", E1309, "")</f>
        <v>0</v>
      </c>
      <c r="H1309">
        <f>IF(AND(F1309="PASS", G1309&lt;=IFERROR(VLOOKUP(A1309,Graduation_Cutoff!$A$2:$B$8,2,FALSE),DATE(9999,12,31))),"Y","")</f>
        <v>0</v>
      </c>
    </row>
    <row r="1310" spans="7:8">
      <c r="G1310" s="2">
        <f>IF(F1310="PASS", E1310, "")</f>
        <v>0</v>
      </c>
      <c r="H1310">
        <f>IF(AND(F1310="PASS", G1310&lt;=IFERROR(VLOOKUP(A1310,Graduation_Cutoff!$A$2:$B$8,2,FALSE),DATE(9999,12,31))),"Y","")</f>
        <v>0</v>
      </c>
    </row>
    <row r="1311" spans="7:8">
      <c r="G1311" s="2">
        <f>IF(F1311="PASS", E1311, "")</f>
        <v>0</v>
      </c>
      <c r="H1311">
        <f>IF(AND(F1311="PASS", G1311&lt;=IFERROR(VLOOKUP(A1311,Graduation_Cutoff!$A$2:$B$8,2,FALSE),DATE(9999,12,31))),"Y","")</f>
        <v>0</v>
      </c>
    </row>
    <row r="1312" spans="7:8">
      <c r="G1312" s="2">
        <f>IF(F1312="PASS", E1312, "")</f>
        <v>0</v>
      </c>
      <c r="H1312">
        <f>IF(AND(F1312="PASS", G1312&lt;=IFERROR(VLOOKUP(A1312,Graduation_Cutoff!$A$2:$B$8,2,FALSE),DATE(9999,12,31))),"Y","")</f>
        <v>0</v>
      </c>
    </row>
    <row r="1313" spans="7:8">
      <c r="G1313" s="2">
        <f>IF(F1313="PASS", E1313, "")</f>
        <v>0</v>
      </c>
      <c r="H1313">
        <f>IF(AND(F1313="PASS", G1313&lt;=IFERROR(VLOOKUP(A1313,Graduation_Cutoff!$A$2:$B$8,2,FALSE),DATE(9999,12,31))),"Y","")</f>
        <v>0</v>
      </c>
    </row>
    <row r="1314" spans="7:8">
      <c r="G1314" s="2">
        <f>IF(F1314="PASS", E1314, "")</f>
        <v>0</v>
      </c>
      <c r="H1314">
        <f>IF(AND(F1314="PASS", G1314&lt;=IFERROR(VLOOKUP(A1314,Graduation_Cutoff!$A$2:$B$8,2,FALSE),DATE(9999,12,31))),"Y","")</f>
        <v>0</v>
      </c>
    </row>
    <row r="1315" spans="7:8">
      <c r="G1315" s="2">
        <f>IF(F1315="PASS", E1315, "")</f>
        <v>0</v>
      </c>
      <c r="H1315">
        <f>IF(AND(F1315="PASS", G1315&lt;=IFERROR(VLOOKUP(A1315,Graduation_Cutoff!$A$2:$B$8,2,FALSE),DATE(9999,12,31))),"Y","")</f>
        <v>0</v>
      </c>
    </row>
    <row r="1316" spans="7:8">
      <c r="G1316" s="2">
        <f>IF(F1316="PASS", E1316, "")</f>
        <v>0</v>
      </c>
      <c r="H1316">
        <f>IF(AND(F1316="PASS", G1316&lt;=IFERROR(VLOOKUP(A1316,Graduation_Cutoff!$A$2:$B$8,2,FALSE),DATE(9999,12,31))),"Y","")</f>
        <v>0</v>
      </c>
    </row>
    <row r="1317" spans="7:8">
      <c r="G1317" s="2">
        <f>IF(F1317="PASS", E1317, "")</f>
        <v>0</v>
      </c>
      <c r="H1317">
        <f>IF(AND(F1317="PASS", G1317&lt;=IFERROR(VLOOKUP(A1317,Graduation_Cutoff!$A$2:$B$8,2,FALSE),DATE(9999,12,31))),"Y","")</f>
        <v>0</v>
      </c>
    </row>
    <row r="1318" spans="7:8">
      <c r="G1318" s="2">
        <f>IF(F1318="PASS", E1318, "")</f>
        <v>0</v>
      </c>
      <c r="H1318">
        <f>IF(AND(F1318="PASS", G1318&lt;=IFERROR(VLOOKUP(A1318,Graduation_Cutoff!$A$2:$B$8,2,FALSE),DATE(9999,12,31))),"Y","")</f>
        <v>0</v>
      </c>
    </row>
    <row r="1319" spans="7:8">
      <c r="G1319" s="2">
        <f>IF(F1319="PASS", E1319, "")</f>
        <v>0</v>
      </c>
      <c r="H1319">
        <f>IF(AND(F1319="PASS", G1319&lt;=IFERROR(VLOOKUP(A1319,Graduation_Cutoff!$A$2:$B$8,2,FALSE),DATE(9999,12,31))),"Y","")</f>
        <v>0</v>
      </c>
    </row>
    <row r="1320" spans="7:8">
      <c r="G1320" s="2">
        <f>IF(F1320="PASS", E1320, "")</f>
        <v>0</v>
      </c>
      <c r="H1320">
        <f>IF(AND(F1320="PASS", G1320&lt;=IFERROR(VLOOKUP(A1320,Graduation_Cutoff!$A$2:$B$8,2,FALSE),DATE(9999,12,31))),"Y","")</f>
        <v>0</v>
      </c>
    </row>
    <row r="1321" spans="7:8">
      <c r="G1321" s="2">
        <f>IF(F1321="PASS", E1321, "")</f>
        <v>0</v>
      </c>
      <c r="H1321">
        <f>IF(AND(F1321="PASS", G1321&lt;=IFERROR(VLOOKUP(A1321,Graduation_Cutoff!$A$2:$B$8,2,FALSE),DATE(9999,12,31))),"Y","")</f>
        <v>0</v>
      </c>
    </row>
    <row r="1322" spans="7:8">
      <c r="G1322" s="2">
        <f>IF(F1322="PASS", E1322, "")</f>
        <v>0</v>
      </c>
      <c r="H1322">
        <f>IF(AND(F1322="PASS", G1322&lt;=IFERROR(VLOOKUP(A1322,Graduation_Cutoff!$A$2:$B$8,2,FALSE),DATE(9999,12,31))),"Y","")</f>
        <v>0</v>
      </c>
    </row>
    <row r="1323" spans="7:8">
      <c r="G1323" s="2">
        <f>IF(F1323="PASS", E1323, "")</f>
        <v>0</v>
      </c>
      <c r="H1323">
        <f>IF(AND(F1323="PASS", G1323&lt;=IFERROR(VLOOKUP(A1323,Graduation_Cutoff!$A$2:$B$8,2,FALSE),DATE(9999,12,31))),"Y","")</f>
        <v>0</v>
      </c>
    </row>
    <row r="1324" spans="7:8">
      <c r="G1324" s="2">
        <f>IF(F1324="PASS", E1324, "")</f>
        <v>0</v>
      </c>
      <c r="H1324">
        <f>IF(AND(F1324="PASS", G1324&lt;=IFERROR(VLOOKUP(A1324,Graduation_Cutoff!$A$2:$B$8,2,FALSE),DATE(9999,12,31))),"Y","")</f>
        <v>0</v>
      </c>
    </row>
    <row r="1325" spans="7:8">
      <c r="G1325" s="2">
        <f>IF(F1325="PASS", E1325, "")</f>
        <v>0</v>
      </c>
      <c r="H1325">
        <f>IF(AND(F1325="PASS", G1325&lt;=IFERROR(VLOOKUP(A1325,Graduation_Cutoff!$A$2:$B$8,2,FALSE),DATE(9999,12,31))),"Y","")</f>
        <v>0</v>
      </c>
    </row>
    <row r="1326" spans="7:8">
      <c r="G1326" s="2">
        <f>IF(F1326="PASS", E1326, "")</f>
        <v>0</v>
      </c>
      <c r="H1326">
        <f>IF(AND(F1326="PASS", G1326&lt;=IFERROR(VLOOKUP(A1326,Graduation_Cutoff!$A$2:$B$8,2,FALSE),DATE(9999,12,31))),"Y","")</f>
        <v>0</v>
      </c>
    </row>
    <row r="1327" spans="7:8">
      <c r="G1327" s="2">
        <f>IF(F1327="PASS", E1327, "")</f>
        <v>0</v>
      </c>
      <c r="H1327">
        <f>IF(AND(F1327="PASS", G1327&lt;=IFERROR(VLOOKUP(A1327,Graduation_Cutoff!$A$2:$B$8,2,FALSE),DATE(9999,12,31))),"Y","")</f>
        <v>0</v>
      </c>
    </row>
    <row r="1328" spans="7:8">
      <c r="G1328" s="2">
        <f>IF(F1328="PASS", E1328, "")</f>
        <v>0</v>
      </c>
      <c r="H1328">
        <f>IF(AND(F1328="PASS", G1328&lt;=IFERROR(VLOOKUP(A1328,Graduation_Cutoff!$A$2:$B$8,2,FALSE),DATE(9999,12,31))),"Y","")</f>
        <v>0</v>
      </c>
    </row>
    <row r="1329" spans="7:8">
      <c r="G1329" s="2">
        <f>IF(F1329="PASS", E1329, "")</f>
        <v>0</v>
      </c>
      <c r="H1329">
        <f>IF(AND(F1329="PASS", G1329&lt;=IFERROR(VLOOKUP(A1329,Graduation_Cutoff!$A$2:$B$8,2,FALSE),DATE(9999,12,31))),"Y","")</f>
        <v>0</v>
      </c>
    </row>
    <row r="1330" spans="7:8">
      <c r="G1330" s="2">
        <f>IF(F1330="PASS", E1330, "")</f>
        <v>0</v>
      </c>
      <c r="H1330">
        <f>IF(AND(F1330="PASS", G1330&lt;=IFERROR(VLOOKUP(A1330,Graduation_Cutoff!$A$2:$B$8,2,FALSE),DATE(9999,12,31))),"Y","")</f>
        <v>0</v>
      </c>
    </row>
    <row r="1331" spans="7:8">
      <c r="G1331" s="2">
        <f>IF(F1331="PASS", E1331, "")</f>
        <v>0</v>
      </c>
      <c r="H1331">
        <f>IF(AND(F1331="PASS", G1331&lt;=IFERROR(VLOOKUP(A1331,Graduation_Cutoff!$A$2:$B$8,2,FALSE),DATE(9999,12,31))),"Y","")</f>
        <v>0</v>
      </c>
    </row>
    <row r="1332" spans="7:8">
      <c r="G1332" s="2">
        <f>IF(F1332="PASS", E1332, "")</f>
        <v>0</v>
      </c>
      <c r="H1332">
        <f>IF(AND(F1332="PASS", G1332&lt;=IFERROR(VLOOKUP(A1332,Graduation_Cutoff!$A$2:$B$8,2,FALSE),DATE(9999,12,31))),"Y","")</f>
        <v>0</v>
      </c>
    </row>
    <row r="1333" spans="7:8">
      <c r="G1333" s="2">
        <f>IF(F1333="PASS", E1333, "")</f>
        <v>0</v>
      </c>
      <c r="H1333">
        <f>IF(AND(F1333="PASS", G1333&lt;=IFERROR(VLOOKUP(A1333,Graduation_Cutoff!$A$2:$B$8,2,FALSE),DATE(9999,12,31))),"Y","")</f>
        <v>0</v>
      </c>
    </row>
    <row r="1334" spans="7:8">
      <c r="G1334" s="2">
        <f>IF(F1334="PASS", E1334, "")</f>
        <v>0</v>
      </c>
      <c r="H1334">
        <f>IF(AND(F1334="PASS", G1334&lt;=IFERROR(VLOOKUP(A1334,Graduation_Cutoff!$A$2:$B$8,2,FALSE),DATE(9999,12,31))),"Y","")</f>
        <v>0</v>
      </c>
    </row>
    <row r="1335" spans="7:8">
      <c r="G1335" s="2">
        <f>IF(F1335="PASS", E1335, "")</f>
        <v>0</v>
      </c>
      <c r="H1335">
        <f>IF(AND(F1335="PASS", G1335&lt;=IFERROR(VLOOKUP(A1335,Graduation_Cutoff!$A$2:$B$8,2,FALSE),DATE(9999,12,31))),"Y","")</f>
        <v>0</v>
      </c>
    </row>
    <row r="1336" spans="7:8">
      <c r="G1336" s="2">
        <f>IF(F1336="PASS", E1336, "")</f>
        <v>0</v>
      </c>
      <c r="H1336">
        <f>IF(AND(F1336="PASS", G1336&lt;=IFERROR(VLOOKUP(A1336,Graduation_Cutoff!$A$2:$B$8,2,FALSE),DATE(9999,12,31))),"Y","")</f>
        <v>0</v>
      </c>
    </row>
    <row r="1337" spans="7:8">
      <c r="G1337" s="2">
        <f>IF(F1337="PASS", E1337, "")</f>
        <v>0</v>
      </c>
      <c r="H1337">
        <f>IF(AND(F1337="PASS", G1337&lt;=IFERROR(VLOOKUP(A1337,Graduation_Cutoff!$A$2:$B$8,2,FALSE),DATE(9999,12,31))),"Y","")</f>
        <v>0</v>
      </c>
    </row>
    <row r="1338" spans="7:8">
      <c r="G1338" s="2">
        <f>IF(F1338="PASS", E1338, "")</f>
        <v>0</v>
      </c>
      <c r="H1338">
        <f>IF(AND(F1338="PASS", G1338&lt;=IFERROR(VLOOKUP(A1338,Graduation_Cutoff!$A$2:$B$8,2,FALSE),DATE(9999,12,31))),"Y","")</f>
        <v>0</v>
      </c>
    </row>
    <row r="1339" spans="7:8">
      <c r="G1339" s="2">
        <f>IF(F1339="PASS", E1339, "")</f>
        <v>0</v>
      </c>
      <c r="H1339">
        <f>IF(AND(F1339="PASS", G1339&lt;=IFERROR(VLOOKUP(A1339,Graduation_Cutoff!$A$2:$B$8,2,FALSE),DATE(9999,12,31))),"Y","")</f>
        <v>0</v>
      </c>
    </row>
    <row r="1340" spans="7:8">
      <c r="G1340" s="2">
        <f>IF(F1340="PASS", E1340, "")</f>
        <v>0</v>
      </c>
      <c r="H1340">
        <f>IF(AND(F1340="PASS", G1340&lt;=IFERROR(VLOOKUP(A1340,Graduation_Cutoff!$A$2:$B$8,2,FALSE),DATE(9999,12,31))),"Y","")</f>
        <v>0</v>
      </c>
    </row>
    <row r="1341" spans="7:8">
      <c r="G1341" s="2">
        <f>IF(F1341="PASS", E1341, "")</f>
        <v>0</v>
      </c>
      <c r="H1341">
        <f>IF(AND(F1341="PASS", G1341&lt;=IFERROR(VLOOKUP(A1341,Graduation_Cutoff!$A$2:$B$8,2,FALSE),DATE(9999,12,31))),"Y","")</f>
        <v>0</v>
      </c>
    </row>
    <row r="1342" spans="7:8">
      <c r="G1342" s="2">
        <f>IF(F1342="PASS", E1342, "")</f>
        <v>0</v>
      </c>
      <c r="H1342">
        <f>IF(AND(F1342="PASS", G1342&lt;=IFERROR(VLOOKUP(A1342,Graduation_Cutoff!$A$2:$B$8,2,FALSE),DATE(9999,12,31))),"Y","")</f>
        <v>0</v>
      </c>
    </row>
    <row r="1343" spans="7:8">
      <c r="G1343" s="2">
        <f>IF(F1343="PASS", E1343, "")</f>
        <v>0</v>
      </c>
      <c r="H1343">
        <f>IF(AND(F1343="PASS", G1343&lt;=IFERROR(VLOOKUP(A1343,Graduation_Cutoff!$A$2:$B$8,2,FALSE),DATE(9999,12,31))),"Y","")</f>
        <v>0</v>
      </c>
    </row>
    <row r="1344" spans="7:8">
      <c r="G1344" s="2">
        <f>IF(F1344="PASS", E1344, "")</f>
        <v>0</v>
      </c>
      <c r="H1344">
        <f>IF(AND(F1344="PASS", G1344&lt;=IFERROR(VLOOKUP(A1344,Graduation_Cutoff!$A$2:$B$8,2,FALSE),DATE(9999,12,31))),"Y","")</f>
        <v>0</v>
      </c>
    </row>
    <row r="1345" spans="7:8">
      <c r="G1345" s="2">
        <f>IF(F1345="PASS", E1345, "")</f>
        <v>0</v>
      </c>
      <c r="H1345">
        <f>IF(AND(F1345="PASS", G1345&lt;=IFERROR(VLOOKUP(A1345,Graduation_Cutoff!$A$2:$B$8,2,FALSE),DATE(9999,12,31))),"Y","")</f>
        <v>0</v>
      </c>
    </row>
    <row r="1346" spans="7:8">
      <c r="G1346" s="2">
        <f>IF(F1346="PASS", E1346, "")</f>
        <v>0</v>
      </c>
      <c r="H1346">
        <f>IF(AND(F1346="PASS", G1346&lt;=IFERROR(VLOOKUP(A1346,Graduation_Cutoff!$A$2:$B$8,2,FALSE),DATE(9999,12,31))),"Y","")</f>
        <v>0</v>
      </c>
    </row>
    <row r="1347" spans="7:8">
      <c r="G1347" s="2">
        <f>IF(F1347="PASS", E1347, "")</f>
        <v>0</v>
      </c>
      <c r="H1347">
        <f>IF(AND(F1347="PASS", G1347&lt;=IFERROR(VLOOKUP(A1347,Graduation_Cutoff!$A$2:$B$8,2,FALSE),DATE(9999,12,31))),"Y","")</f>
        <v>0</v>
      </c>
    </row>
    <row r="1348" spans="7:8">
      <c r="G1348" s="2">
        <f>IF(F1348="PASS", E1348, "")</f>
        <v>0</v>
      </c>
      <c r="H1348">
        <f>IF(AND(F1348="PASS", G1348&lt;=IFERROR(VLOOKUP(A1348,Graduation_Cutoff!$A$2:$B$8,2,FALSE),DATE(9999,12,31))),"Y","")</f>
        <v>0</v>
      </c>
    </row>
    <row r="1349" spans="7:8">
      <c r="G1349" s="2">
        <f>IF(F1349="PASS", E1349, "")</f>
        <v>0</v>
      </c>
      <c r="H1349">
        <f>IF(AND(F1349="PASS", G1349&lt;=IFERROR(VLOOKUP(A1349,Graduation_Cutoff!$A$2:$B$8,2,FALSE),DATE(9999,12,31))),"Y","")</f>
        <v>0</v>
      </c>
    </row>
    <row r="1350" spans="7:8">
      <c r="G1350" s="2">
        <f>IF(F1350="PASS", E1350, "")</f>
        <v>0</v>
      </c>
      <c r="H1350">
        <f>IF(AND(F1350="PASS", G1350&lt;=IFERROR(VLOOKUP(A1350,Graduation_Cutoff!$A$2:$B$8,2,FALSE),DATE(9999,12,31))),"Y","")</f>
        <v>0</v>
      </c>
    </row>
    <row r="1351" spans="7:8">
      <c r="G1351" s="2">
        <f>IF(F1351="PASS", E1351, "")</f>
        <v>0</v>
      </c>
      <c r="H1351">
        <f>IF(AND(F1351="PASS", G1351&lt;=IFERROR(VLOOKUP(A1351,Graduation_Cutoff!$A$2:$B$8,2,FALSE),DATE(9999,12,31))),"Y","")</f>
        <v>0</v>
      </c>
    </row>
    <row r="1352" spans="7:8">
      <c r="G1352" s="2">
        <f>IF(F1352="PASS", E1352, "")</f>
        <v>0</v>
      </c>
      <c r="H1352">
        <f>IF(AND(F1352="PASS", G1352&lt;=IFERROR(VLOOKUP(A1352,Graduation_Cutoff!$A$2:$B$8,2,FALSE),DATE(9999,12,31))),"Y","")</f>
        <v>0</v>
      </c>
    </row>
    <row r="1353" spans="7:8">
      <c r="G1353" s="2">
        <f>IF(F1353="PASS", E1353, "")</f>
        <v>0</v>
      </c>
      <c r="H1353">
        <f>IF(AND(F1353="PASS", G1353&lt;=IFERROR(VLOOKUP(A1353,Graduation_Cutoff!$A$2:$B$8,2,FALSE),DATE(9999,12,31))),"Y","")</f>
        <v>0</v>
      </c>
    </row>
    <row r="1354" spans="7:8">
      <c r="G1354" s="2">
        <f>IF(F1354="PASS", E1354, "")</f>
        <v>0</v>
      </c>
      <c r="H1354">
        <f>IF(AND(F1354="PASS", G1354&lt;=IFERROR(VLOOKUP(A1354,Graduation_Cutoff!$A$2:$B$8,2,FALSE),DATE(9999,12,31))),"Y","")</f>
        <v>0</v>
      </c>
    </row>
    <row r="1355" spans="7:8">
      <c r="G1355" s="2">
        <f>IF(F1355="PASS", E1355, "")</f>
        <v>0</v>
      </c>
      <c r="H1355">
        <f>IF(AND(F1355="PASS", G1355&lt;=IFERROR(VLOOKUP(A1355,Graduation_Cutoff!$A$2:$B$8,2,FALSE),DATE(9999,12,31))),"Y","")</f>
        <v>0</v>
      </c>
    </row>
    <row r="1356" spans="7:8">
      <c r="G1356" s="2">
        <f>IF(F1356="PASS", E1356, "")</f>
        <v>0</v>
      </c>
      <c r="H1356">
        <f>IF(AND(F1356="PASS", G1356&lt;=IFERROR(VLOOKUP(A1356,Graduation_Cutoff!$A$2:$B$8,2,FALSE),DATE(9999,12,31))),"Y","")</f>
        <v>0</v>
      </c>
    </row>
    <row r="1357" spans="7:8">
      <c r="G1357" s="2">
        <f>IF(F1357="PASS", E1357, "")</f>
        <v>0</v>
      </c>
      <c r="H1357">
        <f>IF(AND(F1357="PASS", G1357&lt;=IFERROR(VLOOKUP(A1357,Graduation_Cutoff!$A$2:$B$8,2,FALSE),DATE(9999,12,31))),"Y","")</f>
        <v>0</v>
      </c>
    </row>
    <row r="1358" spans="7:8">
      <c r="G1358" s="2">
        <f>IF(F1358="PASS", E1358, "")</f>
        <v>0</v>
      </c>
      <c r="H1358">
        <f>IF(AND(F1358="PASS", G1358&lt;=IFERROR(VLOOKUP(A1358,Graduation_Cutoff!$A$2:$B$8,2,FALSE),DATE(9999,12,31))),"Y","")</f>
        <v>0</v>
      </c>
    </row>
    <row r="1359" spans="7:8">
      <c r="G1359" s="2">
        <f>IF(F1359="PASS", E1359, "")</f>
        <v>0</v>
      </c>
      <c r="H1359">
        <f>IF(AND(F1359="PASS", G1359&lt;=IFERROR(VLOOKUP(A1359,Graduation_Cutoff!$A$2:$B$8,2,FALSE),DATE(9999,12,31))),"Y","")</f>
        <v>0</v>
      </c>
    </row>
    <row r="1360" spans="7:8">
      <c r="G1360" s="2">
        <f>IF(F1360="PASS", E1360, "")</f>
        <v>0</v>
      </c>
      <c r="H1360">
        <f>IF(AND(F1360="PASS", G1360&lt;=IFERROR(VLOOKUP(A1360,Graduation_Cutoff!$A$2:$B$8,2,FALSE),DATE(9999,12,31))),"Y","")</f>
        <v>0</v>
      </c>
    </row>
    <row r="1361" spans="7:8">
      <c r="G1361" s="2">
        <f>IF(F1361="PASS", E1361, "")</f>
        <v>0</v>
      </c>
      <c r="H1361">
        <f>IF(AND(F1361="PASS", G1361&lt;=IFERROR(VLOOKUP(A1361,Graduation_Cutoff!$A$2:$B$8,2,FALSE),DATE(9999,12,31))),"Y","")</f>
        <v>0</v>
      </c>
    </row>
    <row r="1362" spans="7:8">
      <c r="G1362" s="2">
        <f>IF(F1362="PASS", E1362, "")</f>
        <v>0</v>
      </c>
      <c r="H1362">
        <f>IF(AND(F1362="PASS", G1362&lt;=IFERROR(VLOOKUP(A1362,Graduation_Cutoff!$A$2:$B$8,2,FALSE),DATE(9999,12,31))),"Y","")</f>
        <v>0</v>
      </c>
    </row>
    <row r="1363" spans="7:8">
      <c r="G1363" s="2">
        <f>IF(F1363="PASS", E1363, "")</f>
        <v>0</v>
      </c>
      <c r="H1363">
        <f>IF(AND(F1363="PASS", G1363&lt;=IFERROR(VLOOKUP(A1363,Graduation_Cutoff!$A$2:$B$8,2,FALSE),DATE(9999,12,31))),"Y","")</f>
        <v>0</v>
      </c>
    </row>
    <row r="1364" spans="7:8">
      <c r="G1364" s="2">
        <f>IF(F1364="PASS", E1364, "")</f>
        <v>0</v>
      </c>
      <c r="H1364">
        <f>IF(AND(F1364="PASS", G1364&lt;=IFERROR(VLOOKUP(A1364,Graduation_Cutoff!$A$2:$B$8,2,FALSE),DATE(9999,12,31))),"Y","")</f>
        <v>0</v>
      </c>
    </row>
    <row r="1365" spans="7:8">
      <c r="G1365" s="2">
        <f>IF(F1365="PASS", E1365, "")</f>
        <v>0</v>
      </c>
      <c r="H1365">
        <f>IF(AND(F1365="PASS", G1365&lt;=IFERROR(VLOOKUP(A1365,Graduation_Cutoff!$A$2:$B$8,2,FALSE),DATE(9999,12,31))),"Y","")</f>
        <v>0</v>
      </c>
    </row>
    <row r="1366" spans="7:8">
      <c r="G1366" s="2">
        <f>IF(F1366="PASS", E1366, "")</f>
        <v>0</v>
      </c>
      <c r="H1366">
        <f>IF(AND(F1366="PASS", G1366&lt;=IFERROR(VLOOKUP(A1366,Graduation_Cutoff!$A$2:$B$8,2,FALSE),DATE(9999,12,31))),"Y","")</f>
        <v>0</v>
      </c>
    </row>
    <row r="1367" spans="7:8">
      <c r="G1367" s="2">
        <f>IF(F1367="PASS", E1367, "")</f>
        <v>0</v>
      </c>
      <c r="H1367">
        <f>IF(AND(F1367="PASS", G1367&lt;=IFERROR(VLOOKUP(A1367,Graduation_Cutoff!$A$2:$B$8,2,FALSE),DATE(9999,12,31))),"Y","")</f>
        <v>0</v>
      </c>
    </row>
    <row r="1368" spans="7:8">
      <c r="G1368" s="2">
        <f>IF(F1368="PASS", E1368, "")</f>
        <v>0</v>
      </c>
      <c r="H1368">
        <f>IF(AND(F1368="PASS", G1368&lt;=IFERROR(VLOOKUP(A1368,Graduation_Cutoff!$A$2:$B$8,2,FALSE),DATE(9999,12,31))),"Y","")</f>
        <v>0</v>
      </c>
    </row>
    <row r="1369" spans="7:8">
      <c r="G1369" s="2">
        <f>IF(F1369="PASS", E1369, "")</f>
        <v>0</v>
      </c>
      <c r="H1369">
        <f>IF(AND(F1369="PASS", G1369&lt;=IFERROR(VLOOKUP(A1369,Graduation_Cutoff!$A$2:$B$8,2,FALSE),DATE(9999,12,31))),"Y","")</f>
        <v>0</v>
      </c>
    </row>
    <row r="1370" spans="7:8">
      <c r="G1370" s="2">
        <f>IF(F1370="PASS", E1370, "")</f>
        <v>0</v>
      </c>
      <c r="H1370">
        <f>IF(AND(F1370="PASS", G1370&lt;=IFERROR(VLOOKUP(A1370,Graduation_Cutoff!$A$2:$B$8,2,FALSE),DATE(9999,12,31))),"Y","")</f>
        <v>0</v>
      </c>
    </row>
    <row r="1371" spans="7:8">
      <c r="G1371" s="2">
        <f>IF(F1371="PASS", E1371, "")</f>
        <v>0</v>
      </c>
      <c r="H1371">
        <f>IF(AND(F1371="PASS", G1371&lt;=IFERROR(VLOOKUP(A1371,Graduation_Cutoff!$A$2:$B$8,2,FALSE),DATE(9999,12,31))),"Y","")</f>
        <v>0</v>
      </c>
    </row>
    <row r="1372" spans="7:8">
      <c r="G1372" s="2">
        <f>IF(F1372="PASS", E1372, "")</f>
        <v>0</v>
      </c>
      <c r="H1372">
        <f>IF(AND(F1372="PASS", G1372&lt;=IFERROR(VLOOKUP(A1372,Graduation_Cutoff!$A$2:$B$8,2,FALSE),DATE(9999,12,31))),"Y","")</f>
        <v>0</v>
      </c>
    </row>
    <row r="1373" spans="7:8">
      <c r="G1373" s="2">
        <f>IF(F1373="PASS", E1373, "")</f>
        <v>0</v>
      </c>
      <c r="H1373">
        <f>IF(AND(F1373="PASS", G1373&lt;=IFERROR(VLOOKUP(A1373,Graduation_Cutoff!$A$2:$B$8,2,FALSE),DATE(9999,12,31))),"Y","")</f>
        <v>0</v>
      </c>
    </row>
    <row r="1374" spans="7:8">
      <c r="G1374" s="2">
        <f>IF(F1374="PASS", E1374, "")</f>
        <v>0</v>
      </c>
      <c r="H1374">
        <f>IF(AND(F1374="PASS", G1374&lt;=IFERROR(VLOOKUP(A1374,Graduation_Cutoff!$A$2:$B$8,2,FALSE),DATE(9999,12,31))),"Y","")</f>
        <v>0</v>
      </c>
    </row>
    <row r="1375" spans="7:8">
      <c r="G1375" s="2">
        <f>IF(F1375="PASS", E1375, "")</f>
        <v>0</v>
      </c>
      <c r="H1375">
        <f>IF(AND(F1375="PASS", G1375&lt;=IFERROR(VLOOKUP(A1375,Graduation_Cutoff!$A$2:$B$8,2,FALSE),DATE(9999,12,31))),"Y","")</f>
        <v>0</v>
      </c>
    </row>
    <row r="1376" spans="7:8">
      <c r="G1376" s="2">
        <f>IF(F1376="PASS", E1376, "")</f>
        <v>0</v>
      </c>
      <c r="H1376">
        <f>IF(AND(F1376="PASS", G1376&lt;=IFERROR(VLOOKUP(A1376,Graduation_Cutoff!$A$2:$B$8,2,FALSE),DATE(9999,12,31))),"Y","")</f>
        <v>0</v>
      </c>
    </row>
    <row r="1377" spans="7:8">
      <c r="G1377" s="2">
        <f>IF(F1377="PASS", E1377, "")</f>
        <v>0</v>
      </c>
      <c r="H1377">
        <f>IF(AND(F1377="PASS", G1377&lt;=IFERROR(VLOOKUP(A1377,Graduation_Cutoff!$A$2:$B$8,2,FALSE),DATE(9999,12,31))),"Y","")</f>
        <v>0</v>
      </c>
    </row>
    <row r="1378" spans="7:8">
      <c r="G1378" s="2">
        <f>IF(F1378="PASS", E1378, "")</f>
        <v>0</v>
      </c>
      <c r="H1378">
        <f>IF(AND(F1378="PASS", G1378&lt;=IFERROR(VLOOKUP(A1378,Graduation_Cutoff!$A$2:$B$8,2,FALSE),DATE(9999,12,31))),"Y","")</f>
        <v>0</v>
      </c>
    </row>
    <row r="1379" spans="7:8">
      <c r="G1379" s="2">
        <f>IF(F1379="PASS", E1379, "")</f>
        <v>0</v>
      </c>
      <c r="H1379">
        <f>IF(AND(F1379="PASS", G1379&lt;=IFERROR(VLOOKUP(A1379,Graduation_Cutoff!$A$2:$B$8,2,FALSE),DATE(9999,12,31))),"Y","")</f>
        <v>0</v>
      </c>
    </row>
    <row r="1380" spans="7:8">
      <c r="G1380" s="2">
        <f>IF(F1380="PASS", E1380, "")</f>
        <v>0</v>
      </c>
      <c r="H1380">
        <f>IF(AND(F1380="PASS", G1380&lt;=IFERROR(VLOOKUP(A1380,Graduation_Cutoff!$A$2:$B$8,2,FALSE),DATE(9999,12,31))),"Y","")</f>
        <v>0</v>
      </c>
    </row>
    <row r="1381" spans="7:8">
      <c r="G1381" s="2">
        <f>IF(F1381="PASS", E1381, "")</f>
        <v>0</v>
      </c>
      <c r="H1381">
        <f>IF(AND(F1381="PASS", G1381&lt;=IFERROR(VLOOKUP(A1381,Graduation_Cutoff!$A$2:$B$8,2,FALSE),DATE(9999,12,31))),"Y","")</f>
        <v>0</v>
      </c>
    </row>
    <row r="1382" spans="7:8">
      <c r="G1382" s="2">
        <f>IF(F1382="PASS", E1382, "")</f>
        <v>0</v>
      </c>
      <c r="H1382">
        <f>IF(AND(F1382="PASS", G1382&lt;=IFERROR(VLOOKUP(A1382,Graduation_Cutoff!$A$2:$B$8,2,FALSE),DATE(9999,12,31))),"Y","")</f>
        <v>0</v>
      </c>
    </row>
    <row r="1383" spans="7:8">
      <c r="G1383" s="2">
        <f>IF(F1383="PASS", E1383, "")</f>
        <v>0</v>
      </c>
      <c r="H1383">
        <f>IF(AND(F1383="PASS", G1383&lt;=IFERROR(VLOOKUP(A1383,Graduation_Cutoff!$A$2:$B$8,2,FALSE),DATE(9999,12,31))),"Y","")</f>
        <v>0</v>
      </c>
    </row>
    <row r="1384" spans="7:8">
      <c r="G1384" s="2">
        <f>IF(F1384="PASS", E1384, "")</f>
        <v>0</v>
      </c>
      <c r="H1384">
        <f>IF(AND(F1384="PASS", G1384&lt;=IFERROR(VLOOKUP(A1384,Graduation_Cutoff!$A$2:$B$8,2,FALSE),DATE(9999,12,31))),"Y","")</f>
        <v>0</v>
      </c>
    </row>
    <row r="1385" spans="7:8">
      <c r="G1385" s="2">
        <f>IF(F1385="PASS", E1385, "")</f>
        <v>0</v>
      </c>
      <c r="H1385">
        <f>IF(AND(F1385="PASS", G1385&lt;=IFERROR(VLOOKUP(A1385,Graduation_Cutoff!$A$2:$B$8,2,FALSE),DATE(9999,12,31))),"Y","")</f>
        <v>0</v>
      </c>
    </row>
    <row r="1386" spans="7:8">
      <c r="G1386" s="2">
        <f>IF(F1386="PASS", E1386, "")</f>
        <v>0</v>
      </c>
      <c r="H1386">
        <f>IF(AND(F1386="PASS", G1386&lt;=IFERROR(VLOOKUP(A1386,Graduation_Cutoff!$A$2:$B$8,2,FALSE),DATE(9999,12,31))),"Y","")</f>
        <v>0</v>
      </c>
    </row>
    <row r="1387" spans="7:8">
      <c r="G1387" s="2">
        <f>IF(F1387="PASS", E1387, "")</f>
        <v>0</v>
      </c>
      <c r="H1387">
        <f>IF(AND(F1387="PASS", G1387&lt;=IFERROR(VLOOKUP(A1387,Graduation_Cutoff!$A$2:$B$8,2,FALSE),DATE(9999,12,31))),"Y","")</f>
        <v>0</v>
      </c>
    </row>
    <row r="1388" spans="7:8">
      <c r="G1388" s="2">
        <f>IF(F1388="PASS", E1388, "")</f>
        <v>0</v>
      </c>
      <c r="H1388">
        <f>IF(AND(F1388="PASS", G1388&lt;=IFERROR(VLOOKUP(A1388,Graduation_Cutoff!$A$2:$B$8,2,FALSE),DATE(9999,12,31))),"Y","")</f>
        <v>0</v>
      </c>
    </row>
    <row r="1389" spans="7:8">
      <c r="G1389" s="2">
        <f>IF(F1389="PASS", E1389, "")</f>
        <v>0</v>
      </c>
      <c r="H1389">
        <f>IF(AND(F1389="PASS", G1389&lt;=IFERROR(VLOOKUP(A1389,Graduation_Cutoff!$A$2:$B$8,2,FALSE),DATE(9999,12,31))),"Y","")</f>
        <v>0</v>
      </c>
    </row>
    <row r="1390" spans="7:8">
      <c r="G1390" s="2">
        <f>IF(F1390="PASS", E1390, "")</f>
        <v>0</v>
      </c>
      <c r="H1390">
        <f>IF(AND(F1390="PASS", G1390&lt;=IFERROR(VLOOKUP(A1390,Graduation_Cutoff!$A$2:$B$8,2,FALSE),DATE(9999,12,31))),"Y","")</f>
        <v>0</v>
      </c>
    </row>
    <row r="1391" spans="7:8">
      <c r="G1391" s="2">
        <f>IF(F1391="PASS", E1391, "")</f>
        <v>0</v>
      </c>
      <c r="H1391">
        <f>IF(AND(F1391="PASS", G1391&lt;=IFERROR(VLOOKUP(A1391,Graduation_Cutoff!$A$2:$B$8,2,FALSE),DATE(9999,12,31))),"Y","")</f>
        <v>0</v>
      </c>
    </row>
    <row r="1392" spans="7:8">
      <c r="G1392" s="2">
        <f>IF(F1392="PASS", E1392, "")</f>
        <v>0</v>
      </c>
      <c r="H1392">
        <f>IF(AND(F1392="PASS", G1392&lt;=IFERROR(VLOOKUP(A1392,Graduation_Cutoff!$A$2:$B$8,2,FALSE),DATE(9999,12,31))),"Y","")</f>
        <v>0</v>
      </c>
    </row>
    <row r="1393" spans="7:8">
      <c r="G1393" s="2">
        <f>IF(F1393="PASS", E1393, "")</f>
        <v>0</v>
      </c>
      <c r="H1393">
        <f>IF(AND(F1393="PASS", G1393&lt;=IFERROR(VLOOKUP(A1393,Graduation_Cutoff!$A$2:$B$8,2,FALSE),DATE(9999,12,31))),"Y","")</f>
        <v>0</v>
      </c>
    </row>
    <row r="1394" spans="7:8">
      <c r="G1394" s="2">
        <f>IF(F1394="PASS", E1394, "")</f>
        <v>0</v>
      </c>
      <c r="H1394">
        <f>IF(AND(F1394="PASS", G1394&lt;=IFERROR(VLOOKUP(A1394,Graduation_Cutoff!$A$2:$B$8,2,FALSE),DATE(9999,12,31))),"Y","")</f>
        <v>0</v>
      </c>
    </row>
    <row r="1395" spans="7:8">
      <c r="G1395" s="2">
        <f>IF(F1395="PASS", E1395, "")</f>
        <v>0</v>
      </c>
      <c r="H1395">
        <f>IF(AND(F1395="PASS", G1395&lt;=IFERROR(VLOOKUP(A1395,Graduation_Cutoff!$A$2:$B$8,2,FALSE),DATE(9999,12,31))),"Y","")</f>
        <v>0</v>
      </c>
    </row>
    <row r="1396" spans="7:8">
      <c r="G1396" s="2">
        <f>IF(F1396="PASS", E1396, "")</f>
        <v>0</v>
      </c>
      <c r="H1396">
        <f>IF(AND(F1396="PASS", G1396&lt;=IFERROR(VLOOKUP(A1396,Graduation_Cutoff!$A$2:$B$8,2,FALSE),DATE(9999,12,31))),"Y","")</f>
        <v>0</v>
      </c>
    </row>
    <row r="1397" spans="7:8">
      <c r="G1397" s="2">
        <f>IF(F1397="PASS", E1397, "")</f>
        <v>0</v>
      </c>
      <c r="H1397">
        <f>IF(AND(F1397="PASS", G1397&lt;=IFERROR(VLOOKUP(A1397,Graduation_Cutoff!$A$2:$B$8,2,FALSE),DATE(9999,12,31))),"Y","")</f>
        <v>0</v>
      </c>
    </row>
    <row r="1398" spans="7:8">
      <c r="G1398" s="2">
        <f>IF(F1398="PASS", E1398, "")</f>
        <v>0</v>
      </c>
      <c r="H1398">
        <f>IF(AND(F1398="PASS", G1398&lt;=IFERROR(VLOOKUP(A1398,Graduation_Cutoff!$A$2:$B$8,2,FALSE),DATE(9999,12,31))),"Y","")</f>
        <v>0</v>
      </c>
    </row>
    <row r="1399" spans="7:8">
      <c r="G1399" s="2">
        <f>IF(F1399="PASS", E1399, "")</f>
        <v>0</v>
      </c>
      <c r="H1399">
        <f>IF(AND(F1399="PASS", G1399&lt;=IFERROR(VLOOKUP(A1399,Graduation_Cutoff!$A$2:$B$8,2,FALSE),DATE(9999,12,31))),"Y","")</f>
        <v>0</v>
      </c>
    </row>
    <row r="1400" spans="7:8">
      <c r="G1400" s="2">
        <f>IF(F1400="PASS", E1400, "")</f>
        <v>0</v>
      </c>
      <c r="H1400">
        <f>IF(AND(F1400="PASS", G1400&lt;=IFERROR(VLOOKUP(A1400,Graduation_Cutoff!$A$2:$B$8,2,FALSE),DATE(9999,12,31))),"Y","")</f>
        <v>0</v>
      </c>
    </row>
    <row r="1401" spans="7:8">
      <c r="G1401" s="2">
        <f>IF(F1401="PASS", E1401, "")</f>
        <v>0</v>
      </c>
      <c r="H1401">
        <f>IF(AND(F1401="PASS", G1401&lt;=IFERROR(VLOOKUP(A1401,Graduation_Cutoff!$A$2:$B$8,2,FALSE),DATE(9999,12,31))),"Y","")</f>
        <v>0</v>
      </c>
    </row>
    <row r="1402" spans="7:8">
      <c r="G1402" s="2">
        <f>IF(F1402="PASS", E1402, "")</f>
        <v>0</v>
      </c>
      <c r="H1402">
        <f>IF(AND(F1402="PASS", G1402&lt;=IFERROR(VLOOKUP(A1402,Graduation_Cutoff!$A$2:$B$8,2,FALSE),DATE(9999,12,31))),"Y","")</f>
        <v>0</v>
      </c>
    </row>
    <row r="1403" spans="7:8">
      <c r="G1403" s="2">
        <f>IF(F1403="PASS", E1403, "")</f>
        <v>0</v>
      </c>
      <c r="H1403">
        <f>IF(AND(F1403="PASS", G1403&lt;=IFERROR(VLOOKUP(A1403,Graduation_Cutoff!$A$2:$B$8,2,FALSE),DATE(9999,12,31))),"Y","")</f>
        <v>0</v>
      </c>
    </row>
    <row r="1404" spans="7:8">
      <c r="G1404" s="2">
        <f>IF(F1404="PASS", E1404, "")</f>
        <v>0</v>
      </c>
      <c r="H1404">
        <f>IF(AND(F1404="PASS", G1404&lt;=IFERROR(VLOOKUP(A1404,Graduation_Cutoff!$A$2:$B$8,2,FALSE),DATE(9999,12,31))),"Y","")</f>
        <v>0</v>
      </c>
    </row>
    <row r="1405" spans="7:8">
      <c r="G1405" s="2">
        <f>IF(F1405="PASS", E1405, "")</f>
        <v>0</v>
      </c>
      <c r="H1405">
        <f>IF(AND(F1405="PASS", G1405&lt;=IFERROR(VLOOKUP(A1405,Graduation_Cutoff!$A$2:$B$8,2,FALSE),DATE(9999,12,31))),"Y","")</f>
        <v>0</v>
      </c>
    </row>
    <row r="1406" spans="7:8">
      <c r="G1406" s="2">
        <f>IF(F1406="PASS", E1406, "")</f>
        <v>0</v>
      </c>
      <c r="H1406">
        <f>IF(AND(F1406="PASS", G1406&lt;=IFERROR(VLOOKUP(A1406,Graduation_Cutoff!$A$2:$B$8,2,FALSE),DATE(9999,12,31))),"Y","")</f>
        <v>0</v>
      </c>
    </row>
    <row r="1407" spans="7:8">
      <c r="G1407" s="2">
        <f>IF(F1407="PASS", E1407, "")</f>
        <v>0</v>
      </c>
      <c r="H1407">
        <f>IF(AND(F1407="PASS", G1407&lt;=IFERROR(VLOOKUP(A1407,Graduation_Cutoff!$A$2:$B$8,2,FALSE),DATE(9999,12,31))),"Y","")</f>
        <v>0</v>
      </c>
    </row>
    <row r="1408" spans="7:8">
      <c r="G1408" s="2">
        <f>IF(F1408="PASS", E1408, "")</f>
        <v>0</v>
      </c>
      <c r="H1408">
        <f>IF(AND(F1408="PASS", G1408&lt;=IFERROR(VLOOKUP(A1408,Graduation_Cutoff!$A$2:$B$8,2,FALSE),DATE(9999,12,31))),"Y","")</f>
        <v>0</v>
      </c>
    </row>
    <row r="1409" spans="7:8">
      <c r="G1409" s="2">
        <f>IF(F1409="PASS", E1409, "")</f>
        <v>0</v>
      </c>
      <c r="H1409">
        <f>IF(AND(F1409="PASS", G1409&lt;=IFERROR(VLOOKUP(A1409,Graduation_Cutoff!$A$2:$B$8,2,FALSE),DATE(9999,12,31))),"Y","")</f>
        <v>0</v>
      </c>
    </row>
    <row r="1410" spans="7:8">
      <c r="G1410" s="2">
        <f>IF(F1410="PASS", E1410, "")</f>
        <v>0</v>
      </c>
      <c r="H1410">
        <f>IF(AND(F1410="PASS", G1410&lt;=IFERROR(VLOOKUP(A1410,Graduation_Cutoff!$A$2:$B$8,2,FALSE),DATE(9999,12,31))),"Y","")</f>
        <v>0</v>
      </c>
    </row>
    <row r="1411" spans="7:8">
      <c r="G1411" s="2">
        <f>IF(F1411="PASS", E1411, "")</f>
        <v>0</v>
      </c>
      <c r="H1411">
        <f>IF(AND(F1411="PASS", G1411&lt;=IFERROR(VLOOKUP(A1411,Graduation_Cutoff!$A$2:$B$8,2,FALSE),DATE(9999,12,31))),"Y","")</f>
        <v>0</v>
      </c>
    </row>
    <row r="1412" spans="7:8">
      <c r="G1412" s="2">
        <f>IF(F1412="PASS", E1412, "")</f>
        <v>0</v>
      </c>
      <c r="H1412">
        <f>IF(AND(F1412="PASS", G1412&lt;=IFERROR(VLOOKUP(A1412,Graduation_Cutoff!$A$2:$B$8,2,FALSE),DATE(9999,12,31))),"Y","")</f>
        <v>0</v>
      </c>
    </row>
    <row r="1413" spans="7:8">
      <c r="G1413" s="2">
        <f>IF(F1413="PASS", E1413, "")</f>
        <v>0</v>
      </c>
      <c r="H1413">
        <f>IF(AND(F1413="PASS", G1413&lt;=IFERROR(VLOOKUP(A1413,Graduation_Cutoff!$A$2:$B$8,2,FALSE),DATE(9999,12,31))),"Y","")</f>
        <v>0</v>
      </c>
    </row>
    <row r="1414" spans="7:8">
      <c r="G1414" s="2">
        <f>IF(F1414="PASS", E1414, "")</f>
        <v>0</v>
      </c>
      <c r="H1414">
        <f>IF(AND(F1414="PASS", G1414&lt;=IFERROR(VLOOKUP(A1414,Graduation_Cutoff!$A$2:$B$8,2,FALSE),DATE(9999,12,31))),"Y","")</f>
        <v>0</v>
      </c>
    </row>
    <row r="1415" spans="7:8">
      <c r="G1415" s="2">
        <f>IF(F1415="PASS", E1415, "")</f>
        <v>0</v>
      </c>
      <c r="H1415">
        <f>IF(AND(F1415="PASS", G1415&lt;=IFERROR(VLOOKUP(A1415,Graduation_Cutoff!$A$2:$B$8,2,FALSE),DATE(9999,12,31))),"Y","")</f>
        <v>0</v>
      </c>
    </row>
    <row r="1416" spans="7:8">
      <c r="G1416" s="2">
        <f>IF(F1416="PASS", E1416, "")</f>
        <v>0</v>
      </c>
      <c r="H1416">
        <f>IF(AND(F1416="PASS", G1416&lt;=IFERROR(VLOOKUP(A1416,Graduation_Cutoff!$A$2:$B$8,2,FALSE),DATE(9999,12,31))),"Y","")</f>
        <v>0</v>
      </c>
    </row>
    <row r="1417" spans="7:8">
      <c r="G1417" s="2">
        <f>IF(F1417="PASS", E1417, "")</f>
        <v>0</v>
      </c>
      <c r="H1417">
        <f>IF(AND(F1417="PASS", G1417&lt;=IFERROR(VLOOKUP(A1417,Graduation_Cutoff!$A$2:$B$8,2,FALSE),DATE(9999,12,31))),"Y","")</f>
        <v>0</v>
      </c>
    </row>
    <row r="1418" spans="7:8">
      <c r="G1418" s="2">
        <f>IF(F1418="PASS", E1418, "")</f>
        <v>0</v>
      </c>
      <c r="H1418">
        <f>IF(AND(F1418="PASS", G1418&lt;=IFERROR(VLOOKUP(A1418,Graduation_Cutoff!$A$2:$B$8,2,FALSE),DATE(9999,12,31))),"Y","")</f>
        <v>0</v>
      </c>
    </row>
    <row r="1419" spans="7:8">
      <c r="G1419" s="2">
        <f>IF(F1419="PASS", E1419, "")</f>
        <v>0</v>
      </c>
      <c r="H1419">
        <f>IF(AND(F1419="PASS", G1419&lt;=IFERROR(VLOOKUP(A1419,Graduation_Cutoff!$A$2:$B$8,2,FALSE),DATE(9999,12,31))),"Y","")</f>
        <v>0</v>
      </c>
    </row>
    <row r="1420" spans="7:8">
      <c r="G1420" s="2">
        <f>IF(F1420="PASS", E1420, "")</f>
        <v>0</v>
      </c>
      <c r="H1420">
        <f>IF(AND(F1420="PASS", G1420&lt;=IFERROR(VLOOKUP(A1420,Graduation_Cutoff!$A$2:$B$8,2,FALSE),DATE(9999,12,31))),"Y","")</f>
        <v>0</v>
      </c>
    </row>
    <row r="1421" spans="7:8">
      <c r="G1421" s="2">
        <f>IF(F1421="PASS", E1421, "")</f>
        <v>0</v>
      </c>
      <c r="H1421">
        <f>IF(AND(F1421="PASS", G1421&lt;=IFERROR(VLOOKUP(A1421,Graduation_Cutoff!$A$2:$B$8,2,FALSE),DATE(9999,12,31))),"Y","")</f>
        <v>0</v>
      </c>
    </row>
    <row r="1422" spans="7:8">
      <c r="G1422" s="2">
        <f>IF(F1422="PASS", E1422, "")</f>
        <v>0</v>
      </c>
      <c r="H1422">
        <f>IF(AND(F1422="PASS", G1422&lt;=IFERROR(VLOOKUP(A1422,Graduation_Cutoff!$A$2:$B$8,2,FALSE),DATE(9999,12,31))),"Y","")</f>
        <v>0</v>
      </c>
    </row>
    <row r="1423" spans="7:8">
      <c r="G1423" s="2">
        <f>IF(F1423="PASS", E1423, "")</f>
        <v>0</v>
      </c>
      <c r="H1423">
        <f>IF(AND(F1423="PASS", G1423&lt;=IFERROR(VLOOKUP(A1423,Graduation_Cutoff!$A$2:$B$8,2,FALSE),DATE(9999,12,31))),"Y","")</f>
        <v>0</v>
      </c>
    </row>
    <row r="1424" spans="7:8">
      <c r="G1424" s="2">
        <f>IF(F1424="PASS", E1424, "")</f>
        <v>0</v>
      </c>
      <c r="H1424">
        <f>IF(AND(F1424="PASS", G1424&lt;=IFERROR(VLOOKUP(A1424,Graduation_Cutoff!$A$2:$B$8,2,FALSE),DATE(9999,12,31))),"Y","")</f>
        <v>0</v>
      </c>
    </row>
    <row r="1425" spans="7:8">
      <c r="G1425" s="2">
        <f>IF(F1425="PASS", E1425, "")</f>
        <v>0</v>
      </c>
      <c r="H1425">
        <f>IF(AND(F1425="PASS", G1425&lt;=IFERROR(VLOOKUP(A1425,Graduation_Cutoff!$A$2:$B$8,2,FALSE),DATE(9999,12,31))),"Y","")</f>
        <v>0</v>
      </c>
    </row>
    <row r="1426" spans="7:8">
      <c r="G1426" s="2">
        <f>IF(F1426="PASS", E1426, "")</f>
        <v>0</v>
      </c>
      <c r="H1426">
        <f>IF(AND(F1426="PASS", G1426&lt;=IFERROR(VLOOKUP(A1426,Graduation_Cutoff!$A$2:$B$8,2,FALSE),DATE(9999,12,31))),"Y","")</f>
        <v>0</v>
      </c>
    </row>
    <row r="1427" spans="7:8">
      <c r="G1427" s="2">
        <f>IF(F1427="PASS", E1427, "")</f>
        <v>0</v>
      </c>
      <c r="H1427">
        <f>IF(AND(F1427="PASS", G1427&lt;=IFERROR(VLOOKUP(A1427,Graduation_Cutoff!$A$2:$B$8,2,FALSE),DATE(9999,12,31))),"Y","")</f>
        <v>0</v>
      </c>
    </row>
    <row r="1428" spans="7:8">
      <c r="G1428" s="2">
        <f>IF(F1428="PASS", E1428, "")</f>
        <v>0</v>
      </c>
      <c r="H1428">
        <f>IF(AND(F1428="PASS", G1428&lt;=IFERROR(VLOOKUP(A1428,Graduation_Cutoff!$A$2:$B$8,2,FALSE),DATE(9999,12,31))),"Y","")</f>
        <v>0</v>
      </c>
    </row>
    <row r="1429" spans="7:8">
      <c r="G1429" s="2">
        <f>IF(F1429="PASS", E1429, "")</f>
        <v>0</v>
      </c>
      <c r="H1429">
        <f>IF(AND(F1429="PASS", G1429&lt;=IFERROR(VLOOKUP(A1429,Graduation_Cutoff!$A$2:$B$8,2,FALSE),DATE(9999,12,31))),"Y","")</f>
        <v>0</v>
      </c>
    </row>
    <row r="1430" spans="7:8">
      <c r="G1430" s="2">
        <f>IF(F1430="PASS", E1430, "")</f>
        <v>0</v>
      </c>
      <c r="H1430">
        <f>IF(AND(F1430="PASS", G1430&lt;=IFERROR(VLOOKUP(A1430,Graduation_Cutoff!$A$2:$B$8,2,FALSE),DATE(9999,12,31))),"Y","")</f>
        <v>0</v>
      </c>
    </row>
    <row r="1431" spans="7:8">
      <c r="G1431" s="2">
        <f>IF(F1431="PASS", E1431, "")</f>
        <v>0</v>
      </c>
      <c r="H1431">
        <f>IF(AND(F1431="PASS", G1431&lt;=IFERROR(VLOOKUP(A1431,Graduation_Cutoff!$A$2:$B$8,2,FALSE),DATE(9999,12,31))),"Y","")</f>
        <v>0</v>
      </c>
    </row>
    <row r="1432" spans="7:8">
      <c r="G1432" s="2">
        <f>IF(F1432="PASS", E1432, "")</f>
        <v>0</v>
      </c>
      <c r="H1432">
        <f>IF(AND(F1432="PASS", G1432&lt;=IFERROR(VLOOKUP(A1432,Graduation_Cutoff!$A$2:$B$8,2,FALSE),DATE(9999,12,31))),"Y","")</f>
        <v>0</v>
      </c>
    </row>
    <row r="1433" spans="7:8">
      <c r="G1433" s="2">
        <f>IF(F1433="PASS", E1433, "")</f>
        <v>0</v>
      </c>
      <c r="H1433">
        <f>IF(AND(F1433="PASS", G1433&lt;=IFERROR(VLOOKUP(A1433,Graduation_Cutoff!$A$2:$B$8,2,FALSE),DATE(9999,12,31))),"Y","")</f>
        <v>0</v>
      </c>
    </row>
    <row r="1434" spans="7:8">
      <c r="G1434" s="2">
        <f>IF(F1434="PASS", E1434, "")</f>
        <v>0</v>
      </c>
      <c r="H1434">
        <f>IF(AND(F1434="PASS", G1434&lt;=IFERROR(VLOOKUP(A1434,Graduation_Cutoff!$A$2:$B$8,2,FALSE),DATE(9999,12,31))),"Y","")</f>
        <v>0</v>
      </c>
    </row>
    <row r="1435" spans="7:8">
      <c r="G1435" s="2">
        <f>IF(F1435="PASS", E1435, "")</f>
        <v>0</v>
      </c>
      <c r="H1435">
        <f>IF(AND(F1435="PASS", G1435&lt;=IFERROR(VLOOKUP(A1435,Graduation_Cutoff!$A$2:$B$8,2,FALSE),DATE(9999,12,31))),"Y","")</f>
        <v>0</v>
      </c>
    </row>
    <row r="1436" spans="7:8">
      <c r="G1436" s="2">
        <f>IF(F1436="PASS", E1436, "")</f>
        <v>0</v>
      </c>
      <c r="H1436">
        <f>IF(AND(F1436="PASS", G1436&lt;=IFERROR(VLOOKUP(A1436,Graduation_Cutoff!$A$2:$B$8,2,FALSE),DATE(9999,12,31))),"Y","")</f>
        <v>0</v>
      </c>
    </row>
    <row r="1437" spans="7:8">
      <c r="G1437" s="2">
        <f>IF(F1437="PASS", E1437, "")</f>
        <v>0</v>
      </c>
      <c r="H1437">
        <f>IF(AND(F1437="PASS", G1437&lt;=IFERROR(VLOOKUP(A1437,Graduation_Cutoff!$A$2:$B$8,2,FALSE),DATE(9999,12,31))),"Y","")</f>
        <v>0</v>
      </c>
    </row>
    <row r="1438" spans="7:8">
      <c r="G1438" s="2">
        <f>IF(F1438="PASS", E1438, "")</f>
        <v>0</v>
      </c>
      <c r="H1438">
        <f>IF(AND(F1438="PASS", G1438&lt;=IFERROR(VLOOKUP(A1438,Graduation_Cutoff!$A$2:$B$8,2,FALSE),DATE(9999,12,31))),"Y","")</f>
        <v>0</v>
      </c>
    </row>
    <row r="1439" spans="7:8">
      <c r="G1439" s="2">
        <f>IF(F1439="PASS", E1439, "")</f>
        <v>0</v>
      </c>
      <c r="H1439">
        <f>IF(AND(F1439="PASS", G1439&lt;=IFERROR(VLOOKUP(A1439,Graduation_Cutoff!$A$2:$B$8,2,FALSE),DATE(9999,12,31))),"Y","")</f>
        <v>0</v>
      </c>
    </row>
    <row r="1440" spans="7:8">
      <c r="G1440" s="2">
        <f>IF(F1440="PASS", E1440, "")</f>
        <v>0</v>
      </c>
      <c r="H1440">
        <f>IF(AND(F1440="PASS", G1440&lt;=IFERROR(VLOOKUP(A1440,Graduation_Cutoff!$A$2:$B$8,2,FALSE),DATE(9999,12,31))),"Y","")</f>
        <v>0</v>
      </c>
    </row>
    <row r="1441" spans="7:8">
      <c r="G1441" s="2">
        <f>IF(F1441="PASS", E1441, "")</f>
        <v>0</v>
      </c>
      <c r="H1441">
        <f>IF(AND(F1441="PASS", G1441&lt;=IFERROR(VLOOKUP(A1441,Graduation_Cutoff!$A$2:$B$8,2,FALSE),DATE(9999,12,31))),"Y","")</f>
        <v>0</v>
      </c>
    </row>
    <row r="1442" spans="7:8">
      <c r="G1442" s="2">
        <f>IF(F1442="PASS", E1442, "")</f>
        <v>0</v>
      </c>
      <c r="H1442">
        <f>IF(AND(F1442="PASS", G1442&lt;=IFERROR(VLOOKUP(A1442,Graduation_Cutoff!$A$2:$B$8,2,FALSE),DATE(9999,12,31))),"Y","")</f>
        <v>0</v>
      </c>
    </row>
    <row r="1443" spans="7:8">
      <c r="G1443" s="2">
        <f>IF(F1443="PASS", E1443, "")</f>
        <v>0</v>
      </c>
      <c r="H1443">
        <f>IF(AND(F1443="PASS", G1443&lt;=IFERROR(VLOOKUP(A1443,Graduation_Cutoff!$A$2:$B$8,2,FALSE),DATE(9999,12,31))),"Y","")</f>
        <v>0</v>
      </c>
    </row>
    <row r="1444" spans="7:8">
      <c r="G1444" s="2">
        <f>IF(F1444="PASS", E1444, "")</f>
        <v>0</v>
      </c>
      <c r="H1444">
        <f>IF(AND(F1444="PASS", G1444&lt;=IFERROR(VLOOKUP(A1444,Graduation_Cutoff!$A$2:$B$8,2,FALSE),DATE(9999,12,31))),"Y","")</f>
        <v>0</v>
      </c>
    </row>
    <row r="1445" spans="7:8">
      <c r="G1445" s="2">
        <f>IF(F1445="PASS", E1445, "")</f>
        <v>0</v>
      </c>
      <c r="H1445">
        <f>IF(AND(F1445="PASS", G1445&lt;=IFERROR(VLOOKUP(A1445,Graduation_Cutoff!$A$2:$B$8,2,FALSE),DATE(9999,12,31))),"Y","")</f>
        <v>0</v>
      </c>
    </row>
    <row r="1446" spans="7:8">
      <c r="G1446" s="2">
        <f>IF(F1446="PASS", E1446, "")</f>
        <v>0</v>
      </c>
      <c r="H1446">
        <f>IF(AND(F1446="PASS", G1446&lt;=IFERROR(VLOOKUP(A1446,Graduation_Cutoff!$A$2:$B$8,2,FALSE),DATE(9999,12,31))),"Y","")</f>
        <v>0</v>
      </c>
    </row>
    <row r="1447" spans="7:8">
      <c r="G1447" s="2">
        <f>IF(F1447="PASS", E1447, "")</f>
        <v>0</v>
      </c>
      <c r="H1447">
        <f>IF(AND(F1447="PASS", G1447&lt;=IFERROR(VLOOKUP(A1447,Graduation_Cutoff!$A$2:$B$8,2,FALSE),DATE(9999,12,31))),"Y","")</f>
        <v>0</v>
      </c>
    </row>
    <row r="1448" spans="7:8">
      <c r="G1448" s="2">
        <f>IF(F1448="PASS", E1448, "")</f>
        <v>0</v>
      </c>
      <c r="H1448">
        <f>IF(AND(F1448="PASS", G1448&lt;=IFERROR(VLOOKUP(A1448,Graduation_Cutoff!$A$2:$B$8,2,FALSE),DATE(9999,12,31))),"Y","")</f>
        <v>0</v>
      </c>
    </row>
    <row r="1449" spans="7:8">
      <c r="G1449" s="2">
        <f>IF(F1449="PASS", E1449, "")</f>
        <v>0</v>
      </c>
      <c r="H1449">
        <f>IF(AND(F1449="PASS", G1449&lt;=IFERROR(VLOOKUP(A1449,Graduation_Cutoff!$A$2:$B$8,2,FALSE),DATE(9999,12,31))),"Y","")</f>
        <v>0</v>
      </c>
    </row>
    <row r="1450" spans="7:8">
      <c r="G1450" s="2">
        <f>IF(F1450="PASS", E1450, "")</f>
        <v>0</v>
      </c>
      <c r="H1450">
        <f>IF(AND(F1450="PASS", G1450&lt;=IFERROR(VLOOKUP(A1450,Graduation_Cutoff!$A$2:$B$8,2,FALSE),DATE(9999,12,31))),"Y","")</f>
        <v>0</v>
      </c>
    </row>
    <row r="1451" spans="7:8">
      <c r="G1451" s="2">
        <f>IF(F1451="PASS", E1451, "")</f>
        <v>0</v>
      </c>
      <c r="H1451">
        <f>IF(AND(F1451="PASS", G1451&lt;=IFERROR(VLOOKUP(A1451,Graduation_Cutoff!$A$2:$B$8,2,FALSE),DATE(9999,12,31))),"Y","")</f>
        <v>0</v>
      </c>
    </row>
    <row r="1452" spans="7:8">
      <c r="G1452" s="2">
        <f>IF(F1452="PASS", E1452, "")</f>
        <v>0</v>
      </c>
      <c r="H1452">
        <f>IF(AND(F1452="PASS", G1452&lt;=IFERROR(VLOOKUP(A1452,Graduation_Cutoff!$A$2:$B$8,2,FALSE),DATE(9999,12,31))),"Y","")</f>
        <v>0</v>
      </c>
    </row>
    <row r="1453" spans="7:8">
      <c r="G1453" s="2">
        <f>IF(F1453="PASS", E1453, "")</f>
        <v>0</v>
      </c>
      <c r="H1453">
        <f>IF(AND(F1453="PASS", G1453&lt;=IFERROR(VLOOKUP(A1453,Graduation_Cutoff!$A$2:$B$8,2,FALSE),DATE(9999,12,31))),"Y","")</f>
        <v>0</v>
      </c>
    </row>
    <row r="1454" spans="7:8">
      <c r="G1454" s="2">
        <f>IF(F1454="PASS", E1454, "")</f>
        <v>0</v>
      </c>
      <c r="H1454">
        <f>IF(AND(F1454="PASS", G1454&lt;=IFERROR(VLOOKUP(A1454,Graduation_Cutoff!$A$2:$B$8,2,FALSE),DATE(9999,12,31))),"Y","")</f>
        <v>0</v>
      </c>
    </row>
    <row r="1455" spans="7:8">
      <c r="G1455" s="2">
        <f>IF(F1455="PASS", E1455, "")</f>
        <v>0</v>
      </c>
      <c r="H1455">
        <f>IF(AND(F1455="PASS", G1455&lt;=IFERROR(VLOOKUP(A1455,Graduation_Cutoff!$A$2:$B$8,2,FALSE),DATE(9999,12,31))),"Y","")</f>
        <v>0</v>
      </c>
    </row>
    <row r="1456" spans="7:8">
      <c r="G1456" s="2">
        <f>IF(F1456="PASS", E1456, "")</f>
        <v>0</v>
      </c>
      <c r="H1456">
        <f>IF(AND(F1456="PASS", G1456&lt;=IFERROR(VLOOKUP(A1456,Graduation_Cutoff!$A$2:$B$8,2,FALSE),DATE(9999,12,31))),"Y","")</f>
        <v>0</v>
      </c>
    </row>
    <row r="1457" spans="7:8">
      <c r="G1457" s="2">
        <f>IF(F1457="PASS", E1457, "")</f>
        <v>0</v>
      </c>
      <c r="H1457">
        <f>IF(AND(F1457="PASS", G1457&lt;=IFERROR(VLOOKUP(A1457,Graduation_Cutoff!$A$2:$B$8,2,FALSE),DATE(9999,12,31))),"Y","")</f>
        <v>0</v>
      </c>
    </row>
    <row r="1458" spans="7:8">
      <c r="G1458" s="2">
        <f>IF(F1458="PASS", E1458, "")</f>
        <v>0</v>
      </c>
      <c r="H1458">
        <f>IF(AND(F1458="PASS", G1458&lt;=IFERROR(VLOOKUP(A1458,Graduation_Cutoff!$A$2:$B$8,2,FALSE),DATE(9999,12,31))),"Y","")</f>
        <v>0</v>
      </c>
    </row>
    <row r="1459" spans="7:8">
      <c r="G1459" s="2">
        <f>IF(F1459="PASS", E1459, "")</f>
        <v>0</v>
      </c>
      <c r="H1459">
        <f>IF(AND(F1459="PASS", G1459&lt;=IFERROR(VLOOKUP(A1459,Graduation_Cutoff!$A$2:$B$8,2,FALSE),DATE(9999,12,31))),"Y","")</f>
        <v>0</v>
      </c>
    </row>
    <row r="1460" spans="7:8">
      <c r="G1460" s="2">
        <f>IF(F1460="PASS", E1460, "")</f>
        <v>0</v>
      </c>
      <c r="H1460">
        <f>IF(AND(F1460="PASS", G1460&lt;=IFERROR(VLOOKUP(A1460,Graduation_Cutoff!$A$2:$B$8,2,FALSE),DATE(9999,12,31))),"Y","")</f>
        <v>0</v>
      </c>
    </row>
    <row r="1461" spans="7:8">
      <c r="G1461" s="2">
        <f>IF(F1461="PASS", E1461, "")</f>
        <v>0</v>
      </c>
      <c r="H1461">
        <f>IF(AND(F1461="PASS", G1461&lt;=IFERROR(VLOOKUP(A1461,Graduation_Cutoff!$A$2:$B$8,2,FALSE),DATE(9999,12,31))),"Y","")</f>
        <v>0</v>
      </c>
    </row>
    <row r="1462" spans="7:8">
      <c r="G1462" s="2">
        <f>IF(F1462="PASS", E1462, "")</f>
        <v>0</v>
      </c>
      <c r="H1462">
        <f>IF(AND(F1462="PASS", G1462&lt;=IFERROR(VLOOKUP(A1462,Graduation_Cutoff!$A$2:$B$8,2,FALSE),DATE(9999,12,31))),"Y","")</f>
        <v>0</v>
      </c>
    </row>
    <row r="1463" spans="7:8">
      <c r="G1463" s="2">
        <f>IF(F1463="PASS", E1463, "")</f>
        <v>0</v>
      </c>
      <c r="H1463">
        <f>IF(AND(F1463="PASS", G1463&lt;=IFERROR(VLOOKUP(A1463,Graduation_Cutoff!$A$2:$B$8,2,FALSE),DATE(9999,12,31))),"Y","")</f>
        <v>0</v>
      </c>
    </row>
    <row r="1464" spans="7:8">
      <c r="G1464" s="2">
        <f>IF(F1464="PASS", E1464, "")</f>
        <v>0</v>
      </c>
      <c r="H1464">
        <f>IF(AND(F1464="PASS", G1464&lt;=IFERROR(VLOOKUP(A1464,Graduation_Cutoff!$A$2:$B$8,2,FALSE),DATE(9999,12,31))),"Y","")</f>
        <v>0</v>
      </c>
    </row>
    <row r="1465" spans="7:8">
      <c r="G1465" s="2">
        <f>IF(F1465="PASS", E1465, "")</f>
        <v>0</v>
      </c>
      <c r="H1465">
        <f>IF(AND(F1465="PASS", G1465&lt;=IFERROR(VLOOKUP(A1465,Graduation_Cutoff!$A$2:$B$8,2,FALSE),DATE(9999,12,31))),"Y","")</f>
        <v>0</v>
      </c>
    </row>
    <row r="1466" spans="7:8">
      <c r="G1466" s="2">
        <f>IF(F1466="PASS", E1466, "")</f>
        <v>0</v>
      </c>
      <c r="H1466">
        <f>IF(AND(F1466="PASS", G1466&lt;=IFERROR(VLOOKUP(A1466,Graduation_Cutoff!$A$2:$B$8,2,FALSE),DATE(9999,12,31))),"Y","")</f>
        <v>0</v>
      </c>
    </row>
    <row r="1467" spans="7:8">
      <c r="G1467" s="2">
        <f>IF(F1467="PASS", E1467, "")</f>
        <v>0</v>
      </c>
      <c r="H1467">
        <f>IF(AND(F1467="PASS", G1467&lt;=IFERROR(VLOOKUP(A1467,Graduation_Cutoff!$A$2:$B$8,2,FALSE),DATE(9999,12,31))),"Y","")</f>
        <v>0</v>
      </c>
    </row>
    <row r="1468" spans="7:8">
      <c r="G1468" s="2">
        <f>IF(F1468="PASS", E1468, "")</f>
        <v>0</v>
      </c>
      <c r="H1468">
        <f>IF(AND(F1468="PASS", G1468&lt;=IFERROR(VLOOKUP(A1468,Graduation_Cutoff!$A$2:$B$8,2,FALSE),DATE(9999,12,31))),"Y","")</f>
        <v>0</v>
      </c>
    </row>
    <row r="1469" spans="7:8">
      <c r="G1469" s="2">
        <f>IF(F1469="PASS", E1469, "")</f>
        <v>0</v>
      </c>
      <c r="H1469">
        <f>IF(AND(F1469="PASS", G1469&lt;=IFERROR(VLOOKUP(A1469,Graduation_Cutoff!$A$2:$B$8,2,FALSE),DATE(9999,12,31))),"Y","")</f>
        <v>0</v>
      </c>
    </row>
    <row r="1470" spans="7:8">
      <c r="G1470" s="2">
        <f>IF(F1470="PASS", E1470, "")</f>
        <v>0</v>
      </c>
      <c r="H1470">
        <f>IF(AND(F1470="PASS", G1470&lt;=IFERROR(VLOOKUP(A1470,Graduation_Cutoff!$A$2:$B$8,2,FALSE),DATE(9999,12,31))),"Y","")</f>
        <v>0</v>
      </c>
    </row>
    <row r="1471" spans="7:8">
      <c r="G1471" s="2">
        <f>IF(F1471="PASS", E1471, "")</f>
        <v>0</v>
      </c>
      <c r="H1471">
        <f>IF(AND(F1471="PASS", G1471&lt;=IFERROR(VLOOKUP(A1471,Graduation_Cutoff!$A$2:$B$8,2,FALSE),DATE(9999,12,31))),"Y","")</f>
        <v>0</v>
      </c>
    </row>
    <row r="1472" spans="7:8">
      <c r="G1472" s="2">
        <f>IF(F1472="PASS", E1472, "")</f>
        <v>0</v>
      </c>
      <c r="H1472">
        <f>IF(AND(F1472="PASS", G1472&lt;=IFERROR(VLOOKUP(A1472,Graduation_Cutoff!$A$2:$B$8,2,FALSE),DATE(9999,12,31))),"Y","")</f>
        <v>0</v>
      </c>
    </row>
    <row r="1473" spans="7:8">
      <c r="G1473" s="2">
        <f>IF(F1473="PASS", E1473, "")</f>
        <v>0</v>
      </c>
      <c r="H1473">
        <f>IF(AND(F1473="PASS", G1473&lt;=IFERROR(VLOOKUP(A1473,Graduation_Cutoff!$A$2:$B$8,2,FALSE),DATE(9999,12,31))),"Y","")</f>
        <v>0</v>
      </c>
    </row>
    <row r="1474" spans="7:8">
      <c r="G1474" s="2">
        <f>IF(F1474="PASS", E1474, "")</f>
        <v>0</v>
      </c>
      <c r="H1474">
        <f>IF(AND(F1474="PASS", G1474&lt;=IFERROR(VLOOKUP(A1474,Graduation_Cutoff!$A$2:$B$8,2,FALSE),DATE(9999,12,31))),"Y","")</f>
        <v>0</v>
      </c>
    </row>
    <row r="1475" spans="7:8">
      <c r="G1475" s="2">
        <f>IF(F1475="PASS", E1475, "")</f>
        <v>0</v>
      </c>
      <c r="H1475">
        <f>IF(AND(F1475="PASS", G1475&lt;=IFERROR(VLOOKUP(A1475,Graduation_Cutoff!$A$2:$B$8,2,FALSE),DATE(9999,12,31))),"Y","")</f>
        <v>0</v>
      </c>
    </row>
    <row r="1476" spans="7:8">
      <c r="G1476" s="2">
        <f>IF(F1476="PASS", E1476, "")</f>
        <v>0</v>
      </c>
      <c r="H1476">
        <f>IF(AND(F1476="PASS", G1476&lt;=IFERROR(VLOOKUP(A1476,Graduation_Cutoff!$A$2:$B$8,2,FALSE),DATE(9999,12,31))),"Y","")</f>
        <v>0</v>
      </c>
    </row>
    <row r="1477" spans="7:8">
      <c r="G1477" s="2">
        <f>IF(F1477="PASS", E1477, "")</f>
        <v>0</v>
      </c>
      <c r="H1477">
        <f>IF(AND(F1477="PASS", G1477&lt;=IFERROR(VLOOKUP(A1477,Graduation_Cutoff!$A$2:$B$8,2,FALSE),DATE(9999,12,31))),"Y","")</f>
        <v>0</v>
      </c>
    </row>
    <row r="1478" spans="7:8">
      <c r="G1478" s="2">
        <f>IF(F1478="PASS", E1478, "")</f>
        <v>0</v>
      </c>
      <c r="H1478">
        <f>IF(AND(F1478="PASS", G1478&lt;=IFERROR(VLOOKUP(A1478,Graduation_Cutoff!$A$2:$B$8,2,FALSE),DATE(9999,12,31))),"Y","")</f>
        <v>0</v>
      </c>
    </row>
    <row r="1479" spans="7:8">
      <c r="G1479" s="2">
        <f>IF(F1479="PASS", E1479, "")</f>
        <v>0</v>
      </c>
      <c r="H1479">
        <f>IF(AND(F1479="PASS", G1479&lt;=IFERROR(VLOOKUP(A1479,Graduation_Cutoff!$A$2:$B$8,2,FALSE),DATE(9999,12,31))),"Y","")</f>
        <v>0</v>
      </c>
    </row>
    <row r="1480" spans="7:8">
      <c r="G1480" s="2">
        <f>IF(F1480="PASS", E1480, "")</f>
        <v>0</v>
      </c>
      <c r="H1480">
        <f>IF(AND(F1480="PASS", G1480&lt;=IFERROR(VLOOKUP(A1480,Graduation_Cutoff!$A$2:$B$8,2,FALSE),DATE(9999,12,31))),"Y","")</f>
        <v>0</v>
      </c>
    </row>
    <row r="1481" spans="7:8">
      <c r="G1481" s="2">
        <f>IF(F1481="PASS", E1481, "")</f>
        <v>0</v>
      </c>
      <c r="H1481">
        <f>IF(AND(F1481="PASS", G1481&lt;=IFERROR(VLOOKUP(A1481,Graduation_Cutoff!$A$2:$B$8,2,FALSE),DATE(9999,12,31))),"Y","")</f>
        <v>0</v>
      </c>
    </row>
    <row r="1482" spans="7:8">
      <c r="G1482" s="2">
        <f>IF(F1482="PASS", E1482, "")</f>
        <v>0</v>
      </c>
      <c r="H1482">
        <f>IF(AND(F1482="PASS", G1482&lt;=IFERROR(VLOOKUP(A1482,Graduation_Cutoff!$A$2:$B$8,2,FALSE),DATE(9999,12,31))),"Y","")</f>
        <v>0</v>
      </c>
    </row>
    <row r="1483" spans="7:8">
      <c r="G1483" s="2">
        <f>IF(F1483="PASS", E1483, "")</f>
        <v>0</v>
      </c>
      <c r="H1483">
        <f>IF(AND(F1483="PASS", G1483&lt;=IFERROR(VLOOKUP(A1483,Graduation_Cutoff!$A$2:$B$8,2,FALSE),DATE(9999,12,31))),"Y","")</f>
        <v>0</v>
      </c>
    </row>
    <row r="1484" spans="7:8">
      <c r="G1484" s="2">
        <f>IF(F1484="PASS", E1484, "")</f>
        <v>0</v>
      </c>
      <c r="H1484">
        <f>IF(AND(F1484="PASS", G1484&lt;=IFERROR(VLOOKUP(A1484,Graduation_Cutoff!$A$2:$B$8,2,FALSE),DATE(9999,12,31))),"Y","")</f>
        <v>0</v>
      </c>
    </row>
    <row r="1485" spans="7:8">
      <c r="G1485" s="2">
        <f>IF(F1485="PASS", E1485, "")</f>
        <v>0</v>
      </c>
      <c r="H1485">
        <f>IF(AND(F1485="PASS", G1485&lt;=IFERROR(VLOOKUP(A1485,Graduation_Cutoff!$A$2:$B$8,2,FALSE),DATE(9999,12,31))),"Y","")</f>
        <v>0</v>
      </c>
    </row>
    <row r="1486" spans="7:8">
      <c r="G1486" s="2">
        <f>IF(F1486="PASS", E1486, "")</f>
        <v>0</v>
      </c>
      <c r="H1486">
        <f>IF(AND(F1486="PASS", G1486&lt;=IFERROR(VLOOKUP(A1486,Graduation_Cutoff!$A$2:$B$8,2,FALSE),DATE(9999,12,31))),"Y","")</f>
        <v>0</v>
      </c>
    </row>
    <row r="1487" spans="7:8">
      <c r="G1487" s="2">
        <f>IF(F1487="PASS", E1487, "")</f>
        <v>0</v>
      </c>
      <c r="H1487">
        <f>IF(AND(F1487="PASS", G1487&lt;=IFERROR(VLOOKUP(A1487,Graduation_Cutoff!$A$2:$B$8,2,FALSE),DATE(9999,12,31))),"Y","")</f>
        <v>0</v>
      </c>
    </row>
    <row r="1488" spans="7:8">
      <c r="G1488" s="2">
        <f>IF(F1488="PASS", E1488, "")</f>
        <v>0</v>
      </c>
      <c r="H1488">
        <f>IF(AND(F1488="PASS", G1488&lt;=IFERROR(VLOOKUP(A1488,Graduation_Cutoff!$A$2:$B$8,2,FALSE),DATE(9999,12,31))),"Y","")</f>
        <v>0</v>
      </c>
    </row>
    <row r="1489" spans="7:8">
      <c r="G1489" s="2">
        <f>IF(F1489="PASS", E1489, "")</f>
        <v>0</v>
      </c>
      <c r="H1489">
        <f>IF(AND(F1489="PASS", G1489&lt;=IFERROR(VLOOKUP(A1489,Graduation_Cutoff!$A$2:$B$8,2,FALSE),DATE(9999,12,31))),"Y","")</f>
        <v>0</v>
      </c>
    </row>
    <row r="1490" spans="7:8">
      <c r="G1490" s="2">
        <f>IF(F1490="PASS", E1490, "")</f>
        <v>0</v>
      </c>
      <c r="H1490">
        <f>IF(AND(F1490="PASS", G1490&lt;=IFERROR(VLOOKUP(A1490,Graduation_Cutoff!$A$2:$B$8,2,FALSE),DATE(9999,12,31))),"Y","")</f>
        <v>0</v>
      </c>
    </row>
    <row r="1491" spans="7:8">
      <c r="G1491" s="2">
        <f>IF(F1491="PASS", E1491, "")</f>
        <v>0</v>
      </c>
      <c r="H1491">
        <f>IF(AND(F1491="PASS", G1491&lt;=IFERROR(VLOOKUP(A1491,Graduation_Cutoff!$A$2:$B$8,2,FALSE),DATE(9999,12,31))),"Y","")</f>
        <v>0</v>
      </c>
    </row>
    <row r="1492" spans="7:8">
      <c r="G1492" s="2">
        <f>IF(F1492="PASS", E1492, "")</f>
        <v>0</v>
      </c>
      <c r="H1492">
        <f>IF(AND(F1492="PASS", G1492&lt;=IFERROR(VLOOKUP(A1492,Graduation_Cutoff!$A$2:$B$8,2,FALSE),DATE(9999,12,31))),"Y","")</f>
        <v>0</v>
      </c>
    </row>
    <row r="1493" spans="7:8">
      <c r="G1493" s="2">
        <f>IF(F1493="PASS", E1493, "")</f>
        <v>0</v>
      </c>
      <c r="H1493">
        <f>IF(AND(F1493="PASS", G1493&lt;=IFERROR(VLOOKUP(A1493,Graduation_Cutoff!$A$2:$B$8,2,FALSE),DATE(9999,12,31))),"Y","")</f>
        <v>0</v>
      </c>
    </row>
    <row r="1494" spans="7:8">
      <c r="G1494" s="2">
        <f>IF(F1494="PASS", E1494, "")</f>
        <v>0</v>
      </c>
      <c r="H1494">
        <f>IF(AND(F1494="PASS", G1494&lt;=IFERROR(VLOOKUP(A1494,Graduation_Cutoff!$A$2:$B$8,2,FALSE),DATE(9999,12,31))),"Y","")</f>
        <v>0</v>
      </c>
    </row>
    <row r="1495" spans="7:8">
      <c r="G1495" s="2">
        <f>IF(F1495="PASS", E1495, "")</f>
        <v>0</v>
      </c>
      <c r="H1495">
        <f>IF(AND(F1495="PASS", G1495&lt;=IFERROR(VLOOKUP(A1495,Graduation_Cutoff!$A$2:$B$8,2,FALSE),DATE(9999,12,31))),"Y","")</f>
        <v>0</v>
      </c>
    </row>
    <row r="1496" spans="7:8">
      <c r="G1496" s="2">
        <f>IF(F1496="PASS", E1496, "")</f>
        <v>0</v>
      </c>
      <c r="H1496">
        <f>IF(AND(F1496="PASS", G1496&lt;=IFERROR(VLOOKUP(A1496,Graduation_Cutoff!$A$2:$B$8,2,FALSE),DATE(9999,12,31))),"Y","")</f>
        <v>0</v>
      </c>
    </row>
    <row r="1497" spans="7:8">
      <c r="G1497" s="2">
        <f>IF(F1497="PASS", E1497, "")</f>
        <v>0</v>
      </c>
      <c r="H1497">
        <f>IF(AND(F1497="PASS", G1497&lt;=IFERROR(VLOOKUP(A1497,Graduation_Cutoff!$A$2:$B$8,2,FALSE),DATE(9999,12,31))),"Y","")</f>
        <v>0</v>
      </c>
    </row>
    <row r="1498" spans="7:8">
      <c r="G1498" s="2">
        <f>IF(F1498="PASS", E1498, "")</f>
        <v>0</v>
      </c>
      <c r="H1498">
        <f>IF(AND(F1498="PASS", G1498&lt;=IFERROR(VLOOKUP(A1498,Graduation_Cutoff!$A$2:$B$8,2,FALSE),DATE(9999,12,31))),"Y","")</f>
        <v>0</v>
      </c>
    </row>
    <row r="1499" spans="7:8">
      <c r="G1499" s="2">
        <f>IF(F1499="PASS", E1499, "")</f>
        <v>0</v>
      </c>
      <c r="H1499">
        <f>IF(AND(F1499="PASS", G1499&lt;=IFERROR(VLOOKUP(A1499,Graduation_Cutoff!$A$2:$B$8,2,FALSE),DATE(9999,12,31))),"Y","")</f>
        <v>0</v>
      </c>
    </row>
    <row r="1500" spans="7:8">
      <c r="G1500" s="2">
        <f>IF(F1500="PASS", E1500, "")</f>
        <v>0</v>
      </c>
      <c r="H1500">
        <f>IF(AND(F1500="PASS", G1500&lt;=IFERROR(VLOOKUP(A1500,Graduation_Cutoff!$A$2:$B$8,2,FALSE),DATE(9999,12,31))),"Y","")</f>
        <v>0</v>
      </c>
    </row>
    <row r="1501" spans="7:8">
      <c r="G1501" s="2">
        <f>IF(F1501="PASS", E1501, "")</f>
        <v>0</v>
      </c>
      <c r="H1501">
        <f>IF(AND(F1501="PASS", G1501&lt;=IFERROR(VLOOKUP(A1501,Graduation_Cutoff!$A$2:$B$8,2,FALSE),DATE(9999,12,31))),"Y","")</f>
        <v>0</v>
      </c>
    </row>
    <row r="1502" spans="7:8">
      <c r="G1502" s="2">
        <f>IF(F1502="PASS", E1502, "")</f>
        <v>0</v>
      </c>
      <c r="H1502">
        <f>IF(AND(F1502="PASS", G1502&lt;=IFERROR(VLOOKUP(A1502,Graduation_Cutoff!$A$2:$B$8,2,FALSE),DATE(9999,12,31))),"Y","")</f>
        <v>0</v>
      </c>
    </row>
    <row r="1503" spans="7:8">
      <c r="G1503" s="2">
        <f>IF(F1503="PASS", E1503, "")</f>
        <v>0</v>
      </c>
      <c r="H1503">
        <f>IF(AND(F1503="PASS", G1503&lt;=IFERROR(VLOOKUP(A1503,Graduation_Cutoff!$A$2:$B$8,2,FALSE),DATE(9999,12,31))),"Y","")</f>
        <v>0</v>
      </c>
    </row>
    <row r="1504" spans="7:8">
      <c r="G1504" s="2">
        <f>IF(F1504="PASS", E1504, "")</f>
        <v>0</v>
      </c>
      <c r="H1504">
        <f>IF(AND(F1504="PASS", G1504&lt;=IFERROR(VLOOKUP(A1504,Graduation_Cutoff!$A$2:$B$8,2,FALSE),DATE(9999,12,31))),"Y","")</f>
        <v>0</v>
      </c>
    </row>
    <row r="1505" spans="7:8">
      <c r="G1505" s="2">
        <f>IF(F1505="PASS", E1505, "")</f>
        <v>0</v>
      </c>
      <c r="H1505">
        <f>IF(AND(F1505="PASS", G1505&lt;=IFERROR(VLOOKUP(A1505,Graduation_Cutoff!$A$2:$B$8,2,FALSE),DATE(9999,12,31))),"Y","")</f>
        <v>0</v>
      </c>
    </row>
    <row r="1506" spans="7:8">
      <c r="G1506" s="2">
        <f>IF(F1506="PASS", E1506, "")</f>
        <v>0</v>
      </c>
      <c r="H1506">
        <f>IF(AND(F1506="PASS", G1506&lt;=IFERROR(VLOOKUP(A1506,Graduation_Cutoff!$A$2:$B$8,2,FALSE),DATE(9999,12,31))),"Y","")</f>
        <v>0</v>
      </c>
    </row>
    <row r="1507" spans="7:8">
      <c r="G1507" s="2">
        <f>IF(F1507="PASS", E1507, "")</f>
        <v>0</v>
      </c>
      <c r="H1507">
        <f>IF(AND(F1507="PASS", G1507&lt;=IFERROR(VLOOKUP(A1507,Graduation_Cutoff!$A$2:$B$8,2,FALSE),DATE(9999,12,31))),"Y","")</f>
        <v>0</v>
      </c>
    </row>
    <row r="1508" spans="7:8">
      <c r="G1508" s="2">
        <f>IF(F1508="PASS", E1508, "")</f>
        <v>0</v>
      </c>
      <c r="H1508">
        <f>IF(AND(F1508="PASS", G1508&lt;=IFERROR(VLOOKUP(A1508,Graduation_Cutoff!$A$2:$B$8,2,FALSE),DATE(9999,12,31))),"Y","")</f>
        <v>0</v>
      </c>
    </row>
    <row r="1509" spans="7:8">
      <c r="G1509" s="2">
        <f>IF(F1509="PASS", E1509, "")</f>
        <v>0</v>
      </c>
      <c r="H1509">
        <f>IF(AND(F1509="PASS", G1509&lt;=IFERROR(VLOOKUP(A1509,Graduation_Cutoff!$A$2:$B$8,2,FALSE),DATE(9999,12,31))),"Y","")</f>
        <v>0</v>
      </c>
    </row>
    <row r="1510" spans="7:8">
      <c r="G1510" s="2">
        <f>IF(F1510="PASS", E1510, "")</f>
        <v>0</v>
      </c>
      <c r="H1510">
        <f>IF(AND(F1510="PASS", G1510&lt;=IFERROR(VLOOKUP(A1510,Graduation_Cutoff!$A$2:$B$8,2,FALSE),DATE(9999,12,31))),"Y","")</f>
        <v>0</v>
      </c>
    </row>
    <row r="1511" spans="7:8">
      <c r="G1511" s="2">
        <f>IF(F1511="PASS", E1511, "")</f>
        <v>0</v>
      </c>
      <c r="H1511">
        <f>IF(AND(F1511="PASS", G1511&lt;=IFERROR(VLOOKUP(A1511,Graduation_Cutoff!$A$2:$B$8,2,FALSE),DATE(9999,12,31))),"Y","")</f>
        <v>0</v>
      </c>
    </row>
    <row r="1512" spans="7:8">
      <c r="G1512" s="2">
        <f>IF(F1512="PASS", E1512, "")</f>
        <v>0</v>
      </c>
      <c r="H1512">
        <f>IF(AND(F1512="PASS", G1512&lt;=IFERROR(VLOOKUP(A1512,Graduation_Cutoff!$A$2:$B$8,2,FALSE),DATE(9999,12,31))),"Y","")</f>
        <v>0</v>
      </c>
    </row>
    <row r="1513" spans="7:8">
      <c r="G1513" s="2">
        <f>IF(F1513="PASS", E1513, "")</f>
        <v>0</v>
      </c>
      <c r="H1513">
        <f>IF(AND(F1513="PASS", G1513&lt;=IFERROR(VLOOKUP(A1513,Graduation_Cutoff!$A$2:$B$8,2,FALSE),DATE(9999,12,31))),"Y","")</f>
        <v>0</v>
      </c>
    </row>
    <row r="1514" spans="7:8">
      <c r="G1514" s="2">
        <f>IF(F1514="PASS", E1514, "")</f>
        <v>0</v>
      </c>
      <c r="H1514">
        <f>IF(AND(F1514="PASS", G1514&lt;=IFERROR(VLOOKUP(A1514,Graduation_Cutoff!$A$2:$B$8,2,FALSE),DATE(9999,12,31))),"Y","")</f>
        <v>0</v>
      </c>
    </row>
    <row r="1515" spans="7:8">
      <c r="G1515" s="2">
        <f>IF(F1515="PASS", E1515, "")</f>
        <v>0</v>
      </c>
      <c r="H1515">
        <f>IF(AND(F1515="PASS", G1515&lt;=IFERROR(VLOOKUP(A1515,Graduation_Cutoff!$A$2:$B$8,2,FALSE),DATE(9999,12,31))),"Y","")</f>
        <v>0</v>
      </c>
    </row>
    <row r="1516" spans="7:8">
      <c r="G1516" s="2">
        <f>IF(F1516="PASS", E1516, "")</f>
        <v>0</v>
      </c>
      <c r="H1516">
        <f>IF(AND(F1516="PASS", G1516&lt;=IFERROR(VLOOKUP(A1516,Graduation_Cutoff!$A$2:$B$8,2,FALSE),DATE(9999,12,31))),"Y","")</f>
        <v>0</v>
      </c>
    </row>
    <row r="1517" spans="7:8">
      <c r="G1517" s="2">
        <f>IF(F1517="PASS", E1517, "")</f>
        <v>0</v>
      </c>
      <c r="H1517">
        <f>IF(AND(F1517="PASS", G1517&lt;=IFERROR(VLOOKUP(A1517,Graduation_Cutoff!$A$2:$B$8,2,FALSE),DATE(9999,12,31))),"Y","")</f>
        <v>0</v>
      </c>
    </row>
    <row r="1518" spans="7:8">
      <c r="G1518" s="2">
        <f>IF(F1518="PASS", E1518, "")</f>
        <v>0</v>
      </c>
      <c r="H1518">
        <f>IF(AND(F1518="PASS", G1518&lt;=IFERROR(VLOOKUP(A1518,Graduation_Cutoff!$A$2:$B$8,2,FALSE),DATE(9999,12,31))),"Y","")</f>
        <v>0</v>
      </c>
    </row>
    <row r="1519" spans="7:8">
      <c r="G1519" s="2">
        <f>IF(F1519="PASS", E1519, "")</f>
        <v>0</v>
      </c>
      <c r="H1519">
        <f>IF(AND(F1519="PASS", G1519&lt;=IFERROR(VLOOKUP(A1519,Graduation_Cutoff!$A$2:$B$8,2,FALSE),DATE(9999,12,31))),"Y","")</f>
        <v>0</v>
      </c>
    </row>
    <row r="1520" spans="7:8">
      <c r="G1520" s="2">
        <f>IF(F1520="PASS", E1520, "")</f>
        <v>0</v>
      </c>
      <c r="H1520">
        <f>IF(AND(F1520="PASS", G1520&lt;=IFERROR(VLOOKUP(A1520,Graduation_Cutoff!$A$2:$B$8,2,FALSE),DATE(9999,12,31))),"Y","")</f>
        <v>0</v>
      </c>
    </row>
    <row r="1521" spans="7:8">
      <c r="G1521" s="2">
        <f>IF(F1521="PASS", E1521, "")</f>
        <v>0</v>
      </c>
      <c r="H1521">
        <f>IF(AND(F1521="PASS", G1521&lt;=IFERROR(VLOOKUP(A1521,Graduation_Cutoff!$A$2:$B$8,2,FALSE),DATE(9999,12,31))),"Y","")</f>
        <v>0</v>
      </c>
    </row>
    <row r="1522" spans="7:8">
      <c r="G1522" s="2">
        <f>IF(F1522="PASS", E1522, "")</f>
        <v>0</v>
      </c>
      <c r="H1522">
        <f>IF(AND(F1522="PASS", G1522&lt;=IFERROR(VLOOKUP(A1522,Graduation_Cutoff!$A$2:$B$8,2,FALSE),DATE(9999,12,31))),"Y","")</f>
        <v>0</v>
      </c>
    </row>
    <row r="1523" spans="7:8">
      <c r="G1523" s="2">
        <f>IF(F1523="PASS", E1523, "")</f>
        <v>0</v>
      </c>
      <c r="H1523">
        <f>IF(AND(F1523="PASS", G1523&lt;=IFERROR(VLOOKUP(A1523,Graduation_Cutoff!$A$2:$B$8,2,FALSE),DATE(9999,12,31))),"Y","")</f>
        <v>0</v>
      </c>
    </row>
    <row r="1524" spans="7:8">
      <c r="G1524" s="2">
        <f>IF(F1524="PASS", E1524, "")</f>
        <v>0</v>
      </c>
      <c r="H1524">
        <f>IF(AND(F1524="PASS", G1524&lt;=IFERROR(VLOOKUP(A1524,Graduation_Cutoff!$A$2:$B$8,2,FALSE),DATE(9999,12,31))),"Y","")</f>
        <v>0</v>
      </c>
    </row>
    <row r="1525" spans="7:8">
      <c r="G1525" s="2">
        <f>IF(F1525="PASS", E1525, "")</f>
        <v>0</v>
      </c>
      <c r="H1525">
        <f>IF(AND(F1525="PASS", G1525&lt;=IFERROR(VLOOKUP(A1525,Graduation_Cutoff!$A$2:$B$8,2,FALSE),DATE(9999,12,31))),"Y","")</f>
        <v>0</v>
      </c>
    </row>
    <row r="1526" spans="7:8">
      <c r="G1526" s="2">
        <f>IF(F1526="PASS", E1526, "")</f>
        <v>0</v>
      </c>
      <c r="H1526">
        <f>IF(AND(F1526="PASS", G1526&lt;=IFERROR(VLOOKUP(A1526,Graduation_Cutoff!$A$2:$B$8,2,FALSE),DATE(9999,12,31))),"Y","")</f>
        <v>0</v>
      </c>
    </row>
    <row r="1527" spans="7:8">
      <c r="G1527" s="2">
        <f>IF(F1527="PASS", E1527, "")</f>
        <v>0</v>
      </c>
      <c r="H1527">
        <f>IF(AND(F1527="PASS", G1527&lt;=IFERROR(VLOOKUP(A1527,Graduation_Cutoff!$A$2:$B$8,2,FALSE),DATE(9999,12,31))),"Y","")</f>
        <v>0</v>
      </c>
    </row>
    <row r="1528" spans="7:8">
      <c r="G1528" s="2">
        <f>IF(F1528="PASS", E1528, "")</f>
        <v>0</v>
      </c>
      <c r="H1528">
        <f>IF(AND(F1528="PASS", G1528&lt;=IFERROR(VLOOKUP(A1528,Graduation_Cutoff!$A$2:$B$8,2,FALSE),DATE(9999,12,31))),"Y","")</f>
        <v>0</v>
      </c>
    </row>
    <row r="1529" spans="7:8">
      <c r="G1529" s="2">
        <f>IF(F1529="PASS", E1529, "")</f>
        <v>0</v>
      </c>
      <c r="H1529">
        <f>IF(AND(F1529="PASS", G1529&lt;=IFERROR(VLOOKUP(A1529,Graduation_Cutoff!$A$2:$B$8,2,FALSE),DATE(9999,12,31))),"Y","")</f>
        <v>0</v>
      </c>
    </row>
    <row r="1530" spans="7:8">
      <c r="G1530" s="2">
        <f>IF(F1530="PASS", E1530, "")</f>
        <v>0</v>
      </c>
      <c r="H1530">
        <f>IF(AND(F1530="PASS", G1530&lt;=IFERROR(VLOOKUP(A1530,Graduation_Cutoff!$A$2:$B$8,2,FALSE),DATE(9999,12,31))),"Y","")</f>
        <v>0</v>
      </c>
    </row>
    <row r="1531" spans="7:8">
      <c r="G1531" s="2">
        <f>IF(F1531="PASS", E1531, "")</f>
        <v>0</v>
      </c>
      <c r="H1531">
        <f>IF(AND(F1531="PASS", G1531&lt;=IFERROR(VLOOKUP(A1531,Graduation_Cutoff!$A$2:$B$8,2,FALSE),DATE(9999,12,31))),"Y","")</f>
        <v>0</v>
      </c>
    </row>
    <row r="1532" spans="7:8">
      <c r="G1532" s="2">
        <f>IF(F1532="PASS", E1532, "")</f>
        <v>0</v>
      </c>
      <c r="H1532">
        <f>IF(AND(F1532="PASS", G1532&lt;=IFERROR(VLOOKUP(A1532,Graduation_Cutoff!$A$2:$B$8,2,FALSE),DATE(9999,12,31))),"Y","")</f>
        <v>0</v>
      </c>
    </row>
    <row r="1533" spans="7:8">
      <c r="G1533" s="2">
        <f>IF(F1533="PASS", E1533, "")</f>
        <v>0</v>
      </c>
      <c r="H1533">
        <f>IF(AND(F1533="PASS", G1533&lt;=IFERROR(VLOOKUP(A1533,Graduation_Cutoff!$A$2:$B$8,2,FALSE),DATE(9999,12,31))),"Y","")</f>
        <v>0</v>
      </c>
    </row>
    <row r="1534" spans="7:8">
      <c r="G1534" s="2">
        <f>IF(F1534="PASS", E1534, "")</f>
        <v>0</v>
      </c>
      <c r="H1534">
        <f>IF(AND(F1534="PASS", G1534&lt;=IFERROR(VLOOKUP(A1534,Graduation_Cutoff!$A$2:$B$8,2,FALSE),DATE(9999,12,31))),"Y","")</f>
        <v>0</v>
      </c>
    </row>
    <row r="1535" spans="7:8">
      <c r="G1535" s="2">
        <f>IF(F1535="PASS", E1535, "")</f>
        <v>0</v>
      </c>
      <c r="H1535">
        <f>IF(AND(F1535="PASS", G1535&lt;=IFERROR(VLOOKUP(A1535,Graduation_Cutoff!$A$2:$B$8,2,FALSE),DATE(9999,12,31))),"Y","")</f>
        <v>0</v>
      </c>
    </row>
    <row r="1536" spans="7:8">
      <c r="G1536" s="2">
        <f>IF(F1536="PASS", E1536, "")</f>
        <v>0</v>
      </c>
      <c r="H1536">
        <f>IF(AND(F1536="PASS", G1536&lt;=IFERROR(VLOOKUP(A1536,Graduation_Cutoff!$A$2:$B$8,2,FALSE),DATE(9999,12,31))),"Y","")</f>
        <v>0</v>
      </c>
    </row>
    <row r="1537" spans="7:8">
      <c r="G1537" s="2">
        <f>IF(F1537="PASS", E1537, "")</f>
        <v>0</v>
      </c>
      <c r="H1537">
        <f>IF(AND(F1537="PASS", G1537&lt;=IFERROR(VLOOKUP(A1537,Graduation_Cutoff!$A$2:$B$8,2,FALSE),DATE(9999,12,31))),"Y","")</f>
        <v>0</v>
      </c>
    </row>
    <row r="1538" spans="7:8">
      <c r="G1538" s="2">
        <f>IF(F1538="PASS", E1538, "")</f>
        <v>0</v>
      </c>
      <c r="H1538">
        <f>IF(AND(F1538="PASS", G1538&lt;=IFERROR(VLOOKUP(A1538,Graduation_Cutoff!$A$2:$B$8,2,FALSE),DATE(9999,12,31))),"Y","")</f>
        <v>0</v>
      </c>
    </row>
    <row r="1539" spans="7:8">
      <c r="G1539" s="2">
        <f>IF(F1539="PASS", E1539, "")</f>
        <v>0</v>
      </c>
      <c r="H1539">
        <f>IF(AND(F1539="PASS", G1539&lt;=IFERROR(VLOOKUP(A1539,Graduation_Cutoff!$A$2:$B$8,2,FALSE),DATE(9999,12,31))),"Y","")</f>
        <v>0</v>
      </c>
    </row>
    <row r="1540" spans="7:8">
      <c r="G1540" s="2">
        <f>IF(F1540="PASS", E1540, "")</f>
        <v>0</v>
      </c>
      <c r="H1540">
        <f>IF(AND(F1540="PASS", G1540&lt;=IFERROR(VLOOKUP(A1540,Graduation_Cutoff!$A$2:$B$8,2,FALSE),DATE(9999,12,31))),"Y","")</f>
        <v>0</v>
      </c>
    </row>
    <row r="1541" spans="7:8">
      <c r="G1541" s="2">
        <f>IF(F1541="PASS", E1541, "")</f>
        <v>0</v>
      </c>
      <c r="H1541">
        <f>IF(AND(F1541="PASS", G1541&lt;=IFERROR(VLOOKUP(A1541,Graduation_Cutoff!$A$2:$B$8,2,FALSE),DATE(9999,12,31))),"Y","")</f>
        <v>0</v>
      </c>
    </row>
    <row r="1542" spans="7:8">
      <c r="G1542" s="2">
        <f>IF(F1542="PASS", E1542, "")</f>
        <v>0</v>
      </c>
      <c r="H1542">
        <f>IF(AND(F1542="PASS", G1542&lt;=IFERROR(VLOOKUP(A1542,Graduation_Cutoff!$A$2:$B$8,2,FALSE),DATE(9999,12,31))),"Y","")</f>
        <v>0</v>
      </c>
    </row>
    <row r="1543" spans="7:8">
      <c r="G1543" s="2">
        <f>IF(F1543="PASS", E1543, "")</f>
        <v>0</v>
      </c>
      <c r="H1543">
        <f>IF(AND(F1543="PASS", G1543&lt;=IFERROR(VLOOKUP(A1543,Graduation_Cutoff!$A$2:$B$8,2,FALSE),DATE(9999,12,31))),"Y","")</f>
        <v>0</v>
      </c>
    </row>
    <row r="1544" spans="7:8">
      <c r="G1544" s="2">
        <f>IF(F1544="PASS", E1544, "")</f>
        <v>0</v>
      </c>
      <c r="H1544">
        <f>IF(AND(F1544="PASS", G1544&lt;=IFERROR(VLOOKUP(A1544,Graduation_Cutoff!$A$2:$B$8,2,FALSE),DATE(9999,12,31))),"Y","")</f>
        <v>0</v>
      </c>
    </row>
    <row r="1545" spans="7:8">
      <c r="G1545" s="2">
        <f>IF(F1545="PASS", E1545, "")</f>
        <v>0</v>
      </c>
      <c r="H1545">
        <f>IF(AND(F1545="PASS", G1545&lt;=IFERROR(VLOOKUP(A1545,Graduation_Cutoff!$A$2:$B$8,2,FALSE),DATE(9999,12,31))),"Y","")</f>
        <v>0</v>
      </c>
    </row>
    <row r="1546" spans="7:8">
      <c r="G1546" s="2">
        <f>IF(F1546="PASS", E1546, "")</f>
        <v>0</v>
      </c>
      <c r="H1546">
        <f>IF(AND(F1546="PASS", G1546&lt;=IFERROR(VLOOKUP(A1546,Graduation_Cutoff!$A$2:$B$8,2,FALSE),DATE(9999,12,31))),"Y","")</f>
        <v>0</v>
      </c>
    </row>
    <row r="1547" spans="7:8">
      <c r="G1547" s="2">
        <f>IF(F1547="PASS", E1547, "")</f>
        <v>0</v>
      </c>
      <c r="H1547">
        <f>IF(AND(F1547="PASS", G1547&lt;=IFERROR(VLOOKUP(A1547,Graduation_Cutoff!$A$2:$B$8,2,FALSE),DATE(9999,12,31))),"Y","")</f>
        <v>0</v>
      </c>
    </row>
    <row r="1548" spans="7:8">
      <c r="G1548" s="2">
        <f>IF(F1548="PASS", E1548, "")</f>
        <v>0</v>
      </c>
      <c r="H1548">
        <f>IF(AND(F1548="PASS", G1548&lt;=IFERROR(VLOOKUP(A1548,Graduation_Cutoff!$A$2:$B$8,2,FALSE),DATE(9999,12,31))),"Y","")</f>
        <v>0</v>
      </c>
    </row>
    <row r="1549" spans="7:8">
      <c r="G1549" s="2">
        <f>IF(F1549="PASS", E1549, "")</f>
        <v>0</v>
      </c>
      <c r="H1549">
        <f>IF(AND(F1549="PASS", G1549&lt;=IFERROR(VLOOKUP(A1549,Graduation_Cutoff!$A$2:$B$8,2,FALSE),DATE(9999,12,31))),"Y","")</f>
        <v>0</v>
      </c>
    </row>
    <row r="1550" spans="7:8">
      <c r="G1550" s="2">
        <f>IF(F1550="PASS", E1550, "")</f>
        <v>0</v>
      </c>
      <c r="H1550">
        <f>IF(AND(F1550="PASS", G1550&lt;=IFERROR(VLOOKUP(A1550,Graduation_Cutoff!$A$2:$B$8,2,FALSE),DATE(9999,12,31))),"Y","")</f>
        <v>0</v>
      </c>
    </row>
    <row r="1551" spans="7:8">
      <c r="G1551" s="2">
        <f>IF(F1551="PASS", E1551, "")</f>
        <v>0</v>
      </c>
      <c r="H1551">
        <f>IF(AND(F1551="PASS", G1551&lt;=IFERROR(VLOOKUP(A1551,Graduation_Cutoff!$A$2:$B$8,2,FALSE),DATE(9999,12,31))),"Y","")</f>
        <v>0</v>
      </c>
    </row>
    <row r="1552" spans="7:8">
      <c r="G1552" s="2">
        <f>IF(F1552="PASS", E1552, "")</f>
        <v>0</v>
      </c>
      <c r="H1552">
        <f>IF(AND(F1552="PASS", G1552&lt;=IFERROR(VLOOKUP(A1552,Graduation_Cutoff!$A$2:$B$8,2,FALSE),DATE(9999,12,31))),"Y","")</f>
        <v>0</v>
      </c>
    </row>
    <row r="1553" spans="7:8">
      <c r="G1553" s="2">
        <f>IF(F1553="PASS", E1553, "")</f>
        <v>0</v>
      </c>
      <c r="H1553">
        <f>IF(AND(F1553="PASS", G1553&lt;=IFERROR(VLOOKUP(A1553,Graduation_Cutoff!$A$2:$B$8,2,FALSE),DATE(9999,12,31))),"Y","")</f>
        <v>0</v>
      </c>
    </row>
    <row r="1554" spans="7:8">
      <c r="G1554" s="2">
        <f>IF(F1554="PASS", E1554, "")</f>
        <v>0</v>
      </c>
      <c r="H1554">
        <f>IF(AND(F1554="PASS", G1554&lt;=IFERROR(VLOOKUP(A1554,Graduation_Cutoff!$A$2:$B$8,2,FALSE),DATE(9999,12,31))),"Y","")</f>
        <v>0</v>
      </c>
    </row>
    <row r="1555" spans="7:8">
      <c r="G1555" s="2">
        <f>IF(F1555="PASS", E1555, "")</f>
        <v>0</v>
      </c>
      <c r="H1555">
        <f>IF(AND(F1555="PASS", G1555&lt;=IFERROR(VLOOKUP(A1555,Graduation_Cutoff!$A$2:$B$8,2,FALSE),DATE(9999,12,31))),"Y","")</f>
        <v>0</v>
      </c>
    </row>
    <row r="1556" spans="7:8">
      <c r="G1556" s="2">
        <f>IF(F1556="PASS", E1556, "")</f>
        <v>0</v>
      </c>
      <c r="H1556">
        <f>IF(AND(F1556="PASS", G1556&lt;=IFERROR(VLOOKUP(A1556,Graduation_Cutoff!$A$2:$B$8,2,FALSE),DATE(9999,12,31))),"Y","")</f>
        <v>0</v>
      </c>
    </row>
    <row r="1557" spans="7:8">
      <c r="G1557" s="2">
        <f>IF(F1557="PASS", E1557, "")</f>
        <v>0</v>
      </c>
      <c r="H1557">
        <f>IF(AND(F1557="PASS", G1557&lt;=IFERROR(VLOOKUP(A1557,Graduation_Cutoff!$A$2:$B$8,2,FALSE),DATE(9999,12,31))),"Y","")</f>
        <v>0</v>
      </c>
    </row>
    <row r="1558" spans="7:8">
      <c r="G1558" s="2">
        <f>IF(F1558="PASS", E1558, "")</f>
        <v>0</v>
      </c>
      <c r="H1558">
        <f>IF(AND(F1558="PASS", G1558&lt;=IFERROR(VLOOKUP(A1558,Graduation_Cutoff!$A$2:$B$8,2,FALSE),DATE(9999,12,31))),"Y","")</f>
        <v>0</v>
      </c>
    </row>
    <row r="1559" spans="7:8">
      <c r="G1559" s="2">
        <f>IF(F1559="PASS", E1559, "")</f>
        <v>0</v>
      </c>
      <c r="H1559">
        <f>IF(AND(F1559="PASS", G1559&lt;=IFERROR(VLOOKUP(A1559,Graduation_Cutoff!$A$2:$B$8,2,FALSE),DATE(9999,12,31))),"Y","")</f>
        <v>0</v>
      </c>
    </row>
    <row r="1560" spans="7:8">
      <c r="G1560" s="2">
        <f>IF(F1560="PASS", E1560, "")</f>
        <v>0</v>
      </c>
      <c r="H1560">
        <f>IF(AND(F1560="PASS", G1560&lt;=IFERROR(VLOOKUP(A1560,Graduation_Cutoff!$A$2:$B$8,2,FALSE),DATE(9999,12,31))),"Y","")</f>
        <v>0</v>
      </c>
    </row>
    <row r="1561" spans="7:8">
      <c r="G1561" s="2">
        <f>IF(F1561="PASS", E1561, "")</f>
        <v>0</v>
      </c>
      <c r="H1561">
        <f>IF(AND(F1561="PASS", G1561&lt;=IFERROR(VLOOKUP(A1561,Graduation_Cutoff!$A$2:$B$8,2,FALSE),DATE(9999,12,31))),"Y","")</f>
        <v>0</v>
      </c>
    </row>
    <row r="1562" spans="7:8">
      <c r="G1562" s="2">
        <f>IF(F1562="PASS", E1562, "")</f>
        <v>0</v>
      </c>
      <c r="H1562">
        <f>IF(AND(F1562="PASS", G1562&lt;=IFERROR(VLOOKUP(A1562,Graduation_Cutoff!$A$2:$B$8,2,FALSE),DATE(9999,12,31))),"Y","")</f>
        <v>0</v>
      </c>
    </row>
    <row r="1563" spans="7:8">
      <c r="G1563" s="2">
        <f>IF(F1563="PASS", E1563, "")</f>
        <v>0</v>
      </c>
      <c r="H1563">
        <f>IF(AND(F1563="PASS", G1563&lt;=IFERROR(VLOOKUP(A1563,Graduation_Cutoff!$A$2:$B$8,2,FALSE),DATE(9999,12,31))),"Y","")</f>
        <v>0</v>
      </c>
    </row>
    <row r="1564" spans="7:8">
      <c r="G1564" s="2">
        <f>IF(F1564="PASS", E1564, "")</f>
        <v>0</v>
      </c>
      <c r="H1564">
        <f>IF(AND(F1564="PASS", G1564&lt;=IFERROR(VLOOKUP(A1564,Graduation_Cutoff!$A$2:$B$8,2,FALSE),DATE(9999,12,31))),"Y","")</f>
        <v>0</v>
      </c>
    </row>
    <row r="1565" spans="7:8">
      <c r="G1565" s="2">
        <f>IF(F1565="PASS", E1565, "")</f>
        <v>0</v>
      </c>
      <c r="H1565">
        <f>IF(AND(F1565="PASS", G1565&lt;=IFERROR(VLOOKUP(A1565,Graduation_Cutoff!$A$2:$B$8,2,FALSE),DATE(9999,12,31))),"Y","")</f>
        <v>0</v>
      </c>
    </row>
    <row r="1566" spans="7:8">
      <c r="G1566" s="2">
        <f>IF(F1566="PASS", E1566, "")</f>
        <v>0</v>
      </c>
      <c r="H1566">
        <f>IF(AND(F1566="PASS", G1566&lt;=IFERROR(VLOOKUP(A1566,Graduation_Cutoff!$A$2:$B$8,2,FALSE),DATE(9999,12,31))),"Y","")</f>
        <v>0</v>
      </c>
    </row>
    <row r="1567" spans="7:8">
      <c r="G1567" s="2">
        <f>IF(F1567="PASS", E1567, "")</f>
        <v>0</v>
      </c>
      <c r="H1567">
        <f>IF(AND(F1567="PASS", G1567&lt;=IFERROR(VLOOKUP(A1567,Graduation_Cutoff!$A$2:$B$8,2,FALSE),DATE(9999,12,31))),"Y","")</f>
        <v>0</v>
      </c>
    </row>
    <row r="1568" spans="7:8">
      <c r="G1568" s="2">
        <f>IF(F1568="PASS", E1568, "")</f>
        <v>0</v>
      </c>
      <c r="H1568">
        <f>IF(AND(F1568="PASS", G1568&lt;=IFERROR(VLOOKUP(A1568,Graduation_Cutoff!$A$2:$B$8,2,FALSE),DATE(9999,12,31))),"Y","")</f>
        <v>0</v>
      </c>
    </row>
    <row r="1569" spans="7:8">
      <c r="G1569" s="2">
        <f>IF(F1569="PASS", E1569, "")</f>
        <v>0</v>
      </c>
      <c r="H1569">
        <f>IF(AND(F1569="PASS", G1569&lt;=IFERROR(VLOOKUP(A1569,Graduation_Cutoff!$A$2:$B$8,2,FALSE),DATE(9999,12,31))),"Y","")</f>
        <v>0</v>
      </c>
    </row>
    <row r="1570" spans="7:8">
      <c r="G1570" s="2">
        <f>IF(F1570="PASS", E1570, "")</f>
        <v>0</v>
      </c>
      <c r="H1570">
        <f>IF(AND(F1570="PASS", G1570&lt;=IFERROR(VLOOKUP(A1570,Graduation_Cutoff!$A$2:$B$8,2,FALSE),DATE(9999,12,31))),"Y","")</f>
        <v>0</v>
      </c>
    </row>
    <row r="1571" spans="7:8">
      <c r="G1571" s="2">
        <f>IF(F1571="PASS", E1571, "")</f>
        <v>0</v>
      </c>
      <c r="H1571">
        <f>IF(AND(F1571="PASS", G1571&lt;=IFERROR(VLOOKUP(A1571,Graduation_Cutoff!$A$2:$B$8,2,FALSE),DATE(9999,12,31))),"Y","")</f>
        <v>0</v>
      </c>
    </row>
    <row r="1572" spans="7:8">
      <c r="G1572" s="2">
        <f>IF(F1572="PASS", E1572, "")</f>
        <v>0</v>
      </c>
      <c r="H1572">
        <f>IF(AND(F1572="PASS", G1572&lt;=IFERROR(VLOOKUP(A1572,Graduation_Cutoff!$A$2:$B$8,2,FALSE),DATE(9999,12,31))),"Y","")</f>
        <v>0</v>
      </c>
    </row>
    <row r="1573" spans="7:8">
      <c r="G1573" s="2">
        <f>IF(F1573="PASS", E1573, "")</f>
        <v>0</v>
      </c>
      <c r="H1573">
        <f>IF(AND(F1573="PASS", G1573&lt;=IFERROR(VLOOKUP(A1573,Graduation_Cutoff!$A$2:$B$8,2,FALSE),DATE(9999,12,31))),"Y","")</f>
        <v>0</v>
      </c>
    </row>
    <row r="1574" spans="7:8">
      <c r="G1574" s="2">
        <f>IF(F1574="PASS", E1574, "")</f>
        <v>0</v>
      </c>
      <c r="H1574">
        <f>IF(AND(F1574="PASS", G1574&lt;=IFERROR(VLOOKUP(A1574,Graduation_Cutoff!$A$2:$B$8,2,FALSE),DATE(9999,12,31))),"Y","")</f>
        <v>0</v>
      </c>
    </row>
    <row r="1575" spans="7:8">
      <c r="G1575" s="2">
        <f>IF(F1575="PASS", E1575, "")</f>
        <v>0</v>
      </c>
      <c r="H1575">
        <f>IF(AND(F1575="PASS", G1575&lt;=IFERROR(VLOOKUP(A1575,Graduation_Cutoff!$A$2:$B$8,2,FALSE),DATE(9999,12,31))),"Y","")</f>
        <v>0</v>
      </c>
    </row>
    <row r="1576" spans="7:8">
      <c r="G1576" s="2">
        <f>IF(F1576="PASS", E1576, "")</f>
        <v>0</v>
      </c>
      <c r="H1576">
        <f>IF(AND(F1576="PASS", G1576&lt;=IFERROR(VLOOKUP(A1576,Graduation_Cutoff!$A$2:$B$8,2,FALSE),DATE(9999,12,31))),"Y","")</f>
        <v>0</v>
      </c>
    </row>
    <row r="1577" spans="7:8">
      <c r="G1577" s="2">
        <f>IF(F1577="PASS", E1577, "")</f>
        <v>0</v>
      </c>
      <c r="H1577">
        <f>IF(AND(F1577="PASS", G1577&lt;=IFERROR(VLOOKUP(A1577,Graduation_Cutoff!$A$2:$B$8,2,FALSE),DATE(9999,12,31))),"Y","")</f>
        <v>0</v>
      </c>
    </row>
    <row r="1578" spans="7:8">
      <c r="G1578" s="2">
        <f>IF(F1578="PASS", E1578, "")</f>
        <v>0</v>
      </c>
      <c r="H1578">
        <f>IF(AND(F1578="PASS", G1578&lt;=IFERROR(VLOOKUP(A1578,Graduation_Cutoff!$A$2:$B$8,2,FALSE),DATE(9999,12,31))),"Y","")</f>
        <v>0</v>
      </c>
    </row>
    <row r="1579" spans="7:8">
      <c r="G1579" s="2">
        <f>IF(F1579="PASS", E1579, "")</f>
        <v>0</v>
      </c>
      <c r="H1579">
        <f>IF(AND(F1579="PASS", G1579&lt;=IFERROR(VLOOKUP(A1579,Graduation_Cutoff!$A$2:$B$8,2,FALSE),DATE(9999,12,31))),"Y","")</f>
        <v>0</v>
      </c>
    </row>
    <row r="1580" spans="7:8">
      <c r="G1580" s="2">
        <f>IF(F1580="PASS", E1580, "")</f>
        <v>0</v>
      </c>
      <c r="H1580">
        <f>IF(AND(F1580="PASS", G1580&lt;=IFERROR(VLOOKUP(A1580,Graduation_Cutoff!$A$2:$B$8,2,FALSE),DATE(9999,12,31))),"Y","")</f>
        <v>0</v>
      </c>
    </row>
    <row r="1581" spans="7:8">
      <c r="G1581" s="2">
        <f>IF(F1581="PASS", E1581, "")</f>
        <v>0</v>
      </c>
      <c r="H1581">
        <f>IF(AND(F1581="PASS", G1581&lt;=IFERROR(VLOOKUP(A1581,Graduation_Cutoff!$A$2:$B$8,2,FALSE),DATE(9999,12,31))),"Y","")</f>
        <v>0</v>
      </c>
    </row>
    <row r="1582" spans="7:8">
      <c r="G1582" s="2">
        <f>IF(F1582="PASS", E1582, "")</f>
        <v>0</v>
      </c>
      <c r="H1582">
        <f>IF(AND(F1582="PASS", G1582&lt;=IFERROR(VLOOKUP(A1582,Graduation_Cutoff!$A$2:$B$8,2,FALSE),DATE(9999,12,31))),"Y","")</f>
        <v>0</v>
      </c>
    </row>
    <row r="1583" spans="7:8">
      <c r="G1583" s="2">
        <f>IF(F1583="PASS", E1583, "")</f>
        <v>0</v>
      </c>
      <c r="H1583">
        <f>IF(AND(F1583="PASS", G1583&lt;=IFERROR(VLOOKUP(A1583,Graduation_Cutoff!$A$2:$B$8,2,FALSE),DATE(9999,12,31))),"Y","")</f>
        <v>0</v>
      </c>
    </row>
    <row r="1584" spans="7:8">
      <c r="G1584" s="2">
        <f>IF(F1584="PASS", E1584, "")</f>
        <v>0</v>
      </c>
      <c r="H1584">
        <f>IF(AND(F1584="PASS", G1584&lt;=IFERROR(VLOOKUP(A1584,Graduation_Cutoff!$A$2:$B$8,2,FALSE),DATE(9999,12,31))),"Y","")</f>
        <v>0</v>
      </c>
    </row>
    <row r="1585" spans="7:8">
      <c r="G1585" s="2">
        <f>IF(F1585="PASS", E1585, "")</f>
        <v>0</v>
      </c>
      <c r="H1585">
        <f>IF(AND(F1585="PASS", G1585&lt;=IFERROR(VLOOKUP(A1585,Graduation_Cutoff!$A$2:$B$8,2,FALSE),DATE(9999,12,31))),"Y","")</f>
        <v>0</v>
      </c>
    </row>
    <row r="1586" spans="7:8">
      <c r="G1586" s="2">
        <f>IF(F1586="PASS", E1586, "")</f>
        <v>0</v>
      </c>
      <c r="H1586">
        <f>IF(AND(F1586="PASS", G1586&lt;=IFERROR(VLOOKUP(A1586,Graduation_Cutoff!$A$2:$B$8,2,FALSE),DATE(9999,12,31))),"Y","")</f>
        <v>0</v>
      </c>
    </row>
    <row r="1587" spans="7:8">
      <c r="G1587" s="2">
        <f>IF(F1587="PASS", E1587, "")</f>
        <v>0</v>
      </c>
      <c r="H1587">
        <f>IF(AND(F1587="PASS", G1587&lt;=IFERROR(VLOOKUP(A1587,Graduation_Cutoff!$A$2:$B$8,2,FALSE),DATE(9999,12,31))),"Y","")</f>
        <v>0</v>
      </c>
    </row>
    <row r="1588" spans="7:8">
      <c r="G1588" s="2">
        <f>IF(F1588="PASS", E1588, "")</f>
        <v>0</v>
      </c>
      <c r="H1588">
        <f>IF(AND(F1588="PASS", G1588&lt;=IFERROR(VLOOKUP(A1588,Graduation_Cutoff!$A$2:$B$8,2,FALSE),DATE(9999,12,31))),"Y","")</f>
        <v>0</v>
      </c>
    </row>
    <row r="1589" spans="7:8">
      <c r="G1589" s="2">
        <f>IF(F1589="PASS", E1589, "")</f>
        <v>0</v>
      </c>
      <c r="H1589">
        <f>IF(AND(F1589="PASS", G1589&lt;=IFERROR(VLOOKUP(A1589,Graduation_Cutoff!$A$2:$B$8,2,FALSE),DATE(9999,12,31))),"Y","")</f>
        <v>0</v>
      </c>
    </row>
    <row r="1590" spans="7:8">
      <c r="G1590" s="2">
        <f>IF(F1590="PASS", E1590, "")</f>
        <v>0</v>
      </c>
      <c r="H1590">
        <f>IF(AND(F1590="PASS", G1590&lt;=IFERROR(VLOOKUP(A1590,Graduation_Cutoff!$A$2:$B$8,2,FALSE),DATE(9999,12,31))),"Y","")</f>
        <v>0</v>
      </c>
    </row>
    <row r="1591" spans="7:8">
      <c r="G1591" s="2">
        <f>IF(F1591="PASS", E1591, "")</f>
        <v>0</v>
      </c>
      <c r="H1591">
        <f>IF(AND(F1591="PASS", G1591&lt;=IFERROR(VLOOKUP(A1591,Graduation_Cutoff!$A$2:$B$8,2,FALSE),DATE(9999,12,31))),"Y","")</f>
        <v>0</v>
      </c>
    </row>
    <row r="1592" spans="7:8">
      <c r="G1592" s="2">
        <f>IF(F1592="PASS", E1592, "")</f>
        <v>0</v>
      </c>
      <c r="H1592">
        <f>IF(AND(F1592="PASS", G1592&lt;=IFERROR(VLOOKUP(A1592,Graduation_Cutoff!$A$2:$B$8,2,FALSE),DATE(9999,12,31))),"Y","")</f>
        <v>0</v>
      </c>
    </row>
    <row r="1593" spans="7:8">
      <c r="G1593" s="2">
        <f>IF(F1593="PASS", E1593, "")</f>
        <v>0</v>
      </c>
      <c r="H1593">
        <f>IF(AND(F1593="PASS", G1593&lt;=IFERROR(VLOOKUP(A1593,Graduation_Cutoff!$A$2:$B$8,2,FALSE),DATE(9999,12,31))),"Y","")</f>
        <v>0</v>
      </c>
    </row>
    <row r="1594" spans="7:8">
      <c r="G1594" s="2">
        <f>IF(F1594="PASS", E1594, "")</f>
        <v>0</v>
      </c>
      <c r="H1594">
        <f>IF(AND(F1594="PASS", G1594&lt;=IFERROR(VLOOKUP(A1594,Graduation_Cutoff!$A$2:$B$8,2,FALSE),DATE(9999,12,31))),"Y","")</f>
        <v>0</v>
      </c>
    </row>
    <row r="1595" spans="7:8">
      <c r="G1595" s="2">
        <f>IF(F1595="PASS", E1595, "")</f>
        <v>0</v>
      </c>
      <c r="H1595">
        <f>IF(AND(F1595="PASS", G1595&lt;=IFERROR(VLOOKUP(A1595,Graduation_Cutoff!$A$2:$B$8,2,FALSE),DATE(9999,12,31))),"Y","")</f>
        <v>0</v>
      </c>
    </row>
    <row r="1596" spans="7:8">
      <c r="G1596" s="2">
        <f>IF(F1596="PASS", E1596, "")</f>
        <v>0</v>
      </c>
      <c r="H1596">
        <f>IF(AND(F1596="PASS", G1596&lt;=IFERROR(VLOOKUP(A1596,Graduation_Cutoff!$A$2:$B$8,2,FALSE),DATE(9999,12,31))),"Y","")</f>
        <v>0</v>
      </c>
    </row>
    <row r="1597" spans="7:8">
      <c r="G1597" s="2">
        <f>IF(F1597="PASS", E1597, "")</f>
        <v>0</v>
      </c>
      <c r="H1597">
        <f>IF(AND(F1597="PASS", G1597&lt;=IFERROR(VLOOKUP(A1597,Graduation_Cutoff!$A$2:$B$8,2,FALSE),DATE(9999,12,31))),"Y","")</f>
        <v>0</v>
      </c>
    </row>
    <row r="1598" spans="7:8">
      <c r="G1598" s="2">
        <f>IF(F1598="PASS", E1598, "")</f>
        <v>0</v>
      </c>
      <c r="H1598">
        <f>IF(AND(F1598="PASS", G1598&lt;=IFERROR(VLOOKUP(A1598,Graduation_Cutoff!$A$2:$B$8,2,FALSE),DATE(9999,12,31))),"Y","")</f>
        <v>0</v>
      </c>
    </row>
    <row r="1599" spans="7:8">
      <c r="G1599" s="2">
        <f>IF(F1599="PASS", E1599, "")</f>
        <v>0</v>
      </c>
      <c r="H1599">
        <f>IF(AND(F1599="PASS", G1599&lt;=IFERROR(VLOOKUP(A1599,Graduation_Cutoff!$A$2:$B$8,2,FALSE),DATE(9999,12,31))),"Y","")</f>
        <v>0</v>
      </c>
    </row>
    <row r="1600" spans="7:8">
      <c r="G1600" s="2">
        <f>IF(F1600="PASS", E1600, "")</f>
        <v>0</v>
      </c>
      <c r="H1600">
        <f>IF(AND(F1600="PASS", G1600&lt;=IFERROR(VLOOKUP(A1600,Graduation_Cutoff!$A$2:$B$8,2,FALSE),DATE(9999,12,31))),"Y","")</f>
        <v>0</v>
      </c>
    </row>
    <row r="1601" spans="7:8">
      <c r="G1601" s="2">
        <f>IF(F1601="PASS", E1601, "")</f>
        <v>0</v>
      </c>
      <c r="H1601">
        <f>IF(AND(F1601="PASS", G1601&lt;=IFERROR(VLOOKUP(A1601,Graduation_Cutoff!$A$2:$B$8,2,FALSE),DATE(9999,12,31))),"Y","")</f>
        <v>0</v>
      </c>
    </row>
    <row r="1602" spans="7:8">
      <c r="G1602" s="2">
        <f>IF(F1602="PASS", E1602, "")</f>
        <v>0</v>
      </c>
      <c r="H1602">
        <f>IF(AND(F1602="PASS", G1602&lt;=IFERROR(VLOOKUP(A1602,Graduation_Cutoff!$A$2:$B$8,2,FALSE),DATE(9999,12,31))),"Y","")</f>
        <v>0</v>
      </c>
    </row>
    <row r="1603" spans="7:8">
      <c r="G1603" s="2">
        <f>IF(F1603="PASS", E1603, "")</f>
        <v>0</v>
      </c>
      <c r="H1603">
        <f>IF(AND(F1603="PASS", G1603&lt;=IFERROR(VLOOKUP(A1603,Graduation_Cutoff!$A$2:$B$8,2,FALSE),DATE(9999,12,31))),"Y","")</f>
        <v>0</v>
      </c>
    </row>
    <row r="1604" spans="7:8">
      <c r="G1604" s="2">
        <f>IF(F1604="PASS", E1604, "")</f>
        <v>0</v>
      </c>
      <c r="H1604">
        <f>IF(AND(F1604="PASS", G1604&lt;=IFERROR(VLOOKUP(A1604,Graduation_Cutoff!$A$2:$B$8,2,FALSE),DATE(9999,12,31))),"Y","")</f>
        <v>0</v>
      </c>
    </row>
    <row r="1605" spans="7:8">
      <c r="G1605" s="2">
        <f>IF(F1605="PASS", E1605, "")</f>
        <v>0</v>
      </c>
      <c r="H1605">
        <f>IF(AND(F1605="PASS", G1605&lt;=IFERROR(VLOOKUP(A1605,Graduation_Cutoff!$A$2:$B$8,2,FALSE),DATE(9999,12,31))),"Y","")</f>
        <v>0</v>
      </c>
    </row>
    <row r="1606" spans="7:8">
      <c r="G1606" s="2">
        <f>IF(F1606="PASS", E1606, "")</f>
        <v>0</v>
      </c>
      <c r="H1606">
        <f>IF(AND(F1606="PASS", G1606&lt;=IFERROR(VLOOKUP(A1606,Graduation_Cutoff!$A$2:$B$8,2,FALSE),DATE(9999,12,31))),"Y","")</f>
        <v>0</v>
      </c>
    </row>
    <row r="1607" spans="7:8">
      <c r="G1607" s="2">
        <f>IF(F1607="PASS", E1607, "")</f>
        <v>0</v>
      </c>
      <c r="H1607">
        <f>IF(AND(F1607="PASS", G1607&lt;=IFERROR(VLOOKUP(A1607,Graduation_Cutoff!$A$2:$B$8,2,FALSE),DATE(9999,12,31))),"Y","")</f>
        <v>0</v>
      </c>
    </row>
    <row r="1608" spans="7:8">
      <c r="G1608" s="2">
        <f>IF(F1608="PASS", E1608, "")</f>
        <v>0</v>
      </c>
      <c r="H1608">
        <f>IF(AND(F1608="PASS", G1608&lt;=IFERROR(VLOOKUP(A1608,Graduation_Cutoff!$A$2:$B$8,2,FALSE),DATE(9999,12,31))),"Y","")</f>
        <v>0</v>
      </c>
    </row>
    <row r="1609" spans="7:8">
      <c r="G1609" s="2">
        <f>IF(F1609="PASS", E1609, "")</f>
        <v>0</v>
      </c>
      <c r="H1609">
        <f>IF(AND(F1609="PASS", G1609&lt;=IFERROR(VLOOKUP(A1609,Graduation_Cutoff!$A$2:$B$8,2,FALSE),DATE(9999,12,31))),"Y","")</f>
        <v>0</v>
      </c>
    </row>
    <row r="1610" spans="7:8">
      <c r="G1610" s="2">
        <f>IF(F1610="PASS", E1610, "")</f>
        <v>0</v>
      </c>
      <c r="H1610">
        <f>IF(AND(F1610="PASS", G1610&lt;=IFERROR(VLOOKUP(A1610,Graduation_Cutoff!$A$2:$B$8,2,FALSE),DATE(9999,12,31))),"Y","")</f>
        <v>0</v>
      </c>
    </row>
    <row r="1611" spans="7:8">
      <c r="G1611" s="2">
        <f>IF(F1611="PASS", E1611, "")</f>
        <v>0</v>
      </c>
      <c r="H1611">
        <f>IF(AND(F1611="PASS", G1611&lt;=IFERROR(VLOOKUP(A1611,Graduation_Cutoff!$A$2:$B$8,2,FALSE),DATE(9999,12,31))),"Y","")</f>
        <v>0</v>
      </c>
    </row>
    <row r="1612" spans="7:8">
      <c r="G1612" s="2">
        <f>IF(F1612="PASS", E1612, "")</f>
        <v>0</v>
      </c>
      <c r="H1612">
        <f>IF(AND(F1612="PASS", G1612&lt;=IFERROR(VLOOKUP(A1612,Graduation_Cutoff!$A$2:$B$8,2,FALSE),DATE(9999,12,31))),"Y","")</f>
        <v>0</v>
      </c>
    </row>
    <row r="1613" spans="7:8">
      <c r="G1613" s="2">
        <f>IF(F1613="PASS", E1613, "")</f>
        <v>0</v>
      </c>
      <c r="H1613">
        <f>IF(AND(F1613="PASS", G1613&lt;=IFERROR(VLOOKUP(A1613,Graduation_Cutoff!$A$2:$B$8,2,FALSE),DATE(9999,12,31))),"Y","")</f>
        <v>0</v>
      </c>
    </row>
    <row r="1614" spans="7:8">
      <c r="G1614" s="2">
        <f>IF(F1614="PASS", E1614, "")</f>
        <v>0</v>
      </c>
      <c r="H1614">
        <f>IF(AND(F1614="PASS", G1614&lt;=IFERROR(VLOOKUP(A1614,Graduation_Cutoff!$A$2:$B$8,2,FALSE),DATE(9999,12,31))),"Y","")</f>
        <v>0</v>
      </c>
    </row>
    <row r="1615" spans="7:8">
      <c r="G1615" s="2">
        <f>IF(F1615="PASS", E1615, "")</f>
        <v>0</v>
      </c>
      <c r="H1615">
        <f>IF(AND(F1615="PASS", G1615&lt;=IFERROR(VLOOKUP(A1615,Graduation_Cutoff!$A$2:$B$8,2,FALSE),DATE(9999,12,31))),"Y","")</f>
        <v>0</v>
      </c>
    </row>
    <row r="1616" spans="7:8">
      <c r="G1616" s="2">
        <f>IF(F1616="PASS", E1616, "")</f>
        <v>0</v>
      </c>
      <c r="H1616">
        <f>IF(AND(F1616="PASS", G1616&lt;=IFERROR(VLOOKUP(A1616,Graduation_Cutoff!$A$2:$B$8,2,FALSE),DATE(9999,12,31))),"Y","")</f>
        <v>0</v>
      </c>
    </row>
    <row r="1617" spans="7:8">
      <c r="G1617" s="2">
        <f>IF(F1617="PASS", E1617, "")</f>
        <v>0</v>
      </c>
      <c r="H1617">
        <f>IF(AND(F1617="PASS", G1617&lt;=IFERROR(VLOOKUP(A1617,Graduation_Cutoff!$A$2:$B$8,2,FALSE),DATE(9999,12,31))),"Y","")</f>
        <v>0</v>
      </c>
    </row>
    <row r="1618" spans="7:8">
      <c r="G1618" s="2">
        <f>IF(F1618="PASS", E1618, "")</f>
        <v>0</v>
      </c>
      <c r="H1618">
        <f>IF(AND(F1618="PASS", G1618&lt;=IFERROR(VLOOKUP(A1618,Graduation_Cutoff!$A$2:$B$8,2,FALSE),DATE(9999,12,31))),"Y","")</f>
        <v>0</v>
      </c>
    </row>
    <row r="1619" spans="7:8">
      <c r="G1619" s="2">
        <f>IF(F1619="PASS", E1619, "")</f>
        <v>0</v>
      </c>
      <c r="H1619">
        <f>IF(AND(F1619="PASS", G1619&lt;=IFERROR(VLOOKUP(A1619,Graduation_Cutoff!$A$2:$B$8,2,FALSE),DATE(9999,12,31))),"Y","")</f>
        <v>0</v>
      </c>
    </row>
    <row r="1620" spans="7:8">
      <c r="G1620" s="2">
        <f>IF(F1620="PASS", E1620, "")</f>
        <v>0</v>
      </c>
      <c r="H1620">
        <f>IF(AND(F1620="PASS", G1620&lt;=IFERROR(VLOOKUP(A1620,Graduation_Cutoff!$A$2:$B$8,2,FALSE),DATE(9999,12,31))),"Y","")</f>
        <v>0</v>
      </c>
    </row>
    <row r="1621" spans="7:8">
      <c r="G1621" s="2">
        <f>IF(F1621="PASS", E1621, "")</f>
        <v>0</v>
      </c>
      <c r="H1621">
        <f>IF(AND(F1621="PASS", G1621&lt;=IFERROR(VLOOKUP(A1621,Graduation_Cutoff!$A$2:$B$8,2,FALSE),DATE(9999,12,31))),"Y","")</f>
        <v>0</v>
      </c>
    </row>
    <row r="1622" spans="7:8">
      <c r="G1622" s="2">
        <f>IF(F1622="PASS", E1622, "")</f>
        <v>0</v>
      </c>
      <c r="H1622">
        <f>IF(AND(F1622="PASS", G1622&lt;=IFERROR(VLOOKUP(A1622,Graduation_Cutoff!$A$2:$B$8,2,FALSE),DATE(9999,12,31))),"Y","")</f>
        <v>0</v>
      </c>
    </row>
    <row r="1623" spans="7:8">
      <c r="G1623" s="2">
        <f>IF(F1623="PASS", E1623, "")</f>
        <v>0</v>
      </c>
      <c r="H1623">
        <f>IF(AND(F1623="PASS", G1623&lt;=IFERROR(VLOOKUP(A1623,Graduation_Cutoff!$A$2:$B$8,2,FALSE),DATE(9999,12,31))),"Y","")</f>
        <v>0</v>
      </c>
    </row>
    <row r="1624" spans="7:8">
      <c r="G1624" s="2">
        <f>IF(F1624="PASS", E1624, "")</f>
        <v>0</v>
      </c>
      <c r="H1624">
        <f>IF(AND(F1624="PASS", G1624&lt;=IFERROR(VLOOKUP(A1624,Graduation_Cutoff!$A$2:$B$8,2,FALSE),DATE(9999,12,31))),"Y","")</f>
        <v>0</v>
      </c>
    </row>
    <row r="1625" spans="7:8">
      <c r="G1625" s="2">
        <f>IF(F1625="PASS", E1625, "")</f>
        <v>0</v>
      </c>
      <c r="H1625">
        <f>IF(AND(F1625="PASS", G1625&lt;=IFERROR(VLOOKUP(A1625,Graduation_Cutoff!$A$2:$B$8,2,FALSE),DATE(9999,12,31))),"Y","")</f>
        <v>0</v>
      </c>
    </row>
    <row r="1626" spans="7:8">
      <c r="G1626" s="2">
        <f>IF(F1626="PASS", E1626, "")</f>
        <v>0</v>
      </c>
      <c r="H1626">
        <f>IF(AND(F1626="PASS", G1626&lt;=IFERROR(VLOOKUP(A1626,Graduation_Cutoff!$A$2:$B$8,2,FALSE),DATE(9999,12,31))),"Y","")</f>
        <v>0</v>
      </c>
    </row>
    <row r="1627" spans="7:8">
      <c r="G1627" s="2">
        <f>IF(F1627="PASS", E1627, "")</f>
        <v>0</v>
      </c>
      <c r="H1627">
        <f>IF(AND(F1627="PASS", G1627&lt;=IFERROR(VLOOKUP(A1627,Graduation_Cutoff!$A$2:$B$8,2,FALSE),DATE(9999,12,31))),"Y","")</f>
        <v>0</v>
      </c>
    </row>
    <row r="1628" spans="7:8">
      <c r="G1628" s="2">
        <f>IF(F1628="PASS", E1628, "")</f>
        <v>0</v>
      </c>
      <c r="H1628">
        <f>IF(AND(F1628="PASS", G1628&lt;=IFERROR(VLOOKUP(A1628,Graduation_Cutoff!$A$2:$B$8,2,FALSE),DATE(9999,12,31))),"Y","")</f>
        <v>0</v>
      </c>
    </row>
    <row r="1629" spans="7:8">
      <c r="G1629" s="2">
        <f>IF(F1629="PASS", E1629, "")</f>
        <v>0</v>
      </c>
      <c r="H1629">
        <f>IF(AND(F1629="PASS", G1629&lt;=IFERROR(VLOOKUP(A1629,Graduation_Cutoff!$A$2:$B$8,2,FALSE),DATE(9999,12,31))),"Y","")</f>
        <v>0</v>
      </c>
    </row>
    <row r="1630" spans="7:8">
      <c r="G1630" s="2">
        <f>IF(F1630="PASS", E1630, "")</f>
        <v>0</v>
      </c>
      <c r="H1630">
        <f>IF(AND(F1630="PASS", G1630&lt;=IFERROR(VLOOKUP(A1630,Graduation_Cutoff!$A$2:$B$8,2,FALSE),DATE(9999,12,31))),"Y","")</f>
        <v>0</v>
      </c>
    </row>
    <row r="1631" spans="7:8">
      <c r="G1631" s="2">
        <f>IF(F1631="PASS", E1631, "")</f>
        <v>0</v>
      </c>
      <c r="H1631">
        <f>IF(AND(F1631="PASS", G1631&lt;=IFERROR(VLOOKUP(A1631,Graduation_Cutoff!$A$2:$B$8,2,FALSE),DATE(9999,12,31))),"Y","")</f>
        <v>0</v>
      </c>
    </row>
    <row r="1632" spans="7:8">
      <c r="G1632" s="2">
        <f>IF(F1632="PASS", E1632, "")</f>
        <v>0</v>
      </c>
      <c r="H1632">
        <f>IF(AND(F1632="PASS", G1632&lt;=IFERROR(VLOOKUP(A1632,Graduation_Cutoff!$A$2:$B$8,2,FALSE),DATE(9999,12,31))),"Y","")</f>
        <v>0</v>
      </c>
    </row>
    <row r="1633" spans="7:8">
      <c r="G1633" s="2">
        <f>IF(F1633="PASS", E1633, "")</f>
        <v>0</v>
      </c>
      <c r="H1633">
        <f>IF(AND(F1633="PASS", G1633&lt;=IFERROR(VLOOKUP(A1633,Graduation_Cutoff!$A$2:$B$8,2,FALSE),DATE(9999,12,31))),"Y","")</f>
        <v>0</v>
      </c>
    </row>
    <row r="1634" spans="7:8">
      <c r="G1634" s="2">
        <f>IF(F1634="PASS", E1634, "")</f>
        <v>0</v>
      </c>
      <c r="H1634">
        <f>IF(AND(F1634="PASS", G1634&lt;=IFERROR(VLOOKUP(A1634,Graduation_Cutoff!$A$2:$B$8,2,FALSE),DATE(9999,12,31))),"Y","")</f>
        <v>0</v>
      </c>
    </row>
    <row r="1635" spans="7:8">
      <c r="G1635" s="2">
        <f>IF(F1635="PASS", E1635, "")</f>
        <v>0</v>
      </c>
      <c r="H1635">
        <f>IF(AND(F1635="PASS", G1635&lt;=IFERROR(VLOOKUP(A1635,Graduation_Cutoff!$A$2:$B$8,2,FALSE),DATE(9999,12,31))),"Y","")</f>
        <v>0</v>
      </c>
    </row>
    <row r="1636" spans="7:8">
      <c r="G1636" s="2">
        <f>IF(F1636="PASS", E1636, "")</f>
        <v>0</v>
      </c>
      <c r="H1636">
        <f>IF(AND(F1636="PASS", G1636&lt;=IFERROR(VLOOKUP(A1636,Graduation_Cutoff!$A$2:$B$8,2,FALSE),DATE(9999,12,31))),"Y","")</f>
        <v>0</v>
      </c>
    </row>
    <row r="1637" spans="7:8">
      <c r="G1637" s="2">
        <f>IF(F1637="PASS", E1637, "")</f>
        <v>0</v>
      </c>
      <c r="H1637">
        <f>IF(AND(F1637="PASS", G1637&lt;=IFERROR(VLOOKUP(A1637,Graduation_Cutoff!$A$2:$B$8,2,FALSE),DATE(9999,12,31))),"Y","")</f>
        <v>0</v>
      </c>
    </row>
    <row r="1638" spans="7:8">
      <c r="G1638" s="2">
        <f>IF(F1638="PASS", E1638, "")</f>
        <v>0</v>
      </c>
      <c r="H1638">
        <f>IF(AND(F1638="PASS", G1638&lt;=IFERROR(VLOOKUP(A1638,Graduation_Cutoff!$A$2:$B$8,2,FALSE),DATE(9999,12,31))),"Y","")</f>
        <v>0</v>
      </c>
    </row>
    <row r="1639" spans="7:8">
      <c r="G1639" s="2">
        <f>IF(F1639="PASS", E1639, "")</f>
        <v>0</v>
      </c>
      <c r="H1639">
        <f>IF(AND(F1639="PASS", G1639&lt;=IFERROR(VLOOKUP(A1639,Graduation_Cutoff!$A$2:$B$8,2,FALSE),DATE(9999,12,31))),"Y","")</f>
        <v>0</v>
      </c>
    </row>
    <row r="1640" spans="7:8">
      <c r="G1640" s="2">
        <f>IF(F1640="PASS", E1640, "")</f>
        <v>0</v>
      </c>
      <c r="H1640">
        <f>IF(AND(F1640="PASS", G1640&lt;=IFERROR(VLOOKUP(A1640,Graduation_Cutoff!$A$2:$B$8,2,FALSE),DATE(9999,12,31))),"Y","")</f>
        <v>0</v>
      </c>
    </row>
    <row r="1641" spans="7:8">
      <c r="G1641" s="2">
        <f>IF(F1641="PASS", E1641, "")</f>
        <v>0</v>
      </c>
      <c r="H1641">
        <f>IF(AND(F1641="PASS", G1641&lt;=IFERROR(VLOOKUP(A1641,Graduation_Cutoff!$A$2:$B$8,2,FALSE),DATE(9999,12,31))),"Y","")</f>
        <v>0</v>
      </c>
    </row>
    <row r="1642" spans="7:8">
      <c r="G1642" s="2">
        <f>IF(F1642="PASS", E1642, "")</f>
        <v>0</v>
      </c>
      <c r="H1642">
        <f>IF(AND(F1642="PASS", G1642&lt;=IFERROR(VLOOKUP(A1642,Graduation_Cutoff!$A$2:$B$8,2,FALSE),DATE(9999,12,31))),"Y","")</f>
        <v>0</v>
      </c>
    </row>
    <row r="1643" spans="7:8">
      <c r="G1643" s="2">
        <f>IF(F1643="PASS", E1643, "")</f>
        <v>0</v>
      </c>
      <c r="H1643">
        <f>IF(AND(F1643="PASS", G1643&lt;=IFERROR(VLOOKUP(A1643,Graduation_Cutoff!$A$2:$B$8,2,FALSE),DATE(9999,12,31))),"Y","")</f>
        <v>0</v>
      </c>
    </row>
    <row r="1644" spans="7:8">
      <c r="G1644" s="2">
        <f>IF(F1644="PASS", E1644, "")</f>
        <v>0</v>
      </c>
      <c r="H1644">
        <f>IF(AND(F1644="PASS", G1644&lt;=IFERROR(VLOOKUP(A1644,Graduation_Cutoff!$A$2:$B$8,2,FALSE),DATE(9999,12,31))),"Y","")</f>
        <v>0</v>
      </c>
    </row>
    <row r="1645" spans="7:8">
      <c r="G1645" s="2">
        <f>IF(F1645="PASS", E1645, "")</f>
        <v>0</v>
      </c>
      <c r="H1645">
        <f>IF(AND(F1645="PASS", G1645&lt;=IFERROR(VLOOKUP(A1645,Graduation_Cutoff!$A$2:$B$8,2,FALSE),DATE(9999,12,31))),"Y","")</f>
        <v>0</v>
      </c>
    </row>
    <row r="1646" spans="7:8">
      <c r="G1646" s="2">
        <f>IF(F1646="PASS", E1646, "")</f>
        <v>0</v>
      </c>
      <c r="H1646">
        <f>IF(AND(F1646="PASS", G1646&lt;=IFERROR(VLOOKUP(A1646,Graduation_Cutoff!$A$2:$B$8,2,FALSE),DATE(9999,12,31))),"Y","")</f>
        <v>0</v>
      </c>
    </row>
    <row r="1647" spans="7:8">
      <c r="G1647" s="2">
        <f>IF(F1647="PASS", E1647, "")</f>
        <v>0</v>
      </c>
      <c r="H1647">
        <f>IF(AND(F1647="PASS", G1647&lt;=IFERROR(VLOOKUP(A1647,Graduation_Cutoff!$A$2:$B$8,2,FALSE),DATE(9999,12,31))),"Y","")</f>
        <v>0</v>
      </c>
    </row>
    <row r="1648" spans="7:8">
      <c r="G1648" s="2">
        <f>IF(F1648="PASS", E1648, "")</f>
        <v>0</v>
      </c>
      <c r="H1648">
        <f>IF(AND(F1648="PASS", G1648&lt;=IFERROR(VLOOKUP(A1648,Graduation_Cutoff!$A$2:$B$8,2,FALSE),DATE(9999,12,31))),"Y","")</f>
        <v>0</v>
      </c>
    </row>
    <row r="1649" spans="7:8">
      <c r="G1649" s="2">
        <f>IF(F1649="PASS", E1649, "")</f>
        <v>0</v>
      </c>
      <c r="H1649">
        <f>IF(AND(F1649="PASS", G1649&lt;=IFERROR(VLOOKUP(A1649,Graduation_Cutoff!$A$2:$B$8,2,FALSE),DATE(9999,12,31))),"Y","")</f>
        <v>0</v>
      </c>
    </row>
    <row r="1650" spans="7:8">
      <c r="G1650" s="2">
        <f>IF(F1650="PASS", E1650, "")</f>
        <v>0</v>
      </c>
      <c r="H1650">
        <f>IF(AND(F1650="PASS", G1650&lt;=IFERROR(VLOOKUP(A1650,Graduation_Cutoff!$A$2:$B$8,2,FALSE),DATE(9999,12,31))),"Y","")</f>
        <v>0</v>
      </c>
    </row>
    <row r="1651" spans="7:8">
      <c r="G1651" s="2">
        <f>IF(F1651="PASS", E1651, "")</f>
        <v>0</v>
      </c>
      <c r="H1651">
        <f>IF(AND(F1651="PASS", G1651&lt;=IFERROR(VLOOKUP(A1651,Graduation_Cutoff!$A$2:$B$8,2,FALSE),DATE(9999,12,31))),"Y","")</f>
        <v>0</v>
      </c>
    </row>
    <row r="1652" spans="7:8">
      <c r="G1652" s="2">
        <f>IF(F1652="PASS", E1652, "")</f>
        <v>0</v>
      </c>
      <c r="H1652">
        <f>IF(AND(F1652="PASS", G1652&lt;=IFERROR(VLOOKUP(A1652,Graduation_Cutoff!$A$2:$B$8,2,FALSE),DATE(9999,12,31))),"Y","")</f>
        <v>0</v>
      </c>
    </row>
    <row r="1653" spans="7:8">
      <c r="G1653" s="2">
        <f>IF(F1653="PASS", E1653, "")</f>
        <v>0</v>
      </c>
      <c r="H1653">
        <f>IF(AND(F1653="PASS", G1653&lt;=IFERROR(VLOOKUP(A1653,Graduation_Cutoff!$A$2:$B$8,2,FALSE),DATE(9999,12,31))),"Y","")</f>
        <v>0</v>
      </c>
    </row>
    <row r="1654" spans="7:8">
      <c r="G1654" s="2">
        <f>IF(F1654="PASS", E1654, "")</f>
        <v>0</v>
      </c>
      <c r="H1654">
        <f>IF(AND(F1654="PASS", G1654&lt;=IFERROR(VLOOKUP(A1654,Graduation_Cutoff!$A$2:$B$8,2,FALSE),DATE(9999,12,31))),"Y","")</f>
        <v>0</v>
      </c>
    </row>
    <row r="1655" spans="7:8">
      <c r="G1655" s="2">
        <f>IF(F1655="PASS", E1655, "")</f>
        <v>0</v>
      </c>
      <c r="H1655">
        <f>IF(AND(F1655="PASS", G1655&lt;=IFERROR(VLOOKUP(A1655,Graduation_Cutoff!$A$2:$B$8,2,FALSE),DATE(9999,12,31))),"Y","")</f>
        <v>0</v>
      </c>
    </row>
    <row r="1656" spans="7:8">
      <c r="G1656" s="2">
        <f>IF(F1656="PASS", E1656, "")</f>
        <v>0</v>
      </c>
      <c r="H1656">
        <f>IF(AND(F1656="PASS", G1656&lt;=IFERROR(VLOOKUP(A1656,Graduation_Cutoff!$A$2:$B$8,2,FALSE),DATE(9999,12,31))),"Y","")</f>
        <v>0</v>
      </c>
    </row>
    <row r="1657" spans="7:8">
      <c r="G1657" s="2">
        <f>IF(F1657="PASS", E1657, "")</f>
        <v>0</v>
      </c>
      <c r="H1657">
        <f>IF(AND(F1657="PASS", G1657&lt;=IFERROR(VLOOKUP(A1657,Graduation_Cutoff!$A$2:$B$8,2,FALSE),DATE(9999,12,31))),"Y","")</f>
        <v>0</v>
      </c>
    </row>
    <row r="1658" spans="7:8">
      <c r="G1658" s="2">
        <f>IF(F1658="PASS", E1658, "")</f>
        <v>0</v>
      </c>
      <c r="H1658">
        <f>IF(AND(F1658="PASS", G1658&lt;=IFERROR(VLOOKUP(A1658,Graduation_Cutoff!$A$2:$B$8,2,FALSE),DATE(9999,12,31))),"Y","")</f>
        <v>0</v>
      </c>
    </row>
    <row r="1659" spans="7:8">
      <c r="G1659" s="2">
        <f>IF(F1659="PASS", E1659, "")</f>
        <v>0</v>
      </c>
      <c r="H1659">
        <f>IF(AND(F1659="PASS", G1659&lt;=IFERROR(VLOOKUP(A1659,Graduation_Cutoff!$A$2:$B$8,2,FALSE),DATE(9999,12,31))),"Y","")</f>
        <v>0</v>
      </c>
    </row>
    <row r="1660" spans="7:8">
      <c r="G1660" s="2">
        <f>IF(F1660="PASS", E1660, "")</f>
        <v>0</v>
      </c>
      <c r="H1660">
        <f>IF(AND(F1660="PASS", G1660&lt;=IFERROR(VLOOKUP(A1660,Graduation_Cutoff!$A$2:$B$8,2,FALSE),DATE(9999,12,31))),"Y","")</f>
        <v>0</v>
      </c>
    </row>
    <row r="1661" spans="7:8">
      <c r="G1661" s="2">
        <f>IF(F1661="PASS", E1661, "")</f>
        <v>0</v>
      </c>
      <c r="H1661">
        <f>IF(AND(F1661="PASS", G1661&lt;=IFERROR(VLOOKUP(A1661,Graduation_Cutoff!$A$2:$B$8,2,FALSE),DATE(9999,12,31))),"Y","")</f>
        <v>0</v>
      </c>
    </row>
    <row r="1662" spans="7:8">
      <c r="G1662" s="2">
        <f>IF(F1662="PASS", E1662, "")</f>
        <v>0</v>
      </c>
      <c r="H1662">
        <f>IF(AND(F1662="PASS", G1662&lt;=IFERROR(VLOOKUP(A1662,Graduation_Cutoff!$A$2:$B$8,2,FALSE),DATE(9999,12,31))),"Y","")</f>
        <v>0</v>
      </c>
    </row>
    <row r="1663" spans="7:8">
      <c r="G1663" s="2">
        <f>IF(F1663="PASS", E1663, "")</f>
        <v>0</v>
      </c>
      <c r="H1663">
        <f>IF(AND(F1663="PASS", G1663&lt;=IFERROR(VLOOKUP(A1663,Graduation_Cutoff!$A$2:$B$8,2,FALSE),DATE(9999,12,31))),"Y","")</f>
        <v>0</v>
      </c>
    </row>
    <row r="1664" spans="7:8">
      <c r="G1664" s="2">
        <f>IF(F1664="PASS", E1664, "")</f>
        <v>0</v>
      </c>
      <c r="H1664">
        <f>IF(AND(F1664="PASS", G1664&lt;=IFERROR(VLOOKUP(A1664,Graduation_Cutoff!$A$2:$B$8,2,FALSE),DATE(9999,12,31))),"Y","")</f>
        <v>0</v>
      </c>
    </row>
    <row r="1665" spans="7:8">
      <c r="G1665" s="2">
        <f>IF(F1665="PASS", E1665, "")</f>
        <v>0</v>
      </c>
      <c r="H1665">
        <f>IF(AND(F1665="PASS", G1665&lt;=IFERROR(VLOOKUP(A1665,Graduation_Cutoff!$A$2:$B$8,2,FALSE),DATE(9999,12,31))),"Y","")</f>
        <v>0</v>
      </c>
    </row>
    <row r="1666" spans="7:8">
      <c r="G1666" s="2">
        <f>IF(F1666="PASS", E1666, "")</f>
        <v>0</v>
      </c>
      <c r="H1666">
        <f>IF(AND(F1666="PASS", G1666&lt;=IFERROR(VLOOKUP(A1666,Graduation_Cutoff!$A$2:$B$8,2,FALSE),DATE(9999,12,31))),"Y","")</f>
        <v>0</v>
      </c>
    </row>
    <row r="1667" spans="7:8">
      <c r="G1667" s="2">
        <f>IF(F1667="PASS", E1667, "")</f>
        <v>0</v>
      </c>
      <c r="H1667">
        <f>IF(AND(F1667="PASS", G1667&lt;=IFERROR(VLOOKUP(A1667,Graduation_Cutoff!$A$2:$B$8,2,FALSE),DATE(9999,12,31))),"Y","")</f>
        <v>0</v>
      </c>
    </row>
    <row r="1668" spans="7:8">
      <c r="G1668" s="2">
        <f>IF(F1668="PASS", E1668, "")</f>
        <v>0</v>
      </c>
      <c r="H1668">
        <f>IF(AND(F1668="PASS", G1668&lt;=IFERROR(VLOOKUP(A1668,Graduation_Cutoff!$A$2:$B$8,2,FALSE),DATE(9999,12,31))),"Y","")</f>
        <v>0</v>
      </c>
    </row>
    <row r="1669" spans="7:8">
      <c r="G1669" s="2">
        <f>IF(F1669="PASS", E1669, "")</f>
        <v>0</v>
      </c>
      <c r="H1669">
        <f>IF(AND(F1669="PASS", G1669&lt;=IFERROR(VLOOKUP(A1669,Graduation_Cutoff!$A$2:$B$8,2,FALSE),DATE(9999,12,31))),"Y","")</f>
        <v>0</v>
      </c>
    </row>
    <row r="1670" spans="7:8">
      <c r="G1670" s="2">
        <f>IF(F1670="PASS", E1670, "")</f>
        <v>0</v>
      </c>
      <c r="H1670">
        <f>IF(AND(F1670="PASS", G1670&lt;=IFERROR(VLOOKUP(A1670,Graduation_Cutoff!$A$2:$B$8,2,FALSE),DATE(9999,12,31))),"Y","")</f>
        <v>0</v>
      </c>
    </row>
    <row r="1671" spans="7:8">
      <c r="G1671" s="2">
        <f>IF(F1671="PASS", E1671, "")</f>
        <v>0</v>
      </c>
      <c r="H1671">
        <f>IF(AND(F1671="PASS", G1671&lt;=IFERROR(VLOOKUP(A1671,Graduation_Cutoff!$A$2:$B$8,2,FALSE),DATE(9999,12,31))),"Y","")</f>
        <v>0</v>
      </c>
    </row>
    <row r="1672" spans="7:8">
      <c r="G1672" s="2">
        <f>IF(F1672="PASS", E1672, "")</f>
        <v>0</v>
      </c>
      <c r="H1672">
        <f>IF(AND(F1672="PASS", G1672&lt;=IFERROR(VLOOKUP(A1672,Graduation_Cutoff!$A$2:$B$8,2,FALSE),DATE(9999,12,31))),"Y","")</f>
        <v>0</v>
      </c>
    </row>
    <row r="1673" spans="7:8">
      <c r="G1673" s="2">
        <f>IF(F1673="PASS", E1673, "")</f>
        <v>0</v>
      </c>
      <c r="H1673">
        <f>IF(AND(F1673="PASS", G1673&lt;=IFERROR(VLOOKUP(A1673,Graduation_Cutoff!$A$2:$B$8,2,FALSE),DATE(9999,12,31))),"Y","")</f>
        <v>0</v>
      </c>
    </row>
    <row r="1674" spans="7:8">
      <c r="G1674" s="2">
        <f>IF(F1674="PASS", E1674, "")</f>
        <v>0</v>
      </c>
      <c r="H1674">
        <f>IF(AND(F1674="PASS", G1674&lt;=IFERROR(VLOOKUP(A1674,Graduation_Cutoff!$A$2:$B$8,2,FALSE),DATE(9999,12,31))),"Y","")</f>
        <v>0</v>
      </c>
    </row>
    <row r="1675" spans="7:8">
      <c r="G1675" s="2">
        <f>IF(F1675="PASS", E1675, "")</f>
        <v>0</v>
      </c>
      <c r="H1675">
        <f>IF(AND(F1675="PASS", G1675&lt;=IFERROR(VLOOKUP(A1675,Graduation_Cutoff!$A$2:$B$8,2,FALSE),DATE(9999,12,31))),"Y","")</f>
        <v>0</v>
      </c>
    </row>
    <row r="1676" spans="7:8">
      <c r="G1676" s="2">
        <f>IF(F1676="PASS", E1676, "")</f>
        <v>0</v>
      </c>
      <c r="H1676">
        <f>IF(AND(F1676="PASS", G1676&lt;=IFERROR(VLOOKUP(A1676,Graduation_Cutoff!$A$2:$B$8,2,FALSE),DATE(9999,12,31))),"Y","")</f>
        <v>0</v>
      </c>
    </row>
    <row r="1677" spans="7:8">
      <c r="G1677" s="2">
        <f>IF(F1677="PASS", E1677, "")</f>
        <v>0</v>
      </c>
      <c r="H1677">
        <f>IF(AND(F1677="PASS", G1677&lt;=IFERROR(VLOOKUP(A1677,Graduation_Cutoff!$A$2:$B$8,2,FALSE),DATE(9999,12,31))),"Y","")</f>
        <v>0</v>
      </c>
    </row>
    <row r="1678" spans="7:8">
      <c r="G1678" s="2">
        <f>IF(F1678="PASS", E1678, "")</f>
        <v>0</v>
      </c>
      <c r="H1678">
        <f>IF(AND(F1678="PASS", G1678&lt;=IFERROR(VLOOKUP(A1678,Graduation_Cutoff!$A$2:$B$8,2,FALSE),DATE(9999,12,31))),"Y","")</f>
        <v>0</v>
      </c>
    </row>
    <row r="1679" spans="7:8">
      <c r="G1679" s="2">
        <f>IF(F1679="PASS", E1679, "")</f>
        <v>0</v>
      </c>
      <c r="H1679">
        <f>IF(AND(F1679="PASS", G1679&lt;=IFERROR(VLOOKUP(A1679,Graduation_Cutoff!$A$2:$B$8,2,FALSE),DATE(9999,12,31))),"Y","")</f>
        <v>0</v>
      </c>
    </row>
    <row r="1680" spans="7:8">
      <c r="G1680" s="2">
        <f>IF(F1680="PASS", E1680, "")</f>
        <v>0</v>
      </c>
      <c r="H1680">
        <f>IF(AND(F1680="PASS", G1680&lt;=IFERROR(VLOOKUP(A1680,Graduation_Cutoff!$A$2:$B$8,2,FALSE),DATE(9999,12,31))),"Y","")</f>
        <v>0</v>
      </c>
    </row>
    <row r="1681" spans="7:8">
      <c r="G1681" s="2">
        <f>IF(F1681="PASS", E1681, "")</f>
        <v>0</v>
      </c>
      <c r="H1681">
        <f>IF(AND(F1681="PASS", G1681&lt;=IFERROR(VLOOKUP(A1681,Graduation_Cutoff!$A$2:$B$8,2,FALSE),DATE(9999,12,31))),"Y","")</f>
        <v>0</v>
      </c>
    </row>
    <row r="1682" spans="7:8">
      <c r="G1682" s="2">
        <f>IF(F1682="PASS", E1682, "")</f>
        <v>0</v>
      </c>
      <c r="H1682">
        <f>IF(AND(F1682="PASS", G1682&lt;=IFERROR(VLOOKUP(A1682,Graduation_Cutoff!$A$2:$B$8,2,FALSE),DATE(9999,12,31))),"Y","")</f>
        <v>0</v>
      </c>
    </row>
    <row r="1683" spans="7:8">
      <c r="G1683" s="2">
        <f>IF(F1683="PASS", E1683, "")</f>
        <v>0</v>
      </c>
      <c r="H1683">
        <f>IF(AND(F1683="PASS", G1683&lt;=IFERROR(VLOOKUP(A1683,Graduation_Cutoff!$A$2:$B$8,2,FALSE),DATE(9999,12,31))),"Y","")</f>
        <v>0</v>
      </c>
    </row>
    <row r="1684" spans="7:8">
      <c r="G1684" s="2">
        <f>IF(F1684="PASS", E1684, "")</f>
        <v>0</v>
      </c>
      <c r="H1684">
        <f>IF(AND(F1684="PASS", G1684&lt;=IFERROR(VLOOKUP(A1684,Graduation_Cutoff!$A$2:$B$8,2,FALSE),DATE(9999,12,31))),"Y","")</f>
        <v>0</v>
      </c>
    </row>
    <row r="1685" spans="7:8">
      <c r="G1685" s="2">
        <f>IF(F1685="PASS", E1685, "")</f>
        <v>0</v>
      </c>
      <c r="H1685">
        <f>IF(AND(F1685="PASS", G1685&lt;=IFERROR(VLOOKUP(A1685,Graduation_Cutoff!$A$2:$B$8,2,FALSE),DATE(9999,12,31))),"Y","")</f>
        <v>0</v>
      </c>
    </row>
    <row r="1686" spans="7:8">
      <c r="G1686" s="2">
        <f>IF(F1686="PASS", E1686, "")</f>
        <v>0</v>
      </c>
      <c r="H1686">
        <f>IF(AND(F1686="PASS", G1686&lt;=IFERROR(VLOOKUP(A1686,Graduation_Cutoff!$A$2:$B$8,2,FALSE),DATE(9999,12,31))),"Y","")</f>
        <v>0</v>
      </c>
    </row>
    <row r="1687" spans="7:8">
      <c r="G1687" s="2">
        <f>IF(F1687="PASS", E1687, "")</f>
        <v>0</v>
      </c>
      <c r="H1687">
        <f>IF(AND(F1687="PASS", G1687&lt;=IFERROR(VLOOKUP(A1687,Graduation_Cutoff!$A$2:$B$8,2,FALSE),DATE(9999,12,31))),"Y","")</f>
        <v>0</v>
      </c>
    </row>
    <row r="1688" spans="7:8">
      <c r="G1688" s="2">
        <f>IF(F1688="PASS", E1688, "")</f>
        <v>0</v>
      </c>
      <c r="H1688">
        <f>IF(AND(F1688="PASS", G1688&lt;=IFERROR(VLOOKUP(A1688,Graduation_Cutoff!$A$2:$B$8,2,FALSE),DATE(9999,12,31))),"Y","")</f>
        <v>0</v>
      </c>
    </row>
    <row r="1689" spans="7:8">
      <c r="G1689" s="2">
        <f>IF(F1689="PASS", E1689, "")</f>
        <v>0</v>
      </c>
      <c r="H1689">
        <f>IF(AND(F1689="PASS", G1689&lt;=IFERROR(VLOOKUP(A1689,Graduation_Cutoff!$A$2:$B$8,2,FALSE),DATE(9999,12,31))),"Y","")</f>
        <v>0</v>
      </c>
    </row>
    <row r="1690" spans="7:8">
      <c r="G1690" s="2">
        <f>IF(F1690="PASS", E1690, "")</f>
        <v>0</v>
      </c>
      <c r="H1690">
        <f>IF(AND(F1690="PASS", G1690&lt;=IFERROR(VLOOKUP(A1690,Graduation_Cutoff!$A$2:$B$8,2,FALSE),DATE(9999,12,31))),"Y","")</f>
        <v>0</v>
      </c>
    </row>
    <row r="1691" spans="7:8">
      <c r="G1691" s="2">
        <f>IF(F1691="PASS", E1691, "")</f>
        <v>0</v>
      </c>
      <c r="H1691">
        <f>IF(AND(F1691="PASS", G1691&lt;=IFERROR(VLOOKUP(A1691,Graduation_Cutoff!$A$2:$B$8,2,FALSE),DATE(9999,12,31))),"Y","")</f>
        <v>0</v>
      </c>
    </row>
    <row r="1692" spans="7:8">
      <c r="G1692" s="2">
        <f>IF(F1692="PASS", E1692, "")</f>
        <v>0</v>
      </c>
      <c r="H1692">
        <f>IF(AND(F1692="PASS", G1692&lt;=IFERROR(VLOOKUP(A1692,Graduation_Cutoff!$A$2:$B$8,2,FALSE),DATE(9999,12,31))),"Y","")</f>
        <v>0</v>
      </c>
    </row>
    <row r="1693" spans="7:8">
      <c r="G1693" s="2">
        <f>IF(F1693="PASS", E1693, "")</f>
        <v>0</v>
      </c>
      <c r="H1693">
        <f>IF(AND(F1693="PASS", G1693&lt;=IFERROR(VLOOKUP(A1693,Graduation_Cutoff!$A$2:$B$8,2,FALSE),DATE(9999,12,31))),"Y","")</f>
        <v>0</v>
      </c>
    </row>
    <row r="1694" spans="7:8">
      <c r="G1694" s="2">
        <f>IF(F1694="PASS", E1694, "")</f>
        <v>0</v>
      </c>
      <c r="H1694">
        <f>IF(AND(F1694="PASS", G1694&lt;=IFERROR(VLOOKUP(A1694,Graduation_Cutoff!$A$2:$B$8,2,FALSE),DATE(9999,12,31))),"Y","")</f>
        <v>0</v>
      </c>
    </row>
    <row r="1695" spans="7:8">
      <c r="G1695" s="2">
        <f>IF(F1695="PASS", E1695, "")</f>
        <v>0</v>
      </c>
      <c r="H1695">
        <f>IF(AND(F1695="PASS", G1695&lt;=IFERROR(VLOOKUP(A1695,Graduation_Cutoff!$A$2:$B$8,2,FALSE),DATE(9999,12,31))),"Y","")</f>
        <v>0</v>
      </c>
    </row>
    <row r="1696" spans="7:8">
      <c r="G1696" s="2">
        <f>IF(F1696="PASS", E1696, "")</f>
        <v>0</v>
      </c>
      <c r="H1696">
        <f>IF(AND(F1696="PASS", G1696&lt;=IFERROR(VLOOKUP(A1696,Graduation_Cutoff!$A$2:$B$8,2,FALSE),DATE(9999,12,31))),"Y","")</f>
        <v>0</v>
      </c>
    </row>
    <row r="1697" spans="7:8">
      <c r="G1697" s="2">
        <f>IF(F1697="PASS", E1697, "")</f>
        <v>0</v>
      </c>
      <c r="H1697">
        <f>IF(AND(F1697="PASS", G1697&lt;=IFERROR(VLOOKUP(A1697,Graduation_Cutoff!$A$2:$B$8,2,FALSE),DATE(9999,12,31))),"Y","")</f>
        <v>0</v>
      </c>
    </row>
    <row r="1698" spans="7:8">
      <c r="G1698" s="2">
        <f>IF(F1698="PASS", E1698, "")</f>
        <v>0</v>
      </c>
      <c r="H1698">
        <f>IF(AND(F1698="PASS", G1698&lt;=IFERROR(VLOOKUP(A1698,Graduation_Cutoff!$A$2:$B$8,2,FALSE),DATE(9999,12,31))),"Y","")</f>
        <v>0</v>
      </c>
    </row>
    <row r="1699" spans="7:8">
      <c r="G1699" s="2">
        <f>IF(F1699="PASS", E1699, "")</f>
        <v>0</v>
      </c>
      <c r="H1699">
        <f>IF(AND(F1699="PASS", G1699&lt;=IFERROR(VLOOKUP(A1699,Graduation_Cutoff!$A$2:$B$8,2,FALSE),DATE(9999,12,31))),"Y","")</f>
        <v>0</v>
      </c>
    </row>
    <row r="1700" spans="7:8">
      <c r="G1700" s="2">
        <f>IF(F1700="PASS", E1700, "")</f>
        <v>0</v>
      </c>
      <c r="H1700">
        <f>IF(AND(F1700="PASS", G1700&lt;=IFERROR(VLOOKUP(A1700,Graduation_Cutoff!$A$2:$B$8,2,FALSE),DATE(9999,12,31))),"Y","")</f>
        <v>0</v>
      </c>
    </row>
    <row r="1701" spans="7:8">
      <c r="G1701" s="2">
        <f>IF(F1701="PASS", E1701, "")</f>
        <v>0</v>
      </c>
      <c r="H1701">
        <f>IF(AND(F1701="PASS", G1701&lt;=IFERROR(VLOOKUP(A1701,Graduation_Cutoff!$A$2:$B$8,2,FALSE),DATE(9999,12,31))),"Y","")</f>
        <v>0</v>
      </c>
    </row>
    <row r="1702" spans="7:8">
      <c r="G1702" s="2">
        <f>IF(F1702="PASS", E1702, "")</f>
        <v>0</v>
      </c>
      <c r="H1702">
        <f>IF(AND(F1702="PASS", G1702&lt;=IFERROR(VLOOKUP(A1702,Graduation_Cutoff!$A$2:$B$8,2,FALSE),DATE(9999,12,31))),"Y","")</f>
        <v>0</v>
      </c>
    </row>
    <row r="1703" spans="7:8">
      <c r="G1703" s="2">
        <f>IF(F1703="PASS", E1703, "")</f>
        <v>0</v>
      </c>
      <c r="H1703">
        <f>IF(AND(F1703="PASS", G1703&lt;=IFERROR(VLOOKUP(A1703,Graduation_Cutoff!$A$2:$B$8,2,FALSE),DATE(9999,12,31))),"Y","")</f>
        <v>0</v>
      </c>
    </row>
    <row r="1704" spans="7:8">
      <c r="G1704" s="2">
        <f>IF(F1704="PASS", E1704, "")</f>
        <v>0</v>
      </c>
      <c r="H1704">
        <f>IF(AND(F1704="PASS", G1704&lt;=IFERROR(VLOOKUP(A1704,Graduation_Cutoff!$A$2:$B$8,2,FALSE),DATE(9999,12,31))),"Y","")</f>
        <v>0</v>
      </c>
    </row>
    <row r="1705" spans="7:8">
      <c r="G1705" s="2">
        <f>IF(F1705="PASS", E1705, "")</f>
        <v>0</v>
      </c>
      <c r="H1705">
        <f>IF(AND(F1705="PASS", G1705&lt;=IFERROR(VLOOKUP(A1705,Graduation_Cutoff!$A$2:$B$8,2,FALSE),DATE(9999,12,31))),"Y","")</f>
        <v>0</v>
      </c>
    </row>
    <row r="1706" spans="7:8">
      <c r="G1706" s="2">
        <f>IF(F1706="PASS", E1706, "")</f>
        <v>0</v>
      </c>
      <c r="H1706">
        <f>IF(AND(F1706="PASS", G1706&lt;=IFERROR(VLOOKUP(A1706,Graduation_Cutoff!$A$2:$B$8,2,FALSE),DATE(9999,12,31))),"Y","")</f>
        <v>0</v>
      </c>
    </row>
    <row r="1707" spans="7:8">
      <c r="G1707" s="2">
        <f>IF(F1707="PASS", E1707, "")</f>
        <v>0</v>
      </c>
      <c r="H1707">
        <f>IF(AND(F1707="PASS", G1707&lt;=IFERROR(VLOOKUP(A1707,Graduation_Cutoff!$A$2:$B$8,2,FALSE),DATE(9999,12,31))),"Y","")</f>
        <v>0</v>
      </c>
    </row>
    <row r="1708" spans="7:8">
      <c r="G1708" s="2">
        <f>IF(F1708="PASS", E1708, "")</f>
        <v>0</v>
      </c>
      <c r="H1708">
        <f>IF(AND(F1708="PASS", G1708&lt;=IFERROR(VLOOKUP(A1708,Graduation_Cutoff!$A$2:$B$8,2,FALSE),DATE(9999,12,31))),"Y","")</f>
        <v>0</v>
      </c>
    </row>
    <row r="1709" spans="7:8">
      <c r="G1709" s="2">
        <f>IF(F1709="PASS", E1709, "")</f>
        <v>0</v>
      </c>
      <c r="H1709">
        <f>IF(AND(F1709="PASS", G1709&lt;=IFERROR(VLOOKUP(A1709,Graduation_Cutoff!$A$2:$B$8,2,FALSE),DATE(9999,12,31))),"Y","")</f>
        <v>0</v>
      </c>
    </row>
    <row r="1710" spans="7:8">
      <c r="G1710" s="2">
        <f>IF(F1710="PASS", E1710, "")</f>
        <v>0</v>
      </c>
      <c r="H1710">
        <f>IF(AND(F1710="PASS", G1710&lt;=IFERROR(VLOOKUP(A1710,Graduation_Cutoff!$A$2:$B$8,2,FALSE),DATE(9999,12,31))),"Y","")</f>
        <v>0</v>
      </c>
    </row>
    <row r="1711" spans="7:8">
      <c r="G1711" s="2">
        <f>IF(F1711="PASS", E1711, "")</f>
        <v>0</v>
      </c>
      <c r="H1711">
        <f>IF(AND(F1711="PASS", G1711&lt;=IFERROR(VLOOKUP(A1711,Graduation_Cutoff!$A$2:$B$8,2,FALSE),DATE(9999,12,31))),"Y","")</f>
        <v>0</v>
      </c>
    </row>
    <row r="1712" spans="7:8">
      <c r="G1712" s="2">
        <f>IF(F1712="PASS", E1712, "")</f>
        <v>0</v>
      </c>
      <c r="H1712">
        <f>IF(AND(F1712="PASS", G1712&lt;=IFERROR(VLOOKUP(A1712,Graduation_Cutoff!$A$2:$B$8,2,FALSE),DATE(9999,12,31))),"Y","")</f>
        <v>0</v>
      </c>
    </row>
    <row r="1713" spans="7:8">
      <c r="G1713" s="2">
        <f>IF(F1713="PASS", E1713, "")</f>
        <v>0</v>
      </c>
      <c r="H1713">
        <f>IF(AND(F1713="PASS", G1713&lt;=IFERROR(VLOOKUP(A1713,Graduation_Cutoff!$A$2:$B$8,2,FALSE),DATE(9999,12,31))),"Y","")</f>
        <v>0</v>
      </c>
    </row>
    <row r="1714" spans="7:8">
      <c r="G1714" s="2">
        <f>IF(F1714="PASS", E1714, "")</f>
        <v>0</v>
      </c>
      <c r="H1714">
        <f>IF(AND(F1714="PASS", G1714&lt;=IFERROR(VLOOKUP(A1714,Graduation_Cutoff!$A$2:$B$8,2,FALSE),DATE(9999,12,31))),"Y","")</f>
        <v>0</v>
      </c>
    </row>
    <row r="1715" spans="7:8">
      <c r="G1715" s="2">
        <f>IF(F1715="PASS", E1715, "")</f>
        <v>0</v>
      </c>
      <c r="H1715">
        <f>IF(AND(F1715="PASS", G1715&lt;=IFERROR(VLOOKUP(A1715,Graduation_Cutoff!$A$2:$B$8,2,FALSE),DATE(9999,12,31))),"Y","")</f>
        <v>0</v>
      </c>
    </row>
    <row r="1716" spans="7:8">
      <c r="G1716" s="2">
        <f>IF(F1716="PASS", E1716, "")</f>
        <v>0</v>
      </c>
      <c r="H1716">
        <f>IF(AND(F1716="PASS", G1716&lt;=IFERROR(VLOOKUP(A1716,Graduation_Cutoff!$A$2:$B$8,2,FALSE),DATE(9999,12,31))),"Y","")</f>
        <v>0</v>
      </c>
    </row>
    <row r="1717" spans="7:8">
      <c r="G1717" s="2">
        <f>IF(F1717="PASS", E1717, "")</f>
        <v>0</v>
      </c>
      <c r="H1717">
        <f>IF(AND(F1717="PASS", G1717&lt;=IFERROR(VLOOKUP(A1717,Graduation_Cutoff!$A$2:$B$8,2,FALSE),DATE(9999,12,31))),"Y","")</f>
        <v>0</v>
      </c>
    </row>
    <row r="1718" spans="7:8">
      <c r="G1718" s="2">
        <f>IF(F1718="PASS", E1718, "")</f>
        <v>0</v>
      </c>
      <c r="H1718">
        <f>IF(AND(F1718="PASS", G1718&lt;=IFERROR(VLOOKUP(A1718,Graduation_Cutoff!$A$2:$B$8,2,FALSE),DATE(9999,12,31))),"Y","")</f>
        <v>0</v>
      </c>
    </row>
    <row r="1719" spans="7:8">
      <c r="G1719" s="2">
        <f>IF(F1719="PASS", E1719, "")</f>
        <v>0</v>
      </c>
      <c r="H1719">
        <f>IF(AND(F1719="PASS", G1719&lt;=IFERROR(VLOOKUP(A1719,Graduation_Cutoff!$A$2:$B$8,2,FALSE),DATE(9999,12,31))),"Y","")</f>
        <v>0</v>
      </c>
    </row>
    <row r="1720" spans="7:8">
      <c r="G1720" s="2">
        <f>IF(F1720="PASS", E1720, "")</f>
        <v>0</v>
      </c>
      <c r="H1720">
        <f>IF(AND(F1720="PASS", G1720&lt;=IFERROR(VLOOKUP(A1720,Graduation_Cutoff!$A$2:$B$8,2,FALSE),DATE(9999,12,31))),"Y","")</f>
        <v>0</v>
      </c>
    </row>
    <row r="1721" spans="7:8">
      <c r="G1721" s="2">
        <f>IF(F1721="PASS", E1721, "")</f>
        <v>0</v>
      </c>
      <c r="H1721">
        <f>IF(AND(F1721="PASS", G1721&lt;=IFERROR(VLOOKUP(A1721,Graduation_Cutoff!$A$2:$B$8,2,FALSE),DATE(9999,12,31))),"Y","")</f>
        <v>0</v>
      </c>
    </row>
    <row r="1722" spans="7:8">
      <c r="G1722" s="2">
        <f>IF(F1722="PASS", E1722, "")</f>
        <v>0</v>
      </c>
      <c r="H1722">
        <f>IF(AND(F1722="PASS", G1722&lt;=IFERROR(VLOOKUP(A1722,Graduation_Cutoff!$A$2:$B$8,2,FALSE),DATE(9999,12,31))),"Y","")</f>
        <v>0</v>
      </c>
    </row>
    <row r="1723" spans="7:8">
      <c r="G1723" s="2">
        <f>IF(F1723="PASS", E1723, "")</f>
        <v>0</v>
      </c>
      <c r="H1723">
        <f>IF(AND(F1723="PASS", G1723&lt;=IFERROR(VLOOKUP(A1723,Graduation_Cutoff!$A$2:$B$8,2,FALSE),DATE(9999,12,31))),"Y","")</f>
        <v>0</v>
      </c>
    </row>
    <row r="1724" spans="7:8">
      <c r="G1724" s="2">
        <f>IF(F1724="PASS", E1724, "")</f>
        <v>0</v>
      </c>
      <c r="H1724">
        <f>IF(AND(F1724="PASS", G1724&lt;=IFERROR(VLOOKUP(A1724,Graduation_Cutoff!$A$2:$B$8,2,FALSE),DATE(9999,12,31))),"Y","")</f>
        <v>0</v>
      </c>
    </row>
    <row r="1725" spans="7:8">
      <c r="G1725" s="2">
        <f>IF(F1725="PASS", E1725, "")</f>
        <v>0</v>
      </c>
      <c r="H1725">
        <f>IF(AND(F1725="PASS", G1725&lt;=IFERROR(VLOOKUP(A1725,Graduation_Cutoff!$A$2:$B$8,2,FALSE),DATE(9999,12,31))),"Y","")</f>
        <v>0</v>
      </c>
    </row>
    <row r="1726" spans="7:8">
      <c r="G1726" s="2">
        <f>IF(F1726="PASS", E1726, "")</f>
        <v>0</v>
      </c>
      <c r="H1726">
        <f>IF(AND(F1726="PASS", G1726&lt;=IFERROR(VLOOKUP(A1726,Graduation_Cutoff!$A$2:$B$8,2,FALSE),DATE(9999,12,31))),"Y","")</f>
        <v>0</v>
      </c>
    </row>
    <row r="1727" spans="7:8">
      <c r="G1727" s="2">
        <f>IF(F1727="PASS", E1727, "")</f>
        <v>0</v>
      </c>
      <c r="H1727">
        <f>IF(AND(F1727="PASS", G1727&lt;=IFERROR(VLOOKUP(A1727,Graduation_Cutoff!$A$2:$B$8,2,FALSE),DATE(9999,12,31))),"Y","")</f>
        <v>0</v>
      </c>
    </row>
    <row r="1728" spans="7:8">
      <c r="G1728" s="2">
        <f>IF(F1728="PASS", E1728, "")</f>
        <v>0</v>
      </c>
      <c r="H1728">
        <f>IF(AND(F1728="PASS", G1728&lt;=IFERROR(VLOOKUP(A1728,Graduation_Cutoff!$A$2:$B$8,2,FALSE),DATE(9999,12,31))),"Y","")</f>
        <v>0</v>
      </c>
    </row>
    <row r="1729" spans="7:8">
      <c r="G1729" s="2">
        <f>IF(F1729="PASS", E1729, "")</f>
        <v>0</v>
      </c>
      <c r="H1729">
        <f>IF(AND(F1729="PASS", G1729&lt;=IFERROR(VLOOKUP(A1729,Graduation_Cutoff!$A$2:$B$8,2,FALSE),DATE(9999,12,31))),"Y","")</f>
        <v>0</v>
      </c>
    </row>
    <row r="1730" spans="7:8">
      <c r="G1730" s="2">
        <f>IF(F1730="PASS", E1730, "")</f>
        <v>0</v>
      </c>
      <c r="H1730">
        <f>IF(AND(F1730="PASS", G1730&lt;=IFERROR(VLOOKUP(A1730,Graduation_Cutoff!$A$2:$B$8,2,FALSE),DATE(9999,12,31))),"Y","")</f>
        <v>0</v>
      </c>
    </row>
    <row r="1731" spans="7:8">
      <c r="G1731" s="2">
        <f>IF(F1731="PASS", E1731, "")</f>
        <v>0</v>
      </c>
      <c r="H1731">
        <f>IF(AND(F1731="PASS", G1731&lt;=IFERROR(VLOOKUP(A1731,Graduation_Cutoff!$A$2:$B$8,2,FALSE),DATE(9999,12,31))),"Y","")</f>
        <v>0</v>
      </c>
    </row>
    <row r="1732" spans="7:8">
      <c r="G1732" s="2">
        <f>IF(F1732="PASS", E1732, "")</f>
        <v>0</v>
      </c>
      <c r="H1732">
        <f>IF(AND(F1732="PASS", G1732&lt;=IFERROR(VLOOKUP(A1732,Graduation_Cutoff!$A$2:$B$8,2,FALSE),DATE(9999,12,31))),"Y","")</f>
        <v>0</v>
      </c>
    </row>
    <row r="1733" spans="7:8">
      <c r="G1733" s="2">
        <f>IF(F1733="PASS", E1733, "")</f>
        <v>0</v>
      </c>
      <c r="H1733">
        <f>IF(AND(F1733="PASS", G1733&lt;=IFERROR(VLOOKUP(A1733,Graduation_Cutoff!$A$2:$B$8,2,FALSE),DATE(9999,12,31))),"Y","")</f>
        <v>0</v>
      </c>
    </row>
    <row r="1734" spans="7:8">
      <c r="G1734" s="2">
        <f>IF(F1734="PASS", E1734, "")</f>
        <v>0</v>
      </c>
      <c r="H1734">
        <f>IF(AND(F1734="PASS", G1734&lt;=IFERROR(VLOOKUP(A1734,Graduation_Cutoff!$A$2:$B$8,2,FALSE),DATE(9999,12,31))),"Y","")</f>
        <v>0</v>
      </c>
    </row>
    <row r="1735" spans="7:8">
      <c r="G1735" s="2">
        <f>IF(F1735="PASS", E1735, "")</f>
        <v>0</v>
      </c>
      <c r="H1735">
        <f>IF(AND(F1735="PASS", G1735&lt;=IFERROR(VLOOKUP(A1735,Graduation_Cutoff!$A$2:$B$8,2,FALSE),DATE(9999,12,31))),"Y","")</f>
        <v>0</v>
      </c>
    </row>
    <row r="1736" spans="7:8">
      <c r="G1736" s="2">
        <f>IF(F1736="PASS", E1736, "")</f>
        <v>0</v>
      </c>
      <c r="H1736">
        <f>IF(AND(F1736="PASS", G1736&lt;=IFERROR(VLOOKUP(A1736,Graduation_Cutoff!$A$2:$B$8,2,FALSE),DATE(9999,12,31))),"Y","")</f>
        <v>0</v>
      </c>
    </row>
    <row r="1737" spans="7:8">
      <c r="G1737" s="2">
        <f>IF(F1737="PASS", E1737, "")</f>
        <v>0</v>
      </c>
      <c r="H1737">
        <f>IF(AND(F1737="PASS", G1737&lt;=IFERROR(VLOOKUP(A1737,Graduation_Cutoff!$A$2:$B$8,2,FALSE),DATE(9999,12,31))),"Y","")</f>
        <v>0</v>
      </c>
    </row>
    <row r="1738" spans="7:8">
      <c r="G1738" s="2">
        <f>IF(F1738="PASS", E1738, "")</f>
        <v>0</v>
      </c>
      <c r="H1738">
        <f>IF(AND(F1738="PASS", G1738&lt;=IFERROR(VLOOKUP(A1738,Graduation_Cutoff!$A$2:$B$8,2,FALSE),DATE(9999,12,31))),"Y","")</f>
        <v>0</v>
      </c>
    </row>
    <row r="1739" spans="7:8">
      <c r="G1739" s="2">
        <f>IF(F1739="PASS", E1739, "")</f>
        <v>0</v>
      </c>
      <c r="H1739">
        <f>IF(AND(F1739="PASS", G1739&lt;=IFERROR(VLOOKUP(A1739,Graduation_Cutoff!$A$2:$B$8,2,FALSE),DATE(9999,12,31))),"Y","")</f>
        <v>0</v>
      </c>
    </row>
    <row r="1740" spans="7:8">
      <c r="G1740" s="2">
        <f>IF(F1740="PASS", E1740, "")</f>
        <v>0</v>
      </c>
      <c r="H1740">
        <f>IF(AND(F1740="PASS", G1740&lt;=IFERROR(VLOOKUP(A1740,Graduation_Cutoff!$A$2:$B$8,2,FALSE),DATE(9999,12,31))),"Y","")</f>
        <v>0</v>
      </c>
    </row>
    <row r="1741" spans="7:8">
      <c r="G1741" s="2">
        <f>IF(F1741="PASS", E1741, "")</f>
        <v>0</v>
      </c>
      <c r="H1741">
        <f>IF(AND(F1741="PASS", G1741&lt;=IFERROR(VLOOKUP(A1741,Graduation_Cutoff!$A$2:$B$8,2,FALSE),DATE(9999,12,31))),"Y","")</f>
        <v>0</v>
      </c>
    </row>
    <row r="1742" spans="7:8">
      <c r="G1742" s="2">
        <f>IF(F1742="PASS", E1742, "")</f>
        <v>0</v>
      </c>
      <c r="H1742">
        <f>IF(AND(F1742="PASS", G1742&lt;=IFERROR(VLOOKUP(A1742,Graduation_Cutoff!$A$2:$B$8,2,FALSE),DATE(9999,12,31))),"Y","")</f>
        <v>0</v>
      </c>
    </row>
    <row r="1743" spans="7:8">
      <c r="G1743" s="2">
        <f>IF(F1743="PASS", E1743, "")</f>
        <v>0</v>
      </c>
      <c r="H1743">
        <f>IF(AND(F1743="PASS", G1743&lt;=IFERROR(VLOOKUP(A1743,Graduation_Cutoff!$A$2:$B$8,2,FALSE),DATE(9999,12,31))),"Y","")</f>
        <v>0</v>
      </c>
    </row>
    <row r="1744" spans="7:8">
      <c r="G1744" s="2">
        <f>IF(F1744="PASS", E1744, "")</f>
        <v>0</v>
      </c>
      <c r="H1744">
        <f>IF(AND(F1744="PASS", G1744&lt;=IFERROR(VLOOKUP(A1744,Graduation_Cutoff!$A$2:$B$8,2,FALSE),DATE(9999,12,31))),"Y","")</f>
        <v>0</v>
      </c>
    </row>
    <row r="1745" spans="7:8">
      <c r="G1745" s="2">
        <f>IF(F1745="PASS", E1745, "")</f>
        <v>0</v>
      </c>
      <c r="H1745">
        <f>IF(AND(F1745="PASS", G1745&lt;=IFERROR(VLOOKUP(A1745,Graduation_Cutoff!$A$2:$B$8,2,FALSE),DATE(9999,12,31))),"Y","")</f>
        <v>0</v>
      </c>
    </row>
    <row r="1746" spans="7:8">
      <c r="G1746" s="2">
        <f>IF(F1746="PASS", E1746, "")</f>
        <v>0</v>
      </c>
      <c r="H1746">
        <f>IF(AND(F1746="PASS", G1746&lt;=IFERROR(VLOOKUP(A1746,Graduation_Cutoff!$A$2:$B$8,2,FALSE),DATE(9999,12,31))),"Y","")</f>
        <v>0</v>
      </c>
    </row>
    <row r="1747" spans="7:8">
      <c r="G1747" s="2">
        <f>IF(F1747="PASS", E1747, "")</f>
        <v>0</v>
      </c>
      <c r="H1747">
        <f>IF(AND(F1747="PASS", G1747&lt;=IFERROR(VLOOKUP(A1747,Graduation_Cutoff!$A$2:$B$8,2,FALSE),DATE(9999,12,31))),"Y","")</f>
        <v>0</v>
      </c>
    </row>
    <row r="1748" spans="7:8">
      <c r="G1748" s="2">
        <f>IF(F1748="PASS", E1748, "")</f>
        <v>0</v>
      </c>
      <c r="H1748">
        <f>IF(AND(F1748="PASS", G1748&lt;=IFERROR(VLOOKUP(A1748,Graduation_Cutoff!$A$2:$B$8,2,FALSE),DATE(9999,12,31))),"Y","")</f>
        <v>0</v>
      </c>
    </row>
    <row r="1749" spans="7:8">
      <c r="G1749" s="2">
        <f>IF(F1749="PASS", E1749, "")</f>
        <v>0</v>
      </c>
      <c r="H1749">
        <f>IF(AND(F1749="PASS", G1749&lt;=IFERROR(VLOOKUP(A1749,Graduation_Cutoff!$A$2:$B$8,2,FALSE),DATE(9999,12,31))),"Y","")</f>
        <v>0</v>
      </c>
    </row>
    <row r="1750" spans="7:8">
      <c r="G1750" s="2">
        <f>IF(F1750="PASS", E1750, "")</f>
        <v>0</v>
      </c>
      <c r="H1750">
        <f>IF(AND(F1750="PASS", G1750&lt;=IFERROR(VLOOKUP(A1750,Graduation_Cutoff!$A$2:$B$8,2,FALSE),DATE(9999,12,31))),"Y","")</f>
        <v>0</v>
      </c>
    </row>
    <row r="1751" spans="7:8">
      <c r="G1751" s="2">
        <f>IF(F1751="PASS", E1751, "")</f>
        <v>0</v>
      </c>
      <c r="H1751">
        <f>IF(AND(F1751="PASS", G1751&lt;=IFERROR(VLOOKUP(A1751,Graduation_Cutoff!$A$2:$B$8,2,FALSE),DATE(9999,12,31))),"Y","")</f>
        <v>0</v>
      </c>
    </row>
    <row r="1752" spans="7:8">
      <c r="G1752" s="2">
        <f>IF(F1752="PASS", E1752, "")</f>
        <v>0</v>
      </c>
      <c r="H1752">
        <f>IF(AND(F1752="PASS", G1752&lt;=IFERROR(VLOOKUP(A1752,Graduation_Cutoff!$A$2:$B$8,2,FALSE),DATE(9999,12,31))),"Y","")</f>
        <v>0</v>
      </c>
    </row>
    <row r="1753" spans="7:8">
      <c r="G1753" s="2">
        <f>IF(F1753="PASS", E1753, "")</f>
        <v>0</v>
      </c>
      <c r="H1753">
        <f>IF(AND(F1753="PASS", G1753&lt;=IFERROR(VLOOKUP(A1753,Graduation_Cutoff!$A$2:$B$8,2,FALSE),DATE(9999,12,31))),"Y","")</f>
        <v>0</v>
      </c>
    </row>
    <row r="1754" spans="7:8">
      <c r="G1754" s="2">
        <f>IF(F1754="PASS", E1754, "")</f>
        <v>0</v>
      </c>
      <c r="H1754">
        <f>IF(AND(F1754="PASS", G1754&lt;=IFERROR(VLOOKUP(A1754,Graduation_Cutoff!$A$2:$B$8,2,FALSE),DATE(9999,12,31))),"Y","")</f>
        <v>0</v>
      </c>
    </row>
    <row r="1755" spans="7:8">
      <c r="G1755" s="2">
        <f>IF(F1755="PASS", E1755, "")</f>
        <v>0</v>
      </c>
      <c r="H1755">
        <f>IF(AND(F1755="PASS", G1755&lt;=IFERROR(VLOOKUP(A1755,Graduation_Cutoff!$A$2:$B$8,2,FALSE),DATE(9999,12,31))),"Y","")</f>
        <v>0</v>
      </c>
    </row>
    <row r="1756" spans="7:8">
      <c r="G1756" s="2">
        <f>IF(F1756="PASS", E1756, "")</f>
        <v>0</v>
      </c>
      <c r="H1756">
        <f>IF(AND(F1756="PASS", G1756&lt;=IFERROR(VLOOKUP(A1756,Graduation_Cutoff!$A$2:$B$8,2,FALSE),DATE(9999,12,31))),"Y","")</f>
        <v>0</v>
      </c>
    </row>
    <row r="1757" spans="7:8">
      <c r="G1757" s="2">
        <f>IF(F1757="PASS", E1757, "")</f>
        <v>0</v>
      </c>
      <c r="H1757">
        <f>IF(AND(F1757="PASS", G1757&lt;=IFERROR(VLOOKUP(A1757,Graduation_Cutoff!$A$2:$B$8,2,FALSE),DATE(9999,12,31))),"Y","")</f>
        <v>0</v>
      </c>
    </row>
    <row r="1758" spans="7:8">
      <c r="G1758" s="2">
        <f>IF(F1758="PASS", E1758, "")</f>
        <v>0</v>
      </c>
      <c r="H1758">
        <f>IF(AND(F1758="PASS", G1758&lt;=IFERROR(VLOOKUP(A1758,Graduation_Cutoff!$A$2:$B$8,2,FALSE),DATE(9999,12,31))),"Y","")</f>
        <v>0</v>
      </c>
    </row>
    <row r="1759" spans="7:8">
      <c r="G1759" s="2">
        <f>IF(F1759="PASS", E1759, "")</f>
        <v>0</v>
      </c>
      <c r="H1759">
        <f>IF(AND(F1759="PASS", G1759&lt;=IFERROR(VLOOKUP(A1759,Graduation_Cutoff!$A$2:$B$8,2,FALSE),DATE(9999,12,31))),"Y","")</f>
        <v>0</v>
      </c>
    </row>
    <row r="1760" spans="7:8">
      <c r="G1760" s="2">
        <f>IF(F1760="PASS", E1760, "")</f>
        <v>0</v>
      </c>
      <c r="H1760">
        <f>IF(AND(F1760="PASS", G1760&lt;=IFERROR(VLOOKUP(A1760,Graduation_Cutoff!$A$2:$B$8,2,FALSE),DATE(9999,12,31))),"Y","")</f>
        <v>0</v>
      </c>
    </row>
    <row r="1761" spans="7:8">
      <c r="G1761" s="2">
        <f>IF(F1761="PASS", E1761, "")</f>
        <v>0</v>
      </c>
      <c r="H1761">
        <f>IF(AND(F1761="PASS", G1761&lt;=IFERROR(VLOOKUP(A1761,Graduation_Cutoff!$A$2:$B$8,2,FALSE),DATE(9999,12,31))),"Y","")</f>
        <v>0</v>
      </c>
    </row>
    <row r="1762" spans="7:8">
      <c r="G1762" s="2">
        <f>IF(F1762="PASS", E1762, "")</f>
        <v>0</v>
      </c>
      <c r="H1762">
        <f>IF(AND(F1762="PASS", G1762&lt;=IFERROR(VLOOKUP(A1762,Graduation_Cutoff!$A$2:$B$8,2,FALSE),DATE(9999,12,31))),"Y","")</f>
        <v>0</v>
      </c>
    </row>
    <row r="1763" spans="7:8">
      <c r="G1763" s="2">
        <f>IF(F1763="PASS", E1763, "")</f>
        <v>0</v>
      </c>
      <c r="H1763">
        <f>IF(AND(F1763="PASS", G1763&lt;=IFERROR(VLOOKUP(A1763,Graduation_Cutoff!$A$2:$B$8,2,FALSE),DATE(9999,12,31))),"Y","")</f>
        <v>0</v>
      </c>
    </row>
    <row r="1764" spans="7:8">
      <c r="G1764" s="2">
        <f>IF(F1764="PASS", E1764, "")</f>
        <v>0</v>
      </c>
      <c r="H1764">
        <f>IF(AND(F1764="PASS", G1764&lt;=IFERROR(VLOOKUP(A1764,Graduation_Cutoff!$A$2:$B$8,2,FALSE),DATE(9999,12,31))),"Y","")</f>
        <v>0</v>
      </c>
    </row>
    <row r="1765" spans="7:8">
      <c r="G1765" s="2">
        <f>IF(F1765="PASS", E1765, "")</f>
        <v>0</v>
      </c>
      <c r="H1765">
        <f>IF(AND(F1765="PASS", G1765&lt;=IFERROR(VLOOKUP(A1765,Graduation_Cutoff!$A$2:$B$8,2,FALSE),DATE(9999,12,31))),"Y","")</f>
        <v>0</v>
      </c>
    </row>
    <row r="1766" spans="7:8">
      <c r="G1766" s="2">
        <f>IF(F1766="PASS", E1766, "")</f>
        <v>0</v>
      </c>
      <c r="H1766">
        <f>IF(AND(F1766="PASS", G1766&lt;=IFERROR(VLOOKUP(A1766,Graduation_Cutoff!$A$2:$B$8,2,FALSE),DATE(9999,12,31))),"Y","")</f>
        <v>0</v>
      </c>
    </row>
    <row r="1767" spans="7:8">
      <c r="G1767" s="2">
        <f>IF(F1767="PASS", E1767, "")</f>
        <v>0</v>
      </c>
      <c r="H1767">
        <f>IF(AND(F1767="PASS", G1767&lt;=IFERROR(VLOOKUP(A1767,Graduation_Cutoff!$A$2:$B$8,2,FALSE),DATE(9999,12,31))),"Y","")</f>
        <v>0</v>
      </c>
    </row>
    <row r="1768" spans="7:8">
      <c r="G1768" s="2">
        <f>IF(F1768="PASS", E1768, "")</f>
        <v>0</v>
      </c>
      <c r="H1768">
        <f>IF(AND(F1768="PASS", G1768&lt;=IFERROR(VLOOKUP(A1768,Graduation_Cutoff!$A$2:$B$8,2,FALSE),DATE(9999,12,31))),"Y","")</f>
        <v>0</v>
      </c>
    </row>
    <row r="1769" spans="7:8">
      <c r="G1769" s="2">
        <f>IF(F1769="PASS", E1769, "")</f>
        <v>0</v>
      </c>
      <c r="H1769">
        <f>IF(AND(F1769="PASS", G1769&lt;=IFERROR(VLOOKUP(A1769,Graduation_Cutoff!$A$2:$B$8,2,FALSE),DATE(9999,12,31))),"Y","")</f>
        <v>0</v>
      </c>
    </row>
    <row r="1770" spans="7:8">
      <c r="G1770" s="2">
        <f>IF(F1770="PASS", E1770, "")</f>
        <v>0</v>
      </c>
      <c r="H1770">
        <f>IF(AND(F1770="PASS", G1770&lt;=IFERROR(VLOOKUP(A1770,Graduation_Cutoff!$A$2:$B$8,2,FALSE),DATE(9999,12,31))),"Y","")</f>
        <v>0</v>
      </c>
    </row>
    <row r="1771" spans="7:8">
      <c r="G1771" s="2">
        <f>IF(F1771="PASS", E1771, "")</f>
        <v>0</v>
      </c>
      <c r="H1771">
        <f>IF(AND(F1771="PASS", G1771&lt;=IFERROR(VLOOKUP(A1771,Graduation_Cutoff!$A$2:$B$8,2,FALSE),DATE(9999,12,31))),"Y","")</f>
        <v>0</v>
      </c>
    </row>
    <row r="1772" spans="7:8">
      <c r="G1772" s="2">
        <f>IF(F1772="PASS", E1772, "")</f>
        <v>0</v>
      </c>
      <c r="H1772">
        <f>IF(AND(F1772="PASS", G1772&lt;=IFERROR(VLOOKUP(A1772,Graduation_Cutoff!$A$2:$B$8,2,FALSE),DATE(9999,12,31))),"Y","")</f>
        <v>0</v>
      </c>
    </row>
    <row r="1773" spans="7:8">
      <c r="G1773" s="2">
        <f>IF(F1773="PASS", E1773, "")</f>
        <v>0</v>
      </c>
      <c r="H1773">
        <f>IF(AND(F1773="PASS", G1773&lt;=IFERROR(VLOOKUP(A1773,Graduation_Cutoff!$A$2:$B$8,2,FALSE),DATE(9999,12,31))),"Y","")</f>
        <v>0</v>
      </c>
    </row>
    <row r="1774" spans="7:8">
      <c r="G1774" s="2">
        <f>IF(F1774="PASS", E1774, "")</f>
        <v>0</v>
      </c>
      <c r="H1774">
        <f>IF(AND(F1774="PASS", G1774&lt;=IFERROR(VLOOKUP(A1774,Graduation_Cutoff!$A$2:$B$8,2,FALSE),DATE(9999,12,31))),"Y","")</f>
        <v>0</v>
      </c>
    </row>
    <row r="1775" spans="7:8">
      <c r="G1775" s="2">
        <f>IF(F1775="PASS", E1775, "")</f>
        <v>0</v>
      </c>
      <c r="H1775">
        <f>IF(AND(F1775="PASS", G1775&lt;=IFERROR(VLOOKUP(A1775,Graduation_Cutoff!$A$2:$B$8,2,FALSE),DATE(9999,12,31))),"Y","")</f>
        <v>0</v>
      </c>
    </row>
    <row r="1776" spans="7:8">
      <c r="G1776" s="2">
        <f>IF(F1776="PASS", E1776, "")</f>
        <v>0</v>
      </c>
      <c r="H1776">
        <f>IF(AND(F1776="PASS", G1776&lt;=IFERROR(VLOOKUP(A1776,Graduation_Cutoff!$A$2:$B$8,2,FALSE),DATE(9999,12,31))),"Y","")</f>
        <v>0</v>
      </c>
    </row>
    <row r="1777" spans="7:8">
      <c r="G1777" s="2">
        <f>IF(F1777="PASS", E1777, "")</f>
        <v>0</v>
      </c>
      <c r="H1777">
        <f>IF(AND(F1777="PASS", G1777&lt;=IFERROR(VLOOKUP(A1777,Graduation_Cutoff!$A$2:$B$8,2,FALSE),DATE(9999,12,31))),"Y","")</f>
        <v>0</v>
      </c>
    </row>
    <row r="1778" spans="7:8">
      <c r="G1778" s="2">
        <f>IF(F1778="PASS", E1778, "")</f>
        <v>0</v>
      </c>
      <c r="H1778">
        <f>IF(AND(F1778="PASS", G1778&lt;=IFERROR(VLOOKUP(A1778,Graduation_Cutoff!$A$2:$B$8,2,FALSE),DATE(9999,12,31))),"Y","")</f>
        <v>0</v>
      </c>
    </row>
    <row r="1779" spans="7:8">
      <c r="G1779" s="2">
        <f>IF(F1779="PASS", E1779, "")</f>
        <v>0</v>
      </c>
      <c r="H1779">
        <f>IF(AND(F1779="PASS", G1779&lt;=IFERROR(VLOOKUP(A1779,Graduation_Cutoff!$A$2:$B$8,2,FALSE),DATE(9999,12,31))),"Y","")</f>
        <v>0</v>
      </c>
    </row>
    <row r="1780" spans="7:8">
      <c r="G1780" s="2">
        <f>IF(F1780="PASS", E1780, "")</f>
        <v>0</v>
      </c>
      <c r="H1780">
        <f>IF(AND(F1780="PASS", G1780&lt;=IFERROR(VLOOKUP(A1780,Graduation_Cutoff!$A$2:$B$8,2,FALSE),DATE(9999,12,31))),"Y","")</f>
        <v>0</v>
      </c>
    </row>
    <row r="1781" spans="7:8">
      <c r="G1781" s="2">
        <f>IF(F1781="PASS", E1781, "")</f>
        <v>0</v>
      </c>
      <c r="H1781">
        <f>IF(AND(F1781="PASS", G1781&lt;=IFERROR(VLOOKUP(A1781,Graduation_Cutoff!$A$2:$B$8,2,FALSE),DATE(9999,12,31))),"Y","")</f>
        <v>0</v>
      </c>
    </row>
    <row r="1782" spans="7:8">
      <c r="G1782" s="2">
        <f>IF(F1782="PASS", E1782, "")</f>
        <v>0</v>
      </c>
      <c r="H1782">
        <f>IF(AND(F1782="PASS", G1782&lt;=IFERROR(VLOOKUP(A1782,Graduation_Cutoff!$A$2:$B$8,2,FALSE),DATE(9999,12,31))),"Y","")</f>
        <v>0</v>
      </c>
    </row>
    <row r="1783" spans="7:8">
      <c r="G1783" s="2">
        <f>IF(F1783="PASS", E1783, "")</f>
        <v>0</v>
      </c>
      <c r="H1783">
        <f>IF(AND(F1783="PASS", G1783&lt;=IFERROR(VLOOKUP(A1783,Graduation_Cutoff!$A$2:$B$8,2,FALSE),DATE(9999,12,31))),"Y","")</f>
        <v>0</v>
      </c>
    </row>
    <row r="1784" spans="7:8">
      <c r="G1784" s="2">
        <f>IF(F1784="PASS", E1784, "")</f>
        <v>0</v>
      </c>
      <c r="H1784">
        <f>IF(AND(F1784="PASS", G1784&lt;=IFERROR(VLOOKUP(A1784,Graduation_Cutoff!$A$2:$B$8,2,FALSE),DATE(9999,12,31))),"Y","")</f>
        <v>0</v>
      </c>
    </row>
    <row r="1785" spans="7:8">
      <c r="G1785" s="2">
        <f>IF(F1785="PASS", E1785, "")</f>
        <v>0</v>
      </c>
      <c r="H1785">
        <f>IF(AND(F1785="PASS", G1785&lt;=IFERROR(VLOOKUP(A1785,Graduation_Cutoff!$A$2:$B$8,2,FALSE),DATE(9999,12,31))),"Y","")</f>
        <v>0</v>
      </c>
    </row>
    <row r="1786" spans="7:8">
      <c r="G1786" s="2">
        <f>IF(F1786="PASS", E1786, "")</f>
        <v>0</v>
      </c>
      <c r="H1786">
        <f>IF(AND(F1786="PASS", G1786&lt;=IFERROR(VLOOKUP(A1786,Graduation_Cutoff!$A$2:$B$8,2,FALSE),DATE(9999,12,31))),"Y","")</f>
        <v>0</v>
      </c>
    </row>
    <row r="1787" spans="7:8">
      <c r="G1787" s="2">
        <f>IF(F1787="PASS", E1787, "")</f>
        <v>0</v>
      </c>
      <c r="H1787">
        <f>IF(AND(F1787="PASS", G1787&lt;=IFERROR(VLOOKUP(A1787,Graduation_Cutoff!$A$2:$B$8,2,FALSE),DATE(9999,12,31))),"Y","")</f>
        <v>0</v>
      </c>
    </row>
    <row r="1788" spans="7:8">
      <c r="G1788" s="2">
        <f>IF(F1788="PASS", E1788, "")</f>
        <v>0</v>
      </c>
      <c r="H1788">
        <f>IF(AND(F1788="PASS", G1788&lt;=IFERROR(VLOOKUP(A1788,Graduation_Cutoff!$A$2:$B$8,2,FALSE),DATE(9999,12,31))),"Y","")</f>
        <v>0</v>
      </c>
    </row>
    <row r="1789" spans="7:8">
      <c r="G1789" s="2">
        <f>IF(F1789="PASS", E1789, "")</f>
        <v>0</v>
      </c>
      <c r="H1789">
        <f>IF(AND(F1789="PASS", G1789&lt;=IFERROR(VLOOKUP(A1789,Graduation_Cutoff!$A$2:$B$8,2,FALSE),DATE(9999,12,31))),"Y","")</f>
        <v>0</v>
      </c>
    </row>
    <row r="1790" spans="7:8">
      <c r="G1790" s="2">
        <f>IF(F1790="PASS", E1790, "")</f>
        <v>0</v>
      </c>
      <c r="H1790">
        <f>IF(AND(F1790="PASS", G1790&lt;=IFERROR(VLOOKUP(A1790,Graduation_Cutoff!$A$2:$B$8,2,FALSE),DATE(9999,12,31))),"Y","")</f>
        <v>0</v>
      </c>
    </row>
    <row r="1791" spans="7:8">
      <c r="G1791" s="2">
        <f>IF(F1791="PASS", E1791, "")</f>
        <v>0</v>
      </c>
      <c r="H1791">
        <f>IF(AND(F1791="PASS", G1791&lt;=IFERROR(VLOOKUP(A1791,Graduation_Cutoff!$A$2:$B$8,2,FALSE),DATE(9999,12,31))),"Y","")</f>
        <v>0</v>
      </c>
    </row>
    <row r="1792" spans="7:8">
      <c r="G1792" s="2">
        <f>IF(F1792="PASS", E1792, "")</f>
        <v>0</v>
      </c>
      <c r="H1792">
        <f>IF(AND(F1792="PASS", G1792&lt;=IFERROR(VLOOKUP(A1792,Graduation_Cutoff!$A$2:$B$8,2,FALSE),DATE(9999,12,31))),"Y","")</f>
        <v>0</v>
      </c>
    </row>
    <row r="1793" spans="7:8">
      <c r="G1793" s="2">
        <f>IF(F1793="PASS", E1793, "")</f>
        <v>0</v>
      </c>
      <c r="H1793">
        <f>IF(AND(F1793="PASS", G1793&lt;=IFERROR(VLOOKUP(A1793,Graduation_Cutoff!$A$2:$B$8,2,FALSE),DATE(9999,12,31))),"Y","")</f>
        <v>0</v>
      </c>
    </row>
    <row r="1794" spans="7:8">
      <c r="G1794" s="2">
        <f>IF(F1794="PASS", E1794, "")</f>
        <v>0</v>
      </c>
      <c r="H1794">
        <f>IF(AND(F1794="PASS", G1794&lt;=IFERROR(VLOOKUP(A1794,Graduation_Cutoff!$A$2:$B$8,2,FALSE),DATE(9999,12,31))),"Y","")</f>
        <v>0</v>
      </c>
    </row>
    <row r="1795" spans="7:8">
      <c r="G1795" s="2">
        <f>IF(F1795="PASS", E1795, "")</f>
        <v>0</v>
      </c>
      <c r="H1795">
        <f>IF(AND(F1795="PASS", G1795&lt;=IFERROR(VLOOKUP(A1795,Graduation_Cutoff!$A$2:$B$8,2,FALSE),DATE(9999,12,31))),"Y","")</f>
        <v>0</v>
      </c>
    </row>
    <row r="1796" spans="7:8">
      <c r="G1796" s="2">
        <f>IF(F1796="PASS", E1796, "")</f>
        <v>0</v>
      </c>
      <c r="H1796">
        <f>IF(AND(F1796="PASS", G1796&lt;=IFERROR(VLOOKUP(A1796,Graduation_Cutoff!$A$2:$B$8,2,FALSE),DATE(9999,12,31))),"Y","")</f>
        <v>0</v>
      </c>
    </row>
    <row r="1797" spans="7:8">
      <c r="G1797" s="2">
        <f>IF(F1797="PASS", E1797, "")</f>
        <v>0</v>
      </c>
      <c r="H1797">
        <f>IF(AND(F1797="PASS", G1797&lt;=IFERROR(VLOOKUP(A1797,Graduation_Cutoff!$A$2:$B$8,2,FALSE),DATE(9999,12,31))),"Y","")</f>
        <v>0</v>
      </c>
    </row>
    <row r="1798" spans="7:8">
      <c r="G1798" s="2">
        <f>IF(F1798="PASS", E1798, "")</f>
        <v>0</v>
      </c>
      <c r="H1798">
        <f>IF(AND(F1798="PASS", G1798&lt;=IFERROR(VLOOKUP(A1798,Graduation_Cutoff!$A$2:$B$8,2,FALSE),DATE(9999,12,31))),"Y","")</f>
        <v>0</v>
      </c>
    </row>
    <row r="1799" spans="7:8">
      <c r="G1799" s="2">
        <f>IF(F1799="PASS", E1799, "")</f>
        <v>0</v>
      </c>
      <c r="H1799">
        <f>IF(AND(F1799="PASS", G1799&lt;=IFERROR(VLOOKUP(A1799,Graduation_Cutoff!$A$2:$B$8,2,FALSE),DATE(9999,12,31))),"Y","")</f>
        <v>0</v>
      </c>
    </row>
    <row r="1800" spans="7:8">
      <c r="G1800" s="2">
        <f>IF(F1800="PASS", E1800, "")</f>
        <v>0</v>
      </c>
      <c r="H1800">
        <f>IF(AND(F1800="PASS", G1800&lt;=IFERROR(VLOOKUP(A1800,Graduation_Cutoff!$A$2:$B$8,2,FALSE),DATE(9999,12,31))),"Y","")</f>
        <v>0</v>
      </c>
    </row>
    <row r="1801" spans="7:8">
      <c r="G1801" s="2">
        <f>IF(F1801="PASS", E1801, "")</f>
        <v>0</v>
      </c>
      <c r="H1801">
        <f>IF(AND(F1801="PASS", G1801&lt;=IFERROR(VLOOKUP(A1801,Graduation_Cutoff!$A$2:$B$8,2,FALSE),DATE(9999,12,31))),"Y","")</f>
        <v>0</v>
      </c>
    </row>
    <row r="1802" spans="7:8">
      <c r="G1802" s="2">
        <f>IF(F1802="PASS", E1802, "")</f>
        <v>0</v>
      </c>
      <c r="H1802">
        <f>IF(AND(F1802="PASS", G1802&lt;=IFERROR(VLOOKUP(A1802,Graduation_Cutoff!$A$2:$B$8,2,FALSE),DATE(9999,12,31))),"Y","")</f>
        <v>0</v>
      </c>
    </row>
    <row r="1803" spans="7:8">
      <c r="G1803" s="2">
        <f>IF(F1803="PASS", E1803, "")</f>
        <v>0</v>
      </c>
      <c r="H1803">
        <f>IF(AND(F1803="PASS", G1803&lt;=IFERROR(VLOOKUP(A1803,Graduation_Cutoff!$A$2:$B$8,2,FALSE),DATE(9999,12,31))),"Y","")</f>
        <v>0</v>
      </c>
    </row>
    <row r="1804" spans="7:8">
      <c r="G1804" s="2">
        <f>IF(F1804="PASS", E1804, "")</f>
        <v>0</v>
      </c>
      <c r="H1804">
        <f>IF(AND(F1804="PASS", G1804&lt;=IFERROR(VLOOKUP(A1804,Graduation_Cutoff!$A$2:$B$8,2,FALSE),DATE(9999,12,31))),"Y","")</f>
        <v>0</v>
      </c>
    </row>
    <row r="1805" spans="7:8">
      <c r="G1805" s="2">
        <f>IF(F1805="PASS", E1805, "")</f>
        <v>0</v>
      </c>
      <c r="H1805">
        <f>IF(AND(F1805="PASS", G1805&lt;=IFERROR(VLOOKUP(A1805,Graduation_Cutoff!$A$2:$B$8,2,FALSE),DATE(9999,12,31))),"Y","")</f>
        <v>0</v>
      </c>
    </row>
    <row r="1806" spans="7:8">
      <c r="G1806" s="2">
        <f>IF(F1806="PASS", E1806, "")</f>
        <v>0</v>
      </c>
      <c r="H1806">
        <f>IF(AND(F1806="PASS", G1806&lt;=IFERROR(VLOOKUP(A1806,Graduation_Cutoff!$A$2:$B$8,2,FALSE),DATE(9999,12,31))),"Y","")</f>
        <v>0</v>
      </c>
    </row>
    <row r="1807" spans="7:8">
      <c r="G1807" s="2">
        <f>IF(F1807="PASS", E1807, "")</f>
        <v>0</v>
      </c>
      <c r="H1807">
        <f>IF(AND(F1807="PASS", G1807&lt;=IFERROR(VLOOKUP(A1807,Graduation_Cutoff!$A$2:$B$8,2,FALSE),DATE(9999,12,31))),"Y","")</f>
        <v>0</v>
      </c>
    </row>
    <row r="1808" spans="7:8">
      <c r="G1808" s="2">
        <f>IF(F1808="PASS", E1808, "")</f>
        <v>0</v>
      </c>
      <c r="H1808">
        <f>IF(AND(F1808="PASS", G1808&lt;=IFERROR(VLOOKUP(A1808,Graduation_Cutoff!$A$2:$B$8,2,FALSE),DATE(9999,12,31))),"Y","")</f>
        <v>0</v>
      </c>
    </row>
    <row r="1809" spans="7:8">
      <c r="G1809" s="2">
        <f>IF(F1809="PASS", E1809, "")</f>
        <v>0</v>
      </c>
      <c r="H1809">
        <f>IF(AND(F1809="PASS", G1809&lt;=IFERROR(VLOOKUP(A1809,Graduation_Cutoff!$A$2:$B$8,2,FALSE),DATE(9999,12,31))),"Y","")</f>
        <v>0</v>
      </c>
    </row>
    <row r="1810" spans="7:8">
      <c r="G1810" s="2">
        <f>IF(F1810="PASS", E1810, "")</f>
        <v>0</v>
      </c>
      <c r="H1810">
        <f>IF(AND(F1810="PASS", G1810&lt;=IFERROR(VLOOKUP(A1810,Graduation_Cutoff!$A$2:$B$8,2,FALSE),DATE(9999,12,31))),"Y","")</f>
        <v>0</v>
      </c>
    </row>
    <row r="1811" spans="7:8">
      <c r="G1811" s="2">
        <f>IF(F1811="PASS", E1811, "")</f>
        <v>0</v>
      </c>
      <c r="H1811">
        <f>IF(AND(F1811="PASS", G1811&lt;=IFERROR(VLOOKUP(A1811,Graduation_Cutoff!$A$2:$B$8,2,FALSE),DATE(9999,12,31))),"Y","")</f>
        <v>0</v>
      </c>
    </row>
    <row r="1812" spans="7:8">
      <c r="G1812" s="2">
        <f>IF(F1812="PASS", E1812, "")</f>
        <v>0</v>
      </c>
      <c r="H1812">
        <f>IF(AND(F1812="PASS", G1812&lt;=IFERROR(VLOOKUP(A1812,Graduation_Cutoff!$A$2:$B$8,2,FALSE),DATE(9999,12,31))),"Y","")</f>
        <v>0</v>
      </c>
    </row>
    <row r="1813" spans="7:8">
      <c r="G1813" s="2">
        <f>IF(F1813="PASS", E1813, "")</f>
        <v>0</v>
      </c>
      <c r="H1813">
        <f>IF(AND(F1813="PASS", G1813&lt;=IFERROR(VLOOKUP(A1813,Graduation_Cutoff!$A$2:$B$8,2,FALSE),DATE(9999,12,31))),"Y","")</f>
        <v>0</v>
      </c>
    </row>
    <row r="1814" spans="7:8">
      <c r="G1814" s="2">
        <f>IF(F1814="PASS", E1814, "")</f>
        <v>0</v>
      </c>
      <c r="H1814">
        <f>IF(AND(F1814="PASS", G1814&lt;=IFERROR(VLOOKUP(A1814,Graduation_Cutoff!$A$2:$B$8,2,FALSE),DATE(9999,12,31))),"Y","")</f>
        <v>0</v>
      </c>
    </row>
    <row r="1815" spans="7:8">
      <c r="G1815" s="2">
        <f>IF(F1815="PASS", E1815, "")</f>
        <v>0</v>
      </c>
      <c r="H1815">
        <f>IF(AND(F1815="PASS", G1815&lt;=IFERROR(VLOOKUP(A1815,Graduation_Cutoff!$A$2:$B$8,2,FALSE),DATE(9999,12,31))),"Y","")</f>
        <v>0</v>
      </c>
    </row>
    <row r="1816" spans="7:8">
      <c r="G1816" s="2">
        <f>IF(F1816="PASS", E1816, "")</f>
        <v>0</v>
      </c>
      <c r="H1816">
        <f>IF(AND(F1816="PASS", G1816&lt;=IFERROR(VLOOKUP(A1816,Graduation_Cutoff!$A$2:$B$8,2,FALSE),DATE(9999,12,31))),"Y","")</f>
        <v>0</v>
      </c>
    </row>
    <row r="1817" spans="7:8">
      <c r="G1817" s="2">
        <f>IF(F1817="PASS", E1817, "")</f>
        <v>0</v>
      </c>
      <c r="H1817">
        <f>IF(AND(F1817="PASS", G1817&lt;=IFERROR(VLOOKUP(A1817,Graduation_Cutoff!$A$2:$B$8,2,FALSE),DATE(9999,12,31))),"Y","")</f>
        <v>0</v>
      </c>
    </row>
    <row r="1818" spans="7:8">
      <c r="G1818" s="2">
        <f>IF(F1818="PASS", E1818, "")</f>
        <v>0</v>
      </c>
      <c r="H1818">
        <f>IF(AND(F1818="PASS", G1818&lt;=IFERROR(VLOOKUP(A1818,Graduation_Cutoff!$A$2:$B$8,2,FALSE),DATE(9999,12,31))),"Y","")</f>
        <v>0</v>
      </c>
    </row>
    <row r="1819" spans="7:8">
      <c r="G1819" s="2">
        <f>IF(F1819="PASS", E1819, "")</f>
        <v>0</v>
      </c>
      <c r="H1819">
        <f>IF(AND(F1819="PASS", G1819&lt;=IFERROR(VLOOKUP(A1819,Graduation_Cutoff!$A$2:$B$8,2,FALSE),DATE(9999,12,31))),"Y","")</f>
        <v>0</v>
      </c>
    </row>
    <row r="1820" spans="7:8">
      <c r="G1820" s="2">
        <f>IF(F1820="PASS", E1820, "")</f>
        <v>0</v>
      </c>
      <c r="H1820">
        <f>IF(AND(F1820="PASS", G1820&lt;=IFERROR(VLOOKUP(A1820,Graduation_Cutoff!$A$2:$B$8,2,FALSE),DATE(9999,12,31))),"Y","")</f>
        <v>0</v>
      </c>
    </row>
    <row r="1821" spans="7:8">
      <c r="G1821" s="2">
        <f>IF(F1821="PASS", E1821, "")</f>
        <v>0</v>
      </c>
      <c r="H1821">
        <f>IF(AND(F1821="PASS", G1821&lt;=IFERROR(VLOOKUP(A1821,Graduation_Cutoff!$A$2:$B$8,2,FALSE),DATE(9999,12,31))),"Y","")</f>
        <v>0</v>
      </c>
    </row>
    <row r="1822" spans="7:8">
      <c r="G1822" s="2">
        <f>IF(F1822="PASS", E1822, "")</f>
        <v>0</v>
      </c>
      <c r="H1822">
        <f>IF(AND(F1822="PASS", G1822&lt;=IFERROR(VLOOKUP(A1822,Graduation_Cutoff!$A$2:$B$8,2,FALSE),DATE(9999,12,31))),"Y","")</f>
        <v>0</v>
      </c>
    </row>
    <row r="1823" spans="7:8">
      <c r="G1823" s="2">
        <f>IF(F1823="PASS", E1823, "")</f>
        <v>0</v>
      </c>
      <c r="H1823">
        <f>IF(AND(F1823="PASS", G1823&lt;=IFERROR(VLOOKUP(A1823,Graduation_Cutoff!$A$2:$B$8,2,FALSE),DATE(9999,12,31))),"Y","")</f>
        <v>0</v>
      </c>
    </row>
    <row r="1824" spans="7:8">
      <c r="G1824" s="2">
        <f>IF(F1824="PASS", E1824, "")</f>
        <v>0</v>
      </c>
      <c r="H1824">
        <f>IF(AND(F1824="PASS", G1824&lt;=IFERROR(VLOOKUP(A1824,Graduation_Cutoff!$A$2:$B$8,2,FALSE),DATE(9999,12,31))),"Y","")</f>
        <v>0</v>
      </c>
    </row>
    <row r="1825" spans="7:8">
      <c r="G1825" s="2">
        <f>IF(F1825="PASS", E1825, "")</f>
        <v>0</v>
      </c>
      <c r="H1825">
        <f>IF(AND(F1825="PASS", G1825&lt;=IFERROR(VLOOKUP(A1825,Graduation_Cutoff!$A$2:$B$8,2,FALSE),DATE(9999,12,31))),"Y","")</f>
        <v>0</v>
      </c>
    </row>
    <row r="1826" spans="7:8">
      <c r="G1826" s="2">
        <f>IF(F1826="PASS", E1826, "")</f>
        <v>0</v>
      </c>
      <c r="H1826">
        <f>IF(AND(F1826="PASS", G1826&lt;=IFERROR(VLOOKUP(A1826,Graduation_Cutoff!$A$2:$B$8,2,FALSE),DATE(9999,12,31))),"Y","")</f>
        <v>0</v>
      </c>
    </row>
    <row r="1827" spans="7:8">
      <c r="G1827" s="2">
        <f>IF(F1827="PASS", E1827, "")</f>
        <v>0</v>
      </c>
      <c r="H1827">
        <f>IF(AND(F1827="PASS", G1827&lt;=IFERROR(VLOOKUP(A1827,Graduation_Cutoff!$A$2:$B$8,2,FALSE),DATE(9999,12,31))),"Y","")</f>
        <v>0</v>
      </c>
    </row>
    <row r="1828" spans="7:8">
      <c r="G1828" s="2">
        <f>IF(F1828="PASS", E1828, "")</f>
        <v>0</v>
      </c>
      <c r="H1828">
        <f>IF(AND(F1828="PASS", G1828&lt;=IFERROR(VLOOKUP(A1828,Graduation_Cutoff!$A$2:$B$8,2,FALSE),DATE(9999,12,31))),"Y","")</f>
        <v>0</v>
      </c>
    </row>
    <row r="1829" spans="7:8">
      <c r="G1829" s="2">
        <f>IF(F1829="PASS", E1829, "")</f>
        <v>0</v>
      </c>
      <c r="H1829">
        <f>IF(AND(F1829="PASS", G1829&lt;=IFERROR(VLOOKUP(A1829,Graduation_Cutoff!$A$2:$B$8,2,FALSE),DATE(9999,12,31))),"Y","")</f>
        <v>0</v>
      </c>
    </row>
    <row r="1830" spans="7:8">
      <c r="G1830" s="2">
        <f>IF(F1830="PASS", E1830, "")</f>
        <v>0</v>
      </c>
      <c r="H1830">
        <f>IF(AND(F1830="PASS", G1830&lt;=IFERROR(VLOOKUP(A1830,Graduation_Cutoff!$A$2:$B$8,2,FALSE),DATE(9999,12,31))),"Y","")</f>
        <v>0</v>
      </c>
    </row>
    <row r="1831" spans="7:8">
      <c r="G1831" s="2">
        <f>IF(F1831="PASS", E1831, "")</f>
        <v>0</v>
      </c>
      <c r="H1831">
        <f>IF(AND(F1831="PASS", G1831&lt;=IFERROR(VLOOKUP(A1831,Graduation_Cutoff!$A$2:$B$8,2,FALSE),DATE(9999,12,31))),"Y","")</f>
        <v>0</v>
      </c>
    </row>
    <row r="1832" spans="7:8">
      <c r="G1832" s="2">
        <f>IF(F1832="PASS", E1832, "")</f>
        <v>0</v>
      </c>
      <c r="H1832">
        <f>IF(AND(F1832="PASS", G1832&lt;=IFERROR(VLOOKUP(A1832,Graduation_Cutoff!$A$2:$B$8,2,FALSE),DATE(9999,12,31))),"Y","")</f>
        <v>0</v>
      </c>
    </row>
    <row r="1833" spans="7:8">
      <c r="G1833" s="2">
        <f>IF(F1833="PASS", E1833, "")</f>
        <v>0</v>
      </c>
      <c r="H1833">
        <f>IF(AND(F1833="PASS", G1833&lt;=IFERROR(VLOOKUP(A1833,Graduation_Cutoff!$A$2:$B$8,2,FALSE),DATE(9999,12,31))),"Y","")</f>
        <v>0</v>
      </c>
    </row>
    <row r="1834" spans="7:8">
      <c r="G1834" s="2">
        <f>IF(F1834="PASS", E1834, "")</f>
        <v>0</v>
      </c>
      <c r="H1834">
        <f>IF(AND(F1834="PASS", G1834&lt;=IFERROR(VLOOKUP(A1834,Graduation_Cutoff!$A$2:$B$8,2,FALSE),DATE(9999,12,31))),"Y","")</f>
        <v>0</v>
      </c>
    </row>
    <row r="1835" spans="7:8">
      <c r="G1835" s="2">
        <f>IF(F1835="PASS", E1835, "")</f>
        <v>0</v>
      </c>
      <c r="H1835">
        <f>IF(AND(F1835="PASS", G1835&lt;=IFERROR(VLOOKUP(A1835,Graduation_Cutoff!$A$2:$B$8,2,FALSE),DATE(9999,12,31))),"Y","")</f>
        <v>0</v>
      </c>
    </row>
    <row r="1836" spans="7:8">
      <c r="G1836" s="2">
        <f>IF(F1836="PASS", E1836, "")</f>
        <v>0</v>
      </c>
      <c r="H1836">
        <f>IF(AND(F1836="PASS", G1836&lt;=IFERROR(VLOOKUP(A1836,Graduation_Cutoff!$A$2:$B$8,2,FALSE),DATE(9999,12,31))),"Y","")</f>
        <v>0</v>
      </c>
    </row>
    <row r="1837" spans="7:8">
      <c r="G1837" s="2">
        <f>IF(F1837="PASS", E1837, "")</f>
        <v>0</v>
      </c>
      <c r="H1837">
        <f>IF(AND(F1837="PASS", G1837&lt;=IFERROR(VLOOKUP(A1837,Graduation_Cutoff!$A$2:$B$8,2,FALSE),DATE(9999,12,31))),"Y","")</f>
        <v>0</v>
      </c>
    </row>
    <row r="1838" spans="7:8">
      <c r="G1838" s="2">
        <f>IF(F1838="PASS", E1838, "")</f>
        <v>0</v>
      </c>
      <c r="H1838">
        <f>IF(AND(F1838="PASS", G1838&lt;=IFERROR(VLOOKUP(A1838,Graduation_Cutoff!$A$2:$B$8,2,FALSE),DATE(9999,12,31))),"Y","")</f>
        <v>0</v>
      </c>
    </row>
    <row r="1839" spans="7:8">
      <c r="G1839" s="2">
        <f>IF(F1839="PASS", E1839, "")</f>
        <v>0</v>
      </c>
      <c r="H1839">
        <f>IF(AND(F1839="PASS", G1839&lt;=IFERROR(VLOOKUP(A1839,Graduation_Cutoff!$A$2:$B$8,2,FALSE),DATE(9999,12,31))),"Y","")</f>
        <v>0</v>
      </c>
    </row>
    <row r="1840" spans="7:8">
      <c r="G1840" s="2">
        <f>IF(F1840="PASS", E1840, "")</f>
        <v>0</v>
      </c>
      <c r="H1840">
        <f>IF(AND(F1840="PASS", G1840&lt;=IFERROR(VLOOKUP(A1840,Graduation_Cutoff!$A$2:$B$8,2,FALSE),DATE(9999,12,31))),"Y","")</f>
        <v>0</v>
      </c>
    </row>
    <row r="1841" spans="7:8">
      <c r="G1841" s="2">
        <f>IF(F1841="PASS", E1841, "")</f>
        <v>0</v>
      </c>
      <c r="H1841">
        <f>IF(AND(F1841="PASS", G1841&lt;=IFERROR(VLOOKUP(A1841,Graduation_Cutoff!$A$2:$B$8,2,FALSE),DATE(9999,12,31))),"Y","")</f>
        <v>0</v>
      </c>
    </row>
    <row r="1842" spans="7:8">
      <c r="G1842" s="2">
        <f>IF(F1842="PASS", E1842, "")</f>
        <v>0</v>
      </c>
      <c r="H1842">
        <f>IF(AND(F1842="PASS", G1842&lt;=IFERROR(VLOOKUP(A1842,Graduation_Cutoff!$A$2:$B$8,2,FALSE),DATE(9999,12,31))),"Y","")</f>
        <v>0</v>
      </c>
    </row>
    <row r="1843" spans="7:8">
      <c r="G1843" s="2">
        <f>IF(F1843="PASS", E1843, "")</f>
        <v>0</v>
      </c>
      <c r="H1843">
        <f>IF(AND(F1843="PASS", G1843&lt;=IFERROR(VLOOKUP(A1843,Graduation_Cutoff!$A$2:$B$8,2,FALSE),DATE(9999,12,31))),"Y","")</f>
        <v>0</v>
      </c>
    </row>
    <row r="1844" spans="7:8">
      <c r="G1844" s="2">
        <f>IF(F1844="PASS", E1844, "")</f>
        <v>0</v>
      </c>
      <c r="H1844">
        <f>IF(AND(F1844="PASS", G1844&lt;=IFERROR(VLOOKUP(A1844,Graduation_Cutoff!$A$2:$B$8,2,FALSE),DATE(9999,12,31))),"Y","")</f>
        <v>0</v>
      </c>
    </row>
    <row r="1845" spans="7:8">
      <c r="G1845" s="2">
        <f>IF(F1845="PASS", E1845, "")</f>
        <v>0</v>
      </c>
      <c r="H1845">
        <f>IF(AND(F1845="PASS", G1845&lt;=IFERROR(VLOOKUP(A1845,Graduation_Cutoff!$A$2:$B$8,2,FALSE),DATE(9999,12,31))),"Y","")</f>
        <v>0</v>
      </c>
    </row>
    <row r="1846" spans="7:8">
      <c r="G1846" s="2">
        <f>IF(F1846="PASS", E1846, "")</f>
        <v>0</v>
      </c>
      <c r="H1846">
        <f>IF(AND(F1846="PASS", G1846&lt;=IFERROR(VLOOKUP(A1846,Graduation_Cutoff!$A$2:$B$8,2,FALSE),DATE(9999,12,31))),"Y","")</f>
        <v>0</v>
      </c>
    </row>
    <row r="1847" spans="7:8">
      <c r="G1847" s="2">
        <f>IF(F1847="PASS", E1847, "")</f>
        <v>0</v>
      </c>
      <c r="H1847">
        <f>IF(AND(F1847="PASS", G1847&lt;=IFERROR(VLOOKUP(A1847,Graduation_Cutoff!$A$2:$B$8,2,FALSE),DATE(9999,12,31))),"Y","")</f>
        <v>0</v>
      </c>
    </row>
    <row r="1848" spans="7:8">
      <c r="G1848" s="2">
        <f>IF(F1848="PASS", E1848, "")</f>
        <v>0</v>
      </c>
      <c r="H1848">
        <f>IF(AND(F1848="PASS", G1848&lt;=IFERROR(VLOOKUP(A1848,Graduation_Cutoff!$A$2:$B$8,2,FALSE),DATE(9999,12,31))),"Y","")</f>
        <v>0</v>
      </c>
    </row>
    <row r="1849" spans="7:8">
      <c r="G1849" s="2">
        <f>IF(F1849="PASS", E1849, "")</f>
        <v>0</v>
      </c>
      <c r="H1849">
        <f>IF(AND(F1849="PASS", G1849&lt;=IFERROR(VLOOKUP(A1849,Graduation_Cutoff!$A$2:$B$8,2,FALSE),DATE(9999,12,31))),"Y","")</f>
        <v>0</v>
      </c>
    </row>
    <row r="1850" spans="7:8">
      <c r="G1850" s="2">
        <f>IF(F1850="PASS", E1850, "")</f>
        <v>0</v>
      </c>
      <c r="H1850">
        <f>IF(AND(F1850="PASS", G1850&lt;=IFERROR(VLOOKUP(A1850,Graduation_Cutoff!$A$2:$B$8,2,FALSE),DATE(9999,12,31))),"Y","")</f>
        <v>0</v>
      </c>
    </row>
    <row r="1851" spans="7:8">
      <c r="G1851" s="2">
        <f>IF(F1851="PASS", E1851, "")</f>
        <v>0</v>
      </c>
      <c r="H1851">
        <f>IF(AND(F1851="PASS", G1851&lt;=IFERROR(VLOOKUP(A1851,Graduation_Cutoff!$A$2:$B$8,2,FALSE),DATE(9999,12,31))),"Y","")</f>
        <v>0</v>
      </c>
    </row>
    <row r="1852" spans="7:8">
      <c r="G1852" s="2">
        <f>IF(F1852="PASS", E1852, "")</f>
        <v>0</v>
      </c>
      <c r="H1852">
        <f>IF(AND(F1852="PASS", G1852&lt;=IFERROR(VLOOKUP(A1852,Graduation_Cutoff!$A$2:$B$8,2,FALSE),DATE(9999,12,31))),"Y","")</f>
        <v>0</v>
      </c>
    </row>
    <row r="1853" spans="7:8">
      <c r="G1853" s="2">
        <f>IF(F1853="PASS", E1853, "")</f>
        <v>0</v>
      </c>
      <c r="H1853">
        <f>IF(AND(F1853="PASS", G1853&lt;=IFERROR(VLOOKUP(A1853,Graduation_Cutoff!$A$2:$B$8,2,FALSE),DATE(9999,12,31))),"Y","")</f>
        <v>0</v>
      </c>
    </row>
    <row r="1854" spans="7:8">
      <c r="G1854" s="2">
        <f>IF(F1854="PASS", E1854, "")</f>
        <v>0</v>
      </c>
      <c r="H1854">
        <f>IF(AND(F1854="PASS", G1854&lt;=IFERROR(VLOOKUP(A1854,Graduation_Cutoff!$A$2:$B$8,2,FALSE),DATE(9999,12,31))),"Y","")</f>
        <v>0</v>
      </c>
    </row>
    <row r="1855" spans="7:8">
      <c r="G1855" s="2">
        <f>IF(F1855="PASS", E1855, "")</f>
        <v>0</v>
      </c>
      <c r="H1855">
        <f>IF(AND(F1855="PASS", G1855&lt;=IFERROR(VLOOKUP(A1855,Graduation_Cutoff!$A$2:$B$8,2,FALSE),DATE(9999,12,31))),"Y","")</f>
        <v>0</v>
      </c>
    </row>
    <row r="1856" spans="7:8">
      <c r="G1856" s="2">
        <f>IF(F1856="PASS", E1856, "")</f>
        <v>0</v>
      </c>
      <c r="H1856">
        <f>IF(AND(F1856="PASS", G1856&lt;=IFERROR(VLOOKUP(A1856,Graduation_Cutoff!$A$2:$B$8,2,FALSE),DATE(9999,12,31))),"Y","")</f>
        <v>0</v>
      </c>
    </row>
    <row r="1857" spans="7:8">
      <c r="G1857" s="2">
        <f>IF(F1857="PASS", E1857, "")</f>
        <v>0</v>
      </c>
      <c r="H1857">
        <f>IF(AND(F1857="PASS", G1857&lt;=IFERROR(VLOOKUP(A1857,Graduation_Cutoff!$A$2:$B$8,2,FALSE),DATE(9999,12,31))),"Y","")</f>
        <v>0</v>
      </c>
    </row>
    <row r="1858" spans="7:8">
      <c r="G1858" s="2">
        <f>IF(F1858="PASS", E1858, "")</f>
        <v>0</v>
      </c>
      <c r="H1858">
        <f>IF(AND(F1858="PASS", G1858&lt;=IFERROR(VLOOKUP(A1858,Graduation_Cutoff!$A$2:$B$8,2,FALSE),DATE(9999,12,31))),"Y","")</f>
        <v>0</v>
      </c>
    </row>
    <row r="1859" spans="7:8">
      <c r="G1859" s="2">
        <f>IF(F1859="PASS", E1859, "")</f>
        <v>0</v>
      </c>
      <c r="H1859">
        <f>IF(AND(F1859="PASS", G1859&lt;=IFERROR(VLOOKUP(A1859,Graduation_Cutoff!$A$2:$B$8,2,FALSE),DATE(9999,12,31))),"Y","")</f>
        <v>0</v>
      </c>
    </row>
    <row r="1860" spans="7:8">
      <c r="G1860" s="2">
        <f>IF(F1860="PASS", E1860, "")</f>
        <v>0</v>
      </c>
      <c r="H1860">
        <f>IF(AND(F1860="PASS", G1860&lt;=IFERROR(VLOOKUP(A1860,Graduation_Cutoff!$A$2:$B$8,2,FALSE),DATE(9999,12,31))),"Y","")</f>
        <v>0</v>
      </c>
    </row>
    <row r="1861" spans="7:8">
      <c r="G1861" s="2">
        <f>IF(F1861="PASS", E1861, "")</f>
        <v>0</v>
      </c>
      <c r="H1861">
        <f>IF(AND(F1861="PASS", G1861&lt;=IFERROR(VLOOKUP(A1861,Graduation_Cutoff!$A$2:$B$8,2,FALSE),DATE(9999,12,31))),"Y","")</f>
        <v>0</v>
      </c>
    </row>
    <row r="1862" spans="7:8">
      <c r="G1862" s="2">
        <f>IF(F1862="PASS", E1862, "")</f>
        <v>0</v>
      </c>
      <c r="H1862">
        <f>IF(AND(F1862="PASS", G1862&lt;=IFERROR(VLOOKUP(A1862,Graduation_Cutoff!$A$2:$B$8,2,FALSE),DATE(9999,12,31))),"Y","")</f>
        <v>0</v>
      </c>
    </row>
    <row r="1863" spans="7:8">
      <c r="G1863" s="2">
        <f>IF(F1863="PASS", E1863, "")</f>
        <v>0</v>
      </c>
      <c r="H1863">
        <f>IF(AND(F1863="PASS", G1863&lt;=IFERROR(VLOOKUP(A1863,Graduation_Cutoff!$A$2:$B$8,2,FALSE),DATE(9999,12,31))),"Y","")</f>
        <v>0</v>
      </c>
    </row>
    <row r="1864" spans="7:8">
      <c r="G1864" s="2">
        <f>IF(F1864="PASS", E1864, "")</f>
        <v>0</v>
      </c>
      <c r="H1864">
        <f>IF(AND(F1864="PASS", G1864&lt;=IFERROR(VLOOKUP(A1864,Graduation_Cutoff!$A$2:$B$8,2,FALSE),DATE(9999,12,31))),"Y","")</f>
        <v>0</v>
      </c>
    </row>
    <row r="1865" spans="7:8">
      <c r="G1865" s="2">
        <f>IF(F1865="PASS", E1865, "")</f>
        <v>0</v>
      </c>
      <c r="H1865">
        <f>IF(AND(F1865="PASS", G1865&lt;=IFERROR(VLOOKUP(A1865,Graduation_Cutoff!$A$2:$B$8,2,FALSE),DATE(9999,12,31))),"Y","")</f>
        <v>0</v>
      </c>
    </row>
    <row r="1866" spans="7:8">
      <c r="G1866" s="2">
        <f>IF(F1866="PASS", E1866, "")</f>
        <v>0</v>
      </c>
      <c r="H1866">
        <f>IF(AND(F1866="PASS", G1866&lt;=IFERROR(VLOOKUP(A1866,Graduation_Cutoff!$A$2:$B$8,2,FALSE),DATE(9999,12,31))),"Y","")</f>
        <v>0</v>
      </c>
    </row>
    <row r="1867" spans="7:8">
      <c r="G1867" s="2">
        <f>IF(F1867="PASS", E1867, "")</f>
        <v>0</v>
      </c>
      <c r="H1867">
        <f>IF(AND(F1867="PASS", G1867&lt;=IFERROR(VLOOKUP(A1867,Graduation_Cutoff!$A$2:$B$8,2,FALSE),DATE(9999,12,31))),"Y","")</f>
        <v>0</v>
      </c>
    </row>
    <row r="1868" spans="7:8">
      <c r="G1868" s="2">
        <f>IF(F1868="PASS", E1868, "")</f>
        <v>0</v>
      </c>
      <c r="H1868">
        <f>IF(AND(F1868="PASS", G1868&lt;=IFERROR(VLOOKUP(A1868,Graduation_Cutoff!$A$2:$B$8,2,FALSE),DATE(9999,12,31))),"Y","")</f>
        <v>0</v>
      </c>
    </row>
    <row r="1869" spans="7:8">
      <c r="G1869" s="2">
        <f>IF(F1869="PASS", E1869, "")</f>
        <v>0</v>
      </c>
      <c r="H1869">
        <f>IF(AND(F1869="PASS", G1869&lt;=IFERROR(VLOOKUP(A1869,Graduation_Cutoff!$A$2:$B$8,2,FALSE),DATE(9999,12,31))),"Y","")</f>
        <v>0</v>
      </c>
    </row>
    <row r="1870" spans="7:8">
      <c r="G1870" s="2">
        <f>IF(F1870="PASS", E1870, "")</f>
        <v>0</v>
      </c>
      <c r="H1870">
        <f>IF(AND(F1870="PASS", G1870&lt;=IFERROR(VLOOKUP(A1870,Graduation_Cutoff!$A$2:$B$8,2,FALSE),DATE(9999,12,31))),"Y","")</f>
        <v>0</v>
      </c>
    </row>
    <row r="1871" spans="7:8">
      <c r="G1871" s="2">
        <f>IF(F1871="PASS", E1871, "")</f>
        <v>0</v>
      </c>
      <c r="H1871">
        <f>IF(AND(F1871="PASS", G1871&lt;=IFERROR(VLOOKUP(A1871,Graduation_Cutoff!$A$2:$B$8,2,FALSE),DATE(9999,12,31))),"Y","")</f>
        <v>0</v>
      </c>
    </row>
    <row r="1872" spans="7:8">
      <c r="G1872" s="2">
        <f>IF(F1872="PASS", E1872, "")</f>
        <v>0</v>
      </c>
      <c r="H1872">
        <f>IF(AND(F1872="PASS", G1872&lt;=IFERROR(VLOOKUP(A1872,Graduation_Cutoff!$A$2:$B$8,2,FALSE),DATE(9999,12,31))),"Y","")</f>
        <v>0</v>
      </c>
    </row>
    <row r="1873" spans="7:8">
      <c r="G1873" s="2">
        <f>IF(F1873="PASS", E1873, "")</f>
        <v>0</v>
      </c>
      <c r="H1873">
        <f>IF(AND(F1873="PASS", G1873&lt;=IFERROR(VLOOKUP(A1873,Graduation_Cutoff!$A$2:$B$8,2,FALSE),DATE(9999,12,31))),"Y","")</f>
        <v>0</v>
      </c>
    </row>
    <row r="1874" spans="7:8">
      <c r="G1874" s="2">
        <f>IF(F1874="PASS", E1874, "")</f>
        <v>0</v>
      </c>
      <c r="H1874">
        <f>IF(AND(F1874="PASS", G1874&lt;=IFERROR(VLOOKUP(A1874,Graduation_Cutoff!$A$2:$B$8,2,FALSE),DATE(9999,12,31))),"Y","")</f>
        <v>0</v>
      </c>
    </row>
    <row r="1875" spans="7:8">
      <c r="G1875" s="2">
        <f>IF(F1875="PASS", E1875, "")</f>
        <v>0</v>
      </c>
      <c r="H1875">
        <f>IF(AND(F1875="PASS", G1875&lt;=IFERROR(VLOOKUP(A1875,Graduation_Cutoff!$A$2:$B$8,2,FALSE),DATE(9999,12,31))),"Y","")</f>
        <v>0</v>
      </c>
    </row>
    <row r="1876" spans="7:8">
      <c r="G1876" s="2">
        <f>IF(F1876="PASS", E1876, "")</f>
        <v>0</v>
      </c>
      <c r="H1876">
        <f>IF(AND(F1876="PASS", G1876&lt;=IFERROR(VLOOKUP(A1876,Graduation_Cutoff!$A$2:$B$8,2,FALSE),DATE(9999,12,31))),"Y","")</f>
        <v>0</v>
      </c>
    </row>
    <row r="1877" spans="7:8">
      <c r="G1877" s="2">
        <f>IF(F1877="PASS", E1877, "")</f>
        <v>0</v>
      </c>
      <c r="H1877">
        <f>IF(AND(F1877="PASS", G1877&lt;=IFERROR(VLOOKUP(A1877,Graduation_Cutoff!$A$2:$B$8,2,FALSE),DATE(9999,12,31))),"Y","")</f>
        <v>0</v>
      </c>
    </row>
    <row r="1878" spans="7:8">
      <c r="G1878" s="2">
        <f>IF(F1878="PASS", E1878, "")</f>
        <v>0</v>
      </c>
      <c r="H1878">
        <f>IF(AND(F1878="PASS", G1878&lt;=IFERROR(VLOOKUP(A1878,Graduation_Cutoff!$A$2:$B$8,2,FALSE),DATE(9999,12,31))),"Y","")</f>
        <v>0</v>
      </c>
    </row>
    <row r="1879" spans="7:8">
      <c r="G1879" s="2">
        <f>IF(F1879="PASS", E1879, "")</f>
        <v>0</v>
      </c>
      <c r="H1879">
        <f>IF(AND(F1879="PASS", G1879&lt;=IFERROR(VLOOKUP(A1879,Graduation_Cutoff!$A$2:$B$8,2,FALSE),DATE(9999,12,31))),"Y","")</f>
        <v>0</v>
      </c>
    </row>
    <row r="1880" spans="7:8">
      <c r="G1880" s="2">
        <f>IF(F1880="PASS", E1880, "")</f>
        <v>0</v>
      </c>
      <c r="H1880">
        <f>IF(AND(F1880="PASS", G1880&lt;=IFERROR(VLOOKUP(A1880,Graduation_Cutoff!$A$2:$B$8,2,FALSE),DATE(9999,12,31))),"Y","")</f>
        <v>0</v>
      </c>
    </row>
    <row r="1881" spans="7:8">
      <c r="G1881" s="2">
        <f>IF(F1881="PASS", E1881, "")</f>
        <v>0</v>
      </c>
      <c r="H1881">
        <f>IF(AND(F1881="PASS", G1881&lt;=IFERROR(VLOOKUP(A1881,Graduation_Cutoff!$A$2:$B$8,2,FALSE),DATE(9999,12,31))),"Y","")</f>
        <v>0</v>
      </c>
    </row>
    <row r="1882" spans="7:8">
      <c r="G1882" s="2">
        <f>IF(F1882="PASS", E1882, "")</f>
        <v>0</v>
      </c>
      <c r="H1882">
        <f>IF(AND(F1882="PASS", G1882&lt;=IFERROR(VLOOKUP(A1882,Graduation_Cutoff!$A$2:$B$8,2,FALSE),DATE(9999,12,31))),"Y","")</f>
        <v>0</v>
      </c>
    </row>
    <row r="1883" spans="7:8">
      <c r="G1883" s="2">
        <f>IF(F1883="PASS", E1883, "")</f>
        <v>0</v>
      </c>
      <c r="H1883">
        <f>IF(AND(F1883="PASS", G1883&lt;=IFERROR(VLOOKUP(A1883,Graduation_Cutoff!$A$2:$B$8,2,FALSE),DATE(9999,12,31))),"Y","")</f>
        <v>0</v>
      </c>
    </row>
    <row r="1884" spans="7:8">
      <c r="G1884" s="2">
        <f>IF(F1884="PASS", E1884, "")</f>
        <v>0</v>
      </c>
      <c r="H1884">
        <f>IF(AND(F1884="PASS", G1884&lt;=IFERROR(VLOOKUP(A1884,Graduation_Cutoff!$A$2:$B$8,2,FALSE),DATE(9999,12,31))),"Y","")</f>
        <v>0</v>
      </c>
    </row>
    <row r="1885" spans="7:8">
      <c r="G1885" s="2">
        <f>IF(F1885="PASS", E1885, "")</f>
        <v>0</v>
      </c>
      <c r="H1885">
        <f>IF(AND(F1885="PASS", G1885&lt;=IFERROR(VLOOKUP(A1885,Graduation_Cutoff!$A$2:$B$8,2,FALSE),DATE(9999,12,31))),"Y","")</f>
        <v>0</v>
      </c>
    </row>
    <row r="1886" spans="7:8">
      <c r="G1886" s="2">
        <f>IF(F1886="PASS", E1886, "")</f>
        <v>0</v>
      </c>
      <c r="H1886">
        <f>IF(AND(F1886="PASS", G1886&lt;=IFERROR(VLOOKUP(A1886,Graduation_Cutoff!$A$2:$B$8,2,FALSE),DATE(9999,12,31))),"Y","")</f>
        <v>0</v>
      </c>
    </row>
    <row r="1887" spans="7:8">
      <c r="G1887" s="2">
        <f>IF(F1887="PASS", E1887, "")</f>
        <v>0</v>
      </c>
      <c r="H1887">
        <f>IF(AND(F1887="PASS", G1887&lt;=IFERROR(VLOOKUP(A1887,Graduation_Cutoff!$A$2:$B$8,2,FALSE),DATE(9999,12,31))),"Y","")</f>
        <v>0</v>
      </c>
    </row>
    <row r="1888" spans="7:8">
      <c r="G1888" s="2">
        <f>IF(F1888="PASS", E1888, "")</f>
        <v>0</v>
      </c>
      <c r="H1888">
        <f>IF(AND(F1888="PASS", G1888&lt;=IFERROR(VLOOKUP(A1888,Graduation_Cutoff!$A$2:$B$8,2,FALSE),DATE(9999,12,31))),"Y","")</f>
        <v>0</v>
      </c>
    </row>
    <row r="1889" spans="7:8">
      <c r="G1889" s="2">
        <f>IF(F1889="PASS", E1889, "")</f>
        <v>0</v>
      </c>
      <c r="H1889">
        <f>IF(AND(F1889="PASS", G1889&lt;=IFERROR(VLOOKUP(A1889,Graduation_Cutoff!$A$2:$B$8,2,FALSE),DATE(9999,12,31))),"Y","")</f>
        <v>0</v>
      </c>
    </row>
    <row r="1890" spans="7:8">
      <c r="G1890" s="2">
        <f>IF(F1890="PASS", E1890, "")</f>
        <v>0</v>
      </c>
      <c r="H1890">
        <f>IF(AND(F1890="PASS", G1890&lt;=IFERROR(VLOOKUP(A1890,Graduation_Cutoff!$A$2:$B$8,2,FALSE),DATE(9999,12,31))),"Y","")</f>
        <v>0</v>
      </c>
    </row>
    <row r="1891" spans="7:8">
      <c r="G1891" s="2">
        <f>IF(F1891="PASS", E1891, "")</f>
        <v>0</v>
      </c>
      <c r="H1891">
        <f>IF(AND(F1891="PASS", G1891&lt;=IFERROR(VLOOKUP(A1891,Graduation_Cutoff!$A$2:$B$8,2,FALSE),DATE(9999,12,31))),"Y","")</f>
        <v>0</v>
      </c>
    </row>
    <row r="1892" spans="7:8">
      <c r="G1892" s="2">
        <f>IF(F1892="PASS", E1892, "")</f>
        <v>0</v>
      </c>
      <c r="H1892">
        <f>IF(AND(F1892="PASS", G1892&lt;=IFERROR(VLOOKUP(A1892,Graduation_Cutoff!$A$2:$B$8,2,FALSE),DATE(9999,12,31))),"Y","")</f>
        <v>0</v>
      </c>
    </row>
    <row r="1893" spans="7:8">
      <c r="G1893" s="2">
        <f>IF(F1893="PASS", E1893, "")</f>
        <v>0</v>
      </c>
      <c r="H1893">
        <f>IF(AND(F1893="PASS", G1893&lt;=IFERROR(VLOOKUP(A1893,Graduation_Cutoff!$A$2:$B$8,2,FALSE),DATE(9999,12,31))),"Y","")</f>
        <v>0</v>
      </c>
    </row>
    <row r="1894" spans="7:8">
      <c r="G1894" s="2">
        <f>IF(F1894="PASS", E1894, "")</f>
        <v>0</v>
      </c>
      <c r="H1894">
        <f>IF(AND(F1894="PASS", G1894&lt;=IFERROR(VLOOKUP(A1894,Graduation_Cutoff!$A$2:$B$8,2,FALSE),DATE(9999,12,31))),"Y","")</f>
        <v>0</v>
      </c>
    </row>
    <row r="1895" spans="7:8">
      <c r="G1895" s="2">
        <f>IF(F1895="PASS", E1895, "")</f>
        <v>0</v>
      </c>
      <c r="H1895">
        <f>IF(AND(F1895="PASS", G1895&lt;=IFERROR(VLOOKUP(A1895,Graduation_Cutoff!$A$2:$B$8,2,FALSE),DATE(9999,12,31))),"Y","")</f>
        <v>0</v>
      </c>
    </row>
    <row r="1896" spans="7:8">
      <c r="G1896" s="2">
        <f>IF(F1896="PASS", E1896, "")</f>
        <v>0</v>
      </c>
      <c r="H1896">
        <f>IF(AND(F1896="PASS", G1896&lt;=IFERROR(VLOOKUP(A1896,Graduation_Cutoff!$A$2:$B$8,2,FALSE),DATE(9999,12,31))),"Y","")</f>
        <v>0</v>
      </c>
    </row>
    <row r="1897" spans="7:8">
      <c r="G1897" s="2">
        <f>IF(F1897="PASS", E1897, "")</f>
        <v>0</v>
      </c>
      <c r="H1897">
        <f>IF(AND(F1897="PASS", G1897&lt;=IFERROR(VLOOKUP(A1897,Graduation_Cutoff!$A$2:$B$8,2,FALSE),DATE(9999,12,31))),"Y","")</f>
        <v>0</v>
      </c>
    </row>
    <row r="1898" spans="7:8">
      <c r="G1898" s="2">
        <f>IF(F1898="PASS", E1898, "")</f>
        <v>0</v>
      </c>
      <c r="H1898">
        <f>IF(AND(F1898="PASS", G1898&lt;=IFERROR(VLOOKUP(A1898,Graduation_Cutoff!$A$2:$B$8,2,FALSE),DATE(9999,12,31))),"Y","")</f>
        <v>0</v>
      </c>
    </row>
    <row r="1899" spans="7:8">
      <c r="G1899" s="2">
        <f>IF(F1899="PASS", E1899, "")</f>
        <v>0</v>
      </c>
      <c r="H1899">
        <f>IF(AND(F1899="PASS", G1899&lt;=IFERROR(VLOOKUP(A1899,Graduation_Cutoff!$A$2:$B$8,2,FALSE),DATE(9999,12,31))),"Y","")</f>
        <v>0</v>
      </c>
    </row>
    <row r="1900" spans="7:8">
      <c r="G1900" s="2">
        <f>IF(F1900="PASS", E1900, "")</f>
        <v>0</v>
      </c>
      <c r="H1900">
        <f>IF(AND(F1900="PASS", G1900&lt;=IFERROR(VLOOKUP(A1900,Graduation_Cutoff!$A$2:$B$8,2,FALSE),DATE(9999,12,31))),"Y","")</f>
        <v>0</v>
      </c>
    </row>
    <row r="1901" spans="7:8">
      <c r="G1901" s="2">
        <f>IF(F1901="PASS", E1901, "")</f>
        <v>0</v>
      </c>
      <c r="H1901">
        <f>IF(AND(F1901="PASS", G1901&lt;=IFERROR(VLOOKUP(A1901,Graduation_Cutoff!$A$2:$B$8,2,FALSE),DATE(9999,12,31))),"Y","")</f>
        <v>0</v>
      </c>
    </row>
    <row r="1902" spans="7:8">
      <c r="G1902" s="2">
        <f>IF(F1902="PASS", E1902, "")</f>
        <v>0</v>
      </c>
      <c r="H1902">
        <f>IF(AND(F1902="PASS", G1902&lt;=IFERROR(VLOOKUP(A1902,Graduation_Cutoff!$A$2:$B$8,2,FALSE),DATE(9999,12,31))),"Y","")</f>
        <v>0</v>
      </c>
    </row>
    <row r="1903" spans="7:8">
      <c r="G1903" s="2">
        <f>IF(F1903="PASS", E1903, "")</f>
        <v>0</v>
      </c>
      <c r="H1903">
        <f>IF(AND(F1903="PASS", G1903&lt;=IFERROR(VLOOKUP(A1903,Graduation_Cutoff!$A$2:$B$8,2,FALSE),DATE(9999,12,31))),"Y","")</f>
        <v>0</v>
      </c>
    </row>
    <row r="1904" spans="7:8">
      <c r="G1904" s="2">
        <f>IF(F1904="PASS", E1904, "")</f>
        <v>0</v>
      </c>
      <c r="H1904">
        <f>IF(AND(F1904="PASS", G1904&lt;=IFERROR(VLOOKUP(A1904,Graduation_Cutoff!$A$2:$B$8,2,FALSE),DATE(9999,12,31))),"Y","")</f>
        <v>0</v>
      </c>
    </row>
    <row r="1905" spans="7:8">
      <c r="G1905" s="2">
        <f>IF(F1905="PASS", E1905, "")</f>
        <v>0</v>
      </c>
      <c r="H1905">
        <f>IF(AND(F1905="PASS", G1905&lt;=IFERROR(VLOOKUP(A1905,Graduation_Cutoff!$A$2:$B$8,2,FALSE),DATE(9999,12,31))),"Y","")</f>
        <v>0</v>
      </c>
    </row>
    <row r="1906" spans="7:8">
      <c r="G1906" s="2">
        <f>IF(F1906="PASS", E1906, "")</f>
        <v>0</v>
      </c>
      <c r="H1906">
        <f>IF(AND(F1906="PASS", G1906&lt;=IFERROR(VLOOKUP(A1906,Graduation_Cutoff!$A$2:$B$8,2,FALSE),DATE(9999,12,31))),"Y","")</f>
        <v>0</v>
      </c>
    </row>
    <row r="1907" spans="7:8">
      <c r="G1907" s="2">
        <f>IF(F1907="PASS", E1907, "")</f>
        <v>0</v>
      </c>
      <c r="H1907">
        <f>IF(AND(F1907="PASS", G1907&lt;=IFERROR(VLOOKUP(A1907,Graduation_Cutoff!$A$2:$B$8,2,FALSE),DATE(9999,12,31))),"Y","")</f>
        <v>0</v>
      </c>
    </row>
    <row r="1908" spans="7:8">
      <c r="G1908" s="2">
        <f>IF(F1908="PASS", E1908, "")</f>
        <v>0</v>
      </c>
      <c r="H1908">
        <f>IF(AND(F1908="PASS", G1908&lt;=IFERROR(VLOOKUP(A1908,Graduation_Cutoff!$A$2:$B$8,2,FALSE),DATE(9999,12,31))),"Y","")</f>
        <v>0</v>
      </c>
    </row>
    <row r="1909" spans="7:8">
      <c r="G1909" s="2">
        <f>IF(F1909="PASS", E1909, "")</f>
        <v>0</v>
      </c>
      <c r="H1909">
        <f>IF(AND(F1909="PASS", G1909&lt;=IFERROR(VLOOKUP(A1909,Graduation_Cutoff!$A$2:$B$8,2,FALSE),DATE(9999,12,31))),"Y","")</f>
        <v>0</v>
      </c>
    </row>
    <row r="1910" spans="7:8">
      <c r="G1910" s="2">
        <f>IF(F1910="PASS", E1910, "")</f>
        <v>0</v>
      </c>
      <c r="H1910">
        <f>IF(AND(F1910="PASS", G1910&lt;=IFERROR(VLOOKUP(A1910,Graduation_Cutoff!$A$2:$B$8,2,FALSE),DATE(9999,12,31))),"Y","")</f>
        <v>0</v>
      </c>
    </row>
    <row r="1911" spans="7:8">
      <c r="G1911" s="2">
        <f>IF(F1911="PASS", E1911, "")</f>
        <v>0</v>
      </c>
      <c r="H1911">
        <f>IF(AND(F1911="PASS", G1911&lt;=IFERROR(VLOOKUP(A1911,Graduation_Cutoff!$A$2:$B$8,2,FALSE),DATE(9999,12,31))),"Y","")</f>
        <v>0</v>
      </c>
    </row>
    <row r="1912" spans="7:8">
      <c r="G1912" s="2">
        <f>IF(F1912="PASS", E1912, "")</f>
        <v>0</v>
      </c>
      <c r="H1912">
        <f>IF(AND(F1912="PASS", G1912&lt;=IFERROR(VLOOKUP(A1912,Graduation_Cutoff!$A$2:$B$8,2,FALSE),DATE(9999,12,31))),"Y","")</f>
        <v>0</v>
      </c>
    </row>
    <row r="1913" spans="7:8">
      <c r="G1913" s="2">
        <f>IF(F1913="PASS", E1913, "")</f>
        <v>0</v>
      </c>
      <c r="H1913">
        <f>IF(AND(F1913="PASS", G1913&lt;=IFERROR(VLOOKUP(A1913,Graduation_Cutoff!$A$2:$B$8,2,FALSE),DATE(9999,12,31))),"Y","")</f>
        <v>0</v>
      </c>
    </row>
    <row r="1914" spans="7:8">
      <c r="G1914" s="2">
        <f>IF(F1914="PASS", E1914, "")</f>
        <v>0</v>
      </c>
      <c r="H1914">
        <f>IF(AND(F1914="PASS", G1914&lt;=IFERROR(VLOOKUP(A1914,Graduation_Cutoff!$A$2:$B$8,2,FALSE),DATE(9999,12,31))),"Y","")</f>
        <v>0</v>
      </c>
    </row>
    <row r="1915" spans="7:8">
      <c r="G1915" s="2">
        <f>IF(F1915="PASS", E1915, "")</f>
        <v>0</v>
      </c>
      <c r="H1915">
        <f>IF(AND(F1915="PASS", G1915&lt;=IFERROR(VLOOKUP(A1915,Graduation_Cutoff!$A$2:$B$8,2,FALSE),DATE(9999,12,31))),"Y","")</f>
        <v>0</v>
      </c>
    </row>
    <row r="1916" spans="7:8">
      <c r="G1916" s="2">
        <f>IF(F1916="PASS", E1916, "")</f>
        <v>0</v>
      </c>
      <c r="H1916">
        <f>IF(AND(F1916="PASS", G1916&lt;=IFERROR(VLOOKUP(A1916,Graduation_Cutoff!$A$2:$B$8,2,FALSE),DATE(9999,12,31))),"Y","")</f>
        <v>0</v>
      </c>
    </row>
    <row r="1917" spans="7:8">
      <c r="G1917" s="2">
        <f>IF(F1917="PASS", E1917, "")</f>
        <v>0</v>
      </c>
      <c r="H1917">
        <f>IF(AND(F1917="PASS", G1917&lt;=IFERROR(VLOOKUP(A1917,Graduation_Cutoff!$A$2:$B$8,2,FALSE),DATE(9999,12,31))),"Y","")</f>
        <v>0</v>
      </c>
    </row>
    <row r="1918" spans="7:8">
      <c r="G1918" s="2">
        <f>IF(F1918="PASS", E1918, "")</f>
        <v>0</v>
      </c>
      <c r="H1918">
        <f>IF(AND(F1918="PASS", G1918&lt;=IFERROR(VLOOKUP(A1918,Graduation_Cutoff!$A$2:$B$8,2,FALSE),DATE(9999,12,31))),"Y","")</f>
        <v>0</v>
      </c>
    </row>
    <row r="1919" spans="7:8">
      <c r="G1919" s="2">
        <f>IF(F1919="PASS", E1919, "")</f>
        <v>0</v>
      </c>
      <c r="H1919">
        <f>IF(AND(F1919="PASS", G1919&lt;=IFERROR(VLOOKUP(A1919,Graduation_Cutoff!$A$2:$B$8,2,FALSE),DATE(9999,12,31))),"Y","")</f>
        <v>0</v>
      </c>
    </row>
    <row r="1920" spans="7:8">
      <c r="G1920" s="2">
        <f>IF(F1920="PASS", E1920, "")</f>
        <v>0</v>
      </c>
      <c r="H1920">
        <f>IF(AND(F1920="PASS", G1920&lt;=IFERROR(VLOOKUP(A1920,Graduation_Cutoff!$A$2:$B$8,2,FALSE),DATE(9999,12,31))),"Y","")</f>
        <v>0</v>
      </c>
    </row>
    <row r="1921" spans="7:8">
      <c r="G1921" s="2">
        <f>IF(F1921="PASS", E1921, "")</f>
        <v>0</v>
      </c>
      <c r="H1921">
        <f>IF(AND(F1921="PASS", G1921&lt;=IFERROR(VLOOKUP(A1921,Graduation_Cutoff!$A$2:$B$8,2,FALSE),DATE(9999,12,31))),"Y","")</f>
        <v>0</v>
      </c>
    </row>
    <row r="1922" spans="7:8">
      <c r="G1922" s="2">
        <f>IF(F1922="PASS", E1922, "")</f>
        <v>0</v>
      </c>
      <c r="H1922">
        <f>IF(AND(F1922="PASS", G1922&lt;=IFERROR(VLOOKUP(A1922,Graduation_Cutoff!$A$2:$B$8,2,FALSE),DATE(9999,12,31))),"Y","")</f>
        <v>0</v>
      </c>
    </row>
    <row r="1923" spans="7:8">
      <c r="G1923" s="2">
        <f>IF(F1923="PASS", E1923, "")</f>
        <v>0</v>
      </c>
      <c r="H1923">
        <f>IF(AND(F1923="PASS", G1923&lt;=IFERROR(VLOOKUP(A1923,Graduation_Cutoff!$A$2:$B$8,2,FALSE),DATE(9999,12,31))),"Y","")</f>
        <v>0</v>
      </c>
    </row>
    <row r="1924" spans="7:8">
      <c r="G1924" s="2">
        <f>IF(F1924="PASS", E1924, "")</f>
        <v>0</v>
      </c>
      <c r="H1924">
        <f>IF(AND(F1924="PASS", G1924&lt;=IFERROR(VLOOKUP(A1924,Graduation_Cutoff!$A$2:$B$8,2,FALSE),DATE(9999,12,31))),"Y","")</f>
        <v>0</v>
      </c>
    </row>
    <row r="1925" spans="7:8">
      <c r="G1925" s="2">
        <f>IF(F1925="PASS", E1925, "")</f>
        <v>0</v>
      </c>
      <c r="H1925">
        <f>IF(AND(F1925="PASS", G1925&lt;=IFERROR(VLOOKUP(A1925,Graduation_Cutoff!$A$2:$B$8,2,FALSE),DATE(9999,12,31))),"Y","")</f>
        <v>0</v>
      </c>
    </row>
    <row r="1926" spans="7:8">
      <c r="G1926" s="2">
        <f>IF(F1926="PASS", E1926, "")</f>
        <v>0</v>
      </c>
      <c r="H1926">
        <f>IF(AND(F1926="PASS", G1926&lt;=IFERROR(VLOOKUP(A1926,Graduation_Cutoff!$A$2:$B$8,2,FALSE),DATE(9999,12,31))),"Y","")</f>
        <v>0</v>
      </c>
    </row>
    <row r="1927" spans="7:8">
      <c r="G1927" s="2">
        <f>IF(F1927="PASS", E1927, "")</f>
        <v>0</v>
      </c>
      <c r="H1927">
        <f>IF(AND(F1927="PASS", G1927&lt;=IFERROR(VLOOKUP(A1927,Graduation_Cutoff!$A$2:$B$8,2,FALSE),DATE(9999,12,31))),"Y","")</f>
        <v>0</v>
      </c>
    </row>
    <row r="1928" spans="7:8">
      <c r="G1928" s="2">
        <f>IF(F1928="PASS", E1928, "")</f>
        <v>0</v>
      </c>
      <c r="H1928">
        <f>IF(AND(F1928="PASS", G1928&lt;=IFERROR(VLOOKUP(A1928,Graduation_Cutoff!$A$2:$B$8,2,FALSE),DATE(9999,12,31))),"Y","")</f>
        <v>0</v>
      </c>
    </row>
    <row r="1929" spans="7:8">
      <c r="G1929" s="2">
        <f>IF(F1929="PASS", E1929, "")</f>
        <v>0</v>
      </c>
      <c r="H1929">
        <f>IF(AND(F1929="PASS", G1929&lt;=IFERROR(VLOOKUP(A1929,Graduation_Cutoff!$A$2:$B$8,2,FALSE),DATE(9999,12,31))),"Y","")</f>
        <v>0</v>
      </c>
    </row>
    <row r="1930" spans="7:8">
      <c r="G1930" s="2">
        <f>IF(F1930="PASS", E1930, "")</f>
        <v>0</v>
      </c>
      <c r="H1930">
        <f>IF(AND(F1930="PASS", G1930&lt;=IFERROR(VLOOKUP(A1930,Graduation_Cutoff!$A$2:$B$8,2,FALSE),DATE(9999,12,31))),"Y","")</f>
        <v>0</v>
      </c>
    </row>
    <row r="1931" spans="7:8">
      <c r="G1931" s="2">
        <f>IF(F1931="PASS", E1931, "")</f>
        <v>0</v>
      </c>
      <c r="H1931">
        <f>IF(AND(F1931="PASS", G1931&lt;=IFERROR(VLOOKUP(A1931,Graduation_Cutoff!$A$2:$B$8,2,FALSE),DATE(9999,12,31))),"Y","")</f>
        <v>0</v>
      </c>
    </row>
    <row r="1932" spans="7:8">
      <c r="G1932" s="2">
        <f>IF(F1932="PASS", E1932, "")</f>
        <v>0</v>
      </c>
      <c r="H1932">
        <f>IF(AND(F1932="PASS", G1932&lt;=IFERROR(VLOOKUP(A1932,Graduation_Cutoff!$A$2:$B$8,2,FALSE),DATE(9999,12,31))),"Y","")</f>
        <v>0</v>
      </c>
    </row>
    <row r="1933" spans="7:8">
      <c r="G1933" s="2">
        <f>IF(F1933="PASS", E1933, "")</f>
        <v>0</v>
      </c>
      <c r="H1933">
        <f>IF(AND(F1933="PASS", G1933&lt;=IFERROR(VLOOKUP(A1933,Graduation_Cutoff!$A$2:$B$8,2,FALSE),DATE(9999,12,31))),"Y","")</f>
        <v>0</v>
      </c>
    </row>
    <row r="1934" spans="7:8">
      <c r="G1934" s="2">
        <f>IF(F1934="PASS", E1934, "")</f>
        <v>0</v>
      </c>
      <c r="H1934">
        <f>IF(AND(F1934="PASS", G1934&lt;=IFERROR(VLOOKUP(A1934,Graduation_Cutoff!$A$2:$B$8,2,FALSE),DATE(9999,12,31))),"Y","")</f>
        <v>0</v>
      </c>
    </row>
    <row r="1935" spans="7:8">
      <c r="G1935" s="2">
        <f>IF(F1935="PASS", E1935, "")</f>
        <v>0</v>
      </c>
      <c r="H1935">
        <f>IF(AND(F1935="PASS", G1935&lt;=IFERROR(VLOOKUP(A1935,Graduation_Cutoff!$A$2:$B$8,2,FALSE),DATE(9999,12,31))),"Y","")</f>
        <v>0</v>
      </c>
    </row>
    <row r="1936" spans="7:8">
      <c r="G1936" s="2">
        <f>IF(F1936="PASS", E1936, "")</f>
        <v>0</v>
      </c>
      <c r="H1936">
        <f>IF(AND(F1936="PASS", G1936&lt;=IFERROR(VLOOKUP(A1936,Graduation_Cutoff!$A$2:$B$8,2,FALSE),DATE(9999,12,31))),"Y","")</f>
        <v>0</v>
      </c>
    </row>
    <row r="1937" spans="7:8">
      <c r="G1937" s="2">
        <f>IF(F1937="PASS", E1937, "")</f>
        <v>0</v>
      </c>
      <c r="H1937">
        <f>IF(AND(F1937="PASS", G1937&lt;=IFERROR(VLOOKUP(A1937,Graduation_Cutoff!$A$2:$B$8,2,FALSE),DATE(9999,12,31))),"Y","")</f>
        <v>0</v>
      </c>
    </row>
    <row r="1938" spans="7:8">
      <c r="G1938" s="2">
        <f>IF(F1938="PASS", E1938, "")</f>
        <v>0</v>
      </c>
      <c r="H1938">
        <f>IF(AND(F1938="PASS", G1938&lt;=IFERROR(VLOOKUP(A1938,Graduation_Cutoff!$A$2:$B$8,2,FALSE),DATE(9999,12,31))),"Y","")</f>
        <v>0</v>
      </c>
    </row>
    <row r="1939" spans="7:8">
      <c r="G1939" s="2">
        <f>IF(F1939="PASS", E1939, "")</f>
        <v>0</v>
      </c>
      <c r="H1939">
        <f>IF(AND(F1939="PASS", G1939&lt;=IFERROR(VLOOKUP(A1939,Graduation_Cutoff!$A$2:$B$8,2,FALSE),DATE(9999,12,31))),"Y","")</f>
        <v>0</v>
      </c>
    </row>
    <row r="1940" spans="7:8">
      <c r="G1940" s="2">
        <f>IF(F1940="PASS", E1940, "")</f>
        <v>0</v>
      </c>
      <c r="H1940">
        <f>IF(AND(F1940="PASS", G1940&lt;=IFERROR(VLOOKUP(A1940,Graduation_Cutoff!$A$2:$B$8,2,FALSE),DATE(9999,12,31))),"Y","")</f>
        <v>0</v>
      </c>
    </row>
    <row r="1941" spans="7:8">
      <c r="G1941" s="2">
        <f>IF(F1941="PASS", E1941, "")</f>
        <v>0</v>
      </c>
      <c r="H1941">
        <f>IF(AND(F1941="PASS", G1941&lt;=IFERROR(VLOOKUP(A1941,Graduation_Cutoff!$A$2:$B$8,2,FALSE),DATE(9999,12,31))),"Y","")</f>
        <v>0</v>
      </c>
    </row>
    <row r="1942" spans="7:8">
      <c r="G1942" s="2">
        <f>IF(F1942="PASS", E1942, "")</f>
        <v>0</v>
      </c>
      <c r="H1942">
        <f>IF(AND(F1942="PASS", G1942&lt;=IFERROR(VLOOKUP(A1942,Graduation_Cutoff!$A$2:$B$8,2,FALSE),DATE(9999,12,31))),"Y","")</f>
        <v>0</v>
      </c>
    </row>
    <row r="1943" spans="7:8">
      <c r="G1943" s="2">
        <f>IF(F1943="PASS", E1943, "")</f>
        <v>0</v>
      </c>
      <c r="H1943">
        <f>IF(AND(F1943="PASS", G1943&lt;=IFERROR(VLOOKUP(A1943,Graduation_Cutoff!$A$2:$B$8,2,FALSE),DATE(9999,12,31))),"Y","")</f>
        <v>0</v>
      </c>
    </row>
    <row r="1944" spans="7:8">
      <c r="G1944" s="2">
        <f>IF(F1944="PASS", E1944, "")</f>
        <v>0</v>
      </c>
      <c r="H1944">
        <f>IF(AND(F1944="PASS", G1944&lt;=IFERROR(VLOOKUP(A1944,Graduation_Cutoff!$A$2:$B$8,2,FALSE),DATE(9999,12,31))),"Y","")</f>
        <v>0</v>
      </c>
    </row>
    <row r="1945" spans="7:8">
      <c r="G1945" s="2">
        <f>IF(F1945="PASS", E1945, "")</f>
        <v>0</v>
      </c>
      <c r="H1945">
        <f>IF(AND(F1945="PASS", G1945&lt;=IFERROR(VLOOKUP(A1945,Graduation_Cutoff!$A$2:$B$8,2,FALSE),DATE(9999,12,31))),"Y","")</f>
        <v>0</v>
      </c>
    </row>
    <row r="1946" spans="7:8">
      <c r="G1946" s="2">
        <f>IF(F1946="PASS", E1946, "")</f>
        <v>0</v>
      </c>
      <c r="H1946">
        <f>IF(AND(F1946="PASS", G1946&lt;=IFERROR(VLOOKUP(A1946,Graduation_Cutoff!$A$2:$B$8,2,FALSE),DATE(9999,12,31))),"Y","")</f>
        <v>0</v>
      </c>
    </row>
    <row r="1947" spans="7:8">
      <c r="G1947" s="2">
        <f>IF(F1947="PASS", E1947, "")</f>
        <v>0</v>
      </c>
      <c r="H1947">
        <f>IF(AND(F1947="PASS", G1947&lt;=IFERROR(VLOOKUP(A1947,Graduation_Cutoff!$A$2:$B$8,2,FALSE),DATE(9999,12,31))),"Y","")</f>
        <v>0</v>
      </c>
    </row>
    <row r="1948" spans="7:8">
      <c r="G1948" s="2">
        <f>IF(F1948="PASS", E1948, "")</f>
        <v>0</v>
      </c>
      <c r="H1948">
        <f>IF(AND(F1948="PASS", G1948&lt;=IFERROR(VLOOKUP(A1948,Graduation_Cutoff!$A$2:$B$8,2,FALSE),DATE(9999,12,31))),"Y","")</f>
        <v>0</v>
      </c>
    </row>
    <row r="1949" spans="7:8">
      <c r="G1949" s="2">
        <f>IF(F1949="PASS", E1949, "")</f>
        <v>0</v>
      </c>
      <c r="H1949">
        <f>IF(AND(F1949="PASS", G1949&lt;=IFERROR(VLOOKUP(A1949,Graduation_Cutoff!$A$2:$B$8,2,FALSE),DATE(9999,12,31))),"Y","")</f>
        <v>0</v>
      </c>
    </row>
    <row r="1950" spans="7:8">
      <c r="G1950" s="2">
        <f>IF(F1950="PASS", E1950, "")</f>
        <v>0</v>
      </c>
      <c r="H1950">
        <f>IF(AND(F1950="PASS", G1950&lt;=IFERROR(VLOOKUP(A1950,Graduation_Cutoff!$A$2:$B$8,2,FALSE),DATE(9999,12,31))),"Y","")</f>
        <v>0</v>
      </c>
    </row>
    <row r="1951" spans="7:8">
      <c r="G1951" s="2">
        <f>IF(F1951="PASS", E1951, "")</f>
        <v>0</v>
      </c>
      <c r="H1951">
        <f>IF(AND(F1951="PASS", G1951&lt;=IFERROR(VLOOKUP(A1951,Graduation_Cutoff!$A$2:$B$8,2,FALSE),DATE(9999,12,31))),"Y","")</f>
        <v>0</v>
      </c>
    </row>
    <row r="1952" spans="7:8">
      <c r="G1952" s="2">
        <f>IF(F1952="PASS", E1952, "")</f>
        <v>0</v>
      </c>
      <c r="H1952">
        <f>IF(AND(F1952="PASS", G1952&lt;=IFERROR(VLOOKUP(A1952,Graduation_Cutoff!$A$2:$B$8,2,FALSE),DATE(9999,12,31))),"Y","")</f>
        <v>0</v>
      </c>
    </row>
    <row r="1953" spans="7:8">
      <c r="G1953" s="2">
        <f>IF(F1953="PASS", E1953, "")</f>
        <v>0</v>
      </c>
      <c r="H1953">
        <f>IF(AND(F1953="PASS", G1953&lt;=IFERROR(VLOOKUP(A1953,Graduation_Cutoff!$A$2:$B$8,2,FALSE),DATE(9999,12,31))),"Y","")</f>
        <v>0</v>
      </c>
    </row>
    <row r="1954" spans="7:8">
      <c r="G1954" s="2">
        <f>IF(F1954="PASS", E1954, "")</f>
        <v>0</v>
      </c>
      <c r="H1954">
        <f>IF(AND(F1954="PASS", G1954&lt;=IFERROR(VLOOKUP(A1954,Graduation_Cutoff!$A$2:$B$8,2,FALSE),DATE(9999,12,31))),"Y","")</f>
        <v>0</v>
      </c>
    </row>
    <row r="1955" spans="7:8">
      <c r="G1955" s="2">
        <f>IF(F1955="PASS", E1955, "")</f>
        <v>0</v>
      </c>
      <c r="H1955">
        <f>IF(AND(F1955="PASS", G1955&lt;=IFERROR(VLOOKUP(A1955,Graduation_Cutoff!$A$2:$B$8,2,FALSE),DATE(9999,12,31))),"Y","")</f>
        <v>0</v>
      </c>
    </row>
    <row r="1956" spans="7:8">
      <c r="G1956" s="2">
        <f>IF(F1956="PASS", E1956, "")</f>
        <v>0</v>
      </c>
      <c r="H1956">
        <f>IF(AND(F1956="PASS", G1956&lt;=IFERROR(VLOOKUP(A1956,Graduation_Cutoff!$A$2:$B$8,2,FALSE),DATE(9999,12,31))),"Y","")</f>
        <v>0</v>
      </c>
    </row>
    <row r="1957" spans="7:8">
      <c r="G1957" s="2">
        <f>IF(F1957="PASS", E1957, "")</f>
        <v>0</v>
      </c>
      <c r="H1957">
        <f>IF(AND(F1957="PASS", G1957&lt;=IFERROR(VLOOKUP(A1957,Graduation_Cutoff!$A$2:$B$8,2,FALSE),DATE(9999,12,31))),"Y","")</f>
        <v>0</v>
      </c>
    </row>
    <row r="1958" spans="7:8">
      <c r="G1958" s="2">
        <f>IF(F1958="PASS", E1958, "")</f>
        <v>0</v>
      </c>
      <c r="H1958">
        <f>IF(AND(F1958="PASS", G1958&lt;=IFERROR(VLOOKUP(A1958,Graduation_Cutoff!$A$2:$B$8,2,FALSE),DATE(9999,12,31))),"Y","")</f>
        <v>0</v>
      </c>
    </row>
    <row r="1959" spans="7:8">
      <c r="G1959" s="2">
        <f>IF(F1959="PASS", E1959, "")</f>
        <v>0</v>
      </c>
      <c r="H1959">
        <f>IF(AND(F1959="PASS", G1959&lt;=IFERROR(VLOOKUP(A1959,Graduation_Cutoff!$A$2:$B$8,2,FALSE),DATE(9999,12,31))),"Y","")</f>
        <v>0</v>
      </c>
    </row>
    <row r="1960" spans="7:8">
      <c r="G1960" s="2">
        <f>IF(F1960="PASS", E1960, "")</f>
        <v>0</v>
      </c>
      <c r="H1960">
        <f>IF(AND(F1960="PASS", G1960&lt;=IFERROR(VLOOKUP(A1960,Graduation_Cutoff!$A$2:$B$8,2,FALSE),DATE(9999,12,31))),"Y","")</f>
        <v>0</v>
      </c>
    </row>
    <row r="1961" spans="7:8">
      <c r="G1961" s="2">
        <f>IF(F1961="PASS", E1961, "")</f>
        <v>0</v>
      </c>
      <c r="H1961">
        <f>IF(AND(F1961="PASS", G1961&lt;=IFERROR(VLOOKUP(A1961,Graduation_Cutoff!$A$2:$B$8,2,FALSE),DATE(9999,12,31))),"Y","")</f>
        <v>0</v>
      </c>
    </row>
    <row r="1962" spans="7:8">
      <c r="G1962" s="2">
        <f>IF(F1962="PASS", E1962, "")</f>
        <v>0</v>
      </c>
      <c r="H1962">
        <f>IF(AND(F1962="PASS", G1962&lt;=IFERROR(VLOOKUP(A1962,Graduation_Cutoff!$A$2:$B$8,2,FALSE),DATE(9999,12,31))),"Y","")</f>
        <v>0</v>
      </c>
    </row>
    <row r="1963" spans="7:8">
      <c r="G1963" s="2">
        <f>IF(F1963="PASS", E1963, "")</f>
        <v>0</v>
      </c>
      <c r="H1963">
        <f>IF(AND(F1963="PASS", G1963&lt;=IFERROR(VLOOKUP(A1963,Graduation_Cutoff!$A$2:$B$8,2,FALSE),DATE(9999,12,31))),"Y","")</f>
        <v>0</v>
      </c>
    </row>
    <row r="1964" spans="7:8">
      <c r="G1964" s="2">
        <f>IF(F1964="PASS", E1964, "")</f>
        <v>0</v>
      </c>
      <c r="H1964">
        <f>IF(AND(F1964="PASS", G1964&lt;=IFERROR(VLOOKUP(A1964,Graduation_Cutoff!$A$2:$B$8,2,FALSE),DATE(9999,12,31))),"Y","")</f>
        <v>0</v>
      </c>
    </row>
    <row r="1965" spans="7:8">
      <c r="G1965" s="2">
        <f>IF(F1965="PASS", E1965, "")</f>
        <v>0</v>
      </c>
      <c r="H1965">
        <f>IF(AND(F1965="PASS", G1965&lt;=IFERROR(VLOOKUP(A1965,Graduation_Cutoff!$A$2:$B$8,2,FALSE),DATE(9999,12,31))),"Y","")</f>
        <v>0</v>
      </c>
    </row>
    <row r="1966" spans="7:8">
      <c r="G1966" s="2">
        <f>IF(F1966="PASS", E1966, "")</f>
        <v>0</v>
      </c>
      <c r="H1966">
        <f>IF(AND(F1966="PASS", G1966&lt;=IFERROR(VLOOKUP(A1966,Graduation_Cutoff!$A$2:$B$8,2,FALSE),DATE(9999,12,31))),"Y","")</f>
        <v>0</v>
      </c>
    </row>
    <row r="1967" spans="7:8">
      <c r="G1967" s="2">
        <f>IF(F1967="PASS", E1967, "")</f>
        <v>0</v>
      </c>
      <c r="H1967">
        <f>IF(AND(F1967="PASS", G1967&lt;=IFERROR(VLOOKUP(A1967,Graduation_Cutoff!$A$2:$B$8,2,FALSE),DATE(9999,12,31))),"Y","")</f>
        <v>0</v>
      </c>
    </row>
    <row r="1968" spans="7:8">
      <c r="G1968" s="2">
        <f>IF(F1968="PASS", E1968, "")</f>
        <v>0</v>
      </c>
      <c r="H1968">
        <f>IF(AND(F1968="PASS", G1968&lt;=IFERROR(VLOOKUP(A1968,Graduation_Cutoff!$A$2:$B$8,2,FALSE),DATE(9999,12,31))),"Y","")</f>
        <v>0</v>
      </c>
    </row>
    <row r="1969" spans="7:8">
      <c r="G1969" s="2">
        <f>IF(F1969="PASS", E1969, "")</f>
        <v>0</v>
      </c>
      <c r="H1969">
        <f>IF(AND(F1969="PASS", G1969&lt;=IFERROR(VLOOKUP(A1969,Graduation_Cutoff!$A$2:$B$8,2,FALSE),DATE(9999,12,31))),"Y","")</f>
        <v>0</v>
      </c>
    </row>
    <row r="1970" spans="7:8">
      <c r="G1970" s="2">
        <f>IF(F1970="PASS", E1970, "")</f>
        <v>0</v>
      </c>
      <c r="H1970">
        <f>IF(AND(F1970="PASS", G1970&lt;=IFERROR(VLOOKUP(A1970,Graduation_Cutoff!$A$2:$B$8,2,FALSE),DATE(9999,12,31))),"Y","")</f>
        <v>0</v>
      </c>
    </row>
    <row r="1971" spans="7:8">
      <c r="G1971" s="2">
        <f>IF(F1971="PASS", E1971, "")</f>
        <v>0</v>
      </c>
      <c r="H1971">
        <f>IF(AND(F1971="PASS", G1971&lt;=IFERROR(VLOOKUP(A1971,Graduation_Cutoff!$A$2:$B$8,2,FALSE),DATE(9999,12,31))),"Y","")</f>
        <v>0</v>
      </c>
    </row>
    <row r="1972" spans="7:8">
      <c r="G1972" s="2">
        <f>IF(F1972="PASS", E1972, "")</f>
        <v>0</v>
      </c>
      <c r="H1972">
        <f>IF(AND(F1972="PASS", G1972&lt;=IFERROR(VLOOKUP(A1972,Graduation_Cutoff!$A$2:$B$8,2,FALSE),DATE(9999,12,31))),"Y","")</f>
        <v>0</v>
      </c>
    </row>
    <row r="1973" spans="7:8">
      <c r="G1973" s="2">
        <f>IF(F1973="PASS", E1973, "")</f>
        <v>0</v>
      </c>
      <c r="H1973">
        <f>IF(AND(F1973="PASS", G1973&lt;=IFERROR(VLOOKUP(A1973,Graduation_Cutoff!$A$2:$B$8,2,FALSE),DATE(9999,12,31))),"Y","")</f>
        <v>0</v>
      </c>
    </row>
    <row r="1974" spans="7:8">
      <c r="G1974" s="2">
        <f>IF(F1974="PASS", E1974, "")</f>
        <v>0</v>
      </c>
      <c r="H1974">
        <f>IF(AND(F1974="PASS", G1974&lt;=IFERROR(VLOOKUP(A1974,Graduation_Cutoff!$A$2:$B$8,2,FALSE),DATE(9999,12,31))),"Y","")</f>
        <v>0</v>
      </c>
    </row>
    <row r="1975" spans="7:8">
      <c r="G1975" s="2">
        <f>IF(F1975="PASS", E1975, "")</f>
        <v>0</v>
      </c>
      <c r="H1975">
        <f>IF(AND(F1975="PASS", G1975&lt;=IFERROR(VLOOKUP(A1975,Graduation_Cutoff!$A$2:$B$8,2,FALSE),DATE(9999,12,31))),"Y","")</f>
        <v>0</v>
      </c>
    </row>
    <row r="1976" spans="7:8">
      <c r="G1976" s="2">
        <f>IF(F1976="PASS", E1976, "")</f>
        <v>0</v>
      </c>
      <c r="H1976">
        <f>IF(AND(F1976="PASS", G1976&lt;=IFERROR(VLOOKUP(A1976,Graduation_Cutoff!$A$2:$B$8,2,FALSE),DATE(9999,12,31))),"Y","")</f>
        <v>0</v>
      </c>
    </row>
    <row r="1977" spans="7:8">
      <c r="G1977" s="2">
        <f>IF(F1977="PASS", E1977, "")</f>
        <v>0</v>
      </c>
      <c r="H1977">
        <f>IF(AND(F1977="PASS", G1977&lt;=IFERROR(VLOOKUP(A1977,Graduation_Cutoff!$A$2:$B$8,2,FALSE),DATE(9999,12,31))),"Y","")</f>
        <v>0</v>
      </c>
    </row>
    <row r="1978" spans="7:8">
      <c r="G1978" s="2">
        <f>IF(F1978="PASS", E1978, "")</f>
        <v>0</v>
      </c>
      <c r="H1978">
        <f>IF(AND(F1978="PASS", G1978&lt;=IFERROR(VLOOKUP(A1978,Graduation_Cutoff!$A$2:$B$8,2,FALSE),DATE(9999,12,31))),"Y","")</f>
        <v>0</v>
      </c>
    </row>
    <row r="1979" spans="7:8">
      <c r="G1979" s="2">
        <f>IF(F1979="PASS", E1979, "")</f>
        <v>0</v>
      </c>
      <c r="H1979">
        <f>IF(AND(F1979="PASS", G1979&lt;=IFERROR(VLOOKUP(A1979,Graduation_Cutoff!$A$2:$B$8,2,FALSE),DATE(9999,12,31))),"Y","")</f>
        <v>0</v>
      </c>
    </row>
    <row r="1980" spans="7:8">
      <c r="G1980" s="2">
        <f>IF(F1980="PASS", E1980, "")</f>
        <v>0</v>
      </c>
      <c r="H1980">
        <f>IF(AND(F1980="PASS", G1980&lt;=IFERROR(VLOOKUP(A1980,Graduation_Cutoff!$A$2:$B$8,2,FALSE),DATE(9999,12,31))),"Y","")</f>
        <v>0</v>
      </c>
    </row>
    <row r="1981" spans="7:8">
      <c r="G1981" s="2">
        <f>IF(F1981="PASS", E1981, "")</f>
        <v>0</v>
      </c>
      <c r="H1981">
        <f>IF(AND(F1981="PASS", G1981&lt;=IFERROR(VLOOKUP(A1981,Graduation_Cutoff!$A$2:$B$8,2,FALSE),DATE(9999,12,31))),"Y","")</f>
        <v>0</v>
      </c>
    </row>
    <row r="1982" spans="7:8">
      <c r="G1982" s="2">
        <f>IF(F1982="PASS", E1982, "")</f>
        <v>0</v>
      </c>
      <c r="H1982">
        <f>IF(AND(F1982="PASS", G1982&lt;=IFERROR(VLOOKUP(A1982,Graduation_Cutoff!$A$2:$B$8,2,FALSE),DATE(9999,12,31))),"Y","")</f>
        <v>0</v>
      </c>
    </row>
    <row r="1983" spans="7:8">
      <c r="G1983" s="2">
        <f>IF(F1983="PASS", E1983, "")</f>
        <v>0</v>
      </c>
      <c r="H1983">
        <f>IF(AND(F1983="PASS", G1983&lt;=IFERROR(VLOOKUP(A1983,Graduation_Cutoff!$A$2:$B$8,2,FALSE),DATE(9999,12,31))),"Y","")</f>
        <v>0</v>
      </c>
    </row>
    <row r="1984" spans="7:8">
      <c r="G1984" s="2">
        <f>IF(F1984="PASS", E1984, "")</f>
        <v>0</v>
      </c>
      <c r="H1984">
        <f>IF(AND(F1984="PASS", G1984&lt;=IFERROR(VLOOKUP(A1984,Graduation_Cutoff!$A$2:$B$8,2,FALSE),DATE(9999,12,31))),"Y","")</f>
        <v>0</v>
      </c>
    </row>
    <row r="1985" spans="7:8">
      <c r="G1985" s="2">
        <f>IF(F1985="PASS", E1985, "")</f>
        <v>0</v>
      </c>
      <c r="H1985">
        <f>IF(AND(F1985="PASS", G1985&lt;=IFERROR(VLOOKUP(A1985,Graduation_Cutoff!$A$2:$B$8,2,FALSE),DATE(9999,12,31))),"Y","")</f>
        <v>0</v>
      </c>
    </row>
    <row r="1986" spans="7:8">
      <c r="G1986" s="2">
        <f>IF(F1986="PASS", E1986, "")</f>
        <v>0</v>
      </c>
      <c r="H1986">
        <f>IF(AND(F1986="PASS", G1986&lt;=IFERROR(VLOOKUP(A1986,Graduation_Cutoff!$A$2:$B$8,2,FALSE),DATE(9999,12,31))),"Y","")</f>
        <v>0</v>
      </c>
    </row>
    <row r="1987" spans="7:8">
      <c r="G1987" s="2">
        <f>IF(F1987="PASS", E1987, "")</f>
        <v>0</v>
      </c>
      <c r="H1987">
        <f>IF(AND(F1987="PASS", G1987&lt;=IFERROR(VLOOKUP(A1987,Graduation_Cutoff!$A$2:$B$8,2,FALSE),DATE(9999,12,31))),"Y","")</f>
        <v>0</v>
      </c>
    </row>
    <row r="1988" spans="7:8">
      <c r="G1988" s="2">
        <f>IF(F1988="PASS", E1988, "")</f>
        <v>0</v>
      </c>
      <c r="H1988">
        <f>IF(AND(F1988="PASS", G1988&lt;=IFERROR(VLOOKUP(A1988,Graduation_Cutoff!$A$2:$B$8,2,FALSE),DATE(9999,12,31))),"Y","")</f>
        <v>0</v>
      </c>
    </row>
    <row r="1989" spans="7:8">
      <c r="G1989" s="2">
        <f>IF(F1989="PASS", E1989, "")</f>
        <v>0</v>
      </c>
      <c r="H1989">
        <f>IF(AND(F1989="PASS", G1989&lt;=IFERROR(VLOOKUP(A1989,Graduation_Cutoff!$A$2:$B$8,2,FALSE),DATE(9999,12,31))),"Y","")</f>
        <v>0</v>
      </c>
    </row>
    <row r="1990" spans="7:8">
      <c r="G1990" s="2">
        <f>IF(F1990="PASS", E1990, "")</f>
        <v>0</v>
      </c>
      <c r="H1990">
        <f>IF(AND(F1990="PASS", G1990&lt;=IFERROR(VLOOKUP(A1990,Graduation_Cutoff!$A$2:$B$8,2,FALSE),DATE(9999,12,31))),"Y","")</f>
        <v>0</v>
      </c>
    </row>
    <row r="1991" spans="7:8">
      <c r="G1991" s="2">
        <f>IF(F1991="PASS", E1991, "")</f>
        <v>0</v>
      </c>
      <c r="H1991">
        <f>IF(AND(F1991="PASS", G1991&lt;=IFERROR(VLOOKUP(A1991,Graduation_Cutoff!$A$2:$B$8,2,FALSE),DATE(9999,12,31))),"Y","")</f>
        <v>0</v>
      </c>
    </row>
    <row r="1992" spans="7:8">
      <c r="G1992" s="2">
        <f>IF(F1992="PASS", E1992, "")</f>
        <v>0</v>
      </c>
      <c r="H1992">
        <f>IF(AND(F1992="PASS", G1992&lt;=IFERROR(VLOOKUP(A1992,Graduation_Cutoff!$A$2:$B$8,2,FALSE),DATE(9999,12,31))),"Y","")</f>
        <v>0</v>
      </c>
    </row>
    <row r="1993" spans="7:8">
      <c r="G1993" s="2">
        <f>IF(F1993="PASS", E1993, "")</f>
        <v>0</v>
      </c>
      <c r="H1993">
        <f>IF(AND(F1993="PASS", G1993&lt;=IFERROR(VLOOKUP(A1993,Graduation_Cutoff!$A$2:$B$8,2,FALSE),DATE(9999,12,31))),"Y","")</f>
        <v>0</v>
      </c>
    </row>
    <row r="1994" spans="7:8">
      <c r="G1994" s="2">
        <f>IF(F1994="PASS", E1994, "")</f>
        <v>0</v>
      </c>
      <c r="H1994">
        <f>IF(AND(F1994="PASS", G1994&lt;=IFERROR(VLOOKUP(A1994,Graduation_Cutoff!$A$2:$B$8,2,FALSE),DATE(9999,12,31))),"Y","")</f>
        <v>0</v>
      </c>
    </row>
    <row r="1995" spans="7:8">
      <c r="G1995" s="2">
        <f>IF(F1995="PASS", E1995, "")</f>
        <v>0</v>
      </c>
      <c r="H1995">
        <f>IF(AND(F1995="PASS", G1995&lt;=IFERROR(VLOOKUP(A1995,Graduation_Cutoff!$A$2:$B$8,2,FALSE),DATE(9999,12,31))),"Y","")</f>
        <v>0</v>
      </c>
    </row>
    <row r="1996" spans="7:8">
      <c r="G1996" s="2">
        <f>IF(F1996="PASS", E1996, "")</f>
        <v>0</v>
      </c>
      <c r="H1996">
        <f>IF(AND(F1996="PASS", G1996&lt;=IFERROR(VLOOKUP(A1996,Graduation_Cutoff!$A$2:$B$8,2,FALSE),DATE(9999,12,31))),"Y","")</f>
        <v>0</v>
      </c>
    </row>
    <row r="1997" spans="7:8">
      <c r="G1997" s="2">
        <f>IF(F1997="PASS", E1997, "")</f>
        <v>0</v>
      </c>
      <c r="H1997">
        <f>IF(AND(F1997="PASS", G1997&lt;=IFERROR(VLOOKUP(A1997,Graduation_Cutoff!$A$2:$B$8,2,FALSE),DATE(9999,12,31))),"Y","")</f>
        <v>0</v>
      </c>
    </row>
    <row r="1998" spans="7:8">
      <c r="G1998" s="2">
        <f>IF(F1998="PASS", E1998, "")</f>
        <v>0</v>
      </c>
      <c r="H1998">
        <f>IF(AND(F1998="PASS", G1998&lt;=IFERROR(VLOOKUP(A1998,Graduation_Cutoff!$A$2:$B$8,2,FALSE),DATE(9999,12,31))),"Y","")</f>
        <v>0</v>
      </c>
    </row>
    <row r="1999" spans="7:8">
      <c r="G1999" s="2">
        <f>IF(F1999="PASS", E1999, "")</f>
        <v>0</v>
      </c>
      <c r="H1999">
        <f>IF(AND(F1999="PASS", G1999&lt;=IFERROR(VLOOKUP(A1999,Graduation_Cutoff!$A$2:$B$8,2,FALSE),DATE(9999,12,31))),"Y","")</f>
        <v>0</v>
      </c>
    </row>
    <row r="2000" spans="7:8">
      <c r="G2000" s="2">
        <f>IF(F2000="PASS", E2000, "")</f>
        <v>0</v>
      </c>
      <c r="H2000">
        <f>IF(AND(F2000="PASS", G2000&lt;=IFERROR(VLOOKUP(A2000,Graduation_Cutoff!$A$2:$B$8,2,FALSE),DATE(9999,12,31))),"Y","")</f>
        <v>0</v>
      </c>
    </row>
    <row r="2001" spans="7:8">
      <c r="G2001" s="2">
        <f>IF(F2001="PASS", E2001, "")</f>
        <v>0</v>
      </c>
      <c r="H2001">
        <f>IF(AND(F2001="PASS", G2001&lt;=IFERROR(VLOOKUP(A2001,Graduation_Cutoff!$A$2:$B$8,2,FALSE),DATE(9999,12,31))),"Y","")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8.7109375" customWidth="1"/>
  </cols>
  <sheetData>
    <row r="1" spans="1:2">
      <c r="A1" s="1" t="s">
        <v>6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  <row r="6" spans="1:2">
      <c r="A6" t="s">
        <v>18</v>
      </c>
    </row>
    <row r="7" spans="1:2">
      <c r="A7" t="s">
        <v>19</v>
      </c>
    </row>
    <row r="8" spans="1:2">
      <c r="A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5" width="34.7109375" customWidth="1"/>
  </cols>
  <sheetData>
    <row r="1" spans="1:5">
      <c r="A1" s="1" t="s">
        <v>6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14</v>
      </c>
      <c r="C2" s="3" cm="1">
        <f t="array" ref="C2">IFERROR(ROWS(_xlfn.UNIQUE(_xlfn._xlws.FILTER(Student_Master!$C$2:$C$1001,Student_Master!$A$2:$A$1001="CAY"))),0)</f>
        <v>0</v>
      </c>
      <c r="D2" s="3" cm="1">
        <f t="array" ref="D2">IFERROR(ROWS(_xlfn.UNIQUE(_xlfn._xlws.FILTER(Backlog_Records!$B$2:$B$2001,(Backlog_Records!$A$2:$A$2001="CAY")*(Backlog_Records!$H$2:$H$2001="Y")))),0)</f>
        <v>0</v>
      </c>
      <c r="E2" s="3">
        <f>MAX(0,C2-D2)</f>
        <v>0</v>
      </c>
    </row>
    <row r="3" spans="1:5">
      <c r="A3" t="s">
        <v>15</v>
      </c>
      <c r="C3" s="3" cm="1">
        <f t="array" ref="C3">IFERROR(ROWS(_xlfn.UNIQUE(_xlfn._xlws.FILTER(Student_Master!$C$2:$C$1001,Student_Master!$A$2:$A$1001="CAYm1"))),0)</f>
        <v>0</v>
      </c>
      <c r="D3" s="3" cm="1">
        <f t="array" ref="D3">IFERROR(ROWS(_xlfn.UNIQUE(_xlfn._xlws.FILTER(Backlog_Records!$B$2:$B$2001,(Backlog_Records!$A$2:$A$2001="CAYm1")*(Backlog_Records!$H$2:$H$2001="Y")))),0)</f>
        <v>0</v>
      </c>
      <c r="E3" s="3">
        <f>MAX(0,C3-D3)</f>
        <v>0</v>
      </c>
    </row>
    <row r="4" spans="1:5">
      <c r="A4" t="s">
        <v>16</v>
      </c>
      <c r="C4" s="3" cm="1">
        <f t="array" ref="C4">IFERROR(ROWS(_xlfn.UNIQUE(_xlfn._xlws.FILTER(Student_Master!$C$2:$C$1001,Student_Master!$A$2:$A$1001="CAYm2"))),0)</f>
        <v>0</v>
      </c>
      <c r="D4" s="3" cm="1">
        <f t="array" ref="D4">IFERROR(ROWS(_xlfn.UNIQUE(_xlfn._xlws.FILTER(Backlog_Records!$B$2:$B$2001,(Backlog_Records!$A$2:$A$2001="CAYm2")*(Backlog_Records!$H$2:$H$2001="Y")))),0)</f>
        <v>0</v>
      </c>
      <c r="E4" s="3">
        <f>MAX(0,C4-D4)</f>
        <v>0</v>
      </c>
    </row>
    <row r="5" spans="1:5">
      <c r="A5" t="s">
        <v>17</v>
      </c>
      <c r="C5" s="3" cm="1">
        <f t="array" ref="C5">IFERROR(ROWS(_xlfn.UNIQUE(_xlfn._xlws.FILTER(Student_Master!$C$2:$C$1001,Student_Master!$A$2:$A$1001="CAYm3"))),0)</f>
        <v>0</v>
      </c>
      <c r="D5" s="3" cm="1">
        <f t="array" ref="D5">IFERROR(ROWS(_xlfn.UNIQUE(_xlfn._xlws.FILTER(Backlog_Records!$B$2:$B$2001,(Backlog_Records!$A$2:$A$2001="CAYm3")*(Backlog_Records!$H$2:$H$2001="Y")))),0)</f>
        <v>0</v>
      </c>
      <c r="E5" s="3">
        <f>MAX(0,C5-D5)</f>
        <v>0</v>
      </c>
    </row>
    <row r="6" spans="1:5">
      <c r="A6" t="s">
        <v>18</v>
      </c>
      <c r="C6" s="3" cm="1">
        <f t="array" ref="C6">IFERROR(ROWS(_xlfn.UNIQUE(_xlfn._xlws.FILTER(Student_Master!$C$2:$C$1001,Student_Master!$A$2:$A$1001="CAYm4 (LYG)"))),0)</f>
        <v>0</v>
      </c>
      <c r="D6" s="3" cm="1">
        <f t="array" ref="D6">IFERROR(ROWS(_xlfn.UNIQUE(_xlfn._xlws.FILTER(Backlog_Records!$B$2:$B$2001,(Backlog_Records!$A$2:$A$2001="CAYm4 (LYG)")*(Backlog_Records!$H$2:$H$2001="Y")))),0)</f>
        <v>0</v>
      </c>
      <c r="E6" s="3">
        <f>MAX(0,C6-D6)</f>
        <v>0</v>
      </c>
    </row>
    <row r="7" spans="1:5">
      <c r="A7" t="s">
        <v>19</v>
      </c>
      <c r="C7" s="3" cm="1">
        <f t="array" ref="C7">IFERROR(ROWS(_xlfn.UNIQUE(_xlfn._xlws.FILTER(Student_Master!$C$2:$C$1001,Student_Master!$A$2:$A$1001="CAYm5 (LYGm1)"))),0)</f>
        <v>0</v>
      </c>
      <c r="D7" s="3" cm="1">
        <f t="array" ref="D7">IFERROR(ROWS(_xlfn.UNIQUE(_xlfn._xlws.FILTER(Backlog_Records!$B$2:$B$2001,(Backlog_Records!$A$2:$A$2001="CAYm5 (LYGm1)")*(Backlog_Records!$H$2:$H$2001="Y")))),0)</f>
        <v>0</v>
      </c>
      <c r="E7" s="3">
        <f>MAX(0,C7-D7)</f>
        <v>0</v>
      </c>
    </row>
    <row r="8" spans="1:5">
      <c r="A8" t="s">
        <v>20</v>
      </c>
      <c r="C8" s="3" cm="1">
        <f t="array" ref="C8">IFERROR(ROWS(_xlfn.UNIQUE(_xlfn._xlws.FILTER(Student_Master!$C$2:$C$1001,Student_Master!$A$2:$A$1001="CAYm6 (LYGm2)"))),0)</f>
        <v>0</v>
      </c>
      <c r="D8" s="3" cm="1">
        <f t="array" ref="D8">IFERROR(ROWS(_xlfn.UNIQUE(_xlfn._xlws.FILTER(Backlog_Records!$B$2:$B$2001,(Backlog_Records!$A$2:$A$2001="CAYm6 (LYGm2)")*(Backlog_Records!$H$2:$H$2001="Y")))),0)</f>
        <v>0</v>
      </c>
      <c r="E8" s="3">
        <f>MAX(0,C8-D8)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25</v>
      </c>
    </row>
    <row r="2" spans="1:1">
      <c r="A2" t="s">
        <v>26</v>
      </c>
    </row>
    <row r="4" spans="1:1">
      <c r="A4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Student_Master</vt:lpstr>
      <vt:lpstr>Backlog_Records</vt:lpstr>
      <vt:lpstr>Graduation_Cutoff</vt:lpstr>
      <vt:lpstr>Summary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2025-08-26T05:19:49Z</dcterms:created>
  <dcterms:modified xsi:type="dcterms:W3CDTF">2025-08-26T05:19:49Z</dcterms:modified>
</cp:coreProperties>
</file>