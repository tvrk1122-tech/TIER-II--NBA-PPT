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YSFR_Calc" sheetId="1" state="visible" r:id="rId1"/>
    <sheet xmlns:r="http://schemas.openxmlformats.org/officeDocument/2006/relationships" name="Scor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 (CAY/CAYm1/CAYm2)</t>
        </is>
      </c>
      <c r="B1" s="1" t="inlineStr">
        <is>
          <t>S4: Sanctioned Intake</t>
        </is>
      </c>
      <c r="C1" s="1" t="inlineStr">
        <is>
          <t>RF4 (=S4/20)</t>
        </is>
      </c>
      <c r="D1" s="1" t="inlineStr">
        <is>
          <t>NS1: Basic Sci/HS/Management</t>
        </is>
      </c>
      <c r="E1" s="1" t="inlineStr">
        <is>
          <t>NS2: Engineering Sciences</t>
        </is>
      </c>
      <c r="F1" s="1" t="inlineStr">
        <is>
          <t>Weighted Faculty (=NS1*0.8+NS2*0.2)</t>
        </is>
      </c>
      <c r="G1" s="1" t="inlineStr">
        <is>
          <t>Coverage % (=Weighted/RF4)</t>
        </is>
      </c>
      <c r="H1" s="1" t="inlineStr">
        <is>
          <t>NBA Score (by Coverage %)</t>
        </is>
      </c>
    </row>
    <row r="2">
      <c r="A2" t="inlineStr">
        <is>
          <t>CAY</t>
        </is>
      </c>
      <c r="B2" t="inlineStr"/>
      <c r="C2">
        <f>IFERROR(B2/20,"")</f>
        <v/>
      </c>
      <c r="D2" t="inlineStr"/>
      <c r="E2" t="inlineStr"/>
      <c r="F2">
        <f>IFERROR(D2*0.8+E2*0.2,"")</f>
        <v/>
      </c>
      <c r="G2">
        <f>IFERROR(F2/C2,"")</f>
        <v/>
      </c>
      <c r="H2">
        <f>IF(=IFERROR(F2/C2,"")&gt;=0.9,5,IF(AND(=IFERROR(F2/C2,"")&gt;=0.8,=IFERROR(F2/C2,"")&lt;0.9),4,IF(AND(=IFERROR(F2/C2,"")&gt;=0.7,=IFERROR(F2/C2,"")&lt;0.8),3,IF(AND(=IFERROR(F2/C2,"")&gt;=0.6,=IFERROR(F2/C2,"")&lt;0.7),2,IF(AND(=IFERROR(F2/C2,"")&gt;=0.5,=IFERROR(F2/C2,"")&lt;0.6),1,0)))))</f>
        <v/>
      </c>
    </row>
    <row r="3">
      <c r="A3" t="inlineStr">
        <is>
          <t>CAYm1</t>
        </is>
      </c>
      <c r="B3" t="inlineStr"/>
      <c r="C3">
        <f>IFERROR(B3/20,"")</f>
        <v/>
      </c>
      <c r="D3" t="inlineStr"/>
      <c r="E3" t="inlineStr"/>
      <c r="F3">
        <f>IFERROR(D3*0.8+E3*0.2,"")</f>
        <v/>
      </c>
      <c r="G3">
        <f>IFERROR(F3/C3,"")</f>
        <v/>
      </c>
      <c r="H3">
        <f>IF(=IFERROR(F3/C3,"")&gt;=0.9,5,IF(AND(=IFERROR(F3/C3,"")&gt;=0.8,=IFERROR(F3/C3,"")&lt;0.9),4,IF(AND(=IFERROR(F3/C3,"")&gt;=0.7,=IFERROR(F3/C3,"")&lt;0.8),3,IF(AND(=IFERROR(F3/C3,"")&gt;=0.6,=IFERROR(F3/C3,"")&lt;0.7),2,IF(AND(=IFERROR(F3/C3,"")&gt;=0.5,=IFERROR(F3/C3,"")&lt;0.6),1,0)))))</f>
        <v/>
      </c>
    </row>
    <row r="4">
      <c r="A4" t="inlineStr">
        <is>
          <t>CAYm2</t>
        </is>
      </c>
      <c r="B4" t="inlineStr"/>
      <c r="C4">
        <f>IFERROR(B4/20,"")</f>
        <v/>
      </c>
      <c r="D4" t="inlineStr"/>
      <c r="E4" t="inlineStr"/>
      <c r="F4">
        <f>IFERROR(D4*0.8+E4*0.2,"")</f>
        <v/>
      </c>
      <c r="G4">
        <f>IFERROR(F4/C4,"")</f>
        <v/>
      </c>
      <c r="H4">
        <f>IF(=IFERROR(F4/C4,"")&gt;=0.9,5,IF(AND(=IFERROR(F4/C4,"")&gt;=0.8,=IFERROR(F4/C4,"")&lt;0.9),4,IF(AND(=IFERROR(F4/C4,"")&gt;=0.7,=IFERROR(F4/C4,"")&lt;0.8),3,IF(AND(=IFERROR(F4/C4,"")&gt;=0.6,=IFERROR(F4/C4,"")&lt;0.7),2,IF(AND(=IFERROR(F4/C4,"")&gt;=0.5,=IFERROR(F4/C4,"")&lt;0.6),1,0)))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Coverage % Threshold</t>
        </is>
      </c>
      <c r="B1" s="1" t="inlineStr">
        <is>
          <t>NBA Score</t>
        </is>
      </c>
    </row>
    <row r="2">
      <c r="A2" t="inlineStr">
        <is>
          <t>&gt;= 90%</t>
        </is>
      </c>
      <c r="B2" t="n">
        <v>5</v>
      </c>
    </row>
    <row r="3">
      <c r="A3" t="inlineStr">
        <is>
          <t>&gt;= 80% and &lt; 90%</t>
        </is>
      </c>
      <c r="B3" t="n">
        <v>4</v>
      </c>
    </row>
    <row r="4">
      <c r="A4" t="inlineStr">
        <is>
          <t>&gt;= 70% and &lt; 80%</t>
        </is>
      </c>
      <c r="B4" t="n">
        <v>3</v>
      </c>
    </row>
    <row r="5">
      <c r="A5" t="inlineStr">
        <is>
          <t>&gt;= 60% and &lt; 70%</t>
        </is>
      </c>
      <c r="B5" t="n">
        <v>2</v>
      </c>
    </row>
    <row r="6">
      <c r="A6" t="inlineStr">
        <is>
          <t>&gt;= 50% and &lt; 60%</t>
        </is>
      </c>
      <c r="B6" t="n">
        <v>1</v>
      </c>
    </row>
    <row r="7">
      <c r="A7" t="inlineStr">
        <is>
          <t>&lt; 50%</t>
        </is>
      </c>
      <c r="B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2025-08-28T04:22:29Z</dcterms:created>
  <dcterms:modified xmlns:dcterms="http://purl.org/dc/terms/" xmlns:xsi="http://www.w3.org/2001/XMLSchema-instance" xsi:type="dcterms:W3CDTF">2025-08-28T04:22:29Z</dcterms:modified>
</cp:coreProperties>
</file>