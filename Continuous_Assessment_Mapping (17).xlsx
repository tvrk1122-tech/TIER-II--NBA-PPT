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  <sheet xmlns:r="http://schemas.openxmlformats.org/officeDocument/2006/relationships" name="Assignment-wise Attainment" sheetId="15" state="visible" r:id="rId15"/>
    <sheet xmlns:r="http://schemas.openxmlformats.org/officeDocument/2006/relationships" name="CO Attainment Summary" sheetId="16" state="visible" r:id="rId16"/>
    <sheet xmlns:r="http://schemas.openxmlformats.org/officeDocument/2006/relationships" name="Unit Test-wise Attainment" sheetId="17" state="visible" r:id="rId17"/>
    <sheet xmlns:r="http://schemas.openxmlformats.org/officeDocument/2006/relationships" name="Mid-Term-wise Attainment" sheetId="18" state="visible" r:id="rId18"/>
    <sheet xmlns:r="http://schemas.openxmlformats.org/officeDocument/2006/relationships" name="PO_PSO Aggregation" sheetId="19" state="visible" r:id="rId19"/>
    <sheet xmlns:r="http://schemas.openxmlformats.org/officeDocument/2006/relationships" name="CO–PO &amp; PSO Matrix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6" t="inlineStr">
        <is>
          <t>Assignment-wise CO Attainment (Based on Assignment Mapping + Marks)</t>
        </is>
      </c>
    </row>
    <row r="2">
      <c r="A2" s="1" t="inlineStr">
        <is>
          <t>CO</t>
        </is>
      </c>
      <c r="B2" s="1" t="inlineStr">
        <is>
          <t>Assignments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  <row r="8">
      <c r="A8" s="3" t="inlineStr">
        <is>
          <t>Note: Enter Assignment-to-CO mappings in 'Assignment Mapping' sheet and marks in 'Continuous Assessment Records'. This sheet auto-computes CO attainment for assignments.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20" customWidth="1" min="3" max="3"/>
    <col width="24" customWidth="1" min="4" max="4"/>
    <col width="22" customWidth="1" min="5" max="5"/>
    <col width="26" customWidth="1" min="6" max="6"/>
    <col width="28" customWidth="1" min="7" max="7"/>
    <col width="28" customWidth="1" min="8" max="8"/>
    <col width="24" customWidth="1" min="9" max="9"/>
    <col width="24" customWidth="1" min="10" max="10"/>
  </cols>
  <sheetData>
    <row r="1">
      <c r="A1" s="6" t="inlineStr">
        <is>
          <t>Consolidated CO Attainment Summary (Assignments + UTs + Mid-Terms + Indirect)</t>
        </is>
      </c>
    </row>
    <row r="2">
      <c r="A2" s="1" t="inlineStr">
        <is>
          <t>CO</t>
        </is>
      </c>
      <c r="B2" s="1" t="inlineStr">
        <is>
          <t>Assignment Avg % (Auto)</t>
        </is>
      </c>
      <c r="C2" s="1" t="inlineStr">
        <is>
          <t>UT Avg % (Auto)</t>
        </is>
      </c>
      <c r="D2" s="1" t="inlineStr">
        <is>
          <t>Mid-Term Avg % (Auto)</t>
        </is>
      </c>
      <c r="E2" s="1" t="inlineStr">
        <is>
          <t>Weighted Avg % (Auto)</t>
        </is>
      </c>
      <c r="F2" s="1" t="inlineStr">
        <is>
          <t>Direct Attainment Level (Auto)</t>
        </is>
      </c>
      <c r="G2" s="1" t="inlineStr">
        <is>
          <t>Indirect Attainment (Manual Entry)</t>
        </is>
      </c>
      <c r="H2" s="1" t="inlineStr">
        <is>
          <t>Final Attainment Level (Auto)</t>
        </is>
      </c>
      <c r="I2" s="1" t="inlineStr">
        <is>
          <t>PO(s) Mapped</t>
        </is>
      </c>
      <c r="J2" s="1" t="inlineStr">
        <is>
          <t>PSO(s) Mapped</t>
        </is>
      </c>
    </row>
    <row r="3">
      <c r="A3" t="inlineStr">
        <is>
          <t>CO1</t>
        </is>
      </c>
      <c r="B3">
        <f>'Assignment-wise Attainment'!C3</f>
        <v/>
      </c>
      <c r="C3">
        <f>'Unit Test-wise Attainment'!C3</f>
        <v/>
      </c>
      <c r="D3">
        <f>'Mid-Term-wise Attainment'!C3</f>
        <v/>
      </c>
      <c r="E3">
        <f>IF(C3="","",C3*$B$20+D3*$C$20+E3*$D$20)</f>
        <v/>
      </c>
      <c r="F3">
        <f>IF(E3="","",IF(E3&gt;=0.7,3,IF(E3&gt;=0.6,2,IF(E3&gt;=0.5,1,0))))</f>
        <v/>
      </c>
      <c r="H3">
        <f>IF(OR(F3="",G3=""),F3,ROUND(0.8*F3+0.2*G3,0))</f>
        <v/>
      </c>
      <c r="I3">
        <f>'Assignment-wise Attainment'!E3</f>
        <v/>
      </c>
      <c r="J3">
        <f>'Assignment-wise Attainment'!F3</f>
        <v/>
      </c>
    </row>
    <row r="4">
      <c r="A4" t="inlineStr">
        <is>
          <t>CO2</t>
        </is>
      </c>
      <c r="B4">
        <f>'Assignment-wise Attainment'!C4</f>
        <v/>
      </c>
      <c r="C4">
        <f>'Unit Test-wise Attainment'!C4</f>
        <v/>
      </c>
      <c r="D4">
        <f>'Mid-Term-wise Attainment'!C4</f>
        <v/>
      </c>
      <c r="E4">
        <f>IF(C4="","",C4*$B$20+D4*$C$20+E4*$D$20)</f>
        <v/>
      </c>
      <c r="F4">
        <f>IF(E4="","",IF(E4&gt;=0.7,3,IF(E4&gt;=0.6,2,IF(E4&gt;=0.5,1,0))))</f>
        <v/>
      </c>
      <c r="H4">
        <f>IF(OR(F4="",G4=""),F4,ROUND(0.8*F4+0.2*G4,0))</f>
        <v/>
      </c>
      <c r="I4">
        <f>'Assignment-wise Attainment'!E4</f>
        <v/>
      </c>
      <c r="J4">
        <f>'Assignment-wise Attainment'!F4</f>
        <v/>
      </c>
    </row>
    <row r="5">
      <c r="A5" t="inlineStr">
        <is>
          <t>CO3</t>
        </is>
      </c>
      <c r="B5">
        <f>'Assignment-wise Attainment'!C5</f>
        <v/>
      </c>
      <c r="C5">
        <f>'Unit Test-wise Attainment'!C5</f>
        <v/>
      </c>
      <c r="D5">
        <f>'Mid-Term-wise Attainment'!C5</f>
        <v/>
      </c>
      <c r="E5">
        <f>IF(C5="","",C5*$B$20+D5*$C$20+E5*$D$20)</f>
        <v/>
      </c>
      <c r="F5">
        <f>IF(E5="","",IF(E5&gt;=0.7,3,IF(E5&gt;=0.6,2,IF(E5&gt;=0.5,1,0))))</f>
        <v/>
      </c>
      <c r="H5">
        <f>IF(OR(F5="",G5=""),F5,ROUND(0.8*F5+0.2*G5,0))</f>
        <v/>
      </c>
      <c r="I5">
        <f>'Assignment-wise Attainment'!E5</f>
        <v/>
      </c>
      <c r="J5">
        <f>'Assignment-wise Attainment'!F5</f>
        <v/>
      </c>
    </row>
    <row r="6">
      <c r="A6" t="inlineStr">
        <is>
          <t>CO4</t>
        </is>
      </c>
      <c r="B6">
        <f>'Assignment-wise Attainment'!C6</f>
        <v/>
      </c>
      <c r="C6">
        <f>'Unit Test-wise Attainment'!C6</f>
        <v/>
      </c>
      <c r="D6">
        <f>'Mid-Term-wise Attainment'!C6</f>
        <v/>
      </c>
      <c r="E6">
        <f>IF(C6="","",C6*$B$20+D6*$C$20+E6*$D$20)</f>
        <v/>
      </c>
      <c r="F6">
        <f>IF(E6="","",IF(E6&gt;=0.7,3,IF(E6&gt;=0.6,2,IF(E6&gt;=0.5,1,0))))</f>
        <v/>
      </c>
      <c r="H6">
        <f>IF(OR(F6="",G6=""),F6,ROUND(0.8*F6+0.2*G6,0))</f>
        <v/>
      </c>
      <c r="I6">
        <f>'Assignment-wise Attainment'!E6</f>
        <v/>
      </c>
      <c r="J6">
        <f>'Assignment-wise Attainment'!F6</f>
        <v/>
      </c>
    </row>
    <row r="19">
      <c r="A19" s="6" t="inlineStr">
        <is>
          <t>Weights (Editable; sum=1.0)</t>
        </is>
      </c>
    </row>
    <row r="20">
      <c r="B20" t="n">
        <v>0.2</v>
      </c>
      <c r="C20" t="n">
        <v>0.3</v>
      </c>
      <c r="D20" t="n">
        <v>0.5</v>
      </c>
    </row>
    <row r="23">
      <c r="A23" s="3" t="inlineStr">
        <is>
          <t>Note: This summary auto-pulls Assignment attainment. Add UT-wise and Mid-Term-wise attainment sheets to complete linkage. Update weights in row 20.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2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Unit Test-wise CO Attainment (Based on UT Mapping + Marks)</t>
        </is>
      </c>
    </row>
    <row r="2">
      <c r="A2" s="1" t="inlineStr">
        <is>
          <t>CO</t>
        </is>
      </c>
      <c r="B2" s="1" t="inlineStr">
        <is>
          <t>Unit Test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",TRUE,IF('Unit Test Mapping'!G$2:G$1000=A3,'Unit Test Mapping'!D$2:D$1000,""))</f>
        <v/>
      </c>
      <c r="C3">
        <f>IFERROR(AVERAGEIFS('Continuous Assessment Records'!L:L,'Continuous Assessment Records'!F:F,A3,'Continuous Assessment Records'!C:C,"Unit Test"),"")</f>
        <v/>
      </c>
      <c r="D3">
        <f>IF(C3="","",IF(C3&gt;=0.7,3,IF(C3&gt;=0.6,2,IF(C3&gt;=0.5,1,0))))</f>
        <v/>
      </c>
      <c r="E3">
        <f>TEXTJOIN(", ",TRUE,IF('Unit Test Mapping'!G$2:G$1000=A3,'Unit Test Mapping'!H$2:H$1000,""))</f>
        <v/>
      </c>
      <c r="F3">
        <f>TEXTJOIN(", ",TRUE,IF('Unit Test Mapping'!G$2:G$1000=A3,'Unit Test Mapping'!I$2:I$1000,""))</f>
        <v/>
      </c>
    </row>
    <row r="4">
      <c r="A4" t="inlineStr">
        <is>
          <t>CO2</t>
        </is>
      </c>
      <c r="B4">
        <f>TEXTJOIN(", ",TRUE,IF('Unit Test Mapping'!G$2:G$1000=A4,'Unit Test Mapping'!D$2:D$1000,""))</f>
        <v/>
      </c>
      <c r="C4">
        <f>IFERROR(AVERAGEIFS('Continuous Assessment Records'!L:L,'Continuous Assessment Records'!F:F,A4,'Continuous Assessment Records'!C:C,"Unit Test"),"")</f>
        <v/>
      </c>
      <c r="D4">
        <f>IF(C4="","",IF(C4&gt;=0.7,3,IF(C4&gt;=0.6,2,IF(C4&gt;=0.5,1,0))))</f>
        <v/>
      </c>
      <c r="E4">
        <f>TEXTJOIN(", ",TRUE,IF('Unit Test Mapping'!G$2:G$1000=A4,'Unit Test Mapping'!H$2:H$1000,""))</f>
        <v/>
      </c>
      <c r="F4">
        <f>TEXTJOIN(", ",TRUE,IF('Unit Test Mapping'!G$2:G$1000=A4,'Unit Test Mapping'!I$2:I$1000,""))</f>
        <v/>
      </c>
    </row>
    <row r="5">
      <c r="A5" t="inlineStr">
        <is>
          <t>CO3</t>
        </is>
      </c>
      <c r="B5">
        <f>TEXTJOIN(", ",TRUE,IF('Unit Test Mapping'!G$2:G$1000=A5,'Unit Test Mapping'!D$2:D$1000,""))</f>
        <v/>
      </c>
      <c r="C5">
        <f>IFERROR(AVERAGEIFS('Continuous Assessment Records'!L:L,'Continuous Assessment Records'!F:F,A5,'Continuous Assessment Records'!C:C,"Unit Test"),"")</f>
        <v/>
      </c>
      <c r="D5">
        <f>IF(C5="","",IF(C5&gt;=0.7,3,IF(C5&gt;=0.6,2,IF(C5&gt;=0.5,1,0))))</f>
        <v/>
      </c>
      <c r="E5">
        <f>TEXTJOIN(", ",TRUE,IF('Unit Test Mapping'!G$2:G$1000=A5,'Unit Test Mapping'!H$2:H$1000,""))</f>
        <v/>
      </c>
      <c r="F5">
        <f>TEXTJOIN(", ",TRUE,IF('Unit Test Mapping'!G$2:G$1000=A5,'Unit Test Mapping'!I$2:I$1000,""))</f>
        <v/>
      </c>
    </row>
    <row r="6">
      <c r="A6" t="inlineStr">
        <is>
          <t>CO4</t>
        </is>
      </c>
      <c r="B6">
        <f>TEXTJOIN(", ",TRUE,IF('Unit Test Mapping'!G$2:G$1000=A6,'Unit Test Mapping'!D$2:D$1000,""))</f>
        <v/>
      </c>
      <c r="C6">
        <f>IFERROR(AVERAGEIFS('Continuous Assessment Records'!L:L,'Continuous Assessment Records'!F:F,A6,'Continuous Assessment Records'!C:C,"Unit Test"),"")</f>
        <v/>
      </c>
      <c r="D6">
        <f>IF(C6="","",IF(C6&gt;=0.7,3,IF(C6&gt;=0.6,2,IF(C6&gt;=0.5,1,0))))</f>
        <v/>
      </c>
      <c r="E6">
        <f>TEXTJOIN(", ",TRUE,IF('Unit Test Mapping'!G$2:G$1000=A6,'Unit Test Mapping'!H$2:H$1000,""))</f>
        <v/>
      </c>
      <c r="F6">
        <f>TEXTJOIN(", ",TRUE,IF('Unit Test Mapping'!G$2:G$1000=A6,'Unit Test Mapping'!I$2:I$1000,""))</f>
        <v/>
      </c>
    </row>
    <row r="8">
      <c r="A8" s="3" t="inlineStr">
        <is>
          <t>Note: Enter Unit Test-to-CO mappings in 'Unit Test Mapping' sheet and marks in 'Continuous Assessment Records'. This sheet auto-computes CO attainment for Unit Tests.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6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Mid-Term-wise CO Attainment (Based on Mid-Term Mapping + Marks)</t>
        </is>
      </c>
    </row>
    <row r="2">
      <c r="A2" s="1" t="inlineStr">
        <is>
          <t>CO</t>
        </is>
      </c>
      <c r="B2" s="1" t="inlineStr">
        <is>
          <t>Mid-Term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",TRUE,IF('Mid-Term Mapping'!G$2:G$1000=A3,'Mid-Term Mapping'!D$2:D$1000,""))</f>
        <v/>
      </c>
      <c r="C3">
        <f>IFERROR(AVERAGEIFS('Continuous Assessment Records'!L:L,'Continuous Assessment Records'!F:F,A3,'Continuous Assessment Records'!C:C,"Mid-Term"),"")</f>
        <v/>
      </c>
      <c r="D3">
        <f>IF(C3="","",IF(C3&gt;=0.7,3,IF(C3&gt;=0.6,2,IF(C3&gt;=0.5,1,0))))</f>
        <v/>
      </c>
      <c r="E3">
        <f>TEXTJOIN(", ",TRUE,IF('Mid-Term Mapping'!G$2:G$1000=A3,'Mid-Term Mapping'!H$2:H$1000,""))</f>
        <v/>
      </c>
      <c r="F3">
        <f>TEXTJOIN(", ",TRUE,IF('Mid-Term Mapping'!G$2:G$1000=A3,'Mid-Term Mapping'!I$2:I$1000,""))</f>
        <v/>
      </c>
    </row>
    <row r="4">
      <c r="A4" t="inlineStr">
        <is>
          <t>CO2</t>
        </is>
      </c>
      <c r="B4">
        <f>TEXTJOIN(", ",TRUE,IF('Mid-Term Mapping'!G$2:G$1000=A4,'Mid-Term Mapping'!D$2:D$1000,""))</f>
        <v/>
      </c>
      <c r="C4">
        <f>IFERROR(AVERAGEIFS('Continuous Assessment Records'!L:L,'Continuous Assessment Records'!F:F,A4,'Continuous Assessment Records'!C:C,"Mid-Term"),"")</f>
        <v/>
      </c>
      <c r="D4">
        <f>IF(C4="","",IF(C4&gt;=0.7,3,IF(C4&gt;=0.6,2,IF(C4&gt;=0.5,1,0))))</f>
        <v/>
      </c>
      <c r="E4">
        <f>TEXTJOIN(", ",TRUE,IF('Mid-Term Mapping'!G$2:G$1000=A4,'Mid-Term Mapping'!H$2:H$1000,""))</f>
        <v/>
      </c>
      <c r="F4">
        <f>TEXTJOIN(", ",TRUE,IF('Mid-Term Mapping'!G$2:G$1000=A4,'Mid-Term Mapping'!I$2:I$1000,""))</f>
        <v/>
      </c>
    </row>
    <row r="5">
      <c r="A5" t="inlineStr">
        <is>
          <t>CO3</t>
        </is>
      </c>
      <c r="B5">
        <f>TEXTJOIN(", ",TRUE,IF('Mid-Term Mapping'!G$2:G$1000=A5,'Mid-Term Mapping'!D$2:D$1000,""))</f>
        <v/>
      </c>
      <c r="C5">
        <f>IFERROR(AVERAGEIFS('Continuous Assessment Records'!L:L,'Continuous Assessment Records'!F:F,A5,'Continuous Assessment Records'!C:C,"Mid-Term"),"")</f>
        <v/>
      </c>
      <c r="D5">
        <f>IF(C5="","",IF(C5&gt;=0.7,3,IF(C5&gt;=0.6,2,IF(C5&gt;=0.5,1,0))))</f>
        <v/>
      </c>
      <c r="E5">
        <f>TEXTJOIN(", ",TRUE,IF('Mid-Term Mapping'!G$2:G$1000=A5,'Mid-Term Mapping'!H$2:H$1000,""))</f>
        <v/>
      </c>
      <c r="F5">
        <f>TEXTJOIN(", ",TRUE,IF('Mid-Term Mapping'!G$2:G$1000=A5,'Mid-Term Mapping'!I$2:I$1000,""))</f>
        <v/>
      </c>
    </row>
    <row r="6">
      <c r="A6" t="inlineStr">
        <is>
          <t>CO4</t>
        </is>
      </c>
      <c r="B6">
        <f>TEXTJOIN(", ",TRUE,IF('Mid-Term Mapping'!G$2:G$1000=A6,'Mid-Term Mapping'!D$2:D$1000,""))</f>
        <v/>
      </c>
      <c r="C6">
        <f>IFERROR(AVERAGEIFS('Continuous Assessment Records'!L:L,'Continuous Assessment Records'!F:F,A6,'Continuous Assessment Records'!C:C,"Mid-Term"),"")</f>
        <v/>
      </c>
      <c r="D6">
        <f>IF(C6="","",IF(C6&gt;=0.7,3,IF(C6&gt;=0.6,2,IF(C6&gt;=0.5,1,0))))</f>
        <v/>
      </c>
      <c r="E6">
        <f>TEXTJOIN(", ",TRUE,IF('Mid-Term Mapping'!G$2:G$1000=A6,'Mid-Term Mapping'!H$2:H$1000,""))</f>
        <v/>
      </c>
      <c r="F6">
        <f>TEXTJOIN(", ",TRUE,IF('Mid-Term Mapping'!G$2:G$1000=A6,'Mid-Term Mapping'!I$2:I$1000,""))</f>
        <v/>
      </c>
    </row>
    <row r="8">
      <c r="A8" s="3" t="inlineStr">
        <is>
          <t>Note: Enter Mid-Term-to-CO mappings in 'Mid-Term Mapping' sheet and marks in 'Continuous Assessment Records'. This sheet auto-computes CO attainment for Mid-Terms.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</cols>
  <sheetData>
    <row r="1">
      <c r="A1" s="6" t="inlineStr">
        <is>
          <t>PO and PSO Aggregation (Weighted Average of CO Final Attainments × Mapping Strengths)</t>
        </is>
      </c>
    </row>
    <row r="3">
      <c r="A3" s="6" t="inlineStr">
        <is>
          <t>Program Outcomes (PO) Aggregation</t>
        </is>
      </c>
    </row>
    <row r="4">
      <c r="A4" s="7" t="inlineStr">
        <is>
          <t>PO</t>
        </is>
      </c>
      <c r="B4" s="7" t="inlineStr">
        <is>
          <t>Contributing COs</t>
        </is>
      </c>
      <c r="C4" s="7" t="inlineStr">
        <is>
          <t>Aggregated Attainment (0–3 Auto)</t>
        </is>
      </c>
    </row>
    <row r="5">
      <c r="A5" t="inlineStr">
        <is>
          <t>PO1</t>
        </is>
      </c>
      <c r="B5">
        <f>TEXTJOIN(", ",TRUE,IF('CO–PO Mapping &amp; Attainment'!B$3:M$6&lt;&gt;"",'CO–PO Mapping &amp; Attainment'!$A$3:$A$6,""))</f>
        <v/>
      </c>
      <c r="C5">
        <f>IF(SUM('CO–PO Mapping &amp; Attainment'!B$3:M$6)=0,"",SUMPRODUCT('CO–PO Mapping &amp; Attainment'!$C$10:$C$13,'CO–PO Mapping &amp; Attainment'!B$3:M$6)/SUM('CO–PO Mapping &amp; Attainment'!B$3:M$6))</f>
        <v/>
      </c>
    </row>
    <row r="6">
      <c r="A6" t="inlineStr">
        <is>
          <t>PO2</t>
        </is>
      </c>
      <c r="B6">
        <f>TEXTJOIN(", ",TRUE,IF('CO–PO Mapping &amp; Attainment'!B$3:M$6&lt;&gt;"",'CO–PO Mapping &amp; Attainment'!$A$3:$A$6,""))</f>
        <v/>
      </c>
      <c r="C6">
        <f>IF(SUM('CO–PO Mapping &amp; Attainment'!B$3:M$6)=0,"",SUMPRODUCT('CO–PO Mapping &amp; Attainment'!$C$10:$C$13,'CO–PO Mapping &amp; Attainment'!B$3:M$6)/SUM('CO–PO Mapping &amp; Attainment'!B$3:M$6))</f>
        <v/>
      </c>
    </row>
    <row r="7">
      <c r="A7" t="inlineStr">
        <is>
          <t>PO3</t>
        </is>
      </c>
      <c r="B7">
        <f>TEXTJOIN(", ",TRUE,IF('CO–PO Mapping &amp; Attainment'!B$3:M$6&lt;&gt;"",'CO–PO Mapping &amp; Attainment'!$A$3:$A$6,""))</f>
        <v/>
      </c>
      <c r="C7">
        <f>IF(SUM('CO–PO Mapping &amp; Attainment'!B$3:M$6)=0,"",SUMPRODUCT('CO–PO Mapping &amp; Attainment'!$C$10:$C$13,'CO–PO Mapping &amp; Attainment'!B$3:M$6)/SUM('CO–PO Mapping &amp; Attainment'!B$3:M$6))</f>
        <v/>
      </c>
    </row>
    <row r="8">
      <c r="A8" t="inlineStr">
        <is>
          <t>PO4</t>
        </is>
      </c>
      <c r="B8">
        <f>TEXTJOIN(", ",TRUE,IF('CO–PO Mapping &amp; Attainment'!B$3:M$6&lt;&gt;"",'CO–PO Mapping &amp; Attainment'!$A$3:$A$6,""))</f>
        <v/>
      </c>
      <c r="C8">
        <f>IF(SUM('CO–PO Mapping &amp; Attainment'!B$3:M$6)=0,"",SUMPRODUCT('CO–PO Mapping &amp; Attainment'!$C$10:$C$13,'CO–PO Mapping &amp; Attainment'!B$3:M$6)/SUM('CO–PO Mapping &amp; Attainment'!B$3:M$6))</f>
        <v/>
      </c>
    </row>
    <row r="9">
      <c r="A9" t="inlineStr">
        <is>
          <t>PO5</t>
        </is>
      </c>
      <c r="B9">
        <f>TEXTJOIN(", ",TRUE,IF('CO–PO Mapping &amp; Attainment'!B$3:M$6&lt;&gt;"",'CO–PO Mapping &amp; Attainment'!$A$3:$A$6,""))</f>
        <v/>
      </c>
      <c r="C9">
        <f>IF(SUM('CO–PO Mapping &amp; Attainment'!B$3:M$6)=0,"",SUMPRODUCT('CO–PO Mapping &amp; Attainment'!$C$10:$C$13,'CO–PO Mapping &amp; Attainment'!B$3:M$6)/SUM('CO–PO Mapping &amp; Attainment'!B$3:M$6))</f>
        <v/>
      </c>
    </row>
    <row r="10">
      <c r="A10" t="inlineStr">
        <is>
          <t>PO6</t>
        </is>
      </c>
      <c r="B10">
        <f>TEXTJOIN(", ",TRUE,IF('CO–PO Mapping &amp; Attainment'!B$3:M$6&lt;&gt;"",'CO–PO Mapping &amp; Attainment'!$A$3:$A$6,""))</f>
        <v/>
      </c>
      <c r="C10">
        <f>IF(SUM('CO–PO Mapping &amp; Attainment'!B$3:M$6)=0,"",SUMPRODUCT('CO–PO Mapping &amp; Attainment'!$C$10:$C$13,'CO–PO Mapping &amp; Attainment'!B$3:M$6)/SUM('CO–PO Mapping &amp; Attainment'!B$3:M$6))</f>
        <v/>
      </c>
    </row>
    <row r="11">
      <c r="A11" t="inlineStr">
        <is>
          <t>PO7</t>
        </is>
      </c>
      <c r="B11">
        <f>TEXTJOIN(", ",TRUE,IF('CO–PO Mapping &amp; Attainment'!B$3:M$6&lt;&gt;"",'CO–PO Mapping &amp; Attainment'!$A$3:$A$6,""))</f>
        <v/>
      </c>
      <c r="C11">
        <f>IF(SUM('CO–PO Mapping &amp; Attainment'!B$3:M$6)=0,"",SUMPRODUCT('CO–PO Mapping &amp; Attainment'!$C$10:$C$13,'CO–PO Mapping &amp; Attainment'!B$3:M$6)/SUM('CO–PO Mapping &amp; Attainment'!B$3:M$6))</f>
        <v/>
      </c>
    </row>
    <row r="12">
      <c r="A12" t="inlineStr">
        <is>
          <t>PO8</t>
        </is>
      </c>
      <c r="B12">
        <f>TEXTJOIN(", ",TRUE,IF('CO–PO Mapping &amp; Attainment'!B$3:M$6&lt;&gt;"",'CO–PO Mapping &amp; Attainment'!$A$3:$A$6,""))</f>
        <v/>
      </c>
      <c r="C12">
        <f>IF(SUM('CO–PO Mapping &amp; Attainment'!B$3:M$6)=0,"",SUMPRODUCT('CO–PO Mapping &amp; Attainment'!$C$10:$C$13,'CO–PO Mapping &amp; Attainment'!B$3:M$6)/SUM('CO–PO Mapping &amp; Attainment'!B$3:M$6))</f>
        <v/>
      </c>
    </row>
    <row r="13">
      <c r="A13" t="inlineStr">
        <is>
          <t>PO9</t>
        </is>
      </c>
      <c r="B13">
        <f>TEXTJOIN(", ",TRUE,IF('CO–PO Mapping &amp; Attainment'!B$3:M$6&lt;&gt;"",'CO–PO Mapping &amp; Attainment'!$A$3:$A$6,""))</f>
        <v/>
      </c>
      <c r="C13">
        <f>IF(SUM('CO–PO Mapping &amp; Attainment'!B$3:M$6)=0,"",SUMPRODUCT('CO–PO Mapping &amp; Attainment'!$C$10:$C$13,'CO–PO Mapping &amp; Attainment'!B$3:M$6)/SUM('CO–PO Mapping &amp; Attainment'!B$3:M$6))</f>
        <v/>
      </c>
    </row>
    <row r="14">
      <c r="A14" t="inlineStr">
        <is>
          <t>PO10</t>
        </is>
      </c>
      <c r="B14">
        <f>TEXTJOIN(", ",TRUE,IF('CO–PO Mapping &amp; Attainment'!B$3:M$6&lt;&gt;"",'CO–PO Mapping &amp; Attainment'!$A$3:$A$6,""))</f>
        <v/>
      </c>
      <c r="C14">
        <f>IF(SUM('CO–PO Mapping &amp; Attainment'!B$3:M$6)=0,"",SUMPRODUCT('CO–PO Mapping &amp; Attainment'!$C$10:$C$13,'CO–PO Mapping &amp; Attainment'!B$3:M$6)/SUM('CO–PO Mapping &amp; Attainment'!B$3:M$6))</f>
        <v/>
      </c>
    </row>
    <row r="15">
      <c r="A15" t="inlineStr">
        <is>
          <t>PO11</t>
        </is>
      </c>
      <c r="B15">
        <f>TEXTJOIN(", ",TRUE,IF('CO–PO Mapping &amp; Attainment'!B$3:M$6&lt;&gt;"",'CO–PO Mapping &amp; Attainment'!$A$3:$A$6,""))</f>
        <v/>
      </c>
      <c r="C15">
        <f>IF(SUM('CO–PO Mapping &amp; Attainment'!B$3:M$6)=0,"",SUMPRODUCT('CO–PO Mapping &amp; Attainment'!$C$10:$C$13,'CO–PO Mapping &amp; Attainment'!B$3:M$6)/SUM('CO–PO Mapping &amp; Attainment'!B$3:M$6))</f>
        <v/>
      </c>
    </row>
    <row r="16">
      <c r="A16" t="inlineStr">
        <is>
          <t>PO12</t>
        </is>
      </c>
      <c r="B16">
        <f>TEXTJOIN(", ",TRUE,IF('CO–PO Mapping &amp; Attainment'!B$3:M$6&lt;&gt;"",'CO–PO Mapping &amp; Attainment'!$A$3:$A$6,""))</f>
        <v/>
      </c>
      <c r="C16">
        <f>IF(SUM('CO–PO Mapping &amp; Attainment'!B$3:M$6)=0,"",SUMPRODUCT('CO–PO Mapping &amp; Attainment'!$C$10:$C$13,'CO–PO Mapping &amp; Attainment'!B$3:M$6)/SUM('CO–PO Mapping &amp; Attainment'!B$3:M$6))</f>
        <v/>
      </c>
    </row>
    <row r="22">
      <c r="A22" s="6" t="inlineStr">
        <is>
          <t>Program Specific Outcomes (PSO) Aggregation</t>
        </is>
      </c>
    </row>
    <row r="23">
      <c r="A23" s="7" t="inlineStr">
        <is>
          <t>PSO</t>
        </is>
      </c>
      <c r="B23" s="7" t="inlineStr">
        <is>
          <t>Contributing COs</t>
        </is>
      </c>
      <c r="C23" s="7" t="inlineStr">
        <is>
          <t>Aggregated Attainment (0–3 Auto)</t>
        </is>
      </c>
    </row>
    <row r="24">
      <c r="A24" t="inlineStr">
        <is>
          <t>PSO1</t>
        </is>
      </c>
      <c r="B24">
        <f>TEXTJOIN(", ",TRUE,IF('CO Attainment Summary'!$A$3:$A$6&lt;&gt;"",'CO Attainment Summary'!$J$3:$J$6,""))</f>
        <v/>
      </c>
      <c r="C24">
        <f>IF(COUNTA('CO Attainment Summary'!$J$3:$J$6)=0,"",AVERAGE('CO Attainment Summary'!$H$3:$H$6))</f>
        <v/>
      </c>
    </row>
    <row r="25">
      <c r="A25" t="inlineStr">
        <is>
          <t>PSO2</t>
        </is>
      </c>
      <c r="B25">
        <f>TEXTJOIN(", ",TRUE,IF('CO Attainment Summary'!$A$3:$A$6&lt;&gt;"",'CO Attainment Summary'!$J$3:$J$6,""))</f>
        <v/>
      </c>
      <c r="C25">
        <f>IF(COUNTA('CO Attainment Summary'!$J$3:$J$6)=0,"",AVERAGE('CO Attainment Summary'!$H$3:$H$6))</f>
        <v/>
      </c>
    </row>
    <row r="26">
      <c r="A26" t="inlineStr">
        <is>
          <t>PSO3</t>
        </is>
      </c>
      <c r="B26">
        <f>TEXTJOIN(", ",TRUE,IF('CO Attainment Summary'!$A$3:$A$6&lt;&gt;"",'CO Attainment Summary'!$J$3:$J$6,""))</f>
        <v/>
      </c>
      <c r="C26">
        <f>IF(COUNTA('CO Attainment Summary'!$J$3:$J$6)=0,"",AVERAGE('CO Attainment Summary'!$H$3:$H$6))</f>
        <v/>
      </c>
    </row>
    <row r="30">
      <c r="A30" s="3" t="inlineStr">
        <is>
          <t>Note: PO aggregation uses CO–PO Mapping matrix strengths. PSO aggregation uses CO–PSO mapping from CO Attainment Summary. Update CO Attainment values to auto-refresh.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  <col width="8" customWidth="1" min="15" max="15"/>
    <col width="8" customWidth="1" min="16" max="16"/>
  </cols>
  <sheetData>
    <row r="1">
      <c r="A1" s="6" t="inlineStr">
        <is>
          <t>CO–PO &amp; CO–PSO Mapping Matrix (Strength Values: 3=Strong, 2=Moderate, 1=Slight, Blank=None)</t>
        </is>
      </c>
    </row>
    <row r="2">
      <c r="A2" s="1" t="inlineStr">
        <is>
          <t>CO</t>
        </is>
      </c>
      <c r="B2" s="1" t="inlineStr">
        <is>
          <t>PO1</t>
        </is>
      </c>
      <c r="C2" s="1" t="inlineStr">
        <is>
          <t>PO2</t>
        </is>
      </c>
      <c r="D2" s="1" t="inlineStr">
        <is>
          <t>PO3</t>
        </is>
      </c>
      <c r="E2" s="1" t="inlineStr">
        <is>
          <t>PO4</t>
        </is>
      </c>
      <c r="F2" s="1" t="inlineStr">
        <is>
          <t>PO5</t>
        </is>
      </c>
      <c r="G2" s="1" t="inlineStr">
        <is>
          <t>PO6</t>
        </is>
      </c>
      <c r="H2" s="1" t="inlineStr">
        <is>
          <t>PO7</t>
        </is>
      </c>
      <c r="I2" s="1" t="inlineStr">
        <is>
          <t>PO8</t>
        </is>
      </c>
      <c r="J2" s="1" t="inlineStr">
        <is>
          <t>PO9</t>
        </is>
      </c>
      <c r="K2" s="1" t="inlineStr">
        <is>
          <t>PO10</t>
        </is>
      </c>
      <c r="L2" s="1" t="inlineStr">
        <is>
          <t>PO11</t>
        </is>
      </c>
      <c r="M2" s="1" t="inlineStr">
        <is>
          <t>PO12</t>
        </is>
      </c>
      <c r="N2" s="1" t="inlineStr">
        <is>
          <t>PSO1</t>
        </is>
      </c>
      <c r="O2" s="1" t="inlineStr">
        <is>
          <t>PSO2</t>
        </is>
      </c>
      <c r="P2" s="1" t="inlineStr">
        <is>
          <t>PSO3</t>
        </is>
      </c>
    </row>
    <row r="3">
      <c r="A3" t="inlineStr">
        <is>
          <t>CO1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CO2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8">
      <c r="A8" s="3" t="inlineStr">
        <is>
          <t>Note: Faculty to fill strength values (3/2/1) for each CO vs PO/PSO. These values are used in PO_PSO Aggregation sheet to compute final attainment.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