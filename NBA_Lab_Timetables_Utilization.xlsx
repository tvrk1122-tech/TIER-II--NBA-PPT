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s" sheetId="1" state="visible" r:id="rId1"/>
    <sheet xmlns:r="http://schemas.openxmlformats.org/officeDocument/2006/relationships" name="Sess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:mm"/>
    <numFmt numFmtId="165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absTable" displayName="LabsTable" ref="A1:C6" headerRowCount="1">
  <autoFilter ref="A1:C6"/>
  <tableColumns count="3">
    <tableColumn id="1" name="Lab Name"/>
    <tableColumn id="2" name="Available Hours/Week"/>
    <tableColumn id="3" name="Seating Capacity"/>
  </tableColumns>
  <tableStyleInfo name="TableStyleMedium9" showRowStripes="1"/>
</table>
</file>

<file path=xl/tables/table2.xml><?xml version="1.0" encoding="utf-8"?>
<table xmlns="http://schemas.openxmlformats.org/spreadsheetml/2006/main" id="2" name="SessionsTable" displayName="SessionsTable" ref="A1:M7" headerRowCount="1">
  <autoFilter ref="A1:M7"/>
  <tableColumns count="13">
    <tableColumn id="1" name="S. No."/>
    <tableColumn id="2" name="Week No."/>
    <tableColumn id="3" name="Lab"/>
    <tableColumn id="4" name="Day"/>
    <tableColumn id="5" name="Start Time"/>
    <tableColumn id="6" name="End Time"/>
    <tableColumn id="7" name="Course"/>
    <tableColumn id="8" name="Faculty"/>
    <tableColumn id="9" name="Batch/Section"/>
    <tableColumn id="10" name="Planned Hours"/>
    <tableColumn id="11" name="Available Hours (Auto)"/>
    <tableColumn id="12" name="Utilization % (Auto)"/>
    <tableColumn id="13" name="Overlap? (Auto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1" customWidth="1" min="3" max="3"/>
  </cols>
  <sheetData>
    <row r="1">
      <c r="A1" t="inlineStr">
        <is>
          <t>Lab Name</t>
        </is>
      </c>
      <c r="B1" t="inlineStr">
        <is>
          <t>Available Hours/Week</t>
        </is>
      </c>
      <c r="C1" t="inlineStr">
        <is>
          <t>Seating Capacity</t>
        </is>
      </c>
    </row>
    <row r="2">
      <c r="A2" t="inlineStr">
        <is>
          <t>Programming Lab</t>
        </is>
      </c>
      <c r="B2" t="n">
        <v>40</v>
      </c>
      <c r="C2" t="n">
        <v>40</v>
      </c>
    </row>
    <row r="3">
      <c r="A3" t="inlineStr">
        <is>
          <t>Electronics Lab</t>
        </is>
      </c>
      <c r="B3" t="n">
        <v>40</v>
      </c>
      <c r="C3" t="n">
        <v>30</v>
      </c>
    </row>
    <row r="4">
      <c r="A4" t="inlineStr">
        <is>
          <t>AI &amp; DS Lab</t>
        </is>
      </c>
      <c r="B4" t="n">
        <v>40</v>
      </c>
      <c r="C4" t="n">
        <v>35</v>
      </c>
    </row>
    <row r="5">
      <c r="A5" t="inlineStr">
        <is>
          <t>Mechanical Workshop</t>
        </is>
      </c>
      <c r="B5" t="n">
        <v>40</v>
      </c>
      <c r="C5" t="n">
        <v>25</v>
      </c>
    </row>
    <row r="6">
      <c r="A6" t="inlineStr">
        <is>
          <t>Communication Systems Lab</t>
        </is>
      </c>
      <c r="B6" t="n">
        <v>40</v>
      </c>
      <c r="C6" t="n">
        <v>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9" customWidth="1" min="4" max="4"/>
    <col width="16" customWidth="1" min="5" max="5"/>
    <col width="14" customWidth="1" min="6" max="6"/>
    <col width="29" customWidth="1" min="7" max="7"/>
    <col width="15" customWidth="1" min="8" max="8"/>
    <col width="19" customWidth="1" min="9" max="9"/>
    <col width="19" customWidth="1" min="10" max="10"/>
    <col width="28" customWidth="1" min="11" max="11"/>
    <col width="26" customWidth="1" min="12" max="12"/>
    <col width="21" customWidth="1" min="13" max="13"/>
  </cols>
  <sheetData>
    <row r="1">
      <c r="A1" t="inlineStr">
        <is>
          <t>S. No.</t>
        </is>
      </c>
      <c r="B1" t="inlineStr">
        <is>
          <t>Week No.</t>
        </is>
      </c>
      <c r="C1" t="inlineStr">
        <is>
          <t>Lab</t>
        </is>
      </c>
      <c r="D1" t="inlineStr">
        <is>
          <t>Day</t>
        </is>
      </c>
      <c r="E1" t="inlineStr">
        <is>
          <t>Start Time</t>
        </is>
      </c>
      <c r="F1" t="inlineStr">
        <is>
          <t>End Time</t>
        </is>
      </c>
      <c r="G1" t="inlineStr">
        <is>
          <t>Course</t>
        </is>
      </c>
      <c r="H1" t="inlineStr">
        <is>
          <t>Faculty</t>
        </is>
      </c>
      <c r="I1" t="inlineStr">
        <is>
          <t>Batch/Section</t>
        </is>
      </c>
      <c r="J1" t="inlineStr">
        <is>
          <t>Planned Hours</t>
        </is>
      </c>
      <c r="K1" t="inlineStr">
        <is>
          <t>Available Hours (Auto)</t>
        </is>
      </c>
      <c r="L1" t="inlineStr">
        <is>
          <t>Utilization % (Auto)</t>
        </is>
      </c>
      <c r="M1" t="inlineStr">
        <is>
          <t>Overlap? (Auto)</t>
        </is>
      </c>
    </row>
    <row r="2">
      <c r="A2" t="n">
        <v>1</v>
      </c>
      <c r="B2" t="n">
        <v>1</v>
      </c>
      <c r="C2" t="inlineStr">
        <is>
          <t>Programming Lab</t>
        </is>
      </c>
      <c r="D2" t="inlineStr">
        <is>
          <t>Mon</t>
        </is>
      </c>
      <c r="E2" s="1" t="n">
        <v>0.375</v>
      </c>
      <c r="F2" s="1" t="n">
        <v>0.4583333333333333</v>
      </c>
      <c r="G2" t="inlineStr">
        <is>
          <t>Data Structures</t>
        </is>
      </c>
      <c r="H2" t="inlineStr">
        <is>
          <t>Dr. Rao</t>
        </is>
      </c>
      <c r="I2" t="inlineStr">
        <is>
          <t>CSE-A</t>
        </is>
      </c>
      <c r="J2" s="2">
        <f>(F2-E2)*24</f>
        <v/>
      </c>
      <c r="K2" s="3">
        <f>IFERROR(VLOOKUP(C2,Labs!A:B,2,FALSE),"")</f>
        <v/>
      </c>
      <c r="L2" s="2">
        <f>IFERROR(J2/K2*100,"")</f>
        <v/>
      </c>
      <c r="M2">
        <f>IF(SUMPRODUCT((C$2:C$7=C2)*(D$2:D$7=D2)*($E$2:$E$7&lt;F2)*($F$2:$F$7&gt;E2))&gt;1,"YES","")</f>
        <v/>
      </c>
    </row>
    <row r="3">
      <c r="A3" t="n">
        <v>2</v>
      </c>
      <c r="B3" t="n">
        <v>1</v>
      </c>
      <c r="C3" t="inlineStr">
        <is>
          <t>Programming Lab</t>
        </is>
      </c>
      <c r="D3" t="inlineStr">
        <is>
          <t>Wed</t>
        </is>
      </c>
      <c r="E3" s="1" t="n">
        <v>0.5833333333333334</v>
      </c>
      <c r="F3" s="1" t="n">
        <v>0.7083333333333334</v>
      </c>
      <c r="G3" t="inlineStr">
        <is>
          <t>DBMS</t>
        </is>
      </c>
      <c r="H3" t="inlineStr">
        <is>
          <t>Ms. Iyer</t>
        </is>
      </c>
      <c r="I3" t="inlineStr">
        <is>
          <t>CSE-B</t>
        </is>
      </c>
      <c r="J3" s="2">
        <f>(F3-E3)*24</f>
        <v/>
      </c>
      <c r="K3" s="3">
        <f>IFERROR(VLOOKUP(C3,Labs!A:B,2,FALSE),"")</f>
        <v/>
      </c>
      <c r="L3" s="2">
        <f>IFERROR(J3/K3*100,"")</f>
        <v/>
      </c>
      <c r="M3">
        <f>IF(SUMPRODUCT((C$2:C$7=C3)*(D$2:D$7=D3)*($E$2:$E$7&lt;F3)*($F$2:$F$7&gt;E3))&gt;1,"YES","")</f>
        <v/>
      </c>
    </row>
    <row r="4">
      <c r="A4" t="n">
        <v>3</v>
      </c>
      <c r="B4" t="n">
        <v>1</v>
      </c>
      <c r="C4" t="inlineStr">
        <is>
          <t>Electronics Lab</t>
        </is>
      </c>
      <c r="D4" t="inlineStr">
        <is>
          <t>Tue</t>
        </is>
      </c>
      <c r="E4" s="1" t="n">
        <v>0.4166666666666667</v>
      </c>
      <c r="F4" s="1" t="n">
        <v>0.5</v>
      </c>
      <c r="G4" t="inlineStr">
        <is>
          <t>Digital Electronics</t>
        </is>
      </c>
      <c r="H4" t="inlineStr">
        <is>
          <t>Mr. Patel</t>
        </is>
      </c>
      <c r="I4" t="inlineStr">
        <is>
          <t>ECE-A</t>
        </is>
      </c>
      <c r="J4" s="2">
        <f>(F4-E4)*24</f>
        <v/>
      </c>
      <c r="K4" s="3">
        <f>IFERROR(VLOOKUP(C4,Labs!A:B,2,FALSE),"")</f>
        <v/>
      </c>
      <c r="L4" s="2">
        <f>IFERROR(J4/K4*100,"")</f>
        <v/>
      </c>
      <c r="M4">
        <f>IF(SUMPRODUCT((C$2:C$7=C4)*(D$2:D$7=D4)*($E$2:$E$7&lt;F4)*($F$2:$F$7&gt;E4))&gt;1,"YES","")</f>
        <v/>
      </c>
    </row>
    <row r="5">
      <c r="A5" t="n">
        <v>4</v>
      </c>
      <c r="B5" t="n">
        <v>1</v>
      </c>
      <c r="C5" t="inlineStr">
        <is>
          <t>AI &amp; DS Lab</t>
        </is>
      </c>
      <c r="D5" t="inlineStr">
        <is>
          <t>Thu</t>
        </is>
      </c>
      <c r="E5" s="1" t="n">
        <v>0.3958333333333333</v>
      </c>
      <c r="F5" s="1" t="n">
        <v>0.5208333333333334</v>
      </c>
      <c r="G5" t="inlineStr">
        <is>
          <t>Machine Learning</t>
        </is>
      </c>
      <c r="H5" t="inlineStr">
        <is>
          <t>Dr. Nair</t>
        </is>
      </c>
      <c r="I5" t="inlineStr">
        <is>
          <t>AIDS-A</t>
        </is>
      </c>
      <c r="J5" s="2">
        <f>(F5-E5)*24</f>
        <v/>
      </c>
      <c r="K5" s="3">
        <f>IFERROR(VLOOKUP(C5,Labs!A:B,2,FALSE),"")</f>
        <v/>
      </c>
      <c r="L5" s="2">
        <f>IFERROR(J5/K5*100,"")</f>
        <v/>
      </c>
      <c r="M5">
        <f>IF(SUMPRODUCT((C$2:C$7=C5)*(D$2:D$7=D5)*($E$2:$E$7&lt;F5)*($F$2:$F$7&gt;E5))&gt;1,"YES","")</f>
        <v/>
      </c>
    </row>
    <row r="6">
      <c r="A6" t="n">
        <v>5</v>
      </c>
      <c r="B6" t="n">
        <v>1</v>
      </c>
      <c r="C6" t="inlineStr">
        <is>
          <t>Mechanical Workshop</t>
        </is>
      </c>
      <c r="D6" t="inlineStr">
        <is>
          <t>Fri</t>
        </is>
      </c>
      <c r="E6" s="1" t="n">
        <v>0.5416666666666666</v>
      </c>
      <c r="F6" s="1" t="n">
        <v>0.6666666666666666</v>
      </c>
      <c r="G6" t="inlineStr">
        <is>
          <t>Manufacturing Processes</t>
        </is>
      </c>
      <c r="H6" t="inlineStr">
        <is>
          <t>Mr. Singh</t>
        </is>
      </c>
      <c r="I6" t="inlineStr">
        <is>
          <t>ME-A</t>
        </is>
      </c>
      <c r="J6" s="2">
        <f>(F6-E6)*24</f>
        <v/>
      </c>
      <c r="K6" s="3">
        <f>IFERROR(VLOOKUP(C6,Labs!A:B,2,FALSE),"")</f>
        <v/>
      </c>
      <c r="L6" s="2">
        <f>IFERROR(J6/K6*100,"")</f>
        <v/>
      </c>
      <c r="M6">
        <f>IF(SUMPRODUCT((C$2:C$7=C6)*(D$2:D$7=D6)*($E$2:$E$7&lt;F6)*($F$2:$F$7&gt;E6))&gt;1,"YES","")</f>
        <v/>
      </c>
    </row>
    <row r="7">
      <c r="A7" t="n">
        <v>6</v>
      </c>
      <c r="B7" t="n">
        <v>1</v>
      </c>
      <c r="C7" t="inlineStr">
        <is>
          <t>Programming Lab</t>
        </is>
      </c>
      <c r="D7" t="inlineStr">
        <is>
          <t>Mon</t>
        </is>
      </c>
      <c r="E7" s="1" t="n">
        <v>0.4166666666666667</v>
      </c>
      <c r="F7" s="1" t="n">
        <v>0.5</v>
      </c>
      <c r="G7" t="inlineStr">
        <is>
          <t>OOPS</t>
        </is>
      </c>
      <c r="H7" t="inlineStr">
        <is>
          <t>Dr. Mehta</t>
        </is>
      </c>
      <c r="I7" t="inlineStr">
        <is>
          <t>CSE-C</t>
        </is>
      </c>
      <c r="J7" s="2">
        <f>(F7-E7)*24</f>
        <v/>
      </c>
      <c r="K7" s="3">
        <f>IFERROR(VLOOKUP(C7,Labs!A:B,2,FALSE),"")</f>
        <v/>
      </c>
      <c r="L7" s="2">
        <f>IFERROR(J7/K7*100,"")</f>
        <v/>
      </c>
      <c r="M7">
        <f>IF(SUMPRODUCT((C$2:C$7=C7)*(D$2:D$7=D7)*($E$2:$E$7&lt;F7)*($F$2:$F$7&gt;E7))&gt;1,"YES","")</f>
        <v/>
      </c>
    </row>
  </sheetData>
  <conditionalFormatting sqref="A2:M7">
    <cfRule type="expression" priority="1" dxfId="0" stopIfTrue="0">
      <formula>$M2="YES"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08" customWidth="1" min="2" max="2"/>
    <col width="47" customWidth="1" min="3" max="3"/>
    <col width="31" customWidth="1" min="4" max="4"/>
  </cols>
  <sheetData>
    <row r="1">
      <c r="A1" t="inlineStr">
        <is>
          <t>Metric</t>
        </is>
      </c>
      <c r="B1" t="inlineStr">
        <is>
          <t>Value / Formula</t>
        </is>
      </c>
    </row>
    <row r="2">
      <c r="A2" t="inlineStr">
        <is>
          <t>Total Sessions (this file)</t>
        </is>
      </c>
      <c r="B2">
        <f>ROWS(Sessions!A2:A7)</f>
        <v/>
      </c>
    </row>
    <row r="3">
      <c r="A3" t="inlineStr">
        <is>
          <t>Distinct Labs Scheduled</t>
        </is>
      </c>
      <c r="B3">
        <f>SUM(IF(FREQUENCY(MATCH(Sessions!C2:C7,Sessions!C2:C7,0),MATCH(Sessions!C2:C7,Sessions!C2:C7,0))&gt;0,1))</f>
        <v/>
      </c>
    </row>
    <row r="4">
      <c r="A4" t="inlineStr">
        <is>
          <t>Total Planned Hours (All Labs)</t>
        </is>
      </c>
      <c r="B4">
        <f>SUM(Sessions!J2:J7)</f>
        <v/>
      </c>
    </row>
    <row r="5"/>
    <row r="6">
      <c r="A6" t="inlineStr">
        <is>
          <t>Lab-wise Summary</t>
        </is>
      </c>
      <c r="B6" t="inlineStr">
        <is>
          <t>Hours Used</t>
        </is>
      </c>
      <c r="C6" t="inlineStr">
        <is>
          <t>Available/Week</t>
        </is>
      </c>
      <c r="D6" t="inlineStr">
        <is>
          <t>Utilization %</t>
        </is>
      </c>
    </row>
    <row r="7">
      <c r="A7" t="inlineStr">
        <is>
          <t>Programming Lab</t>
        </is>
      </c>
      <c r="B7">
        <f>SUMIF(Sessions!C:C,A7,Sessions!J:J)</f>
        <v/>
      </c>
      <c r="C7">
        <f>IFERROR(VLOOKUP(A7,Labs!A:B,2,FALSE),0)</f>
        <v/>
      </c>
      <c r="D7">
        <f>IF(C7&gt;0,B7/C7*100,"")</f>
        <v/>
      </c>
    </row>
    <row r="8">
      <c r="A8" t="inlineStr">
        <is>
          <t>Electronics Lab</t>
        </is>
      </c>
      <c r="B8">
        <f>SUMIF(Sessions!C:C,A8,Sessions!J:J)</f>
        <v/>
      </c>
      <c r="C8">
        <f>IFERROR(VLOOKUP(A8,Labs!A:B,2,FALSE),0)</f>
        <v/>
      </c>
      <c r="D8">
        <f>IF(C8&gt;0,B8/C8*100,"")</f>
        <v/>
      </c>
    </row>
    <row r="9">
      <c r="A9" t="inlineStr">
        <is>
          <t>AI &amp; DS Lab</t>
        </is>
      </c>
      <c r="B9">
        <f>SUMIF(Sessions!C:C,A9,Sessions!J:J)</f>
        <v/>
      </c>
      <c r="C9">
        <f>IFERROR(VLOOKUP(A9,Labs!A:B,2,FALSE),0)</f>
        <v/>
      </c>
      <c r="D9">
        <f>IF(C9&gt;0,B9/C9*100,"")</f>
        <v/>
      </c>
    </row>
    <row r="10">
      <c r="A10" t="inlineStr">
        <is>
          <t>Mechanical Workshop</t>
        </is>
      </c>
      <c r="B10">
        <f>SUMIF(Sessions!C:C,A10,Sessions!J:J)</f>
        <v/>
      </c>
      <c r="C10">
        <f>IFERROR(VLOOKUP(A10,Labs!A:B,2,FALSE),0)</f>
        <v/>
      </c>
      <c r="D10">
        <f>IF(C10&gt;0,B10/C10*100,"")</f>
        <v/>
      </c>
    </row>
    <row r="11">
      <c r="A11" t="inlineStr">
        <is>
          <t>Communication Systems Lab</t>
        </is>
      </c>
      <c r="B11">
        <f>SUMIF(Sessions!C:C,A11,Sessions!J:J)</f>
        <v/>
      </c>
      <c r="C11">
        <f>IFERROR(VLOOKUP(A11,Labs!A:B,2,FALSE),0)</f>
        <v/>
      </c>
      <c r="D11">
        <f>IF(C11&gt;0,B11/C11*100,"")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2025-08-27T03:40:14Z</dcterms:created>
  <dcterms:modified xmlns:dcterms="http://purl.org/dc/terms/" xmlns:xsi="http://www.w3.org/2001/XMLSchema-instance" xsi:type="dcterms:W3CDTF">2025-08-27T03:40:14Z</dcterms:modified>
</cp:coreProperties>
</file>