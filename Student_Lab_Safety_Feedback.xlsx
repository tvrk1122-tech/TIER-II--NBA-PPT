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s" sheetId="1" state="visible" r:id="rId1"/>
    <sheet xmlns:r="http://schemas.openxmlformats.org/officeDocument/2006/relationships" name="Raw_Feedback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absTable" displayName="LabsTable" ref="A1:A6" headerRowCount="1">
  <autoFilter ref="A1:A6"/>
  <tableColumns count="1">
    <tableColumn id="1" name="Lab Name"/>
  </tableColumns>
  <tableStyleInfo name="TableStyleMedium9" showRowStripes="1"/>
</table>
</file>

<file path=xl/tables/table2.xml><?xml version="1.0" encoding="utf-8"?>
<table xmlns="http://schemas.openxmlformats.org/spreadsheetml/2006/main" id="2" name="RawSafetyTable" displayName="RawSafetyTable" ref="A1:J5" headerRowCount="1">
  <autoFilter ref="A1:J5"/>
  <tableColumns count="10">
    <tableColumn id="1" name="Timestamp"/>
    <tableColumn id="2" name="Lab Name"/>
    <tableColumn id="3" name="Fire Safety (1–5)"/>
    <tableColumn id="4" name="Electrical Safety (1–5)"/>
    <tableColumn id="5" name="PPE/Equipment Safety (1–5)"/>
    <tableColumn id="6" name="Chemical Safety (1–5)"/>
    <tableColumn id="7" name="Emergency Preparedness (1–5)"/>
    <tableColumn id="8" name="Training &amp; Awareness (1–5)"/>
    <tableColumn id="9" name="Overall Safety (1–5)"/>
    <tableColumn id="10" name="Suggestions / Comments"/>
  </tableColumns>
  <tableStyleInfo name="TableStyleMedium9" showRowStripes="1"/>
</table>
</file>

<file path=xl/tables/table3.xml><?xml version="1.0" encoding="utf-8"?>
<table xmlns="http://schemas.openxmlformats.org/spreadsheetml/2006/main" id="3" name="SafetyAnalysisTable" displayName="SafetyAnalysisTable" ref="A1:J6" headerRowCount="1">
  <autoFilter ref="A1:J6"/>
  <tableColumns count="10">
    <tableColumn id="1" name="Lab Name"/>
    <tableColumn id="2" name="Responses Count"/>
    <tableColumn id="3" name="Avg Fire"/>
    <tableColumn id="4" name="Avg Electrical"/>
    <tableColumn id="5" name="Avg PPE/Equip"/>
    <tableColumn id="6" name="Avg Chemical"/>
    <tableColumn id="7" name="Avg Emergency"/>
    <tableColumn id="8" name="Avg Training"/>
    <tableColumn id="9" name="Avg Overall (Direct)"/>
    <tableColumn id="10" name="Overall Safety Score (Aspect Means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Lab Name</t>
        </is>
      </c>
    </row>
    <row r="2">
      <c r="A2" t="inlineStr">
        <is>
          <t>Programming Lab</t>
        </is>
      </c>
    </row>
    <row r="3">
      <c r="A3" t="inlineStr">
        <is>
          <t>Electronics Lab</t>
        </is>
      </c>
    </row>
    <row r="4">
      <c r="A4" t="inlineStr">
        <is>
          <t>Mechanical Workshop</t>
        </is>
      </c>
    </row>
    <row r="5">
      <c r="A5" t="inlineStr">
        <is>
          <t>AI &amp; Data Science Lab</t>
        </is>
      </c>
    </row>
    <row r="6">
      <c r="A6" t="inlineStr">
        <is>
          <t>Chemistry Lab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7" customWidth="1" min="4" max="4"/>
    <col width="30" customWidth="1" min="5" max="5"/>
    <col width="25" customWidth="1" min="6" max="6"/>
    <col width="32" customWidth="1" min="7" max="7"/>
    <col width="30" customWidth="1" min="8" max="8"/>
    <col width="24" customWidth="1" min="9" max="9"/>
    <col width="26" customWidth="1" min="10" max="10"/>
  </cols>
  <sheetData>
    <row r="1">
      <c r="A1" t="inlineStr">
        <is>
          <t>Timestamp</t>
        </is>
      </c>
      <c r="B1" t="inlineStr">
        <is>
          <t>Lab Name</t>
        </is>
      </c>
      <c r="C1" t="inlineStr">
        <is>
          <t>Fire Safety (1–5)</t>
        </is>
      </c>
      <c r="D1" t="inlineStr">
        <is>
          <t>Electrical Safety (1–5)</t>
        </is>
      </c>
      <c r="E1" t="inlineStr">
        <is>
          <t>PPE/Equipment Safety (1–5)</t>
        </is>
      </c>
      <c r="F1" t="inlineStr">
        <is>
          <t>Chemical Safety (1–5)</t>
        </is>
      </c>
      <c r="G1" t="inlineStr">
        <is>
          <t>Emergency Preparedness (1–5)</t>
        </is>
      </c>
      <c r="H1" t="inlineStr">
        <is>
          <t>Training &amp; Awareness (1–5)</t>
        </is>
      </c>
      <c r="I1" t="inlineStr">
        <is>
          <t>Overall Safety (1–5)</t>
        </is>
      </c>
      <c r="J1" t="inlineStr">
        <is>
          <t>Suggestions / Comments</t>
        </is>
      </c>
    </row>
    <row r="2">
      <c r="A2" t="inlineStr">
        <is>
          <t>2025-08-20 10:05</t>
        </is>
      </c>
      <c r="B2" t="inlineStr">
        <is>
          <t>Programming Lab</t>
        </is>
      </c>
      <c r="C2" t="n">
        <v>4</v>
      </c>
      <c r="D2" t="n">
        <v>5</v>
      </c>
      <c r="E2" t="n">
        <v>4</v>
      </c>
      <c r="F2" t="inlineStr"/>
      <c r="G2" t="n">
        <v>4</v>
      </c>
      <c r="H2" t="n">
        <v>4</v>
      </c>
      <c r="I2" t="n">
        <v>4</v>
      </c>
      <c r="J2" t="inlineStr">
        <is>
          <t>Need more safety posters</t>
        </is>
      </c>
    </row>
    <row r="3">
      <c r="A3" t="inlineStr">
        <is>
          <t>2025-08-20 10:12</t>
        </is>
      </c>
      <c r="B3" t="inlineStr">
        <is>
          <t>Electronics Lab</t>
        </is>
      </c>
      <c r="C3" t="n">
        <v>3</v>
      </c>
      <c r="D3" t="n">
        <v>4</v>
      </c>
      <c r="E3" t="n">
        <v>3</v>
      </c>
      <c r="F3" t="inlineStr"/>
      <c r="G3" t="n">
        <v>3</v>
      </c>
      <c r="H3" t="n">
        <v>3</v>
      </c>
      <c r="I3" t="n">
        <v>3</v>
      </c>
      <c r="J3" t="inlineStr">
        <is>
          <t>Replace old insulated mats</t>
        </is>
      </c>
    </row>
    <row r="4">
      <c r="A4" t="inlineStr">
        <is>
          <t>2025-08-20 10:18</t>
        </is>
      </c>
      <c r="B4" t="inlineStr">
        <is>
          <t>Mechanical Workshop</t>
        </is>
      </c>
      <c r="C4" t="n">
        <v>5</v>
      </c>
      <c r="D4" t="n">
        <v>4</v>
      </c>
      <c r="E4" t="n">
        <v>5</v>
      </c>
      <c r="F4" t="inlineStr"/>
      <c r="G4" t="n">
        <v>5</v>
      </c>
      <c r="H4" t="n">
        <v>4</v>
      </c>
      <c r="I4" t="n">
        <v>5</v>
      </c>
      <c r="J4" t="inlineStr">
        <is>
          <t>Refresher PPE training annually</t>
        </is>
      </c>
    </row>
    <row r="5">
      <c r="A5" t="inlineStr">
        <is>
          <t>2025-08-20 10:25</t>
        </is>
      </c>
      <c r="B5" t="inlineStr">
        <is>
          <t>Chemistry Lab</t>
        </is>
      </c>
      <c r="C5" t="n">
        <v>4</v>
      </c>
      <c r="D5" t="n">
        <v>3</v>
      </c>
      <c r="E5" t="n">
        <v>4</v>
      </c>
      <c r="F5" t="n">
        <v>4</v>
      </c>
      <c r="G5" t="n">
        <v>4</v>
      </c>
      <c r="H5" t="n">
        <v>3</v>
      </c>
      <c r="I5" t="n">
        <v>4</v>
      </c>
      <c r="J5" t="inlineStr">
        <is>
          <t>Improve fume hood ventilation</t>
        </is>
      </c>
    </row>
  </sheetData>
  <conditionalFormatting sqref="C2:C1000">
    <cfRule type="cellIs" priority="1" operator="lessThan" dxfId="0">
      <formula>3</formula>
    </cfRule>
  </conditionalFormatting>
  <conditionalFormatting sqref="D2:D1000">
    <cfRule type="cellIs" priority="2" operator="lessThan" dxfId="0">
      <formula>3</formula>
    </cfRule>
  </conditionalFormatting>
  <conditionalFormatting sqref="E2:E1000">
    <cfRule type="cellIs" priority="3" operator="lessThan" dxfId="0">
      <formula>3</formula>
    </cfRule>
  </conditionalFormatting>
  <conditionalFormatting sqref="F2:F1000">
    <cfRule type="cellIs" priority="4" operator="lessThan" dxfId="0">
      <formula>3</formula>
    </cfRule>
  </conditionalFormatting>
  <conditionalFormatting sqref="G2:G1000">
    <cfRule type="cellIs" priority="5" operator="lessThan" dxfId="0">
      <formula>3</formula>
    </cfRule>
  </conditionalFormatting>
  <conditionalFormatting sqref="H2:H1000">
    <cfRule type="cellIs" priority="6" operator="lessThan" dxfId="0">
      <formula>3</formula>
    </cfRule>
  </conditionalFormatting>
  <conditionalFormatting sqref="I2:I1000">
    <cfRule type="cellIs" priority="7" operator="lessThan" dxfId="0">
      <formula>3</formula>
    </cfRule>
  </conditionalFormatting>
  <dataValidations count="2">
    <dataValidation sqref="B2:B1000" showErrorMessage="1" showInputMessage="1" allowBlank="0" type="list">
      <formula1>=Labs!$A$2:$A$100</formula1>
    </dataValidation>
    <dataValidation sqref="C2:C1000 D2:D1000 E2:E1000 F2:F1000 G2:G1000 H2:H1000 I2:I1000" showErrorMessage="1" showInputMessage="1" allowBlank="1" type="whole" operator="between">
      <formula1>1</formula1>
      <formula2>5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  <col width="39" customWidth="1" min="10" max="10"/>
  </cols>
  <sheetData>
    <row r="1">
      <c r="A1" t="inlineStr">
        <is>
          <t>Lab Name</t>
        </is>
      </c>
      <c r="B1" t="inlineStr">
        <is>
          <t>Responses Count</t>
        </is>
      </c>
      <c r="C1" t="inlineStr">
        <is>
          <t>Avg Fire</t>
        </is>
      </c>
      <c r="D1" t="inlineStr">
        <is>
          <t>Avg Electrical</t>
        </is>
      </c>
      <c r="E1" t="inlineStr">
        <is>
          <t>Avg PPE/Equip</t>
        </is>
      </c>
      <c r="F1" t="inlineStr">
        <is>
          <t>Avg Chemical</t>
        </is>
      </c>
      <c r="G1" t="inlineStr">
        <is>
          <t>Avg Emergency</t>
        </is>
      </c>
      <c r="H1" t="inlineStr">
        <is>
          <t>Avg Training</t>
        </is>
      </c>
      <c r="I1" t="inlineStr">
        <is>
          <t>Avg Overall (Direct)</t>
        </is>
      </c>
      <c r="J1" t="inlineStr">
        <is>
          <t>Overall Safety Score (Aspect Means)</t>
        </is>
      </c>
    </row>
    <row r="2">
      <c r="A2" t="inlineStr">
        <is>
          <t>Programming Lab</t>
        </is>
      </c>
      <c r="B2">
        <f>COUNTIF(Raw_Feedback!$B:$B,A2)</f>
        <v/>
      </c>
      <c r="C2">
        <f>IF(B2&gt;0,AVERAGEIF(Raw_Feedback!$B:$B,A2,Raw_Feedback!$C:$C),"")</f>
        <v/>
      </c>
      <c r="D2">
        <f>IF(B2&gt;0,AVERAGEIF(Raw_Feedback!$B:$B,A2,Raw_Feedback!$D:$D),"")</f>
        <v/>
      </c>
      <c r="E2">
        <f>IF(B2&gt;0,AVERAGEIF(Raw_Feedback!$B:$B,A2,Raw_Feedback!$E:$E),"")</f>
        <v/>
      </c>
      <c r="F2">
        <f>IF(B2&gt;0,AVERAGEIF(Raw_Feedback!$B:$B,A2,Raw_Feedback!$F:$F),"")</f>
        <v/>
      </c>
      <c r="G2">
        <f>IF(B2&gt;0,AVERAGEIF(Raw_Feedback!$B:$B,A2,Raw_Feedback!$G:$G),"")</f>
        <v/>
      </c>
      <c r="H2">
        <f>IF(B2&gt;0,AVERAGEIF(Raw_Feedback!$B:$B,A2,Raw_Feedback!$H:$H),"")</f>
        <v/>
      </c>
      <c r="I2">
        <f>IF(B2&gt;0,AVERAGEIF(Raw_Feedback!$B:$B,A2,Raw_Feedback!$I:$I),"")</f>
        <v/>
      </c>
      <c r="J2">
        <f>IF(B2&gt;0,AVERAGE(C2:H2),"")</f>
        <v/>
      </c>
    </row>
    <row r="3">
      <c r="A3" t="inlineStr">
        <is>
          <t>Electronics Lab</t>
        </is>
      </c>
      <c r="B3">
        <f>COUNTIF(Raw_Feedback!$B:$B,A3)</f>
        <v/>
      </c>
      <c r="C3">
        <f>IF(B3&gt;0,AVERAGEIF(Raw_Feedback!$B:$B,A3,Raw_Feedback!$C:$C),"")</f>
        <v/>
      </c>
      <c r="D3">
        <f>IF(B3&gt;0,AVERAGEIF(Raw_Feedback!$B:$B,A3,Raw_Feedback!$D:$D),"")</f>
        <v/>
      </c>
      <c r="E3">
        <f>IF(B3&gt;0,AVERAGEIF(Raw_Feedback!$B:$B,A3,Raw_Feedback!$E:$E),"")</f>
        <v/>
      </c>
      <c r="F3">
        <f>IF(B3&gt;0,AVERAGEIF(Raw_Feedback!$B:$B,A3,Raw_Feedback!$F:$F),"")</f>
        <v/>
      </c>
      <c r="G3">
        <f>IF(B3&gt;0,AVERAGEIF(Raw_Feedback!$B:$B,A3,Raw_Feedback!$G:$G),"")</f>
        <v/>
      </c>
      <c r="H3">
        <f>IF(B3&gt;0,AVERAGEIF(Raw_Feedback!$B:$B,A3,Raw_Feedback!$H:$H),"")</f>
        <v/>
      </c>
      <c r="I3">
        <f>IF(B3&gt;0,AVERAGEIF(Raw_Feedback!$B:$B,A3,Raw_Feedback!$I:$I),"")</f>
        <v/>
      </c>
      <c r="J3">
        <f>IF(B3&gt;0,AVERAGE(C3:H3),"")</f>
        <v/>
      </c>
    </row>
    <row r="4">
      <c r="A4" t="inlineStr">
        <is>
          <t>Mechanical Workshop</t>
        </is>
      </c>
      <c r="B4">
        <f>COUNTIF(Raw_Feedback!$B:$B,A4)</f>
        <v/>
      </c>
      <c r="C4">
        <f>IF(B4&gt;0,AVERAGEIF(Raw_Feedback!$B:$B,A4,Raw_Feedback!$C:$C),"")</f>
        <v/>
      </c>
      <c r="D4">
        <f>IF(B4&gt;0,AVERAGEIF(Raw_Feedback!$B:$B,A4,Raw_Feedback!$D:$D),"")</f>
        <v/>
      </c>
      <c r="E4">
        <f>IF(B4&gt;0,AVERAGEIF(Raw_Feedback!$B:$B,A4,Raw_Feedback!$E:$E),"")</f>
        <v/>
      </c>
      <c r="F4">
        <f>IF(B4&gt;0,AVERAGEIF(Raw_Feedback!$B:$B,A4,Raw_Feedback!$F:$F),"")</f>
        <v/>
      </c>
      <c r="G4">
        <f>IF(B4&gt;0,AVERAGEIF(Raw_Feedback!$B:$B,A4,Raw_Feedback!$G:$G),"")</f>
        <v/>
      </c>
      <c r="H4">
        <f>IF(B4&gt;0,AVERAGEIF(Raw_Feedback!$B:$B,A4,Raw_Feedback!$H:$H),"")</f>
        <v/>
      </c>
      <c r="I4">
        <f>IF(B4&gt;0,AVERAGEIF(Raw_Feedback!$B:$B,A4,Raw_Feedback!$I:$I),"")</f>
        <v/>
      </c>
      <c r="J4">
        <f>IF(B4&gt;0,AVERAGE(C4:H4),"")</f>
        <v/>
      </c>
    </row>
    <row r="5">
      <c r="A5" t="inlineStr">
        <is>
          <t>AI &amp; Data Science Lab</t>
        </is>
      </c>
      <c r="B5">
        <f>COUNTIF(Raw_Feedback!$B:$B,A5)</f>
        <v/>
      </c>
      <c r="C5">
        <f>IF(B5&gt;0,AVERAGEIF(Raw_Feedback!$B:$B,A5,Raw_Feedback!$C:$C),"")</f>
        <v/>
      </c>
      <c r="D5">
        <f>IF(B5&gt;0,AVERAGEIF(Raw_Feedback!$B:$B,A5,Raw_Feedback!$D:$D),"")</f>
        <v/>
      </c>
      <c r="E5">
        <f>IF(B5&gt;0,AVERAGEIF(Raw_Feedback!$B:$B,A5,Raw_Feedback!$E:$E),"")</f>
        <v/>
      </c>
      <c r="F5">
        <f>IF(B5&gt;0,AVERAGEIF(Raw_Feedback!$B:$B,A5,Raw_Feedback!$F:$F),"")</f>
        <v/>
      </c>
      <c r="G5">
        <f>IF(B5&gt;0,AVERAGEIF(Raw_Feedback!$B:$B,A5,Raw_Feedback!$G:$G),"")</f>
        <v/>
      </c>
      <c r="H5">
        <f>IF(B5&gt;0,AVERAGEIF(Raw_Feedback!$B:$B,A5,Raw_Feedback!$H:$H),"")</f>
        <v/>
      </c>
      <c r="I5">
        <f>IF(B5&gt;0,AVERAGEIF(Raw_Feedback!$B:$B,A5,Raw_Feedback!$I:$I),"")</f>
        <v/>
      </c>
      <c r="J5">
        <f>IF(B5&gt;0,AVERAGE(C5:H5),"")</f>
        <v/>
      </c>
    </row>
    <row r="6">
      <c r="A6" t="inlineStr">
        <is>
          <t>Chemistry Lab</t>
        </is>
      </c>
      <c r="B6">
        <f>COUNTIF(Raw_Feedback!$B:$B,A6)</f>
        <v/>
      </c>
      <c r="C6">
        <f>IF(B6&gt;0,AVERAGEIF(Raw_Feedback!$B:$B,A6,Raw_Feedback!$C:$C),"")</f>
        <v/>
      </c>
      <c r="D6">
        <f>IF(B6&gt;0,AVERAGEIF(Raw_Feedback!$B:$B,A6,Raw_Feedback!$D:$D),"")</f>
        <v/>
      </c>
      <c r="E6">
        <f>IF(B6&gt;0,AVERAGEIF(Raw_Feedback!$B:$B,A6,Raw_Feedback!$E:$E),"")</f>
        <v/>
      </c>
      <c r="F6">
        <f>IF(B6&gt;0,AVERAGEIF(Raw_Feedback!$B:$B,A6,Raw_Feedback!$F:$F),"")</f>
        <v/>
      </c>
      <c r="G6">
        <f>IF(B6&gt;0,AVERAGEIF(Raw_Feedback!$B:$B,A6,Raw_Feedback!$G:$G),"")</f>
        <v/>
      </c>
      <c r="H6">
        <f>IF(B6&gt;0,AVERAGEIF(Raw_Feedback!$B:$B,A6,Raw_Feedback!$H:$H),"")</f>
        <v/>
      </c>
      <c r="I6">
        <f>IF(B6&gt;0,AVERAGEIF(Raw_Feedback!$B:$B,A6,Raw_Feedback!$I:$I),"")</f>
        <v/>
      </c>
      <c r="J6">
        <f>IF(B6&gt;0,AVERAGE(C6:H6),"")</f>
        <v/>
      </c>
    </row>
  </sheetData>
  <conditionalFormatting sqref="C2:C6">
    <cfRule type="cellIs" priority="1" operator="lessThan" dxfId="0">
      <formula>3</formula>
    </cfRule>
    <cfRule type="cellIs" priority="2" operator="between" dxfId="1">
      <formula>3</formula>
      <formula>3.5</formula>
    </cfRule>
    <cfRule type="cellIs" priority="3" operator="greaterThanOrEqual" dxfId="2">
      <formula>4</formula>
    </cfRule>
  </conditionalFormatting>
  <conditionalFormatting sqref="D2:D6">
    <cfRule type="cellIs" priority="4" operator="lessThan" dxfId="0">
      <formula>3</formula>
    </cfRule>
    <cfRule type="cellIs" priority="5" operator="between" dxfId="1">
      <formula>3</formula>
      <formula>3.5</formula>
    </cfRule>
    <cfRule type="cellIs" priority="6" operator="greaterThanOrEqual" dxfId="2">
      <formula>4</formula>
    </cfRule>
  </conditionalFormatting>
  <conditionalFormatting sqref="E2:E6">
    <cfRule type="cellIs" priority="7" operator="lessThan" dxfId="0">
      <formula>3</formula>
    </cfRule>
    <cfRule type="cellIs" priority="8" operator="between" dxfId="1">
      <formula>3</formula>
      <formula>3.5</formula>
    </cfRule>
    <cfRule type="cellIs" priority="9" operator="greaterThanOrEqual" dxfId="2">
      <formula>4</formula>
    </cfRule>
  </conditionalFormatting>
  <conditionalFormatting sqref="F2:F6">
    <cfRule type="cellIs" priority="10" operator="lessThan" dxfId="0">
      <formula>3</formula>
    </cfRule>
    <cfRule type="cellIs" priority="11" operator="between" dxfId="1">
      <formula>3</formula>
      <formula>3.5</formula>
    </cfRule>
    <cfRule type="cellIs" priority="12" operator="greaterThanOrEqual" dxfId="2">
      <formula>4</formula>
    </cfRule>
  </conditionalFormatting>
  <conditionalFormatting sqref="G2:G6">
    <cfRule type="cellIs" priority="13" operator="lessThan" dxfId="0">
      <formula>3</formula>
    </cfRule>
    <cfRule type="cellIs" priority="14" operator="between" dxfId="1">
      <formula>3</formula>
      <formula>3.5</formula>
    </cfRule>
    <cfRule type="cellIs" priority="15" operator="greaterThanOrEqual" dxfId="2">
      <formula>4</formula>
    </cfRule>
  </conditionalFormatting>
  <conditionalFormatting sqref="H2:H6">
    <cfRule type="cellIs" priority="16" operator="lessThan" dxfId="0">
      <formula>3</formula>
    </cfRule>
    <cfRule type="cellIs" priority="17" operator="between" dxfId="1">
      <formula>3</formula>
      <formula>3.5</formula>
    </cfRule>
    <cfRule type="cellIs" priority="18" operator="greaterThanOrEqual" dxfId="2">
      <formula>4</formula>
    </cfRule>
  </conditionalFormatting>
  <conditionalFormatting sqref="I2:I6">
    <cfRule type="cellIs" priority="19" operator="lessThan" dxfId="0">
      <formula>3</formula>
    </cfRule>
    <cfRule type="cellIs" priority="20" operator="between" dxfId="1">
      <formula>3</formula>
      <formula>3.5</formula>
    </cfRule>
    <cfRule type="cellIs" priority="21" operator="greaterThanOrEqual" dxfId="2">
      <formula>4</formula>
    </cfRule>
  </conditionalFormatting>
  <conditionalFormatting sqref="J2:J6">
    <cfRule type="cellIs" priority="22" operator="lessThan" dxfId="0">
      <formula>3</formula>
    </cfRule>
    <cfRule type="cellIs" priority="23" operator="between" dxfId="1">
      <formula>3</formula>
      <formula>3.5</formula>
    </cfRule>
    <cfRule type="cellIs" priority="24" operator="greaterThanOrEqual" dxfId="2">
      <formula>4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t="inlineStr">
        <is>
          <t>KPI</t>
        </is>
      </c>
      <c r="B1" t="inlineStr">
        <is>
          <t>Value / Formula</t>
        </is>
      </c>
    </row>
    <row r="2">
      <c r="A2" t="inlineStr">
        <is>
          <t>Overall Safety (Direct) - All Labs</t>
        </is>
      </c>
      <c r="B2">
        <f>AVERAGE(Analysis!I2:I6)</f>
        <v/>
      </c>
    </row>
    <row r="3">
      <c r="A3" t="inlineStr">
        <is>
          <t>Overall Safety (Aspect Means) - All Labs</t>
        </is>
      </c>
      <c r="B3">
        <f>AVERAGE(Analysis!J2:J6)</f>
        <v/>
      </c>
    </row>
    <row r="4">
      <c r="A4" t="inlineStr">
        <is>
          <t>Total Responses</t>
        </is>
      </c>
      <c r="B4">
        <f>COUNTA(Raw_Feedback!B2:B1000)</f>
        <v/>
      </c>
    </row>
    <row r="5">
      <c r="A5" t="inlineStr">
        <is>
          <t># Labs below 3.5 (Aspect Means)</t>
        </is>
      </c>
      <c r="B5">
        <f>COUNTIF(Analysis!J2:J6,"&lt;3.5")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2025-08-27T06:28:22Z</dcterms:created>
  <dcterms:modified xmlns:dcterms="http://purl.org/dc/terms/" xmlns:xsi="http://www.w3.org/2001/XMLSchema-instance" xsi:type="dcterms:W3CDTF">2025-08-27T06:28:22Z</dcterms:modified>
</cp:coreProperties>
</file>