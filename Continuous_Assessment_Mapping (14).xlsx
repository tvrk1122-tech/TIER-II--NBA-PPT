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 Records" sheetId="1" state="visible" r:id="rId1"/>
    <sheet xmlns:r="http://schemas.openxmlformats.org/officeDocument/2006/relationships" name="CO–PO Attainment Summary" sheetId="2" state="visible" r:id="rId2"/>
    <sheet xmlns:r="http://schemas.openxmlformats.org/officeDocument/2006/relationships" name="Evidence Tracker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Assignment Mapping" sheetId="5" state="visible" r:id="rId5"/>
    <sheet xmlns:r="http://schemas.openxmlformats.org/officeDocument/2006/relationships" name="Unit Test Mapping" sheetId="6" state="visible" r:id="rId6"/>
    <sheet xmlns:r="http://schemas.openxmlformats.org/officeDocument/2006/relationships" name="Unit Test Mapping1" sheetId="7" state="visible" r:id="rId7"/>
    <sheet xmlns:r="http://schemas.openxmlformats.org/officeDocument/2006/relationships" name="CO Attainment Analysis" sheetId="8" state="visible" r:id="rId8"/>
    <sheet xmlns:r="http://schemas.openxmlformats.org/officeDocument/2006/relationships" name="Mid-Term Mapping" sheetId="9" state="visible" r:id="rId9"/>
    <sheet xmlns:r="http://schemas.openxmlformats.org/officeDocument/2006/relationships" name="Attendance &amp; Marks Register" sheetId="10" state="visible" r:id="rId10"/>
    <sheet xmlns:r="http://schemas.openxmlformats.org/officeDocument/2006/relationships" name="Rubrics &amp; Answer Scripts" sheetId="11" state="visible" r:id="rId11"/>
    <sheet xmlns:r="http://schemas.openxmlformats.org/officeDocument/2006/relationships" name="CO Score Sheets" sheetId="12" state="visible" r:id="rId12"/>
    <sheet xmlns:r="http://schemas.openxmlformats.org/officeDocument/2006/relationships" name="CO–PO Mapping &amp; Attainment" sheetId="13" state="visible" r:id="rId13"/>
    <sheet xmlns:r="http://schemas.openxmlformats.org/officeDocument/2006/relationships" name="Attainment Calc Sheets" sheetId="14" state="visible" r:id="rId14"/>
    <sheet xmlns:r="http://schemas.openxmlformats.org/officeDocument/2006/relationships" name="Assignment-wise Attainment" sheetId="15" state="visible" r:id="rId15"/>
    <sheet xmlns:r="http://schemas.openxmlformats.org/officeDocument/2006/relationships" name="CO Attainment Summary" sheetId="16" state="visible" r:id="rId16"/>
    <sheet xmlns:r="http://schemas.openxmlformats.org/officeDocument/2006/relationships" name="Unit Test-wise Attainment" sheetId="17" state="visible" r:id="rId17"/>
    <sheet xmlns:r="http://schemas.openxmlformats.org/officeDocument/2006/relationships" name="Mid-Term-wise Attainmen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6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0" customWidth="1" min="10" max="10"/>
    <col width="14" customWidth="1" min="11" max="11"/>
    <col width="22" customWidth="1" min="12" max="12"/>
    <col width="20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(Assignment/Unit Test/Mid-Term)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Bloom’s Level</t>
        </is>
      </c>
      <c r="J1" s="1" t="inlineStr">
        <is>
          <t>Max Marks</t>
        </is>
      </c>
      <c r="K1" s="1" t="inlineStr">
        <is>
          <t>Obtained Marks</t>
        </is>
      </c>
      <c r="L1" s="1" t="inlineStr">
        <is>
          <t>Class Avg % (as 0.00-1.00)</t>
        </is>
      </c>
      <c r="M1" s="1" t="inlineStr">
        <is>
          <t>Attainment Level (Auto)</t>
        </is>
      </c>
      <c r="N1" s="1" t="inlineStr">
        <is>
          <t>Evidence Link (URL/File)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inlineStr">
        <is>
          <t>Apply</t>
        </is>
      </c>
      <c r="J2" t="n">
        <v>10</v>
      </c>
      <c r="K2" t="n">
        <v>8</v>
      </c>
      <c r="L2" t="n">
        <v>0.75</v>
      </c>
      <c r="M2">
        <f>IF(L2="","",IF(L2&gt;=0.7,3,IF(L2&gt;=0.6,2,IF(L2&gt;=0.5,1,0))))</f>
        <v/>
      </c>
      <c r="N2" t="inlineStr">
        <is>
          <t>A1_Q1.pdf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Unit Test</t>
        </is>
      </c>
      <c r="D3" t="inlineStr">
        <is>
          <t>UT1</t>
        </is>
      </c>
      <c r="E3" t="inlineStr">
        <is>
          <t>Q2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inlineStr">
        <is>
          <t>Analyze</t>
        </is>
      </c>
      <c r="J3" t="n">
        <v>15</v>
      </c>
      <c r="K3" t="n">
        <v>12</v>
      </c>
      <c r="L3" t="n">
        <v>0.7</v>
      </c>
      <c r="M3">
        <f>IF(L3="","",IF(L3&gt;=0.7,3,IF(L3&gt;=0.6,2,IF(L3&gt;=0.5,1,0))))</f>
        <v/>
      </c>
      <c r="N3" t="inlineStr">
        <is>
          <t>UT1_Q2.pdf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Mid-Term</t>
        </is>
      </c>
      <c r="D4" t="inlineStr">
        <is>
          <t>MT1</t>
        </is>
      </c>
      <c r="E4" t="inlineStr">
        <is>
          <t>Q3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inlineStr">
        <is>
          <t>Evaluate</t>
        </is>
      </c>
      <c r="J4" t="n">
        <v>20</v>
      </c>
      <c r="K4" t="n">
        <v>14</v>
      </c>
      <c r="L4" t="n">
        <v>0.65</v>
      </c>
      <c r="M4">
        <f>IF(L4="","",IF(L4&gt;=0.7,3,IF(L4&gt;=0.6,2,IF(L4&gt;=0.5,1,0))))</f>
        <v/>
      </c>
      <c r="N4" t="inlineStr">
        <is>
          <t>MT1_Q3.pdf</t>
        </is>
      </c>
    </row>
    <row r="5">
      <c r="M5">
        <f>IF(L5="","",IF(L5&gt;=0.7,3,IF(L5&gt;=0.6,2,IF(L5&gt;=0.5,1,0))))</f>
        <v/>
      </c>
    </row>
    <row r="6">
      <c r="M6">
        <f>IF(L6="","",IF(L6&gt;=0.7,3,IF(L6&gt;=0.6,2,IF(L6&gt;=0.5,1,0))))</f>
        <v/>
      </c>
    </row>
    <row r="7">
      <c r="M7">
        <f>IF(L7="","",IF(L7&gt;=0.7,3,IF(L7&gt;=0.6,2,IF(L7&gt;=0.5,1,0))))</f>
        <v/>
      </c>
    </row>
    <row r="8">
      <c r="M8">
        <f>IF(L8="","",IF(L8&gt;=0.7,3,IF(L8&gt;=0.6,2,IF(L8&gt;=0.5,1,0))))</f>
        <v/>
      </c>
    </row>
    <row r="9">
      <c r="M9">
        <f>IF(L9="","",IF(L9&gt;=0.7,3,IF(L9&gt;=0.6,2,IF(L9&gt;=0.5,1,0))))</f>
        <v/>
      </c>
    </row>
    <row r="10">
      <c r="M10">
        <f>IF(L10="","",IF(L10&gt;=0.7,3,IF(L10&gt;=0.6,2,IF(L10&gt;=0.5,1,0))))</f>
        <v/>
      </c>
    </row>
    <row r="11">
      <c r="M11">
        <f>IF(L11="","",IF(L11&gt;=0.7,3,IF(L11&gt;=0.6,2,IF(L11&gt;=0.5,1,0))))</f>
        <v/>
      </c>
    </row>
    <row r="12">
      <c r="M12">
        <f>IF(L12="","",IF(L12&gt;=0.7,3,IF(L12&gt;=0.6,2,IF(L12&gt;=0.5,1,0))))</f>
        <v/>
      </c>
    </row>
    <row r="13">
      <c r="M13">
        <f>IF(L13="","",IF(L13&gt;=0.7,3,IF(L13&gt;=0.6,2,IF(L13&gt;=0.5,1,0))))</f>
        <v/>
      </c>
    </row>
    <row r="14">
      <c r="M14">
        <f>IF(L14="","",IF(L14&gt;=0.7,3,IF(L14&gt;=0.6,2,IF(L14&gt;=0.5,1,0))))</f>
        <v/>
      </c>
    </row>
    <row r="15">
      <c r="M15">
        <f>IF(L15="","",IF(L15&gt;=0.7,3,IF(L15&gt;=0.6,2,IF(L15&gt;=0.5,1,0))))</f>
        <v/>
      </c>
    </row>
    <row r="16">
      <c r="M16">
        <f>IF(L16="","",IF(L16&gt;=0.7,3,IF(L16&gt;=0.6,2,IF(L16&gt;=0.5,1,0))))</f>
        <v/>
      </c>
    </row>
    <row r="17">
      <c r="M17">
        <f>IF(L17="","",IF(L17&gt;=0.7,3,IF(L17&gt;=0.6,2,IF(L17&gt;=0.5,1,0))))</f>
        <v/>
      </c>
    </row>
    <row r="18">
      <c r="M18">
        <f>IF(L18="","",IF(L18&gt;=0.7,3,IF(L18&gt;=0.6,2,IF(L18&gt;=0.5,1,0))))</f>
        <v/>
      </c>
    </row>
    <row r="19">
      <c r="M19">
        <f>IF(L19="","",IF(L19&gt;=0.7,3,IF(L19&gt;=0.6,2,IF(L19&gt;=0.5,1,0))))</f>
        <v/>
      </c>
    </row>
    <row r="20">
      <c r="M20">
        <f>IF(L20="","",IF(L20&gt;=0.7,3,IF(L20&gt;=0.6,2,IF(L20&gt;=0.5,1,0))))</f>
        <v/>
      </c>
    </row>
    <row r="21">
      <c r="M21">
        <f>IF(L21="","",IF(L21&gt;=0.7,3,IF(L21&gt;=0.6,2,IF(L21&gt;=0.5,1,0))))</f>
        <v/>
      </c>
    </row>
    <row r="22">
      <c r="M22">
        <f>IF(L22="","",IF(L22&gt;=0.7,3,IF(L22&gt;=0.6,2,IF(L22&gt;=0.5,1,0))))</f>
        <v/>
      </c>
    </row>
    <row r="23">
      <c r="M23">
        <f>IF(L23="","",IF(L23&gt;=0.7,3,IF(L23&gt;=0.6,2,IF(L23&gt;=0.5,1,0))))</f>
        <v/>
      </c>
    </row>
    <row r="24">
      <c r="M24">
        <f>IF(L24="","",IF(L24&gt;=0.7,3,IF(L24&gt;=0.6,2,IF(L24&gt;=0.5,1,0))))</f>
        <v/>
      </c>
    </row>
    <row r="25">
      <c r="M25">
        <f>IF(L25="","",IF(L25&gt;=0.7,3,IF(L25&gt;=0.6,2,IF(L25&gt;=0.5,1,0))))</f>
        <v/>
      </c>
    </row>
    <row r="26">
      <c r="M26">
        <f>IF(L26="","",IF(L26&gt;=0.7,3,IF(L26&gt;=0.6,2,IF(L26&gt;=0.5,1,0))))</f>
        <v/>
      </c>
    </row>
    <row r="27">
      <c r="M27">
        <f>IF(L27="","",IF(L27&gt;=0.7,3,IF(L27&gt;=0.6,2,IF(L27&gt;=0.5,1,0))))</f>
        <v/>
      </c>
    </row>
    <row r="28">
      <c r="M28">
        <f>IF(L28="","",IF(L28&gt;=0.7,3,IF(L28&gt;=0.6,2,IF(L28&gt;=0.5,1,0))))</f>
        <v/>
      </c>
    </row>
    <row r="29">
      <c r="M29">
        <f>IF(L29="","",IF(L29&gt;=0.7,3,IF(L29&gt;=0.6,2,IF(L29&gt;=0.5,1,0))))</f>
        <v/>
      </c>
    </row>
    <row r="30">
      <c r="M30">
        <f>IF(L30="","",IF(L30&gt;=0.7,3,IF(L30&gt;=0.6,2,IF(L30&gt;=0.5,1,0))))</f>
        <v/>
      </c>
    </row>
    <row r="31">
      <c r="M31">
        <f>IF(L31="","",IF(L31&gt;=0.7,3,IF(L31&gt;=0.6,2,IF(L31&gt;=0.5,1,0))))</f>
        <v/>
      </c>
    </row>
    <row r="32">
      <c r="M32">
        <f>IF(L32="","",IF(L32&gt;=0.7,3,IF(L32&gt;=0.6,2,IF(L32&gt;=0.5,1,0))))</f>
        <v/>
      </c>
    </row>
    <row r="33">
      <c r="M33">
        <f>IF(L33="","",IF(L33&gt;=0.7,3,IF(L33&gt;=0.6,2,IF(L33&gt;=0.5,1,0))))</f>
        <v/>
      </c>
    </row>
    <row r="34">
      <c r="M34">
        <f>IF(L34="","",IF(L34&gt;=0.7,3,IF(L34&gt;=0.6,2,IF(L34&gt;=0.5,1,0))))</f>
        <v/>
      </c>
    </row>
    <row r="35">
      <c r="M35">
        <f>IF(L35="","",IF(L35&gt;=0.7,3,IF(L35&gt;=0.6,2,IF(L35&gt;=0.5,1,0))))</f>
        <v/>
      </c>
    </row>
    <row r="36">
      <c r="M36">
        <f>IF(L36="","",IF(L36&gt;=0.7,3,IF(L36&gt;=0.6,2,IF(L36&gt;=0.5,1,0))))</f>
        <v/>
      </c>
    </row>
    <row r="37">
      <c r="M37">
        <f>IF(L37="","",IF(L37&gt;=0.7,3,IF(L37&gt;=0.6,2,IF(L37&gt;=0.5,1,0))))</f>
        <v/>
      </c>
    </row>
    <row r="38">
      <c r="M38">
        <f>IF(L38="","",IF(L38&gt;=0.7,3,IF(L38&gt;=0.6,2,IF(L38&gt;=0.5,1,0))))</f>
        <v/>
      </c>
    </row>
    <row r="39">
      <c r="M39">
        <f>IF(L39="","",IF(L39&gt;=0.7,3,IF(L39&gt;=0.6,2,IF(L39&gt;=0.5,1,0))))</f>
        <v/>
      </c>
    </row>
    <row r="40">
      <c r="M40">
        <f>IF(L40="","",IF(L40&gt;=0.7,3,IF(L40&gt;=0.6,2,IF(L40&gt;=0.5,1,0))))</f>
        <v/>
      </c>
    </row>
    <row r="41">
      <c r="M41">
        <f>IF(L41="","",IF(L41&gt;=0.7,3,IF(L41&gt;=0.6,2,IF(L41&gt;=0.5,1,0))))</f>
        <v/>
      </c>
    </row>
    <row r="42">
      <c r="M42">
        <f>IF(L42="","",IF(L42&gt;=0.7,3,IF(L42&gt;=0.6,2,IF(L42&gt;=0.5,1,0))))</f>
        <v/>
      </c>
    </row>
    <row r="43">
      <c r="M43">
        <f>IF(L43="","",IF(L43&gt;=0.7,3,IF(L43&gt;=0.6,2,IF(L43&gt;=0.5,1,0))))</f>
        <v/>
      </c>
    </row>
    <row r="44">
      <c r="M44">
        <f>IF(L44="","",IF(L44&gt;=0.7,3,IF(L44&gt;=0.6,2,IF(L44&gt;=0.5,1,0))))</f>
        <v/>
      </c>
    </row>
    <row r="45">
      <c r="M45">
        <f>IF(L45="","",IF(L45&gt;=0.7,3,IF(L45&gt;=0.6,2,IF(L45&gt;=0.5,1,0))))</f>
        <v/>
      </c>
    </row>
    <row r="46">
      <c r="M46">
        <f>IF(L46="","",IF(L46&gt;=0.7,3,IF(L46&gt;=0.6,2,IF(L46&gt;=0.5,1,0))))</f>
        <v/>
      </c>
    </row>
    <row r="47">
      <c r="M47">
        <f>IF(L47="","",IF(L47&gt;=0.7,3,IF(L47&gt;=0.6,2,IF(L47&gt;=0.5,1,0))))</f>
        <v/>
      </c>
    </row>
    <row r="48">
      <c r="M48">
        <f>IF(L48="","",IF(L48&gt;=0.7,3,IF(L48&gt;=0.6,2,IF(L48&gt;=0.5,1,0))))</f>
        <v/>
      </c>
    </row>
    <row r="49">
      <c r="M49">
        <f>IF(L49="","",IF(L49&gt;=0.7,3,IF(L49&gt;=0.6,2,IF(L49&gt;=0.5,1,0))))</f>
        <v/>
      </c>
    </row>
    <row r="50">
      <c r="M50">
        <f>IF(L50="","",IF(L50&gt;=0.7,3,IF(L50&gt;=0.6,2,IF(L50&gt;=0.5,1,0))))</f>
        <v/>
      </c>
    </row>
    <row r="51">
      <c r="M51">
        <f>IF(L51="","",IF(L51&gt;=0.7,3,IF(L51&gt;=0.6,2,IF(L51&gt;=0.5,1,0))))</f>
        <v/>
      </c>
    </row>
    <row r="52">
      <c r="M52">
        <f>IF(L52="","",IF(L52&gt;=0.7,3,IF(L52&gt;=0.6,2,IF(L52&gt;=0.5,1,0))))</f>
        <v/>
      </c>
    </row>
    <row r="53">
      <c r="M53">
        <f>IF(L53="","",IF(L53&gt;=0.7,3,IF(L53&gt;=0.6,2,IF(L53&gt;=0.5,1,0))))</f>
        <v/>
      </c>
    </row>
    <row r="54">
      <c r="M54">
        <f>IF(L54="","",IF(L54&gt;=0.7,3,IF(L54&gt;=0.6,2,IF(L54&gt;=0.5,1,0))))</f>
        <v/>
      </c>
    </row>
    <row r="55">
      <c r="M55">
        <f>IF(L55="","",IF(L55&gt;=0.7,3,IF(L55&gt;=0.6,2,IF(L55&gt;=0.5,1,0))))</f>
        <v/>
      </c>
    </row>
    <row r="56">
      <c r="M56">
        <f>IF(L56="","",IF(L56&gt;=0.7,3,IF(L56&gt;=0.6,2,IF(L56&gt;=0.5,1,0))))</f>
        <v/>
      </c>
    </row>
    <row r="57">
      <c r="M57">
        <f>IF(L57="","",IF(L57&gt;=0.7,3,IF(L57&gt;=0.6,2,IF(L57&gt;=0.5,1,0))))</f>
        <v/>
      </c>
    </row>
    <row r="58">
      <c r="M58">
        <f>IF(L58="","",IF(L58&gt;=0.7,3,IF(L58&gt;=0.6,2,IF(L58&gt;=0.5,1,0))))</f>
        <v/>
      </c>
    </row>
    <row r="59">
      <c r="M59">
        <f>IF(L59="","",IF(L59&gt;=0.7,3,IF(L59&gt;=0.6,2,IF(L59&gt;=0.5,1,0))))</f>
        <v/>
      </c>
    </row>
    <row r="60">
      <c r="M60">
        <f>IF(L60="","",IF(L60&gt;=0.7,3,IF(L60&gt;=0.6,2,IF(L60&gt;=0.5,1,0))))</f>
        <v/>
      </c>
    </row>
    <row r="61">
      <c r="M61">
        <f>IF(L61="","",IF(L61&gt;=0.7,3,IF(L61&gt;=0.6,2,IF(L61&gt;=0.5,1,0))))</f>
        <v/>
      </c>
    </row>
    <row r="62">
      <c r="M62">
        <f>IF(L62="","",IF(L62&gt;=0.7,3,IF(L62&gt;=0.6,2,IF(L62&gt;=0.5,1,0))))</f>
        <v/>
      </c>
    </row>
    <row r="63">
      <c r="M63">
        <f>IF(L63="","",IF(L63&gt;=0.7,3,IF(L63&gt;=0.6,2,IF(L63&gt;=0.5,1,0))))</f>
        <v/>
      </c>
    </row>
    <row r="64">
      <c r="M64">
        <f>IF(L64="","",IF(L64&gt;=0.7,3,IF(L64&gt;=0.6,2,IF(L64&gt;=0.5,1,0))))</f>
        <v/>
      </c>
    </row>
    <row r="65">
      <c r="M65">
        <f>IF(L65="","",IF(L65&gt;=0.7,3,IF(L65&gt;=0.6,2,IF(L65&gt;=0.5,1,0))))</f>
        <v/>
      </c>
    </row>
    <row r="66">
      <c r="M66">
        <f>IF(L66="","",IF(L66&gt;=0.7,3,IF(L66&gt;=0.6,2,IF(L66&gt;=0.5,1,0))))</f>
        <v/>
      </c>
    </row>
    <row r="67">
      <c r="M67">
        <f>IF(L67="","",IF(L67&gt;=0.7,3,IF(L67&gt;=0.6,2,IF(L67&gt;=0.5,1,0))))</f>
        <v/>
      </c>
    </row>
    <row r="68">
      <c r="M68">
        <f>IF(L68="","",IF(L68&gt;=0.7,3,IF(L68&gt;=0.6,2,IF(L68&gt;=0.5,1,0))))</f>
        <v/>
      </c>
    </row>
    <row r="69">
      <c r="M69">
        <f>IF(L69="","",IF(L69&gt;=0.7,3,IF(L69&gt;=0.6,2,IF(L69&gt;=0.5,1,0))))</f>
        <v/>
      </c>
    </row>
    <row r="70">
      <c r="M70">
        <f>IF(L70="","",IF(L70&gt;=0.7,3,IF(L70&gt;=0.6,2,IF(L70&gt;=0.5,1,0))))</f>
        <v/>
      </c>
    </row>
    <row r="71">
      <c r="M71">
        <f>IF(L71="","",IF(L71&gt;=0.7,3,IF(L71&gt;=0.6,2,IF(L71&gt;=0.5,1,0))))</f>
        <v/>
      </c>
    </row>
    <row r="72">
      <c r="M72">
        <f>IF(L72="","",IF(L72&gt;=0.7,3,IF(L72&gt;=0.6,2,IF(L72&gt;=0.5,1,0))))</f>
        <v/>
      </c>
    </row>
    <row r="73">
      <c r="M73">
        <f>IF(L73="","",IF(L73&gt;=0.7,3,IF(L73&gt;=0.6,2,IF(L73&gt;=0.5,1,0))))</f>
        <v/>
      </c>
    </row>
    <row r="74">
      <c r="M74">
        <f>IF(L74="","",IF(L74&gt;=0.7,3,IF(L74&gt;=0.6,2,IF(L74&gt;=0.5,1,0))))</f>
        <v/>
      </c>
    </row>
    <row r="75">
      <c r="M75">
        <f>IF(L75="","",IF(L75&gt;=0.7,3,IF(L75&gt;=0.6,2,IF(L75&gt;=0.5,1,0))))</f>
        <v/>
      </c>
    </row>
    <row r="76">
      <c r="M76">
        <f>IF(L76="","",IF(L76&gt;=0.7,3,IF(L76&gt;=0.6,2,IF(L76&gt;=0.5,1,0))))</f>
        <v/>
      </c>
    </row>
    <row r="77">
      <c r="M77">
        <f>IF(L77="","",IF(L77&gt;=0.7,3,IF(L77&gt;=0.6,2,IF(L77&gt;=0.5,1,0))))</f>
        <v/>
      </c>
    </row>
    <row r="78">
      <c r="M78">
        <f>IF(L78="","",IF(L78&gt;=0.7,3,IF(L78&gt;=0.6,2,IF(L78&gt;=0.5,1,0))))</f>
        <v/>
      </c>
    </row>
    <row r="79">
      <c r="M79">
        <f>IF(L79="","",IF(L79&gt;=0.7,3,IF(L79&gt;=0.6,2,IF(L79&gt;=0.5,1,0))))</f>
        <v/>
      </c>
    </row>
    <row r="80">
      <c r="M80">
        <f>IF(L80="","",IF(L80&gt;=0.7,3,IF(L80&gt;=0.6,2,IF(L80&gt;=0.5,1,0))))</f>
        <v/>
      </c>
    </row>
    <row r="81">
      <c r="M81">
        <f>IF(L81="","",IF(L81&gt;=0.7,3,IF(L81&gt;=0.6,2,IF(L81&gt;=0.5,1,0))))</f>
        <v/>
      </c>
    </row>
    <row r="82">
      <c r="M82">
        <f>IF(L82="","",IF(L82&gt;=0.7,3,IF(L82&gt;=0.6,2,IF(L82&gt;=0.5,1,0))))</f>
        <v/>
      </c>
    </row>
    <row r="83">
      <c r="M83">
        <f>IF(L83="","",IF(L83&gt;=0.7,3,IF(L83&gt;=0.6,2,IF(L83&gt;=0.5,1,0))))</f>
        <v/>
      </c>
    </row>
    <row r="84">
      <c r="M84">
        <f>IF(L84="","",IF(L84&gt;=0.7,3,IF(L84&gt;=0.6,2,IF(L84&gt;=0.5,1,0))))</f>
        <v/>
      </c>
    </row>
    <row r="85">
      <c r="M85">
        <f>IF(L85="","",IF(L85&gt;=0.7,3,IF(L85&gt;=0.6,2,IF(L85&gt;=0.5,1,0))))</f>
        <v/>
      </c>
    </row>
    <row r="86">
      <c r="M86">
        <f>IF(L86="","",IF(L86&gt;=0.7,3,IF(L86&gt;=0.6,2,IF(L86&gt;=0.5,1,0))))</f>
        <v/>
      </c>
    </row>
    <row r="87">
      <c r="M87">
        <f>IF(L87="","",IF(L87&gt;=0.7,3,IF(L87&gt;=0.6,2,IF(L87&gt;=0.5,1,0))))</f>
        <v/>
      </c>
    </row>
    <row r="88">
      <c r="M88">
        <f>IF(L88="","",IF(L88&gt;=0.7,3,IF(L88&gt;=0.6,2,IF(L88&gt;=0.5,1,0))))</f>
        <v/>
      </c>
    </row>
    <row r="89">
      <c r="M89">
        <f>IF(L89="","",IF(L89&gt;=0.7,3,IF(L89&gt;=0.6,2,IF(L89&gt;=0.5,1,0))))</f>
        <v/>
      </c>
    </row>
    <row r="90">
      <c r="M90">
        <f>IF(L90="","",IF(L90&gt;=0.7,3,IF(L90&gt;=0.6,2,IF(L90&gt;=0.5,1,0))))</f>
        <v/>
      </c>
    </row>
    <row r="91">
      <c r="M91">
        <f>IF(L91="","",IF(L91&gt;=0.7,3,IF(L91&gt;=0.6,2,IF(L91&gt;=0.5,1,0))))</f>
        <v/>
      </c>
    </row>
    <row r="92">
      <c r="M92">
        <f>IF(L92="","",IF(L92&gt;=0.7,3,IF(L92&gt;=0.6,2,IF(L92&gt;=0.5,1,0))))</f>
        <v/>
      </c>
    </row>
    <row r="93">
      <c r="M93">
        <f>IF(L93="","",IF(L93&gt;=0.7,3,IF(L93&gt;=0.6,2,IF(L93&gt;=0.5,1,0))))</f>
        <v/>
      </c>
    </row>
    <row r="94">
      <c r="M94">
        <f>IF(L94="","",IF(L94&gt;=0.7,3,IF(L94&gt;=0.6,2,IF(L94&gt;=0.5,1,0))))</f>
        <v/>
      </c>
    </row>
    <row r="95">
      <c r="M95">
        <f>IF(L95="","",IF(L95&gt;=0.7,3,IF(L95&gt;=0.6,2,IF(L95&gt;=0.5,1,0))))</f>
        <v/>
      </c>
    </row>
    <row r="96">
      <c r="M96">
        <f>IF(L96="","",IF(L96&gt;=0.7,3,IF(L96&gt;=0.6,2,IF(L96&gt;=0.5,1,0))))</f>
        <v/>
      </c>
    </row>
    <row r="97">
      <c r="M97">
        <f>IF(L97="","",IF(L97&gt;=0.7,3,IF(L97&gt;=0.6,2,IF(L97&gt;=0.5,1,0))))</f>
        <v/>
      </c>
    </row>
    <row r="98">
      <c r="M98">
        <f>IF(L98="","",IF(L98&gt;=0.7,3,IF(L98&gt;=0.6,2,IF(L98&gt;=0.5,1,0))))</f>
        <v/>
      </c>
    </row>
    <row r="99">
      <c r="M99">
        <f>IF(L99="","",IF(L99&gt;=0.7,3,IF(L99&gt;=0.6,2,IF(L99&gt;=0.5,1,0))))</f>
        <v/>
      </c>
    </row>
    <row r="100">
      <c r="M100">
        <f>IF(L100="","",IF(L100&gt;=0.7,3,IF(L100&gt;=0.6,2,IF(L100&gt;=0.5,1,0))))</f>
        <v/>
      </c>
    </row>
    <row r="101">
      <c r="M101">
        <f>IF(L101="","",IF(L101&gt;=0.7,3,IF(L101&gt;=0.6,2,IF(L101&gt;=0.5,1,0))))</f>
        <v/>
      </c>
    </row>
    <row r="102">
      <c r="M102">
        <f>IF(L102="","",IF(L102&gt;=0.7,3,IF(L102&gt;=0.6,2,IF(L102&gt;=0.5,1,0))))</f>
        <v/>
      </c>
    </row>
    <row r="103">
      <c r="M103">
        <f>IF(L103="","",IF(L103&gt;=0.7,3,IF(L103&gt;=0.6,2,IF(L103&gt;=0.5,1,0))))</f>
        <v/>
      </c>
    </row>
    <row r="104">
      <c r="M104">
        <f>IF(L104="","",IF(L104&gt;=0.7,3,IF(L104&gt;=0.6,2,IF(L104&gt;=0.5,1,0))))</f>
        <v/>
      </c>
    </row>
    <row r="105">
      <c r="M105">
        <f>IF(L105="","",IF(L105&gt;=0.7,3,IF(L105&gt;=0.6,2,IF(L105&gt;=0.5,1,0))))</f>
        <v/>
      </c>
    </row>
    <row r="106">
      <c r="M106">
        <f>IF(L106="","",IF(L106&gt;=0.7,3,IF(L106&gt;=0.6,2,IF(L106&gt;=0.5,1,0))))</f>
        <v/>
      </c>
    </row>
    <row r="107">
      <c r="M107">
        <f>IF(L107="","",IF(L107&gt;=0.7,3,IF(L107&gt;=0.6,2,IF(L107&gt;=0.5,1,0))))</f>
        <v/>
      </c>
    </row>
    <row r="108">
      <c r="M108">
        <f>IF(L108="","",IF(L108&gt;=0.7,3,IF(L108&gt;=0.6,2,IF(L108&gt;=0.5,1,0))))</f>
        <v/>
      </c>
    </row>
    <row r="109">
      <c r="M109">
        <f>IF(L109="","",IF(L109&gt;=0.7,3,IF(L109&gt;=0.6,2,IF(L109&gt;=0.5,1,0))))</f>
        <v/>
      </c>
    </row>
    <row r="110">
      <c r="M110">
        <f>IF(L110="","",IF(L110&gt;=0.7,3,IF(L110&gt;=0.6,2,IF(L110&gt;=0.5,1,0))))</f>
        <v/>
      </c>
    </row>
    <row r="111">
      <c r="M111">
        <f>IF(L111="","",IF(L111&gt;=0.7,3,IF(L111&gt;=0.6,2,IF(L111&gt;=0.5,1,0))))</f>
        <v/>
      </c>
    </row>
    <row r="112">
      <c r="M112">
        <f>IF(L112="","",IF(L112&gt;=0.7,3,IF(L112&gt;=0.6,2,IF(L112&gt;=0.5,1,0))))</f>
        <v/>
      </c>
    </row>
    <row r="113">
      <c r="M113">
        <f>IF(L113="","",IF(L113&gt;=0.7,3,IF(L113&gt;=0.6,2,IF(L113&gt;=0.5,1,0))))</f>
        <v/>
      </c>
    </row>
    <row r="114">
      <c r="M114">
        <f>IF(L114="","",IF(L114&gt;=0.7,3,IF(L114&gt;=0.6,2,IF(L114&gt;=0.5,1,0))))</f>
        <v/>
      </c>
    </row>
    <row r="115">
      <c r="M115">
        <f>IF(L115="","",IF(L115&gt;=0.7,3,IF(L115&gt;=0.6,2,IF(L115&gt;=0.5,1,0))))</f>
        <v/>
      </c>
    </row>
    <row r="116">
      <c r="M116">
        <f>IF(L116="","",IF(L116&gt;=0.7,3,IF(L116&gt;=0.6,2,IF(L116&gt;=0.5,1,0))))</f>
        <v/>
      </c>
    </row>
    <row r="117">
      <c r="M117">
        <f>IF(L117="","",IF(L117&gt;=0.7,3,IF(L117&gt;=0.6,2,IF(L117&gt;=0.5,1,0))))</f>
        <v/>
      </c>
    </row>
    <row r="118">
      <c r="M118">
        <f>IF(L118="","",IF(L118&gt;=0.7,3,IF(L118&gt;=0.6,2,IF(L118&gt;=0.5,1,0))))</f>
        <v/>
      </c>
    </row>
    <row r="119">
      <c r="M119">
        <f>IF(L119="","",IF(L119&gt;=0.7,3,IF(L119&gt;=0.6,2,IF(L119&gt;=0.5,1,0))))</f>
        <v/>
      </c>
    </row>
    <row r="120">
      <c r="M120">
        <f>IF(L120="","",IF(L120&gt;=0.7,3,IF(L120&gt;=0.6,2,IF(L120&gt;=0.5,1,0))))</f>
        <v/>
      </c>
    </row>
    <row r="121">
      <c r="M121">
        <f>IF(L121="","",IF(L121&gt;=0.7,3,IF(L121&gt;=0.6,2,IF(L121&gt;=0.5,1,0))))</f>
        <v/>
      </c>
    </row>
    <row r="122">
      <c r="M122">
        <f>IF(L122="","",IF(L122&gt;=0.7,3,IF(L122&gt;=0.6,2,IF(L122&gt;=0.5,1,0))))</f>
        <v/>
      </c>
    </row>
    <row r="123">
      <c r="M123">
        <f>IF(L123="","",IF(L123&gt;=0.7,3,IF(L123&gt;=0.6,2,IF(L123&gt;=0.5,1,0))))</f>
        <v/>
      </c>
    </row>
    <row r="124">
      <c r="M124">
        <f>IF(L124="","",IF(L124&gt;=0.7,3,IF(L124&gt;=0.6,2,IF(L124&gt;=0.5,1,0))))</f>
        <v/>
      </c>
    </row>
    <row r="125">
      <c r="M125">
        <f>IF(L125="","",IF(L125&gt;=0.7,3,IF(L125&gt;=0.6,2,IF(L125&gt;=0.5,1,0))))</f>
        <v/>
      </c>
    </row>
    <row r="126">
      <c r="M126">
        <f>IF(L126="","",IF(L126&gt;=0.7,3,IF(L126&gt;=0.6,2,IF(L126&gt;=0.5,1,0))))</f>
        <v/>
      </c>
    </row>
    <row r="127">
      <c r="M127">
        <f>IF(L127="","",IF(L127&gt;=0.7,3,IF(L127&gt;=0.6,2,IF(L127&gt;=0.5,1,0))))</f>
        <v/>
      </c>
    </row>
    <row r="128">
      <c r="M128">
        <f>IF(L128="","",IF(L128&gt;=0.7,3,IF(L128&gt;=0.6,2,IF(L128&gt;=0.5,1,0))))</f>
        <v/>
      </c>
    </row>
    <row r="129">
      <c r="M129">
        <f>IF(L129="","",IF(L129&gt;=0.7,3,IF(L129&gt;=0.6,2,IF(L129&gt;=0.5,1,0))))</f>
        <v/>
      </c>
    </row>
    <row r="130">
      <c r="M130">
        <f>IF(L130="","",IF(L130&gt;=0.7,3,IF(L130&gt;=0.6,2,IF(L130&gt;=0.5,1,0))))</f>
        <v/>
      </c>
    </row>
    <row r="131">
      <c r="M131">
        <f>IF(L131="","",IF(L131&gt;=0.7,3,IF(L131&gt;=0.6,2,IF(L131&gt;=0.5,1,0))))</f>
        <v/>
      </c>
    </row>
    <row r="132">
      <c r="M132">
        <f>IF(L132="","",IF(L132&gt;=0.7,3,IF(L132&gt;=0.6,2,IF(L132&gt;=0.5,1,0))))</f>
        <v/>
      </c>
    </row>
    <row r="133">
      <c r="M133">
        <f>IF(L133="","",IF(L133&gt;=0.7,3,IF(L133&gt;=0.6,2,IF(L133&gt;=0.5,1,0))))</f>
        <v/>
      </c>
    </row>
    <row r="134">
      <c r="M134">
        <f>IF(L134="","",IF(L134&gt;=0.7,3,IF(L134&gt;=0.6,2,IF(L134&gt;=0.5,1,0))))</f>
        <v/>
      </c>
    </row>
    <row r="135">
      <c r="M135">
        <f>IF(L135="","",IF(L135&gt;=0.7,3,IF(L135&gt;=0.6,2,IF(L135&gt;=0.5,1,0))))</f>
        <v/>
      </c>
    </row>
    <row r="136">
      <c r="M136">
        <f>IF(L136="","",IF(L136&gt;=0.7,3,IF(L136&gt;=0.6,2,IF(L136&gt;=0.5,1,0))))</f>
        <v/>
      </c>
    </row>
    <row r="137">
      <c r="M137">
        <f>IF(L137="","",IF(L137&gt;=0.7,3,IF(L137&gt;=0.6,2,IF(L137&gt;=0.5,1,0))))</f>
        <v/>
      </c>
    </row>
    <row r="138">
      <c r="M138">
        <f>IF(L138="","",IF(L138&gt;=0.7,3,IF(L138&gt;=0.6,2,IF(L138&gt;=0.5,1,0))))</f>
        <v/>
      </c>
    </row>
    <row r="139">
      <c r="M139">
        <f>IF(L139="","",IF(L139&gt;=0.7,3,IF(L139&gt;=0.6,2,IF(L139&gt;=0.5,1,0))))</f>
        <v/>
      </c>
    </row>
    <row r="140">
      <c r="M140">
        <f>IF(L140="","",IF(L140&gt;=0.7,3,IF(L140&gt;=0.6,2,IF(L140&gt;=0.5,1,0))))</f>
        <v/>
      </c>
    </row>
    <row r="141">
      <c r="M141">
        <f>IF(L141="","",IF(L141&gt;=0.7,3,IF(L141&gt;=0.6,2,IF(L141&gt;=0.5,1,0))))</f>
        <v/>
      </c>
    </row>
    <row r="142">
      <c r="M142">
        <f>IF(L142="","",IF(L142&gt;=0.7,3,IF(L142&gt;=0.6,2,IF(L142&gt;=0.5,1,0))))</f>
        <v/>
      </c>
    </row>
    <row r="143">
      <c r="M143">
        <f>IF(L143="","",IF(L143&gt;=0.7,3,IF(L143&gt;=0.6,2,IF(L143&gt;=0.5,1,0))))</f>
        <v/>
      </c>
    </row>
    <row r="144">
      <c r="M144">
        <f>IF(L144="","",IF(L144&gt;=0.7,3,IF(L144&gt;=0.6,2,IF(L144&gt;=0.5,1,0))))</f>
        <v/>
      </c>
    </row>
    <row r="145">
      <c r="M145">
        <f>IF(L145="","",IF(L145&gt;=0.7,3,IF(L145&gt;=0.6,2,IF(L145&gt;=0.5,1,0))))</f>
        <v/>
      </c>
    </row>
    <row r="146">
      <c r="M146">
        <f>IF(L146="","",IF(L146&gt;=0.7,3,IF(L146&gt;=0.6,2,IF(L146&gt;=0.5,1,0))))</f>
        <v/>
      </c>
    </row>
    <row r="147">
      <c r="M147">
        <f>IF(L147="","",IF(L147&gt;=0.7,3,IF(L147&gt;=0.6,2,IF(L147&gt;=0.5,1,0))))</f>
        <v/>
      </c>
    </row>
    <row r="148">
      <c r="M148">
        <f>IF(L148="","",IF(L148&gt;=0.7,3,IF(L148&gt;=0.6,2,IF(L148&gt;=0.5,1,0))))</f>
        <v/>
      </c>
    </row>
    <row r="149">
      <c r="M149">
        <f>IF(L149="","",IF(L149&gt;=0.7,3,IF(L149&gt;=0.6,2,IF(L149&gt;=0.5,1,0))))</f>
        <v/>
      </c>
    </row>
    <row r="150">
      <c r="M150">
        <f>IF(L150="","",IF(L150&gt;=0.7,3,IF(L150&gt;=0.6,2,IF(L150&gt;=0.5,1,0))))</f>
        <v/>
      </c>
    </row>
    <row r="151">
      <c r="M151">
        <f>IF(L151="","",IF(L151&gt;=0.7,3,IF(L151&gt;=0.6,2,IF(L151&gt;=0.5,1,0))))</f>
        <v/>
      </c>
    </row>
    <row r="152">
      <c r="M152">
        <f>IF(L152="","",IF(L152&gt;=0.7,3,IF(L152&gt;=0.6,2,IF(L152&gt;=0.5,1,0))))</f>
        <v/>
      </c>
    </row>
    <row r="153">
      <c r="M153">
        <f>IF(L153="","",IF(L153&gt;=0.7,3,IF(L153&gt;=0.6,2,IF(L153&gt;=0.5,1,0))))</f>
        <v/>
      </c>
    </row>
    <row r="154">
      <c r="M154">
        <f>IF(L154="","",IF(L154&gt;=0.7,3,IF(L154&gt;=0.6,2,IF(L154&gt;=0.5,1,0))))</f>
        <v/>
      </c>
    </row>
    <row r="155">
      <c r="M155">
        <f>IF(L155="","",IF(L155&gt;=0.7,3,IF(L155&gt;=0.6,2,IF(L155&gt;=0.5,1,0))))</f>
        <v/>
      </c>
    </row>
    <row r="156">
      <c r="M156">
        <f>IF(L156="","",IF(L156&gt;=0.7,3,IF(L156&gt;=0.6,2,IF(L156&gt;=0.5,1,0))))</f>
        <v/>
      </c>
    </row>
    <row r="157">
      <c r="M157">
        <f>IF(L157="","",IF(L157&gt;=0.7,3,IF(L157&gt;=0.6,2,IF(L157&gt;=0.5,1,0))))</f>
        <v/>
      </c>
    </row>
    <row r="158">
      <c r="M158">
        <f>IF(L158="","",IF(L158&gt;=0.7,3,IF(L158&gt;=0.6,2,IF(L158&gt;=0.5,1,0))))</f>
        <v/>
      </c>
    </row>
    <row r="159">
      <c r="M159">
        <f>IF(L159="","",IF(L159&gt;=0.7,3,IF(L159&gt;=0.6,2,IF(L159&gt;=0.5,1,0))))</f>
        <v/>
      </c>
    </row>
    <row r="160">
      <c r="M160">
        <f>IF(L160="","",IF(L160&gt;=0.7,3,IF(L160&gt;=0.6,2,IF(L160&gt;=0.5,1,0))))</f>
        <v/>
      </c>
    </row>
    <row r="161">
      <c r="M161">
        <f>IF(L161="","",IF(L161&gt;=0.7,3,IF(L161&gt;=0.6,2,IF(L161&gt;=0.5,1,0))))</f>
        <v/>
      </c>
    </row>
    <row r="162">
      <c r="M162">
        <f>IF(L162="","",IF(L162&gt;=0.7,3,IF(L162&gt;=0.6,2,IF(L162&gt;=0.5,1,0))))</f>
        <v/>
      </c>
    </row>
    <row r="163">
      <c r="M163">
        <f>IF(L163="","",IF(L163&gt;=0.7,3,IF(L163&gt;=0.6,2,IF(L163&gt;=0.5,1,0))))</f>
        <v/>
      </c>
    </row>
    <row r="164">
      <c r="M164">
        <f>IF(L164="","",IF(L164&gt;=0.7,3,IF(L164&gt;=0.6,2,IF(L164&gt;=0.5,1,0))))</f>
        <v/>
      </c>
    </row>
    <row r="165">
      <c r="M165">
        <f>IF(L165="","",IF(L165&gt;=0.7,3,IF(L165&gt;=0.6,2,IF(L165&gt;=0.5,1,0))))</f>
        <v/>
      </c>
    </row>
    <row r="166">
      <c r="M166">
        <f>IF(L166="","",IF(L166&gt;=0.7,3,IF(L166&gt;=0.6,2,IF(L166&gt;=0.5,1,0))))</f>
        <v/>
      </c>
    </row>
    <row r="167">
      <c r="M167">
        <f>IF(L167="","",IF(L167&gt;=0.7,3,IF(L167&gt;=0.6,2,IF(L167&gt;=0.5,1,0))))</f>
        <v/>
      </c>
    </row>
    <row r="168">
      <c r="M168">
        <f>IF(L168="","",IF(L168&gt;=0.7,3,IF(L168&gt;=0.6,2,IF(L168&gt;=0.5,1,0))))</f>
        <v/>
      </c>
    </row>
    <row r="169">
      <c r="M169">
        <f>IF(L169="","",IF(L169&gt;=0.7,3,IF(L169&gt;=0.6,2,IF(L169&gt;=0.5,1,0))))</f>
        <v/>
      </c>
    </row>
    <row r="170">
      <c r="M170">
        <f>IF(L170="","",IF(L170&gt;=0.7,3,IF(L170&gt;=0.6,2,IF(L170&gt;=0.5,1,0))))</f>
        <v/>
      </c>
    </row>
    <row r="171">
      <c r="M171">
        <f>IF(L171="","",IF(L171&gt;=0.7,3,IF(L171&gt;=0.6,2,IF(L171&gt;=0.5,1,0))))</f>
        <v/>
      </c>
    </row>
    <row r="172">
      <c r="M172">
        <f>IF(L172="","",IF(L172&gt;=0.7,3,IF(L172&gt;=0.6,2,IF(L172&gt;=0.5,1,0))))</f>
        <v/>
      </c>
    </row>
    <row r="173">
      <c r="M173">
        <f>IF(L173="","",IF(L173&gt;=0.7,3,IF(L173&gt;=0.6,2,IF(L173&gt;=0.5,1,0))))</f>
        <v/>
      </c>
    </row>
    <row r="174">
      <c r="M174">
        <f>IF(L174="","",IF(L174&gt;=0.7,3,IF(L174&gt;=0.6,2,IF(L174&gt;=0.5,1,0))))</f>
        <v/>
      </c>
    </row>
    <row r="175">
      <c r="M175">
        <f>IF(L175="","",IF(L175&gt;=0.7,3,IF(L175&gt;=0.6,2,IF(L175&gt;=0.5,1,0))))</f>
        <v/>
      </c>
    </row>
    <row r="176">
      <c r="M176">
        <f>IF(L176="","",IF(L176&gt;=0.7,3,IF(L176&gt;=0.6,2,IF(L176&gt;=0.5,1,0))))</f>
        <v/>
      </c>
    </row>
    <row r="177">
      <c r="M177">
        <f>IF(L177="","",IF(L177&gt;=0.7,3,IF(L177&gt;=0.6,2,IF(L177&gt;=0.5,1,0))))</f>
        <v/>
      </c>
    </row>
    <row r="178">
      <c r="M178">
        <f>IF(L178="","",IF(L178&gt;=0.7,3,IF(L178&gt;=0.6,2,IF(L178&gt;=0.5,1,0))))</f>
        <v/>
      </c>
    </row>
    <row r="179">
      <c r="M179">
        <f>IF(L179="","",IF(L179&gt;=0.7,3,IF(L179&gt;=0.6,2,IF(L179&gt;=0.5,1,0))))</f>
        <v/>
      </c>
    </row>
    <row r="180">
      <c r="M180">
        <f>IF(L180="","",IF(L180&gt;=0.7,3,IF(L180&gt;=0.6,2,IF(L180&gt;=0.5,1,0))))</f>
        <v/>
      </c>
    </row>
    <row r="181">
      <c r="M181">
        <f>IF(L181="","",IF(L181&gt;=0.7,3,IF(L181&gt;=0.6,2,IF(L181&gt;=0.5,1,0))))</f>
        <v/>
      </c>
    </row>
    <row r="182">
      <c r="M182">
        <f>IF(L182="","",IF(L182&gt;=0.7,3,IF(L182&gt;=0.6,2,IF(L182&gt;=0.5,1,0))))</f>
        <v/>
      </c>
    </row>
    <row r="183">
      <c r="M183">
        <f>IF(L183="","",IF(L183&gt;=0.7,3,IF(L183&gt;=0.6,2,IF(L183&gt;=0.5,1,0))))</f>
        <v/>
      </c>
    </row>
    <row r="184">
      <c r="M184">
        <f>IF(L184="","",IF(L184&gt;=0.7,3,IF(L184&gt;=0.6,2,IF(L184&gt;=0.5,1,0))))</f>
        <v/>
      </c>
    </row>
    <row r="185">
      <c r="M185">
        <f>IF(L185="","",IF(L185&gt;=0.7,3,IF(L185&gt;=0.6,2,IF(L185&gt;=0.5,1,0))))</f>
        <v/>
      </c>
    </row>
    <row r="186">
      <c r="M186">
        <f>IF(L186="","",IF(L186&gt;=0.7,3,IF(L186&gt;=0.6,2,IF(L186&gt;=0.5,1,0))))</f>
        <v/>
      </c>
    </row>
    <row r="187">
      <c r="M187">
        <f>IF(L187="","",IF(L187&gt;=0.7,3,IF(L187&gt;=0.6,2,IF(L187&gt;=0.5,1,0))))</f>
        <v/>
      </c>
    </row>
    <row r="188">
      <c r="M188">
        <f>IF(L188="","",IF(L188&gt;=0.7,3,IF(L188&gt;=0.6,2,IF(L188&gt;=0.5,1,0))))</f>
        <v/>
      </c>
    </row>
    <row r="189">
      <c r="M189">
        <f>IF(L189="","",IF(L189&gt;=0.7,3,IF(L189&gt;=0.6,2,IF(L189&gt;=0.5,1,0))))</f>
        <v/>
      </c>
    </row>
    <row r="190">
      <c r="M190">
        <f>IF(L190="","",IF(L190&gt;=0.7,3,IF(L190&gt;=0.6,2,IF(L190&gt;=0.5,1,0))))</f>
        <v/>
      </c>
    </row>
    <row r="191">
      <c r="M191">
        <f>IF(L191="","",IF(L191&gt;=0.7,3,IF(L191&gt;=0.6,2,IF(L191&gt;=0.5,1,0))))</f>
        <v/>
      </c>
    </row>
    <row r="192">
      <c r="M192">
        <f>IF(L192="","",IF(L192&gt;=0.7,3,IF(L192&gt;=0.6,2,IF(L192&gt;=0.5,1,0))))</f>
        <v/>
      </c>
    </row>
    <row r="193">
      <c r="M193">
        <f>IF(L193="","",IF(L193&gt;=0.7,3,IF(L193&gt;=0.6,2,IF(L193&gt;=0.5,1,0))))</f>
        <v/>
      </c>
    </row>
    <row r="194">
      <c r="M194">
        <f>IF(L194="","",IF(L194&gt;=0.7,3,IF(L194&gt;=0.6,2,IF(L194&gt;=0.5,1,0))))</f>
        <v/>
      </c>
    </row>
    <row r="195">
      <c r="M195">
        <f>IF(L195="","",IF(L195&gt;=0.7,3,IF(L195&gt;=0.6,2,IF(L195&gt;=0.5,1,0))))</f>
        <v/>
      </c>
    </row>
    <row r="196">
      <c r="M196">
        <f>IF(L196="","",IF(L196&gt;=0.7,3,IF(L196&gt;=0.6,2,IF(L196&gt;=0.5,1,0))))</f>
        <v/>
      </c>
    </row>
    <row r="197">
      <c r="M197">
        <f>IF(L197="","",IF(L197&gt;=0.7,3,IF(L197&gt;=0.6,2,IF(L197&gt;=0.5,1,0))))</f>
        <v/>
      </c>
    </row>
    <row r="198">
      <c r="M198">
        <f>IF(L198="","",IF(L198&gt;=0.7,3,IF(L198&gt;=0.6,2,IF(L198&gt;=0.5,1,0))))</f>
        <v/>
      </c>
    </row>
    <row r="199">
      <c r="M199">
        <f>IF(L199="","",IF(L199&gt;=0.7,3,IF(L199&gt;=0.6,2,IF(L199&gt;=0.5,1,0))))</f>
        <v/>
      </c>
    </row>
    <row r="200">
      <c r="M200">
        <f>IF(L200="","",IF(L200&gt;=0.7,3,IF(L200&gt;=0.6,2,IF(L200&gt;=0.5,1,0))))</f>
        <v/>
      </c>
    </row>
    <row r="201">
      <c r="M201">
        <f>IF(L201="","",IF(L201&gt;=0.7,3,IF(L201&gt;=0.6,2,IF(L201&gt;=0.5,1,0))))</f>
        <v/>
      </c>
    </row>
    <row r="202">
      <c r="M202">
        <f>IF(L202="","",IF(L202&gt;=0.7,3,IF(L202&gt;=0.6,2,IF(L202&gt;=0.5,1,0))))</f>
        <v/>
      </c>
    </row>
    <row r="203">
      <c r="M203">
        <f>IF(L203="","",IF(L203&gt;=0.7,3,IF(L203&gt;=0.6,2,IF(L203&gt;=0.5,1,0))))</f>
        <v/>
      </c>
    </row>
    <row r="204">
      <c r="M204">
        <f>IF(L204="","",IF(L204&gt;=0.7,3,IF(L204&gt;=0.6,2,IF(L204&gt;=0.5,1,0))))</f>
        <v/>
      </c>
    </row>
    <row r="205">
      <c r="M205">
        <f>IF(L205="","",IF(L205&gt;=0.7,3,IF(L205&gt;=0.6,2,IF(L205&gt;=0.5,1,0))))</f>
        <v/>
      </c>
    </row>
    <row r="206">
      <c r="M206">
        <f>IF(L206="","",IF(L206&gt;=0.7,3,IF(L206&gt;=0.6,2,IF(L206&gt;=0.5,1,0))))</f>
        <v/>
      </c>
    </row>
    <row r="207">
      <c r="M207">
        <f>IF(L207="","",IF(L207&gt;=0.7,3,IF(L207&gt;=0.6,2,IF(L207&gt;=0.5,1,0))))</f>
        <v/>
      </c>
    </row>
    <row r="208">
      <c r="M208">
        <f>IF(L208="","",IF(L208&gt;=0.7,3,IF(L208&gt;=0.6,2,IF(L208&gt;=0.5,1,0))))</f>
        <v/>
      </c>
    </row>
    <row r="209">
      <c r="M209">
        <f>IF(L209="","",IF(L209&gt;=0.7,3,IF(L209&gt;=0.6,2,IF(L209&gt;=0.5,1,0))))</f>
        <v/>
      </c>
    </row>
    <row r="210">
      <c r="M210">
        <f>IF(L210="","",IF(L210&gt;=0.7,3,IF(L210&gt;=0.6,2,IF(L210&gt;=0.5,1,0))))</f>
        <v/>
      </c>
    </row>
    <row r="211">
      <c r="M211">
        <f>IF(L211="","",IF(L211&gt;=0.7,3,IF(L211&gt;=0.6,2,IF(L211&gt;=0.5,1,0))))</f>
        <v/>
      </c>
    </row>
    <row r="212">
      <c r="M212">
        <f>IF(L212="","",IF(L212&gt;=0.7,3,IF(L212&gt;=0.6,2,IF(L212&gt;=0.5,1,0))))</f>
        <v/>
      </c>
    </row>
    <row r="213">
      <c r="M213">
        <f>IF(L213="","",IF(L213&gt;=0.7,3,IF(L213&gt;=0.6,2,IF(L213&gt;=0.5,1,0))))</f>
        <v/>
      </c>
    </row>
    <row r="214">
      <c r="M214">
        <f>IF(L214="","",IF(L214&gt;=0.7,3,IF(L214&gt;=0.6,2,IF(L214&gt;=0.5,1,0))))</f>
        <v/>
      </c>
    </row>
    <row r="215">
      <c r="M215">
        <f>IF(L215="","",IF(L215&gt;=0.7,3,IF(L215&gt;=0.6,2,IF(L215&gt;=0.5,1,0))))</f>
        <v/>
      </c>
    </row>
    <row r="216">
      <c r="M216">
        <f>IF(L216="","",IF(L216&gt;=0.7,3,IF(L216&gt;=0.6,2,IF(L216&gt;=0.5,1,0))))</f>
        <v/>
      </c>
    </row>
    <row r="217">
      <c r="M217">
        <f>IF(L217="","",IF(L217&gt;=0.7,3,IF(L217&gt;=0.6,2,IF(L217&gt;=0.5,1,0))))</f>
        <v/>
      </c>
    </row>
    <row r="218">
      <c r="M218">
        <f>IF(L218="","",IF(L218&gt;=0.7,3,IF(L218&gt;=0.6,2,IF(L218&gt;=0.5,1,0))))</f>
        <v/>
      </c>
    </row>
    <row r="219">
      <c r="M219">
        <f>IF(L219="","",IF(L219&gt;=0.7,3,IF(L219&gt;=0.6,2,IF(L219&gt;=0.5,1,0))))</f>
        <v/>
      </c>
    </row>
    <row r="220">
      <c r="M220">
        <f>IF(L220="","",IF(L220&gt;=0.7,3,IF(L220&gt;=0.6,2,IF(L220&gt;=0.5,1,0))))</f>
        <v/>
      </c>
    </row>
    <row r="221">
      <c r="M221">
        <f>IF(L221="","",IF(L221&gt;=0.7,3,IF(L221&gt;=0.6,2,IF(L221&gt;=0.5,1,0))))</f>
        <v/>
      </c>
    </row>
    <row r="222">
      <c r="M222">
        <f>IF(L222="","",IF(L222&gt;=0.7,3,IF(L222&gt;=0.6,2,IF(L222&gt;=0.5,1,0))))</f>
        <v/>
      </c>
    </row>
    <row r="223">
      <c r="M223">
        <f>IF(L223="","",IF(L223&gt;=0.7,3,IF(L223&gt;=0.6,2,IF(L223&gt;=0.5,1,0))))</f>
        <v/>
      </c>
    </row>
    <row r="224">
      <c r="M224">
        <f>IF(L224="","",IF(L224&gt;=0.7,3,IF(L224&gt;=0.6,2,IF(L224&gt;=0.5,1,0))))</f>
        <v/>
      </c>
    </row>
    <row r="225">
      <c r="M225">
        <f>IF(L225="","",IF(L225&gt;=0.7,3,IF(L225&gt;=0.6,2,IF(L225&gt;=0.5,1,0))))</f>
        <v/>
      </c>
    </row>
    <row r="226">
      <c r="M226">
        <f>IF(L226="","",IF(L226&gt;=0.7,3,IF(L226&gt;=0.6,2,IF(L226&gt;=0.5,1,0))))</f>
        <v/>
      </c>
    </row>
    <row r="227">
      <c r="M227">
        <f>IF(L227="","",IF(L227&gt;=0.7,3,IF(L227&gt;=0.6,2,IF(L227&gt;=0.5,1,0))))</f>
        <v/>
      </c>
    </row>
    <row r="228">
      <c r="M228">
        <f>IF(L228="","",IF(L228&gt;=0.7,3,IF(L228&gt;=0.6,2,IF(L228&gt;=0.5,1,0))))</f>
        <v/>
      </c>
    </row>
    <row r="229">
      <c r="M229">
        <f>IF(L229="","",IF(L229&gt;=0.7,3,IF(L229&gt;=0.6,2,IF(L229&gt;=0.5,1,0))))</f>
        <v/>
      </c>
    </row>
    <row r="230">
      <c r="M230">
        <f>IF(L230="","",IF(L230&gt;=0.7,3,IF(L230&gt;=0.6,2,IF(L230&gt;=0.5,1,0))))</f>
        <v/>
      </c>
    </row>
    <row r="231">
      <c r="M231">
        <f>IF(L231="","",IF(L231&gt;=0.7,3,IF(L231&gt;=0.6,2,IF(L231&gt;=0.5,1,0))))</f>
        <v/>
      </c>
    </row>
    <row r="232">
      <c r="M232">
        <f>IF(L232="","",IF(L232&gt;=0.7,3,IF(L232&gt;=0.6,2,IF(L232&gt;=0.5,1,0))))</f>
        <v/>
      </c>
    </row>
    <row r="233">
      <c r="M233">
        <f>IF(L233="","",IF(L233&gt;=0.7,3,IF(L233&gt;=0.6,2,IF(L233&gt;=0.5,1,0))))</f>
        <v/>
      </c>
    </row>
    <row r="234">
      <c r="M234">
        <f>IF(L234="","",IF(L234&gt;=0.7,3,IF(L234&gt;=0.6,2,IF(L234&gt;=0.5,1,0))))</f>
        <v/>
      </c>
    </row>
    <row r="235">
      <c r="M235">
        <f>IF(L235="","",IF(L235&gt;=0.7,3,IF(L235&gt;=0.6,2,IF(L235&gt;=0.5,1,0))))</f>
        <v/>
      </c>
    </row>
    <row r="236">
      <c r="M236">
        <f>IF(L236="","",IF(L236&gt;=0.7,3,IF(L236&gt;=0.6,2,IF(L236&gt;=0.5,1,0))))</f>
        <v/>
      </c>
    </row>
    <row r="237">
      <c r="M237">
        <f>IF(L237="","",IF(L237&gt;=0.7,3,IF(L237&gt;=0.6,2,IF(L237&gt;=0.5,1,0))))</f>
        <v/>
      </c>
    </row>
    <row r="238">
      <c r="M238">
        <f>IF(L238="","",IF(L238&gt;=0.7,3,IF(L238&gt;=0.6,2,IF(L238&gt;=0.5,1,0))))</f>
        <v/>
      </c>
    </row>
    <row r="239">
      <c r="M239">
        <f>IF(L239="","",IF(L239&gt;=0.7,3,IF(L239&gt;=0.6,2,IF(L239&gt;=0.5,1,0))))</f>
        <v/>
      </c>
    </row>
    <row r="240">
      <c r="M240">
        <f>IF(L240="","",IF(L240&gt;=0.7,3,IF(L240&gt;=0.6,2,IF(L240&gt;=0.5,1,0))))</f>
        <v/>
      </c>
    </row>
    <row r="241">
      <c r="M241">
        <f>IF(L241="","",IF(L241&gt;=0.7,3,IF(L241&gt;=0.6,2,IF(L241&gt;=0.5,1,0))))</f>
        <v/>
      </c>
    </row>
    <row r="242">
      <c r="M242">
        <f>IF(L242="","",IF(L242&gt;=0.7,3,IF(L242&gt;=0.6,2,IF(L242&gt;=0.5,1,0))))</f>
        <v/>
      </c>
    </row>
    <row r="243">
      <c r="M243">
        <f>IF(L243="","",IF(L243&gt;=0.7,3,IF(L243&gt;=0.6,2,IF(L243&gt;=0.5,1,0))))</f>
        <v/>
      </c>
    </row>
    <row r="244">
      <c r="M244">
        <f>IF(L244="","",IF(L244&gt;=0.7,3,IF(L244&gt;=0.6,2,IF(L244&gt;=0.5,1,0))))</f>
        <v/>
      </c>
    </row>
    <row r="245">
      <c r="M245">
        <f>IF(L245="","",IF(L245&gt;=0.7,3,IF(L245&gt;=0.6,2,IF(L245&gt;=0.5,1,0))))</f>
        <v/>
      </c>
    </row>
    <row r="246">
      <c r="M246">
        <f>IF(L246="","",IF(L246&gt;=0.7,3,IF(L246&gt;=0.6,2,IF(L246&gt;=0.5,1,0))))</f>
        <v/>
      </c>
    </row>
    <row r="247">
      <c r="M247">
        <f>IF(L247="","",IF(L247&gt;=0.7,3,IF(L247&gt;=0.6,2,IF(L247&gt;=0.5,1,0))))</f>
        <v/>
      </c>
    </row>
    <row r="248">
      <c r="M248">
        <f>IF(L248="","",IF(L248&gt;=0.7,3,IF(L248&gt;=0.6,2,IF(L248&gt;=0.5,1,0))))</f>
        <v/>
      </c>
    </row>
    <row r="249">
      <c r="M249">
        <f>IF(L249="","",IF(L249&gt;=0.7,3,IF(L249&gt;=0.6,2,IF(L249&gt;=0.5,1,0))))</f>
        <v/>
      </c>
    </row>
    <row r="250">
      <c r="M250">
        <f>IF(L250="","",IF(L250&gt;=0.7,3,IF(L250&gt;=0.6,2,IF(L250&gt;=0.5,1,0))))</f>
        <v/>
      </c>
    </row>
    <row r="251">
      <c r="M251">
        <f>IF(L251="","",IF(L251&gt;=0.7,3,IF(L251&gt;=0.6,2,IF(L251&gt;=0.5,1,0))))</f>
        <v/>
      </c>
    </row>
    <row r="252">
      <c r="M252">
        <f>IF(L252="","",IF(L252&gt;=0.7,3,IF(L252&gt;=0.6,2,IF(L252&gt;=0.5,1,0))))</f>
        <v/>
      </c>
    </row>
    <row r="253">
      <c r="M253">
        <f>IF(L253="","",IF(L253&gt;=0.7,3,IF(L253&gt;=0.6,2,IF(L253&gt;=0.5,1,0))))</f>
        <v/>
      </c>
    </row>
    <row r="254">
      <c r="M254">
        <f>IF(L254="","",IF(L254&gt;=0.7,3,IF(L254&gt;=0.6,2,IF(L254&gt;=0.5,1,0))))</f>
        <v/>
      </c>
    </row>
    <row r="255">
      <c r="M255">
        <f>IF(L255="","",IF(L255&gt;=0.7,3,IF(L255&gt;=0.6,2,IF(L255&gt;=0.5,1,0))))</f>
        <v/>
      </c>
    </row>
    <row r="256">
      <c r="M256">
        <f>IF(L256="","",IF(L256&gt;=0.7,3,IF(L256&gt;=0.6,2,IF(L256&gt;=0.5,1,0))))</f>
        <v/>
      </c>
    </row>
    <row r="257">
      <c r="M257">
        <f>IF(L257="","",IF(L257&gt;=0.7,3,IF(L257&gt;=0.6,2,IF(L257&gt;=0.5,1,0))))</f>
        <v/>
      </c>
    </row>
    <row r="258">
      <c r="M258">
        <f>IF(L258="","",IF(L258&gt;=0.7,3,IF(L258&gt;=0.6,2,IF(L258&gt;=0.5,1,0))))</f>
        <v/>
      </c>
    </row>
    <row r="259">
      <c r="M259">
        <f>IF(L259="","",IF(L259&gt;=0.7,3,IF(L259&gt;=0.6,2,IF(L259&gt;=0.5,1,0))))</f>
        <v/>
      </c>
    </row>
    <row r="260">
      <c r="M260">
        <f>IF(L260="","",IF(L260&gt;=0.7,3,IF(L260&gt;=0.6,2,IF(L260&gt;=0.5,1,0))))</f>
        <v/>
      </c>
    </row>
    <row r="261">
      <c r="M261">
        <f>IF(L261="","",IF(L261&gt;=0.7,3,IF(L261&gt;=0.6,2,IF(L261&gt;=0.5,1,0))))</f>
        <v/>
      </c>
    </row>
    <row r="262">
      <c r="M262">
        <f>IF(L262="","",IF(L262&gt;=0.7,3,IF(L262&gt;=0.6,2,IF(L262&gt;=0.5,1,0))))</f>
        <v/>
      </c>
    </row>
    <row r="263">
      <c r="M263">
        <f>IF(L263="","",IF(L263&gt;=0.7,3,IF(L263&gt;=0.6,2,IF(L263&gt;=0.5,1,0))))</f>
        <v/>
      </c>
    </row>
    <row r="264">
      <c r="M264">
        <f>IF(L264="","",IF(L264&gt;=0.7,3,IF(L264&gt;=0.6,2,IF(L264&gt;=0.5,1,0))))</f>
        <v/>
      </c>
    </row>
    <row r="265">
      <c r="M265">
        <f>IF(L265="","",IF(L265&gt;=0.7,3,IF(L265&gt;=0.6,2,IF(L265&gt;=0.5,1,0))))</f>
        <v/>
      </c>
    </row>
    <row r="266">
      <c r="M266">
        <f>IF(L266="","",IF(L266&gt;=0.7,3,IF(L266&gt;=0.6,2,IF(L266&gt;=0.5,1,0))))</f>
        <v/>
      </c>
    </row>
    <row r="267">
      <c r="M267">
        <f>IF(L267="","",IF(L267&gt;=0.7,3,IF(L267&gt;=0.6,2,IF(L267&gt;=0.5,1,0))))</f>
        <v/>
      </c>
    </row>
    <row r="268">
      <c r="M268">
        <f>IF(L268="","",IF(L268&gt;=0.7,3,IF(L268&gt;=0.6,2,IF(L268&gt;=0.5,1,0))))</f>
        <v/>
      </c>
    </row>
    <row r="269">
      <c r="M269">
        <f>IF(L269="","",IF(L269&gt;=0.7,3,IF(L269&gt;=0.6,2,IF(L269&gt;=0.5,1,0))))</f>
        <v/>
      </c>
    </row>
    <row r="270">
      <c r="M270">
        <f>IF(L270="","",IF(L270&gt;=0.7,3,IF(L270&gt;=0.6,2,IF(L270&gt;=0.5,1,0))))</f>
        <v/>
      </c>
    </row>
    <row r="271">
      <c r="M271">
        <f>IF(L271="","",IF(L271&gt;=0.7,3,IF(L271&gt;=0.6,2,IF(L271&gt;=0.5,1,0))))</f>
        <v/>
      </c>
    </row>
    <row r="272">
      <c r="M272">
        <f>IF(L272="","",IF(L272&gt;=0.7,3,IF(L272&gt;=0.6,2,IF(L272&gt;=0.5,1,0))))</f>
        <v/>
      </c>
    </row>
    <row r="273">
      <c r="M273">
        <f>IF(L273="","",IF(L273&gt;=0.7,3,IF(L273&gt;=0.6,2,IF(L273&gt;=0.5,1,0))))</f>
        <v/>
      </c>
    </row>
    <row r="274">
      <c r="M274">
        <f>IF(L274="","",IF(L274&gt;=0.7,3,IF(L274&gt;=0.6,2,IF(L274&gt;=0.5,1,0))))</f>
        <v/>
      </c>
    </row>
    <row r="275">
      <c r="M275">
        <f>IF(L275="","",IF(L275&gt;=0.7,3,IF(L275&gt;=0.6,2,IF(L275&gt;=0.5,1,0))))</f>
        <v/>
      </c>
    </row>
    <row r="276">
      <c r="M276">
        <f>IF(L276="","",IF(L276&gt;=0.7,3,IF(L276&gt;=0.6,2,IF(L276&gt;=0.5,1,0))))</f>
        <v/>
      </c>
    </row>
    <row r="277">
      <c r="M277">
        <f>IF(L277="","",IF(L277&gt;=0.7,3,IF(L277&gt;=0.6,2,IF(L277&gt;=0.5,1,0))))</f>
        <v/>
      </c>
    </row>
    <row r="278">
      <c r="M278">
        <f>IF(L278="","",IF(L278&gt;=0.7,3,IF(L278&gt;=0.6,2,IF(L278&gt;=0.5,1,0))))</f>
        <v/>
      </c>
    </row>
    <row r="279">
      <c r="M279">
        <f>IF(L279="","",IF(L279&gt;=0.7,3,IF(L279&gt;=0.6,2,IF(L279&gt;=0.5,1,0))))</f>
        <v/>
      </c>
    </row>
    <row r="280">
      <c r="M280">
        <f>IF(L280="","",IF(L280&gt;=0.7,3,IF(L280&gt;=0.6,2,IF(L280&gt;=0.5,1,0))))</f>
        <v/>
      </c>
    </row>
    <row r="281">
      <c r="M281">
        <f>IF(L281="","",IF(L281&gt;=0.7,3,IF(L281&gt;=0.6,2,IF(L281&gt;=0.5,1,0))))</f>
        <v/>
      </c>
    </row>
    <row r="282">
      <c r="M282">
        <f>IF(L282="","",IF(L282&gt;=0.7,3,IF(L282&gt;=0.6,2,IF(L282&gt;=0.5,1,0))))</f>
        <v/>
      </c>
    </row>
    <row r="283">
      <c r="M283">
        <f>IF(L283="","",IF(L283&gt;=0.7,3,IF(L283&gt;=0.6,2,IF(L283&gt;=0.5,1,0))))</f>
        <v/>
      </c>
    </row>
    <row r="284">
      <c r="M284">
        <f>IF(L284="","",IF(L284&gt;=0.7,3,IF(L284&gt;=0.6,2,IF(L284&gt;=0.5,1,0))))</f>
        <v/>
      </c>
    </row>
    <row r="285">
      <c r="M285">
        <f>IF(L285="","",IF(L285&gt;=0.7,3,IF(L285&gt;=0.6,2,IF(L285&gt;=0.5,1,0))))</f>
        <v/>
      </c>
    </row>
    <row r="286">
      <c r="M286">
        <f>IF(L286="","",IF(L286&gt;=0.7,3,IF(L286&gt;=0.6,2,IF(L286&gt;=0.5,1,0))))</f>
        <v/>
      </c>
    </row>
    <row r="287">
      <c r="M287">
        <f>IF(L287="","",IF(L287&gt;=0.7,3,IF(L287&gt;=0.6,2,IF(L287&gt;=0.5,1,0))))</f>
        <v/>
      </c>
    </row>
    <row r="288">
      <c r="M288">
        <f>IF(L288="","",IF(L288&gt;=0.7,3,IF(L288&gt;=0.6,2,IF(L288&gt;=0.5,1,0))))</f>
        <v/>
      </c>
    </row>
    <row r="289">
      <c r="M289">
        <f>IF(L289="","",IF(L289&gt;=0.7,3,IF(L289&gt;=0.6,2,IF(L289&gt;=0.5,1,0))))</f>
        <v/>
      </c>
    </row>
    <row r="290">
      <c r="M290">
        <f>IF(L290="","",IF(L290&gt;=0.7,3,IF(L290&gt;=0.6,2,IF(L290&gt;=0.5,1,0))))</f>
        <v/>
      </c>
    </row>
    <row r="291">
      <c r="M291">
        <f>IF(L291="","",IF(L291&gt;=0.7,3,IF(L291&gt;=0.6,2,IF(L291&gt;=0.5,1,0))))</f>
        <v/>
      </c>
    </row>
    <row r="292">
      <c r="M292">
        <f>IF(L292="","",IF(L292&gt;=0.7,3,IF(L292&gt;=0.6,2,IF(L292&gt;=0.5,1,0))))</f>
        <v/>
      </c>
    </row>
    <row r="293">
      <c r="M293">
        <f>IF(L293="","",IF(L293&gt;=0.7,3,IF(L293&gt;=0.6,2,IF(L293&gt;=0.5,1,0))))</f>
        <v/>
      </c>
    </row>
    <row r="294">
      <c r="M294">
        <f>IF(L294="","",IF(L294&gt;=0.7,3,IF(L294&gt;=0.6,2,IF(L294&gt;=0.5,1,0))))</f>
        <v/>
      </c>
    </row>
    <row r="295">
      <c r="M295">
        <f>IF(L295="","",IF(L295&gt;=0.7,3,IF(L295&gt;=0.6,2,IF(L295&gt;=0.5,1,0))))</f>
        <v/>
      </c>
    </row>
    <row r="296">
      <c r="M296">
        <f>IF(L296="","",IF(L296&gt;=0.7,3,IF(L296&gt;=0.6,2,IF(L296&gt;=0.5,1,0))))</f>
        <v/>
      </c>
    </row>
    <row r="297">
      <c r="M297">
        <f>IF(L297="","",IF(L297&gt;=0.7,3,IF(L297&gt;=0.6,2,IF(L297&gt;=0.5,1,0))))</f>
        <v/>
      </c>
    </row>
    <row r="298">
      <c r="M298">
        <f>IF(L298="","",IF(L298&gt;=0.7,3,IF(L298&gt;=0.6,2,IF(L298&gt;=0.5,1,0))))</f>
        <v/>
      </c>
    </row>
    <row r="299">
      <c r="M299">
        <f>IF(L299="","",IF(L299&gt;=0.7,3,IF(L299&gt;=0.6,2,IF(L299&gt;=0.5,1,0))))</f>
        <v/>
      </c>
    </row>
    <row r="300">
      <c r="M300">
        <f>IF(L300="","",IF(L300&gt;=0.7,3,IF(L300&gt;=0.6,2,IF(L300&gt;=0.5,1,0))))</f>
        <v/>
      </c>
    </row>
    <row r="301">
      <c r="M301">
        <f>IF(L301="","",IF(L301&gt;=0.7,3,IF(L301&gt;=0.6,2,IF(L301&gt;=0.5,1,0))))</f>
        <v/>
      </c>
    </row>
    <row r="302">
      <c r="M302">
        <f>IF(L302="","",IF(L302&gt;=0.7,3,IF(L302&gt;=0.6,2,IF(L302&gt;=0.5,1,0))))</f>
        <v/>
      </c>
    </row>
    <row r="303">
      <c r="M303">
        <f>IF(L303="","",IF(L303&gt;=0.7,3,IF(L303&gt;=0.6,2,IF(L303&gt;=0.5,1,0))))</f>
        <v/>
      </c>
    </row>
    <row r="304">
      <c r="M304">
        <f>IF(L304="","",IF(L304&gt;=0.7,3,IF(L304&gt;=0.6,2,IF(L304&gt;=0.5,1,0))))</f>
        <v/>
      </c>
    </row>
    <row r="305">
      <c r="M305">
        <f>IF(L305="","",IF(L305&gt;=0.7,3,IF(L305&gt;=0.6,2,IF(L305&gt;=0.5,1,0))))</f>
        <v/>
      </c>
    </row>
    <row r="306">
      <c r="M306">
        <f>IF(L306="","",IF(L306&gt;=0.7,3,IF(L306&gt;=0.6,2,IF(L306&gt;=0.5,1,0))))</f>
        <v/>
      </c>
    </row>
    <row r="307">
      <c r="M307">
        <f>IF(L307="","",IF(L307&gt;=0.7,3,IF(L307&gt;=0.6,2,IF(L307&gt;=0.5,1,0))))</f>
        <v/>
      </c>
    </row>
    <row r="308">
      <c r="M308">
        <f>IF(L308="","",IF(L308&gt;=0.7,3,IF(L308&gt;=0.6,2,IF(L308&gt;=0.5,1,0))))</f>
        <v/>
      </c>
    </row>
    <row r="309">
      <c r="M309">
        <f>IF(L309="","",IF(L309&gt;=0.7,3,IF(L309&gt;=0.6,2,IF(L309&gt;=0.5,1,0))))</f>
        <v/>
      </c>
    </row>
    <row r="310">
      <c r="M310">
        <f>IF(L310="","",IF(L310&gt;=0.7,3,IF(L310&gt;=0.6,2,IF(L310&gt;=0.5,1,0))))</f>
        <v/>
      </c>
    </row>
    <row r="311">
      <c r="M311">
        <f>IF(L311="","",IF(L311&gt;=0.7,3,IF(L311&gt;=0.6,2,IF(L311&gt;=0.5,1,0))))</f>
        <v/>
      </c>
    </row>
    <row r="312">
      <c r="M312">
        <f>IF(L312="","",IF(L312&gt;=0.7,3,IF(L312&gt;=0.6,2,IF(L312&gt;=0.5,1,0))))</f>
        <v/>
      </c>
    </row>
    <row r="313">
      <c r="M313">
        <f>IF(L313="","",IF(L313&gt;=0.7,3,IF(L313&gt;=0.6,2,IF(L313&gt;=0.5,1,0))))</f>
        <v/>
      </c>
    </row>
    <row r="314">
      <c r="M314">
        <f>IF(L314="","",IF(L314&gt;=0.7,3,IF(L314&gt;=0.6,2,IF(L314&gt;=0.5,1,0))))</f>
        <v/>
      </c>
    </row>
    <row r="315">
      <c r="M315">
        <f>IF(L315="","",IF(L315&gt;=0.7,3,IF(L315&gt;=0.6,2,IF(L315&gt;=0.5,1,0))))</f>
        <v/>
      </c>
    </row>
    <row r="316">
      <c r="M316">
        <f>IF(L316="","",IF(L316&gt;=0.7,3,IF(L316&gt;=0.6,2,IF(L316&gt;=0.5,1,0))))</f>
        <v/>
      </c>
    </row>
    <row r="317">
      <c r="M317">
        <f>IF(L317="","",IF(L317&gt;=0.7,3,IF(L317&gt;=0.6,2,IF(L317&gt;=0.5,1,0))))</f>
        <v/>
      </c>
    </row>
    <row r="318">
      <c r="M318">
        <f>IF(L318="","",IF(L318&gt;=0.7,3,IF(L318&gt;=0.6,2,IF(L318&gt;=0.5,1,0))))</f>
        <v/>
      </c>
    </row>
    <row r="319">
      <c r="M319">
        <f>IF(L319="","",IF(L319&gt;=0.7,3,IF(L319&gt;=0.6,2,IF(L319&gt;=0.5,1,0))))</f>
        <v/>
      </c>
    </row>
    <row r="320">
      <c r="M320">
        <f>IF(L320="","",IF(L320&gt;=0.7,3,IF(L320&gt;=0.6,2,IF(L320&gt;=0.5,1,0))))</f>
        <v/>
      </c>
    </row>
    <row r="321">
      <c r="M321">
        <f>IF(L321="","",IF(L321&gt;=0.7,3,IF(L321&gt;=0.6,2,IF(L321&gt;=0.5,1,0))))</f>
        <v/>
      </c>
    </row>
    <row r="322">
      <c r="M322">
        <f>IF(L322="","",IF(L322&gt;=0.7,3,IF(L322&gt;=0.6,2,IF(L322&gt;=0.5,1,0))))</f>
        <v/>
      </c>
    </row>
    <row r="323">
      <c r="M323">
        <f>IF(L323="","",IF(L323&gt;=0.7,3,IF(L323&gt;=0.6,2,IF(L323&gt;=0.5,1,0))))</f>
        <v/>
      </c>
    </row>
    <row r="324">
      <c r="M324">
        <f>IF(L324="","",IF(L324&gt;=0.7,3,IF(L324&gt;=0.6,2,IF(L324&gt;=0.5,1,0))))</f>
        <v/>
      </c>
    </row>
    <row r="325">
      <c r="M325">
        <f>IF(L325="","",IF(L325&gt;=0.7,3,IF(L325&gt;=0.6,2,IF(L325&gt;=0.5,1,0))))</f>
        <v/>
      </c>
    </row>
    <row r="326">
      <c r="M326">
        <f>IF(L326="","",IF(L326&gt;=0.7,3,IF(L326&gt;=0.6,2,IF(L326&gt;=0.5,1,0))))</f>
        <v/>
      </c>
    </row>
    <row r="327">
      <c r="M327">
        <f>IF(L327="","",IF(L327&gt;=0.7,3,IF(L327&gt;=0.6,2,IF(L327&gt;=0.5,1,0))))</f>
        <v/>
      </c>
    </row>
    <row r="328">
      <c r="M328">
        <f>IF(L328="","",IF(L328&gt;=0.7,3,IF(L328&gt;=0.6,2,IF(L328&gt;=0.5,1,0))))</f>
        <v/>
      </c>
    </row>
    <row r="329">
      <c r="M329">
        <f>IF(L329="","",IF(L329&gt;=0.7,3,IF(L329&gt;=0.6,2,IF(L329&gt;=0.5,1,0))))</f>
        <v/>
      </c>
    </row>
    <row r="330">
      <c r="M330">
        <f>IF(L330="","",IF(L330&gt;=0.7,3,IF(L330&gt;=0.6,2,IF(L330&gt;=0.5,1,0))))</f>
        <v/>
      </c>
    </row>
    <row r="331">
      <c r="M331">
        <f>IF(L331="","",IF(L331&gt;=0.7,3,IF(L331&gt;=0.6,2,IF(L331&gt;=0.5,1,0))))</f>
        <v/>
      </c>
    </row>
    <row r="332">
      <c r="M332">
        <f>IF(L332="","",IF(L332&gt;=0.7,3,IF(L332&gt;=0.6,2,IF(L332&gt;=0.5,1,0))))</f>
        <v/>
      </c>
    </row>
    <row r="333">
      <c r="M333">
        <f>IF(L333="","",IF(L333&gt;=0.7,3,IF(L333&gt;=0.6,2,IF(L333&gt;=0.5,1,0))))</f>
        <v/>
      </c>
    </row>
    <row r="334">
      <c r="M334">
        <f>IF(L334="","",IF(L334&gt;=0.7,3,IF(L334&gt;=0.6,2,IF(L334&gt;=0.5,1,0))))</f>
        <v/>
      </c>
    </row>
    <row r="335">
      <c r="M335">
        <f>IF(L335="","",IF(L335&gt;=0.7,3,IF(L335&gt;=0.6,2,IF(L335&gt;=0.5,1,0))))</f>
        <v/>
      </c>
    </row>
    <row r="336">
      <c r="M336">
        <f>IF(L336="","",IF(L336&gt;=0.7,3,IF(L336&gt;=0.6,2,IF(L336&gt;=0.5,1,0))))</f>
        <v/>
      </c>
    </row>
    <row r="337">
      <c r="M337">
        <f>IF(L337="","",IF(L337&gt;=0.7,3,IF(L337&gt;=0.6,2,IF(L337&gt;=0.5,1,0))))</f>
        <v/>
      </c>
    </row>
    <row r="338">
      <c r="M338">
        <f>IF(L338="","",IF(L338&gt;=0.7,3,IF(L338&gt;=0.6,2,IF(L338&gt;=0.5,1,0))))</f>
        <v/>
      </c>
    </row>
    <row r="339">
      <c r="M339">
        <f>IF(L339="","",IF(L339&gt;=0.7,3,IF(L339&gt;=0.6,2,IF(L339&gt;=0.5,1,0))))</f>
        <v/>
      </c>
    </row>
    <row r="340">
      <c r="M340">
        <f>IF(L340="","",IF(L340&gt;=0.7,3,IF(L340&gt;=0.6,2,IF(L340&gt;=0.5,1,0))))</f>
        <v/>
      </c>
    </row>
    <row r="341">
      <c r="M341">
        <f>IF(L341="","",IF(L341&gt;=0.7,3,IF(L341&gt;=0.6,2,IF(L341&gt;=0.5,1,0))))</f>
        <v/>
      </c>
    </row>
    <row r="342">
      <c r="M342">
        <f>IF(L342="","",IF(L342&gt;=0.7,3,IF(L342&gt;=0.6,2,IF(L342&gt;=0.5,1,0))))</f>
        <v/>
      </c>
    </row>
    <row r="343">
      <c r="M343">
        <f>IF(L343="","",IF(L343&gt;=0.7,3,IF(L343&gt;=0.6,2,IF(L343&gt;=0.5,1,0))))</f>
        <v/>
      </c>
    </row>
    <row r="344">
      <c r="M344">
        <f>IF(L344="","",IF(L344&gt;=0.7,3,IF(L344&gt;=0.6,2,IF(L344&gt;=0.5,1,0))))</f>
        <v/>
      </c>
    </row>
    <row r="345">
      <c r="M345">
        <f>IF(L345="","",IF(L345&gt;=0.7,3,IF(L345&gt;=0.6,2,IF(L345&gt;=0.5,1,0))))</f>
        <v/>
      </c>
    </row>
    <row r="346">
      <c r="M346">
        <f>IF(L346="","",IF(L346&gt;=0.7,3,IF(L346&gt;=0.6,2,IF(L346&gt;=0.5,1,0))))</f>
        <v/>
      </c>
    </row>
    <row r="347">
      <c r="M347">
        <f>IF(L347="","",IF(L347&gt;=0.7,3,IF(L347&gt;=0.6,2,IF(L347&gt;=0.5,1,0))))</f>
        <v/>
      </c>
    </row>
    <row r="348">
      <c r="M348">
        <f>IF(L348="","",IF(L348&gt;=0.7,3,IF(L348&gt;=0.6,2,IF(L348&gt;=0.5,1,0))))</f>
        <v/>
      </c>
    </row>
    <row r="349">
      <c r="M349">
        <f>IF(L349="","",IF(L349&gt;=0.7,3,IF(L349&gt;=0.6,2,IF(L349&gt;=0.5,1,0))))</f>
        <v/>
      </c>
    </row>
    <row r="350">
      <c r="M350">
        <f>IF(L350="","",IF(L350&gt;=0.7,3,IF(L350&gt;=0.6,2,IF(L350&gt;=0.5,1,0))))</f>
        <v/>
      </c>
    </row>
    <row r="351">
      <c r="M351">
        <f>IF(L351="","",IF(L351&gt;=0.7,3,IF(L351&gt;=0.6,2,IF(L351&gt;=0.5,1,0))))</f>
        <v/>
      </c>
    </row>
    <row r="352">
      <c r="M352">
        <f>IF(L352="","",IF(L352&gt;=0.7,3,IF(L352&gt;=0.6,2,IF(L352&gt;=0.5,1,0))))</f>
        <v/>
      </c>
    </row>
    <row r="353">
      <c r="M353">
        <f>IF(L353="","",IF(L353&gt;=0.7,3,IF(L353&gt;=0.6,2,IF(L353&gt;=0.5,1,0))))</f>
        <v/>
      </c>
    </row>
    <row r="354">
      <c r="M354">
        <f>IF(L354="","",IF(L354&gt;=0.7,3,IF(L354&gt;=0.6,2,IF(L354&gt;=0.5,1,0))))</f>
        <v/>
      </c>
    </row>
    <row r="355">
      <c r="M355">
        <f>IF(L355="","",IF(L355&gt;=0.7,3,IF(L355&gt;=0.6,2,IF(L355&gt;=0.5,1,0))))</f>
        <v/>
      </c>
    </row>
    <row r="356">
      <c r="M356">
        <f>IF(L356="","",IF(L356&gt;=0.7,3,IF(L356&gt;=0.6,2,IF(L356&gt;=0.5,1,0))))</f>
        <v/>
      </c>
    </row>
    <row r="357">
      <c r="M357">
        <f>IF(L357="","",IF(L357&gt;=0.7,3,IF(L357&gt;=0.6,2,IF(L357&gt;=0.5,1,0))))</f>
        <v/>
      </c>
    </row>
    <row r="358">
      <c r="M358">
        <f>IF(L358="","",IF(L358&gt;=0.7,3,IF(L358&gt;=0.6,2,IF(L358&gt;=0.5,1,0))))</f>
        <v/>
      </c>
    </row>
    <row r="359">
      <c r="M359">
        <f>IF(L359="","",IF(L359&gt;=0.7,3,IF(L359&gt;=0.6,2,IF(L359&gt;=0.5,1,0))))</f>
        <v/>
      </c>
    </row>
    <row r="360">
      <c r="M360">
        <f>IF(L360="","",IF(L360&gt;=0.7,3,IF(L360&gt;=0.6,2,IF(L360&gt;=0.5,1,0))))</f>
        <v/>
      </c>
    </row>
    <row r="361">
      <c r="M361">
        <f>IF(L361="","",IF(L361&gt;=0.7,3,IF(L361&gt;=0.6,2,IF(L361&gt;=0.5,1,0))))</f>
        <v/>
      </c>
    </row>
    <row r="362">
      <c r="M362">
        <f>IF(L362="","",IF(L362&gt;=0.7,3,IF(L362&gt;=0.6,2,IF(L362&gt;=0.5,1,0))))</f>
        <v/>
      </c>
    </row>
    <row r="363">
      <c r="M363">
        <f>IF(L363="","",IF(L363&gt;=0.7,3,IF(L363&gt;=0.6,2,IF(L363&gt;=0.5,1,0))))</f>
        <v/>
      </c>
    </row>
    <row r="364">
      <c r="M364">
        <f>IF(L364="","",IF(L364&gt;=0.7,3,IF(L364&gt;=0.6,2,IF(L364&gt;=0.5,1,0))))</f>
        <v/>
      </c>
    </row>
    <row r="365">
      <c r="M365">
        <f>IF(L365="","",IF(L365&gt;=0.7,3,IF(L365&gt;=0.6,2,IF(L365&gt;=0.5,1,0))))</f>
        <v/>
      </c>
    </row>
    <row r="366">
      <c r="M366">
        <f>IF(L366="","",IF(L366&gt;=0.7,3,IF(L366&gt;=0.6,2,IF(L366&gt;=0.5,1,0))))</f>
        <v/>
      </c>
    </row>
    <row r="367">
      <c r="M367">
        <f>IF(L367="","",IF(L367&gt;=0.7,3,IF(L367&gt;=0.6,2,IF(L367&gt;=0.5,1,0))))</f>
        <v/>
      </c>
    </row>
    <row r="368">
      <c r="M368">
        <f>IF(L368="","",IF(L368&gt;=0.7,3,IF(L368&gt;=0.6,2,IF(L368&gt;=0.5,1,0))))</f>
        <v/>
      </c>
    </row>
    <row r="369">
      <c r="M369">
        <f>IF(L369="","",IF(L369&gt;=0.7,3,IF(L369&gt;=0.6,2,IF(L369&gt;=0.5,1,0))))</f>
        <v/>
      </c>
    </row>
    <row r="370">
      <c r="M370">
        <f>IF(L370="","",IF(L370&gt;=0.7,3,IF(L370&gt;=0.6,2,IF(L370&gt;=0.5,1,0))))</f>
        <v/>
      </c>
    </row>
    <row r="371">
      <c r="M371">
        <f>IF(L371="","",IF(L371&gt;=0.7,3,IF(L371&gt;=0.6,2,IF(L371&gt;=0.5,1,0))))</f>
        <v/>
      </c>
    </row>
    <row r="372">
      <c r="M372">
        <f>IF(L372="","",IF(L372&gt;=0.7,3,IF(L372&gt;=0.6,2,IF(L372&gt;=0.5,1,0))))</f>
        <v/>
      </c>
    </row>
    <row r="373">
      <c r="M373">
        <f>IF(L373="","",IF(L373&gt;=0.7,3,IF(L373&gt;=0.6,2,IF(L373&gt;=0.5,1,0))))</f>
        <v/>
      </c>
    </row>
    <row r="374">
      <c r="M374">
        <f>IF(L374="","",IF(L374&gt;=0.7,3,IF(L374&gt;=0.6,2,IF(L374&gt;=0.5,1,0))))</f>
        <v/>
      </c>
    </row>
    <row r="375">
      <c r="M375">
        <f>IF(L375="","",IF(L375&gt;=0.7,3,IF(L375&gt;=0.6,2,IF(L375&gt;=0.5,1,0))))</f>
        <v/>
      </c>
    </row>
    <row r="376">
      <c r="M376">
        <f>IF(L376="","",IF(L376&gt;=0.7,3,IF(L376&gt;=0.6,2,IF(L376&gt;=0.5,1,0))))</f>
        <v/>
      </c>
    </row>
    <row r="377">
      <c r="M377">
        <f>IF(L377="","",IF(L377&gt;=0.7,3,IF(L377&gt;=0.6,2,IF(L377&gt;=0.5,1,0))))</f>
        <v/>
      </c>
    </row>
    <row r="378">
      <c r="M378">
        <f>IF(L378="","",IF(L378&gt;=0.7,3,IF(L378&gt;=0.6,2,IF(L378&gt;=0.5,1,0))))</f>
        <v/>
      </c>
    </row>
    <row r="379">
      <c r="M379">
        <f>IF(L379="","",IF(L379&gt;=0.7,3,IF(L379&gt;=0.6,2,IF(L379&gt;=0.5,1,0))))</f>
        <v/>
      </c>
    </row>
    <row r="380">
      <c r="M380">
        <f>IF(L380="","",IF(L380&gt;=0.7,3,IF(L380&gt;=0.6,2,IF(L380&gt;=0.5,1,0))))</f>
        <v/>
      </c>
    </row>
    <row r="381">
      <c r="M381">
        <f>IF(L381="","",IF(L381&gt;=0.7,3,IF(L381&gt;=0.6,2,IF(L381&gt;=0.5,1,0))))</f>
        <v/>
      </c>
    </row>
    <row r="382">
      <c r="M382">
        <f>IF(L382="","",IF(L382&gt;=0.7,3,IF(L382&gt;=0.6,2,IF(L382&gt;=0.5,1,0))))</f>
        <v/>
      </c>
    </row>
    <row r="383">
      <c r="M383">
        <f>IF(L383="","",IF(L383&gt;=0.7,3,IF(L383&gt;=0.6,2,IF(L383&gt;=0.5,1,0))))</f>
        <v/>
      </c>
    </row>
    <row r="384">
      <c r="M384">
        <f>IF(L384="","",IF(L384&gt;=0.7,3,IF(L384&gt;=0.6,2,IF(L384&gt;=0.5,1,0))))</f>
        <v/>
      </c>
    </row>
    <row r="385">
      <c r="M385">
        <f>IF(L385="","",IF(L385&gt;=0.7,3,IF(L385&gt;=0.6,2,IF(L385&gt;=0.5,1,0))))</f>
        <v/>
      </c>
    </row>
    <row r="386">
      <c r="M386">
        <f>IF(L386="","",IF(L386&gt;=0.7,3,IF(L386&gt;=0.6,2,IF(L386&gt;=0.5,1,0))))</f>
        <v/>
      </c>
    </row>
    <row r="387">
      <c r="M387">
        <f>IF(L387="","",IF(L387&gt;=0.7,3,IF(L387&gt;=0.6,2,IF(L387&gt;=0.5,1,0))))</f>
        <v/>
      </c>
    </row>
    <row r="388">
      <c r="M388">
        <f>IF(L388="","",IF(L388&gt;=0.7,3,IF(L388&gt;=0.6,2,IF(L388&gt;=0.5,1,0))))</f>
        <v/>
      </c>
    </row>
    <row r="389">
      <c r="M389">
        <f>IF(L389="","",IF(L389&gt;=0.7,3,IF(L389&gt;=0.6,2,IF(L389&gt;=0.5,1,0))))</f>
        <v/>
      </c>
    </row>
    <row r="390">
      <c r="M390">
        <f>IF(L390="","",IF(L390&gt;=0.7,3,IF(L390&gt;=0.6,2,IF(L390&gt;=0.5,1,0))))</f>
        <v/>
      </c>
    </row>
    <row r="391">
      <c r="M391">
        <f>IF(L391="","",IF(L391&gt;=0.7,3,IF(L391&gt;=0.6,2,IF(L391&gt;=0.5,1,0))))</f>
        <v/>
      </c>
    </row>
    <row r="392">
      <c r="M392">
        <f>IF(L392="","",IF(L392&gt;=0.7,3,IF(L392&gt;=0.6,2,IF(L392&gt;=0.5,1,0))))</f>
        <v/>
      </c>
    </row>
    <row r="393">
      <c r="M393">
        <f>IF(L393="","",IF(L393&gt;=0.7,3,IF(L393&gt;=0.6,2,IF(L393&gt;=0.5,1,0))))</f>
        <v/>
      </c>
    </row>
    <row r="394">
      <c r="M394">
        <f>IF(L394="","",IF(L394&gt;=0.7,3,IF(L394&gt;=0.6,2,IF(L394&gt;=0.5,1,0))))</f>
        <v/>
      </c>
    </row>
    <row r="395">
      <c r="M395">
        <f>IF(L395="","",IF(L395&gt;=0.7,3,IF(L395&gt;=0.6,2,IF(L395&gt;=0.5,1,0))))</f>
        <v/>
      </c>
    </row>
    <row r="396">
      <c r="M396">
        <f>IF(L396="","",IF(L396&gt;=0.7,3,IF(L396&gt;=0.6,2,IF(L396&gt;=0.5,1,0))))</f>
        <v/>
      </c>
    </row>
    <row r="397">
      <c r="M397">
        <f>IF(L397="","",IF(L397&gt;=0.7,3,IF(L397&gt;=0.6,2,IF(L397&gt;=0.5,1,0))))</f>
        <v/>
      </c>
    </row>
    <row r="398">
      <c r="M398">
        <f>IF(L398="","",IF(L398&gt;=0.7,3,IF(L398&gt;=0.6,2,IF(L398&gt;=0.5,1,0))))</f>
        <v/>
      </c>
    </row>
    <row r="399">
      <c r="M399">
        <f>IF(L399="","",IF(L399&gt;=0.7,3,IF(L399&gt;=0.6,2,IF(L399&gt;=0.5,1,0))))</f>
        <v/>
      </c>
    </row>
    <row r="400">
      <c r="M400">
        <f>IF(L400="","",IF(L400&gt;=0.7,3,IF(L400&gt;=0.6,2,IF(L400&gt;=0.5,1,0))))</f>
        <v/>
      </c>
    </row>
    <row r="401">
      <c r="M401">
        <f>IF(L401="","",IF(L401&gt;=0.7,3,IF(L401&gt;=0.6,2,IF(L401&gt;=0.5,1,0))))</f>
        <v/>
      </c>
    </row>
    <row r="402">
      <c r="M402">
        <f>IF(L402="","",IF(L402&gt;=0.7,3,IF(L402&gt;=0.6,2,IF(L402&gt;=0.5,1,0))))</f>
        <v/>
      </c>
    </row>
    <row r="403">
      <c r="M403">
        <f>IF(L403="","",IF(L403&gt;=0.7,3,IF(L403&gt;=0.6,2,IF(L403&gt;=0.5,1,0))))</f>
        <v/>
      </c>
    </row>
    <row r="404">
      <c r="M404">
        <f>IF(L404="","",IF(L404&gt;=0.7,3,IF(L404&gt;=0.6,2,IF(L404&gt;=0.5,1,0))))</f>
        <v/>
      </c>
    </row>
    <row r="405">
      <c r="M405">
        <f>IF(L405="","",IF(L405&gt;=0.7,3,IF(L405&gt;=0.6,2,IF(L405&gt;=0.5,1,0))))</f>
        <v/>
      </c>
    </row>
    <row r="406">
      <c r="M406">
        <f>IF(L406="","",IF(L406&gt;=0.7,3,IF(L406&gt;=0.6,2,IF(L406&gt;=0.5,1,0))))</f>
        <v/>
      </c>
    </row>
    <row r="407">
      <c r="M407">
        <f>IF(L407="","",IF(L407&gt;=0.7,3,IF(L407&gt;=0.6,2,IF(L407&gt;=0.5,1,0))))</f>
        <v/>
      </c>
    </row>
    <row r="408">
      <c r="M408">
        <f>IF(L408="","",IF(L408&gt;=0.7,3,IF(L408&gt;=0.6,2,IF(L408&gt;=0.5,1,0))))</f>
        <v/>
      </c>
    </row>
    <row r="409">
      <c r="M409">
        <f>IF(L409="","",IF(L409&gt;=0.7,3,IF(L409&gt;=0.6,2,IF(L409&gt;=0.5,1,0))))</f>
        <v/>
      </c>
    </row>
    <row r="410">
      <c r="M410">
        <f>IF(L410="","",IF(L410&gt;=0.7,3,IF(L410&gt;=0.6,2,IF(L410&gt;=0.5,1,0))))</f>
        <v/>
      </c>
    </row>
    <row r="411">
      <c r="M411">
        <f>IF(L411="","",IF(L411&gt;=0.7,3,IF(L411&gt;=0.6,2,IF(L411&gt;=0.5,1,0))))</f>
        <v/>
      </c>
    </row>
    <row r="412">
      <c r="M412">
        <f>IF(L412="","",IF(L412&gt;=0.7,3,IF(L412&gt;=0.6,2,IF(L412&gt;=0.5,1,0))))</f>
        <v/>
      </c>
    </row>
    <row r="413">
      <c r="M413">
        <f>IF(L413="","",IF(L413&gt;=0.7,3,IF(L413&gt;=0.6,2,IF(L413&gt;=0.5,1,0))))</f>
        <v/>
      </c>
    </row>
    <row r="414">
      <c r="M414">
        <f>IF(L414="","",IF(L414&gt;=0.7,3,IF(L414&gt;=0.6,2,IF(L414&gt;=0.5,1,0))))</f>
        <v/>
      </c>
    </row>
    <row r="415">
      <c r="M415">
        <f>IF(L415="","",IF(L415&gt;=0.7,3,IF(L415&gt;=0.6,2,IF(L415&gt;=0.5,1,0))))</f>
        <v/>
      </c>
    </row>
    <row r="416">
      <c r="M416">
        <f>IF(L416="","",IF(L416&gt;=0.7,3,IF(L416&gt;=0.6,2,IF(L416&gt;=0.5,1,0))))</f>
        <v/>
      </c>
    </row>
    <row r="417">
      <c r="M417">
        <f>IF(L417="","",IF(L417&gt;=0.7,3,IF(L417&gt;=0.6,2,IF(L417&gt;=0.5,1,0))))</f>
        <v/>
      </c>
    </row>
    <row r="418">
      <c r="M418">
        <f>IF(L418="","",IF(L418&gt;=0.7,3,IF(L418&gt;=0.6,2,IF(L418&gt;=0.5,1,0))))</f>
        <v/>
      </c>
    </row>
    <row r="419">
      <c r="M419">
        <f>IF(L419="","",IF(L419&gt;=0.7,3,IF(L419&gt;=0.6,2,IF(L419&gt;=0.5,1,0))))</f>
        <v/>
      </c>
    </row>
    <row r="420">
      <c r="M420">
        <f>IF(L420="","",IF(L420&gt;=0.7,3,IF(L420&gt;=0.6,2,IF(L420&gt;=0.5,1,0))))</f>
        <v/>
      </c>
    </row>
    <row r="421">
      <c r="M421">
        <f>IF(L421="","",IF(L421&gt;=0.7,3,IF(L421&gt;=0.6,2,IF(L421&gt;=0.5,1,0))))</f>
        <v/>
      </c>
    </row>
    <row r="422">
      <c r="M422">
        <f>IF(L422="","",IF(L422&gt;=0.7,3,IF(L422&gt;=0.6,2,IF(L422&gt;=0.5,1,0))))</f>
        <v/>
      </c>
    </row>
    <row r="423">
      <c r="M423">
        <f>IF(L423="","",IF(L423&gt;=0.7,3,IF(L423&gt;=0.6,2,IF(L423&gt;=0.5,1,0))))</f>
        <v/>
      </c>
    </row>
    <row r="424">
      <c r="M424">
        <f>IF(L424="","",IF(L424&gt;=0.7,3,IF(L424&gt;=0.6,2,IF(L424&gt;=0.5,1,0))))</f>
        <v/>
      </c>
    </row>
    <row r="425">
      <c r="M425">
        <f>IF(L425="","",IF(L425&gt;=0.7,3,IF(L425&gt;=0.6,2,IF(L425&gt;=0.5,1,0))))</f>
        <v/>
      </c>
    </row>
    <row r="426">
      <c r="M426">
        <f>IF(L426="","",IF(L426&gt;=0.7,3,IF(L426&gt;=0.6,2,IF(L426&gt;=0.5,1,0))))</f>
        <v/>
      </c>
    </row>
    <row r="427">
      <c r="M427">
        <f>IF(L427="","",IF(L427&gt;=0.7,3,IF(L427&gt;=0.6,2,IF(L427&gt;=0.5,1,0))))</f>
        <v/>
      </c>
    </row>
    <row r="428">
      <c r="M428">
        <f>IF(L428="","",IF(L428&gt;=0.7,3,IF(L428&gt;=0.6,2,IF(L428&gt;=0.5,1,0))))</f>
        <v/>
      </c>
    </row>
    <row r="429">
      <c r="M429">
        <f>IF(L429="","",IF(L429&gt;=0.7,3,IF(L429&gt;=0.6,2,IF(L429&gt;=0.5,1,0))))</f>
        <v/>
      </c>
    </row>
    <row r="430">
      <c r="M430">
        <f>IF(L430="","",IF(L430&gt;=0.7,3,IF(L430&gt;=0.6,2,IF(L430&gt;=0.5,1,0))))</f>
        <v/>
      </c>
    </row>
    <row r="431">
      <c r="M431">
        <f>IF(L431="","",IF(L431&gt;=0.7,3,IF(L431&gt;=0.6,2,IF(L431&gt;=0.5,1,0))))</f>
        <v/>
      </c>
    </row>
    <row r="432">
      <c r="M432">
        <f>IF(L432="","",IF(L432&gt;=0.7,3,IF(L432&gt;=0.6,2,IF(L432&gt;=0.5,1,0))))</f>
        <v/>
      </c>
    </row>
    <row r="433">
      <c r="M433">
        <f>IF(L433="","",IF(L433&gt;=0.7,3,IF(L433&gt;=0.6,2,IF(L433&gt;=0.5,1,0))))</f>
        <v/>
      </c>
    </row>
    <row r="434">
      <c r="M434">
        <f>IF(L434="","",IF(L434&gt;=0.7,3,IF(L434&gt;=0.6,2,IF(L434&gt;=0.5,1,0))))</f>
        <v/>
      </c>
    </row>
    <row r="435">
      <c r="M435">
        <f>IF(L435="","",IF(L435&gt;=0.7,3,IF(L435&gt;=0.6,2,IF(L435&gt;=0.5,1,0))))</f>
        <v/>
      </c>
    </row>
    <row r="436">
      <c r="M436">
        <f>IF(L436="","",IF(L436&gt;=0.7,3,IF(L436&gt;=0.6,2,IF(L436&gt;=0.5,1,0))))</f>
        <v/>
      </c>
    </row>
    <row r="437">
      <c r="M437">
        <f>IF(L437="","",IF(L437&gt;=0.7,3,IF(L437&gt;=0.6,2,IF(L437&gt;=0.5,1,0))))</f>
        <v/>
      </c>
    </row>
    <row r="438">
      <c r="M438">
        <f>IF(L438="","",IF(L438&gt;=0.7,3,IF(L438&gt;=0.6,2,IF(L438&gt;=0.5,1,0))))</f>
        <v/>
      </c>
    </row>
    <row r="439">
      <c r="M439">
        <f>IF(L439="","",IF(L439&gt;=0.7,3,IF(L439&gt;=0.6,2,IF(L439&gt;=0.5,1,0))))</f>
        <v/>
      </c>
    </row>
    <row r="440">
      <c r="M440">
        <f>IF(L440="","",IF(L440&gt;=0.7,3,IF(L440&gt;=0.6,2,IF(L440&gt;=0.5,1,0))))</f>
        <v/>
      </c>
    </row>
    <row r="441">
      <c r="M441">
        <f>IF(L441="","",IF(L441&gt;=0.7,3,IF(L441&gt;=0.6,2,IF(L441&gt;=0.5,1,0))))</f>
        <v/>
      </c>
    </row>
    <row r="442">
      <c r="M442">
        <f>IF(L442="","",IF(L442&gt;=0.7,3,IF(L442&gt;=0.6,2,IF(L442&gt;=0.5,1,0))))</f>
        <v/>
      </c>
    </row>
    <row r="443">
      <c r="M443">
        <f>IF(L443="","",IF(L443&gt;=0.7,3,IF(L443&gt;=0.6,2,IF(L443&gt;=0.5,1,0))))</f>
        <v/>
      </c>
    </row>
    <row r="444">
      <c r="M444">
        <f>IF(L444="","",IF(L444&gt;=0.7,3,IF(L444&gt;=0.6,2,IF(L444&gt;=0.5,1,0))))</f>
        <v/>
      </c>
    </row>
    <row r="445">
      <c r="M445">
        <f>IF(L445="","",IF(L445&gt;=0.7,3,IF(L445&gt;=0.6,2,IF(L445&gt;=0.5,1,0))))</f>
        <v/>
      </c>
    </row>
    <row r="446">
      <c r="M446">
        <f>IF(L446="","",IF(L446&gt;=0.7,3,IF(L446&gt;=0.6,2,IF(L446&gt;=0.5,1,0))))</f>
        <v/>
      </c>
    </row>
    <row r="447">
      <c r="M447">
        <f>IF(L447="","",IF(L447&gt;=0.7,3,IF(L447&gt;=0.6,2,IF(L447&gt;=0.5,1,0))))</f>
        <v/>
      </c>
    </row>
    <row r="448">
      <c r="M448">
        <f>IF(L448="","",IF(L448&gt;=0.7,3,IF(L448&gt;=0.6,2,IF(L448&gt;=0.5,1,0))))</f>
        <v/>
      </c>
    </row>
    <row r="449">
      <c r="M449">
        <f>IF(L449="","",IF(L449&gt;=0.7,3,IF(L449&gt;=0.6,2,IF(L449&gt;=0.5,1,0))))</f>
        <v/>
      </c>
    </row>
    <row r="450">
      <c r="M450">
        <f>IF(L450="","",IF(L450&gt;=0.7,3,IF(L450&gt;=0.6,2,IF(L450&gt;=0.5,1,0))))</f>
        <v/>
      </c>
    </row>
    <row r="451">
      <c r="M451">
        <f>IF(L451="","",IF(L451&gt;=0.7,3,IF(L451&gt;=0.6,2,IF(L451&gt;=0.5,1,0))))</f>
        <v/>
      </c>
    </row>
    <row r="452">
      <c r="M452">
        <f>IF(L452="","",IF(L452&gt;=0.7,3,IF(L452&gt;=0.6,2,IF(L452&gt;=0.5,1,0))))</f>
        <v/>
      </c>
    </row>
    <row r="453">
      <c r="M453">
        <f>IF(L453="","",IF(L453&gt;=0.7,3,IF(L453&gt;=0.6,2,IF(L453&gt;=0.5,1,0))))</f>
        <v/>
      </c>
    </row>
    <row r="454">
      <c r="M454">
        <f>IF(L454="","",IF(L454&gt;=0.7,3,IF(L454&gt;=0.6,2,IF(L454&gt;=0.5,1,0))))</f>
        <v/>
      </c>
    </row>
    <row r="455">
      <c r="M455">
        <f>IF(L455="","",IF(L455&gt;=0.7,3,IF(L455&gt;=0.6,2,IF(L455&gt;=0.5,1,0))))</f>
        <v/>
      </c>
    </row>
    <row r="456">
      <c r="M456">
        <f>IF(L456="","",IF(L456&gt;=0.7,3,IF(L456&gt;=0.6,2,IF(L456&gt;=0.5,1,0))))</f>
        <v/>
      </c>
    </row>
    <row r="457">
      <c r="M457">
        <f>IF(L457="","",IF(L457&gt;=0.7,3,IF(L457&gt;=0.6,2,IF(L457&gt;=0.5,1,0))))</f>
        <v/>
      </c>
    </row>
    <row r="458">
      <c r="M458">
        <f>IF(L458="","",IF(L458&gt;=0.7,3,IF(L458&gt;=0.6,2,IF(L458&gt;=0.5,1,0))))</f>
        <v/>
      </c>
    </row>
    <row r="459">
      <c r="M459">
        <f>IF(L459="","",IF(L459&gt;=0.7,3,IF(L459&gt;=0.6,2,IF(L459&gt;=0.5,1,0))))</f>
        <v/>
      </c>
    </row>
    <row r="460">
      <c r="M460">
        <f>IF(L460="","",IF(L460&gt;=0.7,3,IF(L460&gt;=0.6,2,IF(L460&gt;=0.5,1,0))))</f>
        <v/>
      </c>
    </row>
    <row r="461">
      <c r="M461">
        <f>IF(L461="","",IF(L461&gt;=0.7,3,IF(L461&gt;=0.6,2,IF(L461&gt;=0.5,1,0))))</f>
        <v/>
      </c>
    </row>
    <row r="462">
      <c r="M462">
        <f>IF(L462="","",IF(L462&gt;=0.7,3,IF(L462&gt;=0.6,2,IF(L462&gt;=0.5,1,0))))</f>
        <v/>
      </c>
    </row>
    <row r="463">
      <c r="M463">
        <f>IF(L463="","",IF(L463&gt;=0.7,3,IF(L463&gt;=0.6,2,IF(L463&gt;=0.5,1,0))))</f>
        <v/>
      </c>
    </row>
    <row r="464">
      <c r="M464">
        <f>IF(L464="","",IF(L464&gt;=0.7,3,IF(L464&gt;=0.6,2,IF(L464&gt;=0.5,1,0))))</f>
        <v/>
      </c>
    </row>
    <row r="465">
      <c r="M465">
        <f>IF(L465="","",IF(L465&gt;=0.7,3,IF(L465&gt;=0.6,2,IF(L465&gt;=0.5,1,0))))</f>
        <v/>
      </c>
    </row>
    <row r="466">
      <c r="M466">
        <f>IF(L466="","",IF(L466&gt;=0.7,3,IF(L466&gt;=0.6,2,IF(L466&gt;=0.5,1,0))))</f>
        <v/>
      </c>
    </row>
    <row r="467">
      <c r="M467">
        <f>IF(L467="","",IF(L467&gt;=0.7,3,IF(L467&gt;=0.6,2,IF(L467&gt;=0.5,1,0))))</f>
        <v/>
      </c>
    </row>
    <row r="468">
      <c r="M468">
        <f>IF(L468="","",IF(L468&gt;=0.7,3,IF(L468&gt;=0.6,2,IF(L468&gt;=0.5,1,0))))</f>
        <v/>
      </c>
    </row>
    <row r="469">
      <c r="M469">
        <f>IF(L469="","",IF(L469&gt;=0.7,3,IF(L469&gt;=0.6,2,IF(L469&gt;=0.5,1,0))))</f>
        <v/>
      </c>
    </row>
    <row r="470">
      <c r="M470">
        <f>IF(L470="","",IF(L470&gt;=0.7,3,IF(L470&gt;=0.6,2,IF(L470&gt;=0.5,1,0))))</f>
        <v/>
      </c>
    </row>
    <row r="471">
      <c r="M471">
        <f>IF(L471="","",IF(L471&gt;=0.7,3,IF(L471&gt;=0.6,2,IF(L471&gt;=0.5,1,0))))</f>
        <v/>
      </c>
    </row>
    <row r="472">
      <c r="M472">
        <f>IF(L472="","",IF(L472&gt;=0.7,3,IF(L472&gt;=0.6,2,IF(L472&gt;=0.5,1,0))))</f>
        <v/>
      </c>
    </row>
    <row r="473">
      <c r="M473">
        <f>IF(L473="","",IF(L473&gt;=0.7,3,IF(L473&gt;=0.6,2,IF(L473&gt;=0.5,1,0))))</f>
        <v/>
      </c>
    </row>
    <row r="474">
      <c r="M474">
        <f>IF(L474="","",IF(L474&gt;=0.7,3,IF(L474&gt;=0.6,2,IF(L474&gt;=0.5,1,0))))</f>
        <v/>
      </c>
    </row>
    <row r="475">
      <c r="M475">
        <f>IF(L475="","",IF(L475&gt;=0.7,3,IF(L475&gt;=0.6,2,IF(L475&gt;=0.5,1,0))))</f>
        <v/>
      </c>
    </row>
    <row r="476">
      <c r="M476">
        <f>IF(L476="","",IF(L476&gt;=0.7,3,IF(L476&gt;=0.6,2,IF(L476&gt;=0.5,1,0))))</f>
        <v/>
      </c>
    </row>
    <row r="477">
      <c r="M477">
        <f>IF(L477="","",IF(L477&gt;=0.7,3,IF(L477&gt;=0.6,2,IF(L477&gt;=0.5,1,0))))</f>
        <v/>
      </c>
    </row>
    <row r="478">
      <c r="M478">
        <f>IF(L478="","",IF(L478&gt;=0.7,3,IF(L478&gt;=0.6,2,IF(L478&gt;=0.5,1,0))))</f>
        <v/>
      </c>
    </row>
    <row r="479">
      <c r="M479">
        <f>IF(L479="","",IF(L479&gt;=0.7,3,IF(L479&gt;=0.6,2,IF(L479&gt;=0.5,1,0))))</f>
        <v/>
      </c>
    </row>
    <row r="480">
      <c r="M480">
        <f>IF(L480="","",IF(L480&gt;=0.7,3,IF(L480&gt;=0.6,2,IF(L480&gt;=0.5,1,0))))</f>
        <v/>
      </c>
    </row>
    <row r="481">
      <c r="M481">
        <f>IF(L481="","",IF(L481&gt;=0.7,3,IF(L481&gt;=0.6,2,IF(L481&gt;=0.5,1,0))))</f>
        <v/>
      </c>
    </row>
    <row r="482">
      <c r="M482">
        <f>IF(L482="","",IF(L482&gt;=0.7,3,IF(L482&gt;=0.6,2,IF(L482&gt;=0.5,1,0))))</f>
        <v/>
      </c>
    </row>
    <row r="483">
      <c r="M483">
        <f>IF(L483="","",IF(L483&gt;=0.7,3,IF(L483&gt;=0.6,2,IF(L483&gt;=0.5,1,0))))</f>
        <v/>
      </c>
    </row>
    <row r="484">
      <c r="M484">
        <f>IF(L484="","",IF(L484&gt;=0.7,3,IF(L484&gt;=0.6,2,IF(L484&gt;=0.5,1,0))))</f>
        <v/>
      </c>
    </row>
    <row r="485">
      <c r="M485">
        <f>IF(L485="","",IF(L485&gt;=0.7,3,IF(L485&gt;=0.6,2,IF(L485&gt;=0.5,1,0))))</f>
        <v/>
      </c>
    </row>
    <row r="486">
      <c r="M486">
        <f>IF(L486="","",IF(L486&gt;=0.7,3,IF(L486&gt;=0.6,2,IF(L486&gt;=0.5,1,0))))</f>
        <v/>
      </c>
    </row>
    <row r="487">
      <c r="M487">
        <f>IF(L487="","",IF(L487&gt;=0.7,3,IF(L487&gt;=0.6,2,IF(L487&gt;=0.5,1,0))))</f>
        <v/>
      </c>
    </row>
    <row r="488">
      <c r="M488">
        <f>IF(L488="","",IF(L488&gt;=0.7,3,IF(L488&gt;=0.6,2,IF(L488&gt;=0.5,1,0))))</f>
        <v/>
      </c>
    </row>
    <row r="489">
      <c r="M489">
        <f>IF(L489="","",IF(L489&gt;=0.7,3,IF(L489&gt;=0.6,2,IF(L489&gt;=0.5,1,0))))</f>
        <v/>
      </c>
    </row>
    <row r="490">
      <c r="M490">
        <f>IF(L490="","",IF(L490&gt;=0.7,3,IF(L490&gt;=0.6,2,IF(L490&gt;=0.5,1,0))))</f>
        <v/>
      </c>
    </row>
    <row r="491">
      <c r="M491">
        <f>IF(L491="","",IF(L491&gt;=0.7,3,IF(L491&gt;=0.6,2,IF(L491&gt;=0.5,1,0))))</f>
        <v/>
      </c>
    </row>
    <row r="492">
      <c r="M492">
        <f>IF(L492="","",IF(L492&gt;=0.7,3,IF(L492&gt;=0.6,2,IF(L492&gt;=0.5,1,0))))</f>
        <v/>
      </c>
    </row>
    <row r="493">
      <c r="M493">
        <f>IF(L493="","",IF(L493&gt;=0.7,3,IF(L493&gt;=0.6,2,IF(L493&gt;=0.5,1,0))))</f>
        <v/>
      </c>
    </row>
    <row r="494">
      <c r="M494">
        <f>IF(L494="","",IF(L494&gt;=0.7,3,IF(L494&gt;=0.6,2,IF(L494&gt;=0.5,1,0))))</f>
        <v/>
      </c>
    </row>
    <row r="495">
      <c r="M495">
        <f>IF(L495="","",IF(L495&gt;=0.7,3,IF(L495&gt;=0.6,2,IF(L495&gt;=0.5,1,0))))</f>
        <v/>
      </c>
    </row>
    <row r="496">
      <c r="M496">
        <f>IF(L496="","",IF(L496&gt;=0.7,3,IF(L496&gt;=0.6,2,IF(L496&gt;=0.5,1,0))))</f>
        <v/>
      </c>
    </row>
    <row r="497">
      <c r="M497">
        <f>IF(L497="","",IF(L497&gt;=0.7,3,IF(L497&gt;=0.6,2,IF(L497&gt;=0.5,1,0))))</f>
        <v/>
      </c>
    </row>
    <row r="498">
      <c r="M498">
        <f>IF(L498="","",IF(L498&gt;=0.7,3,IF(L498&gt;=0.6,2,IF(L498&gt;=0.5,1,0))))</f>
        <v/>
      </c>
    </row>
    <row r="499">
      <c r="M499">
        <f>IF(L499="","",IF(L499&gt;=0.7,3,IF(L499&gt;=0.6,2,IF(L499&gt;=0.5,1,0))))</f>
        <v/>
      </c>
    </row>
    <row r="500">
      <c r="M500">
        <f>IF(L500="","",IF(L500&gt;=0.7,3,IF(L500&gt;=0.6,2,IF(L500&gt;=0.5,1,0))))</f>
        <v/>
      </c>
    </row>
    <row r="501">
      <c r="M501">
        <f>IF(L501="","",IF(L501&gt;=0.7,3,IF(L501&gt;=0.6,2,IF(L501&gt;=0.5,1,0))))</f>
        <v/>
      </c>
    </row>
  </sheetData>
  <dataValidations count="2">
    <dataValidation sqref="C2:C500" showErrorMessage="1" showInputMessage="1" allowBlank="1" type="list">
      <formula1>"Assignment,Unit Test,Mid-Term"</formula1>
    </dataValidation>
    <dataValidation sqref="I2:I500" showErrorMessage="1" showInputMessage="1" allowBlank="1" type="list">
      <formula1>"Remember,Understand,Apply,Analyze,Evaluate,Create"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18" customWidth="1" min="4" max="4"/>
    <col width="28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(Assignment/UT/MT)</t>
        </is>
      </c>
      <c r="D1" s="1" t="inlineStr">
        <is>
          <t>Attainment Level (Direct)</t>
        </is>
      </c>
      <c r="E1" s="1" t="inlineStr">
        <is>
          <t>Attainment Level (Indirect - Feedback/Survey)</t>
        </is>
      </c>
      <c r="F1" s="1" t="inlineStr">
        <is>
          <t>Final Attainment Level (Auto)</t>
        </is>
      </c>
      <c r="G1" s="1" t="inlineStr">
        <is>
          <t>PO(s) Addressed</t>
        </is>
      </c>
      <c r="H1" s="1" t="inlineStr">
        <is>
          <t>PSO(s) Addressed</t>
        </is>
      </c>
    </row>
    <row r="2">
      <c r="A2" t="inlineStr">
        <is>
          <t>CSE301</t>
        </is>
      </c>
      <c r="B2" t="inlineStr">
        <is>
          <t>CO1</t>
        </is>
      </c>
      <c r="C2" t="inlineStr">
        <is>
          <t>A1, A2</t>
        </is>
      </c>
      <c r="D2">
        <f>IFERROR(AVERAGEIFS('Continuous Assessment Records'!M:M,'Continuous Assessment Records'!A:A,A2,'Continuous Assessment Records'!F:F,B2), "")</f>
        <v/>
      </c>
      <c r="F2">
        <f>IF(E2="",D2,ROUND(0.8*D2+0.2*E2,0))</f>
        <v/>
      </c>
      <c r="G2" t="inlineStr">
        <is>
          <t>PO1, PO2</t>
        </is>
      </c>
      <c r="H2" t="inlineStr">
        <is>
          <t>PSO1</t>
        </is>
      </c>
    </row>
    <row r="3">
      <c r="A3" t="inlineStr">
        <is>
          <t>CSE301</t>
        </is>
      </c>
      <c r="B3" t="inlineStr">
        <is>
          <t>CO2</t>
        </is>
      </c>
      <c r="C3" t="inlineStr">
        <is>
          <t>UT1, UT2</t>
        </is>
      </c>
      <c r="D3">
        <f>IFERROR(AVERAGEIFS('Continuous Assessment Records'!M:M,'Continuous Assessment Records'!A:A,A3,'Continuous Assessment Records'!F:F,B3), "")</f>
        <v/>
      </c>
      <c r="F3">
        <f>IF(E3="",D3,ROUND(0.8*D3+0.2*E3,0))</f>
        <v/>
      </c>
      <c r="G3" t="inlineStr">
        <is>
          <t>PO3</t>
        </is>
      </c>
      <c r="H3" t="inlineStr">
        <is>
          <t>PSO2</t>
        </is>
      </c>
    </row>
    <row r="4">
      <c r="A4" t="inlineStr">
        <is>
          <t>CSE301</t>
        </is>
      </c>
      <c r="B4" t="inlineStr">
        <is>
          <t>CO3</t>
        </is>
      </c>
      <c r="C4" t="inlineStr">
        <is>
          <t>MT1, MT2</t>
        </is>
      </c>
      <c r="D4">
        <f>IFERROR(AVERAGEIFS('Continuous Assessment Records'!M:M,'Continuous Assessment Records'!A:A,A4,'Continuous Assessment Records'!F:F,B4), "")</f>
        <v/>
      </c>
      <c r="F4">
        <f>IF(E4="",D4,ROUND(0.8*D4+0.2*E4,0))</f>
        <v/>
      </c>
      <c r="G4" t="inlineStr">
        <is>
          <t>PO4, PO5</t>
        </is>
      </c>
      <c r="H4" t="inlineStr">
        <is>
          <t>PSO3</t>
        </is>
      </c>
    </row>
    <row r="5">
      <c r="D5">
        <f>IFERROR(AVERAGEIFS('Continuous Assessment Records'!M:M,'Continuous Assessment Records'!A:A,A5,'Continuous Assessment Records'!F:F,B5), "")</f>
        <v/>
      </c>
      <c r="F5">
        <f>IF(E5="",D5,ROUND(0.8*D5+0.2*E5,0))</f>
        <v/>
      </c>
    </row>
    <row r="6">
      <c r="D6">
        <f>IFERROR(AVERAGEIFS('Continuous Assessment Records'!M:M,'Continuous Assessment Records'!A:A,A6,'Continuous Assessment Records'!F:F,B6), "")</f>
        <v/>
      </c>
      <c r="F6">
        <f>IF(E6="",D6,ROUND(0.8*D6+0.2*E6,0))</f>
        <v/>
      </c>
    </row>
    <row r="7">
      <c r="D7">
        <f>IFERROR(AVERAGEIFS('Continuous Assessment Records'!M:M,'Continuous Assessment Records'!A:A,A7,'Continuous Assessment Records'!F:F,B7), "")</f>
        <v/>
      </c>
      <c r="F7">
        <f>IF(E7="",D7,ROUND(0.8*D7+0.2*E7,0))</f>
        <v/>
      </c>
    </row>
    <row r="8">
      <c r="D8">
        <f>IFERROR(AVERAGEIFS('Continuous Assessment Records'!M:M,'Continuous Assessment Records'!A:A,A8,'Continuous Assessment Records'!F:F,B8), "")</f>
        <v/>
      </c>
      <c r="F8">
        <f>IF(E8="",D8,ROUND(0.8*D8+0.2*E8,0))</f>
        <v/>
      </c>
    </row>
    <row r="9">
      <c r="D9">
        <f>IFERROR(AVERAGEIFS('Continuous Assessment Records'!M:M,'Continuous Assessment Records'!A:A,A9,'Continuous Assessment Records'!F:F,B9), "")</f>
        <v/>
      </c>
      <c r="F9">
        <f>IF(E9="",D9,ROUND(0.8*D9+0.2*E9,0))</f>
        <v/>
      </c>
    </row>
    <row r="10">
      <c r="D10">
        <f>IFERROR(AVERAGEIFS('Continuous Assessment Records'!M:M,'Continuous Assessment Records'!A:A,A10,'Continuous Assessment Records'!F:F,B10), "")</f>
        <v/>
      </c>
      <c r="F10">
        <f>IF(E10="",D10,ROUND(0.8*D10+0.2*E10,0))</f>
        <v/>
      </c>
    </row>
    <row r="11">
      <c r="D11">
        <f>IFERROR(AVERAGEIFS('Continuous Assessment Records'!M:M,'Continuous Assessment Records'!A:A,A11,'Continuous Assessment Records'!F:F,B11), "")</f>
        <v/>
      </c>
      <c r="F11">
        <f>IF(E11="",D11,ROUND(0.8*D11+0.2*E11,0))</f>
        <v/>
      </c>
    </row>
    <row r="12">
      <c r="D12">
        <f>IFERROR(AVERAGEIFS('Continuous Assessment Records'!M:M,'Continuous Assessment Records'!A:A,A12,'Continuous Assessment Records'!F:F,B12), "")</f>
        <v/>
      </c>
      <c r="F12">
        <f>IF(E12="",D12,ROUND(0.8*D12+0.2*E12,0))</f>
        <v/>
      </c>
    </row>
    <row r="13">
      <c r="D13">
        <f>IFERROR(AVERAGEIFS('Continuous Assessment Records'!M:M,'Continuous Assessment Records'!A:A,A13,'Continuous Assessment Records'!F:F,B13), "")</f>
        <v/>
      </c>
      <c r="F13">
        <f>IF(E13="",D13,ROUND(0.8*D13+0.2*E13,0))</f>
        <v/>
      </c>
    </row>
    <row r="14">
      <c r="D14">
        <f>IFERROR(AVERAGEIFS('Continuous Assessment Records'!M:M,'Continuous Assessment Records'!A:A,A14,'Continuous Assessment Records'!F:F,B14), "")</f>
        <v/>
      </c>
      <c r="F14">
        <f>IF(E14="",D14,ROUND(0.8*D14+0.2*E14,0))</f>
        <v/>
      </c>
    </row>
    <row r="15">
      <c r="D15">
        <f>IFERROR(AVERAGEIFS('Continuous Assessment Records'!M:M,'Continuous Assessment Records'!A:A,A15,'Continuous Assessment Records'!F:F,B15), "")</f>
        <v/>
      </c>
      <c r="F15">
        <f>IF(E15="",D15,ROUND(0.8*D15+0.2*E15,0))</f>
        <v/>
      </c>
    </row>
    <row r="16">
      <c r="D16">
        <f>IFERROR(AVERAGEIFS('Continuous Assessment Records'!M:M,'Continuous Assessment Records'!A:A,A16,'Continuous Assessment Records'!F:F,B16), "")</f>
        <v/>
      </c>
      <c r="F16">
        <f>IF(E16="",D16,ROUND(0.8*D16+0.2*E16,0))</f>
        <v/>
      </c>
    </row>
    <row r="17">
      <c r="D17">
        <f>IFERROR(AVERAGEIFS('Continuous Assessment Records'!M:M,'Continuous Assessment Records'!A:A,A17,'Continuous Assessment Records'!F:F,B17), "")</f>
        <v/>
      </c>
      <c r="F17">
        <f>IF(E17="",D17,ROUND(0.8*D17+0.2*E17,0))</f>
        <v/>
      </c>
    </row>
    <row r="18">
      <c r="D18">
        <f>IFERROR(AVERAGEIFS('Continuous Assessment Records'!M:M,'Continuous Assessment Records'!A:A,A18,'Continuous Assessment Records'!F:F,B18), "")</f>
        <v/>
      </c>
      <c r="F18">
        <f>IF(E18="",D18,ROUND(0.8*D18+0.2*E18,0))</f>
        <v/>
      </c>
    </row>
    <row r="19">
      <c r="D19">
        <f>IFERROR(AVERAGEIFS('Continuous Assessment Records'!M:M,'Continuous Assessment Records'!A:A,A19,'Continuous Assessment Records'!F:F,B19), "")</f>
        <v/>
      </c>
      <c r="F19">
        <f>IF(E19="",D19,ROUND(0.8*D19+0.2*E19,0))</f>
        <v/>
      </c>
    </row>
    <row r="20">
      <c r="D20">
        <f>IFERROR(AVERAGEIFS('Continuous Assessment Records'!M:M,'Continuous Assessment Records'!A:A,A20,'Continuous Assessment Records'!F:F,B20), "")</f>
        <v/>
      </c>
      <c r="F20">
        <f>IF(E20="",D20,ROUND(0.8*D20+0.2*E20,0))</f>
        <v/>
      </c>
    </row>
    <row r="21">
      <c r="D21">
        <f>IFERROR(AVERAGEIFS('Continuous Assessment Records'!M:M,'Continuous Assessment Records'!A:A,A21,'Continuous Assessment Records'!F:F,B21), "")</f>
        <v/>
      </c>
      <c r="F21">
        <f>IF(E21="",D21,ROUND(0.8*D21+0.2*E21,0))</f>
        <v/>
      </c>
    </row>
    <row r="22">
      <c r="D22">
        <f>IFERROR(AVERAGEIFS('Continuous Assessment Records'!M:M,'Continuous Assessment Records'!A:A,A22,'Continuous Assessment Records'!F:F,B22), "")</f>
        <v/>
      </c>
      <c r="F22">
        <f>IF(E22="",D22,ROUND(0.8*D22+0.2*E22,0))</f>
        <v/>
      </c>
    </row>
    <row r="23">
      <c r="D23">
        <f>IFERROR(AVERAGEIFS('Continuous Assessment Records'!M:M,'Continuous Assessment Records'!A:A,A23,'Continuous Assessment Records'!F:F,B23), "")</f>
        <v/>
      </c>
      <c r="F23">
        <f>IF(E23="",D23,ROUND(0.8*D23+0.2*E23,0))</f>
        <v/>
      </c>
    </row>
    <row r="24">
      <c r="D24">
        <f>IFERROR(AVERAGEIFS('Continuous Assessment Records'!M:M,'Continuous Assessment Records'!A:A,A24,'Continuous Assessment Records'!F:F,B24), "")</f>
        <v/>
      </c>
      <c r="F24">
        <f>IF(E24="",D24,ROUND(0.8*D24+0.2*E24,0))</f>
        <v/>
      </c>
    </row>
    <row r="25">
      <c r="D25">
        <f>IFERROR(AVERAGEIFS('Continuous Assessment Records'!M:M,'Continuous Assessment Records'!A:A,A25,'Continuous Assessment Records'!F:F,B25), "")</f>
        <v/>
      </c>
      <c r="F25">
        <f>IF(E25="",D25,ROUND(0.8*D25+0.2*E25,0))</f>
        <v/>
      </c>
    </row>
    <row r="26">
      <c r="D26">
        <f>IFERROR(AVERAGEIFS('Continuous Assessment Records'!M:M,'Continuous Assessment Records'!A:A,A26,'Continuous Assessment Records'!F:F,B26), "")</f>
        <v/>
      </c>
      <c r="F26">
        <f>IF(E26="",D26,ROUND(0.8*D26+0.2*E26,0))</f>
        <v/>
      </c>
    </row>
    <row r="27">
      <c r="D27">
        <f>IFERROR(AVERAGEIFS('Continuous Assessment Records'!M:M,'Continuous Assessment Records'!A:A,A27,'Continuous Assessment Records'!F:F,B27), "")</f>
        <v/>
      </c>
      <c r="F27">
        <f>IF(E27="",D27,ROUND(0.8*D27+0.2*E27,0))</f>
        <v/>
      </c>
    </row>
    <row r="28">
      <c r="D28">
        <f>IFERROR(AVERAGEIFS('Continuous Assessment Records'!M:M,'Continuous Assessment Records'!A:A,A28,'Continuous Assessment Records'!F:F,B28), "")</f>
        <v/>
      </c>
      <c r="F28">
        <f>IF(E28="",D28,ROUND(0.8*D28+0.2*E28,0))</f>
        <v/>
      </c>
    </row>
    <row r="29">
      <c r="D29">
        <f>IFERROR(AVERAGEIFS('Continuous Assessment Records'!M:M,'Continuous Assessment Records'!A:A,A29,'Continuous Assessment Records'!F:F,B29), "")</f>
        <v/>
      </c>
      <c r="F29">
        <f>IF(E29="",D29,ROUND(0.8*D29+0.2*E29,0))</f>
        <v/>
      </c>
    </row>
    <row r="30">
      <c r="D30">
        <f>IFERROR(AVERAGEIFS('Continuous Assessment Records'!M:M,'Continuous Assessment Records'!A:A,A30,'Continuous Assessment Records'!F:F,B30), "")</f>
        <v/>
      </c>
      <c r="F30">
        <f>IF(E30="",D30,ROUND(0.8*D30+0.2*E30,0))</f>
        <v/>
      </c>
    </row>
    <row r="31">
      <c r="D31">
        <f>IFERROR(AVERAGEIFS('Continuous Assessment Records'!M:M,'Continuous Assessment Records'!A:A,A31,'Continuous Assessment Records'!F:F,B31), "")</f>
        <v/>
      </c>
      <c r="F31">
        <f>IF(E31="",D31,ROUND(0.8*D31+0.2*E31,0))</f>
        <v/>
      </c>
    </row>
    <row r="32">
      <c r="D32">
        <f>IFERROR(AVERAGEIFS('Continuous Assessment Records'!M:M,'Continuous Assessment Records'!A:A,A32,'Continuous Assessment Records'!F:F,B32), "")</f>
        <v/>
      </c>
      <c r="F32">
        <f>IF(E32="",D32,ROUND(0.8*D32+0.2*E32,0))</f>
        <v/>
      </c>
    </row>
    <row r="33">
      <c r="D33">
        <f>IFERROR(AVERAGEIFS('Continuous Assessment Records'!M:M,'Continuous Assessment Records'!A:A,A33,'Continuous Assessment Records'!F:F,B33), "")</f>
        <v/>
      </c>
      <c r="F33">
        <f>IF(E33="",D33,ROUND(0.8*D33+0.2*E33,0))</f>
        <v/>
      </c>
    </row>
    <row r="34">
      <c r="D34">
        <f>IFERROR(AVERAGEIFS('Continuous Assessment Records'!M:M,'Continuous Assessment Records'!A:A,A34,'Continuous Assessment Records'!F:F,B34), "")</f>
        <v/>
      </c>
      <c r="F34">
        <f>IF(E34="",D34,ROUND(0.8*D34+0.2*E34,0))</f>
        <v/>
      </c>
    </row>
    <row r="35">
      <c r="D35">
        <f>IFERROR(AVERAGEIFS('Continuous Assessment Records'!M:M,'Continuous Assessment Records'!A:A,A35,'Continuous Assessment Records'!F:F,B35), "")</f>
        <v/>
      </c>
      <c r="F35">
        <f>IF(E35="",D35,ROUND(0.8*D35+0.2*E35,0))</f>
        <v/>
      </c>
    </row>
    <row r="36">
      <c r="D36">
        <f>IFERROR(AVERAGEIFS('Continuous Assessment Records'!M:M,'Continuous Assessment Records'!A:A,A36,'Continuous Assessment Records'!F:F,B36), "")</f>
        <v/>
      </c>
      <c r="F36">
        <f>IF(E36="",D36,ROUND(0.8*D36+0.2*E36,0))</f>
        <v/>
      </c>
    </row>
    <row r="37">
      <c r="D37">
        <f>IFERROR(AVERAGEIFS('Continuous Assessment Records'!M:M,'Continuous Assessment Records'!A:A,A37,'Continuous Assessment Records'!F:F,B37), "")</f>
        <v/>
      </c>
      <c r="F37">
        <f>IF(E37="",D37,ROUND(0.8*D37+0.2*E37,0))</f>
        <v/>
      </c>
    </row>
    <row r="38">
      <c r="D38">
        <f>IFERROR(AVERAGEIFS('Continuous Assessment Records'!M:M,'Continuous Assessment Records'!A:A,A38,'Continuous Assessment Records'!F:F,B38), "")</f>
        <v/>
      </c>
      <c r="F38">
        <f>IF(E38="",D38,ROUND(0.8*D38+0.2*E38,0))</f>
        <v/>
      </c>
    </row>
    <row r="39">
      <c r="D39">
        <f>IFERROR(AVERAGEIFS('Continuous Assessment Records'!M:M,'Continuous Assessment Records'!A:A,A39,'Continuous Assessment Records'!F:F,B39), "")</f>
        <v/>
      </c>
      <c r="F39">
        <f>IF(E39="",D39,ROUND(0.8*D39+0.2*E39,0))</f>
        <v/>
      </c>
    </row>
    <row r="40">
      <c r="D40">
        <f>IFERROR(AVERAGEIFS('Continuous Assessment Records'!M:M,'Continuous Assessment Records'!A:A,A40,'Continuous Assessment Records'!F:F,B40), "")</f>
        <v/>
      </c>
      <c r="F40">
        <f>IF(E40="",D40,ROUND(0.8*D40+0.2*E40,0))</f>
        <v/>
      </c>
    </row>
    <row r="41">
      <c r="D41">
        <f>IFERROR(AVERAGEIFS('Continuous Assessment Records'!M:M,'Continuous Assessment Records'!A:A,A41,'Continuous Assessment Records'!F:F,B41), "")</f>
        <v/>
      </c>
      <c r="F41">
        <f>IF(E41="",D41,ROUND(0.8*D41+0.2*E41,0))</f>
        <v/>
      </c>
    </row>
    <row r="42">
      <c r="D42">
        <f>IFERROR(AVERAGEIFS('Continuous Assessment Records'!M:M,'Continuous Assessment Records'!A:A,A42,'Continuous Assessment Records'!F:F,B42), "")</f>
        <v/>
      </c>
      <c r="F42">
        <f>IF(E42="",D42,ROUND(0.8*D42+0.2*E42,0))</f>
        <v/>
      </c>
    </row>
    <row r="43">
      <c r="D43">
        <f>IFERROR(AVERAGEIFS('Continuous Assessment Records'!M:M,'Continuous Assessment Records'!A:A,A43,'Continuous Assessment Records'!F:F,B43), "")</f>
        <v/>
      </c>
      <c r="F43">
        <f>IF(E43="",D43,ROUND(0.8*D43+0.2*E43,0))</f>
        <v/>
      </c>
    </row>
    <row r="44">
      <c r="D44">
        <f>IFERROR(AVERAGEIFS('Continuous Assessment Records'!M:M,'Continuous Assessment Records'!A:A,A44,'Continuous Assessment Records'!F:F,B44), "")</f>
        <v/>
      </c>
      <c r="F44">
        <f>IF(E44="",D44,ROUND(0.8*D44+0.2*E44,0))</f>
        <v/>
      </c>
    </row>
    <row r="45">
      <c r="D45">
        <f>IFERROR(AVERAGEIFS('Continuous Assessment Records'!M:M,'Continuous Assessment Records'!A:A,A45,'Continuous Assessment Records'!F:F,B45), "")</f>
        <v/>
      </c>
      <c r="F45">
        <f>IF(E45="",D45,ROUND(0.8*D45+0.2*E45,0))</f>
        <v/>
      </c>
    </row>
    <row r="46">
      <c r="D46">
        <f>IFERROR(AVERAGEIFS('Continuous Assessment Records'!M:M,'Continuous Assessment Records'!A:A,A46,'Continuous Assessment Records'!F:F,B46), "")</f>
        <v/>
      </c>
      <c r="F46">
        <f>IF(E46="",D46,ROUND(0.8*D46+0.2*E46,0))</f>
        <v/>
      </c>
    </row>
    <row r="47">
      <c r="D47">
        <f>IFERROR(AVERAGEIFS('Continuous Assessment Records'!M:M,'Continuous Assessment Records'!A:A,A47,'Continuous Assessment Records'!F:F,B47), "")</f>
        <v/>
      </c>
      <c r="F47">
        <f>IF(E47="",D47,ROUND(0.8*D47+0.2*E47,0))</f>
        <v/>
      </c>
    </row>
    <row r="48">
      <c r="D48">
        <f>IFERROR(AVERAGEIFS('Continuous Assessment Records'!M:M,'Continuous Assessment Records'!A:A,A48,'Continuous Assessment Records'!F:F,B48), "")</f>
        <v/>
      </c>
      <c r="F48">
        <f>IF(E48="",D48,ROUND(0.8*D48+0.2*E48,0))</f>
        <v/>
      </c>
    </row>
    <row r="49">
      <c r="D49">
        <f>IFERROR(AVERAGEIFS('Continuous Assessment Records'!M:M,'Continuous Assessment Records'!A:A,A49,'Continuous Assessment Records'!F:F,B49), "")</f>
        <v/>
      </c>
      <c r="F49">
        <f>IF(E49="",D49,ROUND(0.8*D49+0.2*E49,0))</f>
        <v/>
      </c>
    </row>
    <row r="50">
      <c r="D50">
        <f>IFERROR(AVERAGEIFS('Continuous Assessment Records'!M:M,'Continuous Assessment Records'!A:A,A50,'Continuous Assessment Records'!F:F,B50), "")</f>
        <v/>
      </c>
      <c r="F50">
        <f>IF(E50="",D50,ROUND(0.8*D50+0.2*E50,0))</f>
        <v/>
      </c>
    </row>
    <row r="51">
      <c r="D51">
        <f>IFERROR(AVERAGEIFS('Continuous Assessment Records'!M:M,'Continuous Assessment Records'!A:A,A51,'Continuous Assessment Records'!F:F,B51), "")</f>
        <v/>
      </c>
      <c r="F51">
        <f>IF(E51="",D51,ROUND(0.8*D51+0.2*E51,0))</f>
        <v/>
      </c>
    </row>
    <row r="52">
      <c r="D52">
        <f>IFERROR(AVERAGEIFS('Continuous Assessment Records'!M:M,'Continuous Assessment Records'!A:A,A52,'Continuous Assessment Records'!F:F,B52), "")</f>
        <v/>
      </c>
      <c r="F52">
        <f>IF(E52="",D52,ROUND(0.8*D52+0.2*E52,0))</f>
        <v/>
      </c>
    </row>
    <row r="53">
      <c r="D53">
        <f>IFERROR(AVERAGEIFS('Continuous Assessment Records'!M:M,'Continuous Assessment Records'!A:A,A53,'Continuous Assessment Records'!F:F,B53), "")</f>
        <v/>
      </c>
      <c r="F53">
        <f>IF(E53="",D53,ROUND(0.8*D53+0.2*E53,0))</f>
        <v/>
      </c>
    </row>
    <row r="54">
      <c r="D54">
        <f>IFERROR(AVERAGEIFS('Continuous Assessment Records'!M:M,'Continuous Assessment Records'!A:A,A54,'Continuous Assessment Records'!F:F,B54), "")</f>
        <v/>
      </c>
      <c r="F54">
        <f>IF(E54="",D54,ROUND(0.8*D54+0.2*E54,0))</f>
        <v/>
      </c>
    </row>
    <row r="55">
      <c r="D55">
        <f>IFERROR(AVERAGEIFS('Continuous Assessment Records'!M:M,'Continuous Assessment Records'!A:A,A55,'Continuous Assessment Records'!F:F,B55), "")</f>
        <v/>
      </c>
      <c r="F55">
        <f>IF(E55="",D55,ROUND(0.8*D55+0.2*E55,0))</f>
        <v/>
      </c>
    </row>
    <row r="56">
      <c r="D56">
        <f>IFERROR(AVERAGEIFS('Continuous Assessment Records'!M:M,'Continuous Assessment Records'!A:A,A56,'Continuous Assessment Records'!F:F,B56), "")</f>
        <v/>
      </c>
      <c r="F56">
        <f>IF(E56="",D56,ROUND(0.8*D56+0.2*E56,0))</f>
        <v/>
      </c>
    </row>
    <row r="57">
      <c r="D57">
        <f>IFERROR(AVERAGEIFS('Continuous Assessment Records'!M:M,'Continuous Assessment Records'!A:A,A57,'Continuous Assessment Records'!F:F,B57), "")</f>
        <v/>
      </c>
      <c r="F57">
        <f>IF(E57="",D57,ROUND(0.8*D57+0.2*E57,0))</f>
        <v/>
      </c>
    </row>
    <row r="58">
      <c r="D58">
        <f>IFERROR(AVERAGEIFS('Continuous Assessment Records'!M:M,'Continuous Assessment Records'!A:A,A58,'Continuous Assessment Records'!F:F,B58), "")</f>
        <v/>
      </c>
      <c r="F58">
        <f>IF(E58="",D58,ROUND(0.8*D58+0.2*E58,0))</f>
        <v/>
      </c>
    </row>
    <row r="59">
      <c r="D59">
        <f>IFERROR(AVERAGEIFS('Continuous Assessment Records'!M:M,'Continuous Assessment Records'!A:A,A59,'Continuous Assessment Records'!F:F,B59), "")</f>
        <v/>
      </c>
      <c r="F59">
        <f>IF(E59="",D59,ROUND(0.8*D59+0.2*E59,0))</f>
        <v/>
      </c>
    </row>
    <row r="60">
      <c r="D60">
        <f>IFERROR(AVERAGEIFS('Continuous Assessment Records'!M:M,'Continuous Assessment Records'!A:A,A60,'Continuous Assessment Records'!F:F,B60), "")</f>
        <v/>
      </c>
      <c r="F60">
        <f>IF(E60="",D60,ROUND(0.8*D60+0.2*E60,0))</f>
        <v/>
      </c>
    </row>
    <row r="61">
      <c r="D61">
        <f>IFERROR(AVERAGEIFS('Continuous Assessment Records'!M:M,'Continuous Assessment Records'!A:A,A61,'Continuous Assessment Records'!F:F,B61), "")</f>
        <v/>
      </c>
      <c r="F61">
        <f>IF(E61="",D61,ROUND(0.8*D61+0.2*E61,0))</f>
        <v/>
      </c>
    </row>
    <row r="62">
      <c r="D62">
        <f>IFERROR(AVERAGEIFS('Continuous Assessment Records'!M:M,'Continuous Assessment Records'!A:A,A62,'Continuous Assessment Records'!F:F,B62), "")</f>
        <v/>
      </c>
      <c r="F62">
        <f>IF(E62="",D62,ROUND(0.8*D62+0.2*E62,0))</f>
        <v/>
      </c>
    </row>
    <row r="63">
      <c r="D63">
        <f>IFERROR(AVERAGEIFS('Continuous Assessment Records'!M:M,'Continuous Assessment Records'!A:A,A63,'Continuous Assessment Records'!F:F,B63), "")</f>
        <v/>
      </c>
      <c r="F63">
        <f>IF(E63="",D63,ROUND(0.8*D63+0.2*E63,0))</f>
        <v/>
      </c>
    </row>
    <row r="64">
      <c r="D64">
        <f>IFERROR(AVERAGEIFS('Continuous Assessment Records'!M:M,'Continuous Assessment Records'!A:A,A64,'Continuous Assessment Records'!F:F,B64), "")</f>
        <v/>
      </c>
      <c r="F64">
        <f>IF(E64="",D64,ROUND(0.8*D64+0.2*E64,0))</f>
        <v/>
      </c>
    </row>
    <row r="65">
      <c r="D65">
        <f>IFERROR(AVERAGEIFS('Continuous Assessment Records'!M:M,'Continuous Assessment Records'!A:A,A65,'Continuous Assessment Records'!F:F,B65), "")</f>
        <v/>
      </c>
      <c r="F65">
        <f>IF(E65="",D65,ROUND(0.8*D65+0.2*E65,0))</f>
        <v/>
      </c>
    </row>
    <row r="66">
      <c r="D66">
        <f>IFERROR(AVERAGEIFS('Continuous Assessment Records'!M:M,'Continuous Assessment Records'!A:A,A66,'Continuous Assessment Records'!F:F,B66), "")</f>
        <v/>
      </c>
      <c r="F66">
        <f>IF(E66="",D66,ROUND(0.8*D66+0.2*E66,0))</f>
        <v/>
      </c>
    </row>
    <row r="67">
      <c r="D67">
        <f>IFERROR(AVERAGEIFS('Continuous Assessment Records'!M:M,'Continuous Assessment Records'!A:A,A67,'Continuous Assessment Records'!F:F,B67), "")</f>
        <v/>
      </c>
      <c r="F67">
        <f>IF(E67="",D67,ROUND(0.8*D67+0.2*E67,0))</f>
        <v/>
      </c>
    </row>
    <row r="68">
      <c r="D68">
        <f>IFERROR(AVERAGEIFS('Continuous Assessment Records'!M:M,'Continuous Assessment Records'!A:A,A68,'Continuous Assessment Records'!F:F,B68), "")</f>
        <v/>
      </c>
      <c r="F68">
        <f>IF(E68="",D68,ROUND(0.8*D68+0.2*E68,0))</f>
        <v/>
      </c>
    </row>
    <row r="69">
      <c r="D69">
        <f>IFERROR(AVERAGEIFS('Continuous Assessment Records'!M:M,'Continuous Assessment Records'!A:A,A69,'Continuous Assessment Records'!F:F,B69), "")</f>
        <v/>
      </c>
      <c r="F69">
        <f>IF(E69="",D69,ROUND(0.8*D69+0.2*E69,0))</f>
        <v/>
      </c>
    </row>
    <row r="70">
      <c r="D70">
        <f>IFERROR(AVERAGEIFS('Continuous Assessment Records'!M:M,'Continuous Assessment Records'!A:A,A70,'Continuous Assessment Records'!F:F,B70), "")</f>
        <v/>
      </c>
      <c r="F70">
        <f>IF(E70="",D70,ROUND(0.8*D70+0.2*E70,0))</f>
        <v/>
      </c>
    </row>
    <row r="71">
      <c r="D71">
        <f>IFERROR(AVERAGEIFS('Continuous Assessment Records'!M:M,'Continuous Assessment Records'!A:A,A71,'Continuous Assessment Records'!F:F,B71), "")</f>
        <v/>
      </c>
      <c r="F71">
        <f>IF(E71="",D71,ROUND(0.8*D71+0.2*E71,0))</f>
        <v/>
      </c>
    </row>
    <row r="72">
      <c r="D72">
        <f>IFERROR(AVERAGEIFS('Continuous Assessment Records'!M:M,'Continuous Assessment Records'!A:A,A72,'Continuous Assessment Records'!F:F,B72), "")</f>
        <v/>
      </c>
      <c r="F72">
        <f>IF(E72="",D72,ROUND(0.8*D72+0.2*E72,0))</f>
        <v/>
      </c>
    </row>
    <row r="73">
      <c r="D73">
        <f>IFERROR(AVERAGEIFS('Continuous Assessment Records'!M:M,'Continuous Assessment Records'!A:A,A73,'Continuous Assessment Records'!F:F,B73), "")</f>
        <v/>
      </c>
      <c r="F73">
        <f>IF(E73="",D73,ROUND(0.8*D73+0.2*E73,0))</f>
        <v/>
      </c>
    </row>
    <row r="74">
      <c r="D74">
        <f>IFERROR(AVERAGEIFS('Continuous Assessment Records'!M:M,'Continuous Assessment Records'!A:A,A74,'Continuous Assessment Records'!F:F,B74), "")</f>
        <v/>
      </c>
      <c r="F74">
        <f>IF(E74="",D74,ROUND(0.8*D74+0.2*E74,0))</f>
        <v/>
      </c>
    </row>
    <row r="75">
      <c r="D75">
        <f>IFERROR(AVERAGEIFS('Continuous Assessment Records'!M:M,'Continuous Assessment Records'!A:A,A75,'Continuous Assessment Records'!F:F,B75), "")</f>
        <v/>
      </c>
      <c r="F75">
        <f>IF(E75="",D75,ROUND(0.8*D75+0.2*E75,0))</f>
        <v/>
      </c>
    </row>
    <row r="76">
      <c r="D76">
        <f>IFERROR(AVERAGEIFS('Continuous Assessment Records'!M:M,'Continuous Assessment Records'!A:A,A76,'Continuous Assessment Records'!F:F,B76), "")</f>
        <v/>
      </c>
      <c r="F76">
        <f>IF(E76="",D76,ROUND(0.8*D76+0.2*E76,0))</f>
        <v/>
      </c>
    </row>
    <row r="77">
      <c r="D77">
        <f>IFERROR(AVERAGEIFS('Continuous Assessment Records'!M:M,'Continuous Assessment Records'!A:A,A77,'Continuous Assessment Records'!F:F,B77), "")</f>
        <v/>
      </c>
      <c r="F77">
        <f>IF(E77="",D77,ROUND(0.8*D77+0.2*E77,0))</f>
        <v/>
      </c>
    </row>
    <row r="78">
      <c r="D78">
        <f>IFERROR(AVERAGEIFS('Continuous Assessment Records'!M:M,'Continuous Assessment Records'!A:A,A78,'Continuous Assessment Records'!F:F,B78), "")</f>
        <v/>
      </c>
      <c r="F78">
        <f>IF(E78="",D78,ROUND(0.8*D78+0.2*E78,0))</f>
        <v/>
      </c>
    </row>
    <row r="79">
      <c r="D79">
        <f>IFERROR(AVERAGEIFS('Continuous Assessment Records'!M:M,'Continuous Assessment Records'!A:A,A79,'Continuous Assessment Records'!F:F,B79), "")</f>
        <v/>
      </c>
      <c r="F79">
        <f>IF(E79="",D79,ROUND(0.8*D79+0.2*E79,0))</f>
        <v/>
      </c>
    </row>
    <row r="80">
      <c r="D80">
        <f>IFERROR(AVERAGEIFS('Continuous Assessment Records'!M:M,'Continuous Assessment Records'!A:A,A80,'Continuous Assessment Records'!F:F,B80), "")</f>
        <v/>
      </c>
      <c r="F80">
        <f>IF(E80="",D80,ROUND(0.8*D80+0.2*E80,0))</f>
        <v/>
      </c>
    </row>
    <row r="81">
      <c r="D81">
        <f>IFERROR(AVERAGEIFS('Continuous Assessment Records'!M:M,'Continuous Assessment Records'!A:A,A81,'Continuous Assessment Records'!F:F,B81), "")</f>
        <v/>
      </c>
      <c r="F81">
        <f>IF(E81="",D81,ROUND(0.8*D81+0.2*E81,0))</f>
        <v/>
      </c>
    </row>
    <row r="82">
      <c r="D82">
        <f>IFERROR(AVERAGEIFS('Continuous Assessment Records'!M:M,'Continuous Assessment Records'!A:A,A82,'Continuous Assessment Records'!F:F,B82), "")</f>
        <v/>
      </c>
      <c r="F82">
        <f>IF(E82="",D82,ROUND(0.8*D82+0.2*E82,0))</f>
        <v/>
      </c>
    </row>
    <row r="83">
      <c r="D83">
        <f>IFERROR(AVERAGEIFS('Continuous Assessment Records'!M:M,'Continuous Assessment Records'!A:A,A83,'Continuous Assessment Records'!F:F,B83), "")</f>
        <v/>
      </c>
      <c r="F83">
        <f>IF(E83="",D83,ROUND(0.8*D83+0.2*E83,0))</f>
        <v/>
      </c>
    </row>
    <row r="84">
      <c r="D84">
        <f>IFERROR(AVERAGEIFS('Continuous Assessment Records'!M:M,'Continuous Assessment Records'!A:A,A84,'Continuous Assessment Records'!F:F,B84), "")</f>
        <v/>
      </c>
      <c r="F84">
        <f>IF(E84="",D84,ROUND(0.8*D84+0.2*E84,0))</f>
        <v/>
      </c>
    </row>
    <row r="85">
      <c r="D85">
        <f>IFERROR(AVERAGEIFS('Continuous Assessment Records'!M:M,'Continuous Assessment Records'!A:A,A85,'Continuous Assessment Records'!F:F,B85), "")</f>
        <v/>
      </c>
      <c r="F85">
        <f>IF(E85="",D85,ROUND(0.8*D85+0.2*E85,0))</f>
        <v/>
      </c>
    </row>
    <row r="86">
      <c r="D86">
        <f>IFERROR(AVERAGEIFS('Continuous Assessment Records'!M:M,'Continuous Assessment Records'!A:A,A86,'Continuous Assessment Records'!F:F,B86), "")</f>
        <v/>
      </c>
      <c r="F86">
        <f>IF(E86="",D86,ROUND(0.8*D86+0.2*E86,0))</f>
        <v/>
      </c>
    </row>
    <row r="87">
      <c r="D87">
        <f>IFERROR(AVERAGEIFS('Continuous Assessment Records'!M:M,'Continuous Assessment Records'!A:A,A87,'Continuous Assessment Records'!F:F,B87), "")</f>
        <v/>
      </c>
      <c r="F87">
        <f>IF(E87="",D87,ROUND(0.8*D87+0.2*E87,0))</f>
        <v/>
      </c>
    </row>
    <row r="88">
      <c r="D88">
        <f>IFERROR(AVERAGEIFS('Continuous Assessment Records'!M:M,'Continuous Assessment Records'!A:A,A88,'Continuous Assessment Records'!F:F,B88), "")</f>
        <v/>
      </c>
      <c r="F88">
        <f>IF(E88="",D88,ROUND(0.8*D88+0.2*E88,0))</f>
        <v/>
      </c>
    </row>
    <row r="89">
      <c r="D89">
        <f>IFERROR(AVERAGEIFS('Continuous Assessment Records'!M:M,'Continuous Assessment Records'!A:A,A89,'Continuous Assessment Records'!F:F,B89), "")</f>
        <v/>
      </c>
      <c r="F89">
        <f>IF(E89="",D89,ROUND(0.8*D89+0.2*E89,0))</f>
        <v/>
      </c>
    </row>
    <row r="90">
      <c r="D90">
        <f>IFERROR(AVERAGEIFS('Continuous Assessment Records'!M:M,'Continuous Assessment Records'!A:A,A90,'Continuous Assessment Records'!F:F,B90), "")</f>
        <v/>
      </c>
      <c r="F90">
        <f>IF(E90="",D90,ROUND(0.8*D90+0.2*E90,0))</f>
        <v/>
      </c>
    </row>
    <row r="91">
      <c r="D91">
        <f>IFERROR(AVERAGEIFS('Continuous Assessment Records'!M:M,'Continuous Assessment Records'!A:A,A91,'Continuous Assessment Records'!F:F,B91), "")</f>
        <v/>
      </c>
      <c r="F91">
        <f>IF(E91="",D91,ROUND(0.8*D91+0.2*E91,0))</f>
        <v/>
      </c>
    </row>
    <row r="92">
      <c r="D92">
        <f>IFERROR(AVERAGEIFS('Continuous Assessment Records'!M:M,'Continuous Assessment Records'!A:A,A92,'Continuous Assessment Records'!F:F,B92), "")</f>
        <v/>
      </c>
      <c r="F92">
        <f>IF(E92="",D92,ROUND(0.8*D92+0.2*E92,0))</f>
        <v/>
      </c>
    </row>
    <row r="93">
      <c r="D93">
        <f>IFERROR(AVERAGEIFS('Continuous Assessment Records'!M:M,'Continuous Assessment Records'!A:A,A93,'Continuous Assessment Records'!F:F,B93), "")</f>
        <v/>
      </c>
      <c r="F93">
        <f>IF(E93="",D93,ROUND(0.8*D93+0.2*E93,0))</f>
        <v/>
      </c>
    </row>
    <row r="94">
      <c r="D94">
        <f>IFERROR(AVERAGEIFS('Continuous Assessment Records'!M:M,'Continuous Assessment Records'!A:A,A94,'Continuous Assessment Records'!F:F,B94), "")</f>
        <v/>
      </c>
      <c r="F94">
        <f>IF(E94="",D94,ROUND(0.8*D94+0.2*E94,0))</f>
        <v/>
      </c>
    </row>
    <row r="95">
      <c r="D95">
        <f>IFERROR(AVERAGEIFS('Continuous Assessment Records'!M:M,'Continuous Assessment Records'!A:A,A95,'Continuous Assessment Records'!F:F,B95), "")</f>
        <v/>
      </c>
      <c r="F95">
        <f>IF(E95="",D95,ROUND(0.8*D95+0.2*E95,0))</f>
        <v/>
      </c>
    </row>
    <row r="96">
      <c r="D96">
        <f>IFERROR(AVERAGEIFS('Continuous Assessment Records'!M:M,'Continuous Assessment Records'!A:A,A96,'Continuous Assessment Records'!F:F,B96), "")</f>
        <v/>
      </c>
      <c r="F96">
        <f>IF(E96="",D96,ROUND(0.8*D96+0.2*E96,0))</f>
        <v/>
      </c>
    </row>
    <row r="97">
      <c r="D97">
        <f>IFERROR(AVERAGEIFS('Continuous Assessment Records'!M:M,'Continuous Assessment Records'!A:A,A97,'Continuous Assessment Records'!F:F,B97), "")</f>
        <v/>
      </c>
      <c r="F97">
        <f>IF(E97="",D97,ROUND(0.8*D97+0.2*E97,0))</f>
        <v/>
      </c>
    </row>
    <row r="98">
      <c r="D98">
        <f>IFERROR(AVERAGEIFS('Continuous Assessment Records'!M:M,'Continuous Assessment Records'!A:A,A98,'Continuous Assessment Records'!F:F,B98), "")</f>
        <v/>
      </c>
      <c r="F98">
        <f>IF(E98="",D98,ROUND(0.8*D98+0.2*E98,0))</f>
        <v/>
      </c>
    </row>
    <row r="99">
      <c r="D99">
        <f>IFERROR(AVERAGEIFS('Continuous Assessment Records'!M:M,'Continuous Assessment Records'!A:A,A99,'Continuous Assessment Records'!F:F,B99), "")</f>
        <v/>
      </c>
      <c r="F99">
        <f>IF(E99="",D99,ROUND(0.8*D99+0.2*E99,0))</f>
        <v/>
      </c>
    </row>
    <row r="100">
      <c r="D100">
        <f>IFERROR(AVERAGEIFS('Continuous Assessment Records'!M:M,'Continuous Assessment Records'!A:A,A100,'Continuous Assessment Records'!F:F,B100), "")</f>
        <v/>
      </c>
      <c r="F100">
        <f>IF(E100="",D100,ROUND(0.8*D100+0.2*E100,0))</f>
        <v/>
      </c>
    </row>
    <row r="101">
      <c r="D101">
        <f>IFERROR(AVERAGEIFS('Continuous Assessment Records'!M:M,'Continuous Assessment Records'!A:A,A101,'Continuous Assessment Records'!F:F,B101), "")</f>
        <v/>
      </c>
      <c r="F101">
        <f>IF(E101="",D101,ROUND(0.8*D101+0.2*E101,0))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40" customWidth="1" min="5" max="5"/>
    <col width="12" customWidth="1" min="6" max="6"/>
  </cols>
  <sheetData>
    <row r="1">
      <c r="A1" s="1" t="inlineStr">
        <is>
          <t>Course Code</t>
        </is>
      </c>
      <c r="B1" s="1" t="inlineStr">
        <is>
          <t>Assessment Type</t>
        </is>
      </c>
      <c r="C1" s="1" t="inlineStr">
        <is>
          <t>Assessment No.</t>
        </is>
      </c>
      <c r="D1" s="1" t="inlineStr">
        <is>
          <t>Document/File Name</t>
        </is>
      </c>
      <c r="E1" s="1" t="inlineStr">
        <is>
          <t>Evidence Link (Drive/SharePoint/Folder)</t>
        </is>
      </c>
      <c r="F1" s="1" t="inlineStr">
        <is>
          <t>Verified (Y/N)</t>
        </is>
      </c>
    </row>
    <row r="2">
      <c r="A2" t="inlineStr">
        <is>
          <t>CSE301</t>
        </is>
      </c>
      <c r="B2" t="inlineStr">
        <is>
          <t>Assignment</t>
        </is>
      </c>
      <c r="C2" t="inlineStr">
        <is>
          <t>A1</t>
        </is>
      </c>
      <c r="D2" t="inlineStr">
        <is>
          <t>A1_Q1.pdf</t>
        </is>
      </c>
      <c r="E2" t="inlineStr">
        <is>
          <t>https://drive.google.com/…</t>
        </is>
      </c>
      <c r="F2" t="inlineStr">
        <is>
          <t>Y</t>
        </is>
      </c>
    </row>
    <row r="3">
      <c r="A3" t="inlineStr">
        <is>
          <t>CSE301</t>
        </is>
      </c>
      <c r="B3" t="inlineStr">
        <is>
          <t>Unit Test</t>
        </is>
      </c>
      <c r="C3" t="inlineStr">
        <is>
          <t>UT1</t>
        </is>
      </c>
      <c r="D3" t="inlineStr">
        <is>
          <t>UT1_Q2.pdf</t>
        </is>
      </c>
      <c r="E3" t="inlineStr">
        <is>
          <t>https://drive.google.com/…</t>
        </is>
      </c>
      <c r="F3" t="inlineStr">
        <is>
          <t>Y</t>
        </is>
      </c>
    </row>
    <row r="4">
      <c r="A4" t="inlineStr">
        <is>
          <t>CSE301</t>
        </is>
      </c>
      <c r="B4" t="inlineStr">
        <is>
          <t>Mid-Term</t>
        </is>
      </c>
      <c r="C4" t="inlineStr">
        <is>
          <t>MT1</t>
        </is>
      </c>
      <c r="D4" t="inlineStr">
        <is>
          <t>MT1_Q3.pdf</t>
        </is>
      </c>
      <c r="E4" t="inlineStr">
        <is>
          <t>https://drive.google.com/…</t>
        </is>
      </c>
      <c r="F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Continuous Assessment Mapping — How to Use</t>
        </is>
      </c>
    </row>
    <row r="2">
      <c r="A2" s="3" t="inlineStr">
        <is>
          <t>1) Enter records in 'Continuous Assessment Records' (rows 2..500). Keep Class Avg as a decimal (e.g., 0.72 = 72%).</t>
        </is>
      </c>
    </row>
    <row r="3">
      <c r="A3" s="3" t="inlineStr">
        <is>
          <t>2) Attainment Level (Auto) uses thresholds: ≥70% → 3, ≥60% → 2, ≥50% → 1, else 0.</t>
        </is>
      </c>
    </row>
    <row r="4">
      <c r="A4" s="3" t="inlineStr">
        <is>
          <t>3) In 'CO–PO Attainment Summary', list COs per course. 'Attainment Level (Direct)' auto-averages from Records.</t>
        </is>
      </c>
    </row>
    <row r="5">
      <c r="A5" s="3" t="inlineStr">
        <is>
          <t>4) Optionally enter 'Indirect' (e.g., survey results on 0–3 scale). Final = ROUND(0.8*Direct + 0.2*Indirect, 0).</t>
        </is>
      </c>
    </row>
    <row r="6">
      <c r="A6" s="3" t="inlineStr">
        <is>
          <t>5) Track evidence links in 'Evidence Tracker' (Drive/SharePoint paths).</t>
        </is>
      </c>
    </row>
    <row r="7">
      <c r="A7" s="3" t="inlineStr">
        <is>
          <t>6) Use filters and freeze panes for quick NBA presentation. Adjust thresholds/weights as per departmental policy.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60" customWidth="1" min="4" max="4"/>
    <col width="22" customWidth="1" min="5" max="5"/>
    <col width="12" customWidth="1" min="6" max="6"/>
    <col width="16" customWidth="1" min="7" max="7"/>
    <col width="16" customWidth="1" min="8" max="8"/>
    <col width="14" customWidth="1" min="9" max="9"/>
    <col width="22" customWidth="1" min="10" max="10"/>
    <col width="30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Assignment No.</t>
        </is>
      </c>
      <c r="D1" s="1" t="inlineStr">
        <is>
          <t>Topic / Question</t>
        </is>
      </c>
      <c r="E1" s="1" t="inlineStr">
        <is>
          <t>Bloom’s Taxonomy Level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Weightage (%)</t>
        </is>
      </c>
      <c r="J1" s="1" t="inlineStr">
        <is>
          <t>Attainment Level (0–3)</t>
        </is>
      </c>
      <c r="K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A1</t>
        </is>
      </c>
      <c r="D2" t="inlineStr">
        <is>
          <t>Implement Apriori algorithm for market basket analysis</t>
        </is>
      </c>
      <c r="E2" t="inlineStr">
        <is>
          <t>Apply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n">
        <v>10</v>
      </c>
      <c r="J2" t="n">
        <v>2</v>
      </c>
      <c r="K2" t="inlineStr">
        <is>
          <t>A1_Solution.pdf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A2</t>
        </is>
      </c>
      <c r="D3" t="inlineStr">
        <is>
          <t>Review clustering algorithms and applications in big data</t>
        </is>
      </c>
      <c r="E3" t="inlineStr">
        <is>
          <t>Analyze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n">
        <v>15</v>
      </c>
      <c r="J3" t="n">
        <v>2</v>
      </c>
      <c r="K3" t="inlineStr">
        <is>
          <t>A2_Report.pdf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A3</t>
        </is>
      </c>
      <c r="D4" t="inlineStr">
        <is>
          <t>Design and evaluate a recommender system</t>
        </is>
      </c>
      <c r="E4" t="inlineStr">
        <is>
          <t>Create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n">
        <v>20</v>
      </c>
      <c r="J4" t="n">
        <v>3</v>
      </c>
      <c r="K4" t="inlineStr">
        <is>
          <t>A3_Project.zip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8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2" customWidth="1" min="10" max="10"/>
    <col width="22" customWidth="1" min="11" max="11"/>
    <col width="30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Level (L/M/H)</t>
        </is>
      </c>
      <c r="L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its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between classification and clustering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performance of k-means clustering with silhouette score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28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 (UT1/UT2/…)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classification vs clustering with examples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the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k-means using silhouette score on sample data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dataValidations count="2">
    <dataValidation sqref="J2:J500" showErrorMessage="1" showInputMessage="1" allowBlank="1" type="list">
      <formula1>"Remember,Understand,Apply,Analyze,Evaluate,Create,Remember/Understand"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6" customWidth="1" min="3" max="3"/>
    <col width="22" customWidth="1" min="4" max="4"/>
    <col width="26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8" customWidth="1" min="13" max="13"/>
    <col width="26" customWidth="1" min="14" max="14"/>
    <col width="28" customWidth="1" min="15" max="15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(Auto)</t>
        </is>
      </c>
      <c r="D1" s="1" t="inlineStr">
        <is>
          <t>Direct Attainment (Auto)</t>
        </is>
      </c>
      <c r="E1" s="1" t="inlineStr">
        <is>
          <t>Indirect Attainment (Auto)</t>
        </is>
      </c>
      <c r="F1" s="1" t="inlineStr">
        <is>
          <t>Final Attainment (Auto)</t>
        </is>
      </c>
      <c r="G1" s="1" t="inlineStr">
        <is>
          <t>PO(s) Addressed (Auto)</t>
        </is>
      </c>
      <c r="H1" s="1" t="inlineStr">
        <is>
          <t>PSO(s) Addressed (Auto)</t>
        </is>
      </c>
      <c r="I1" s="1" t="inlineStr">
        <is>
          <t>Avg % – Assignments (Auto)</t>
        </is>
      </c>
      <c r="J1" s="1" t="inlineStr">
        <is>
          <t>Avg % – Unit Tests (Auto)</t>
        </is>
      </c>
      <c r="K1" s="1" t="inlineStr">
        <is>
          <t>Avg % – Mid-Terms (Auto)</t>
        </is>
      </c>
      <c r="L1" s="1" t="inlineStr">
        <is>
          <t>Weighted Avg % (Auto)</t>
        </is>
      </c>
      <c r="M1" s="1" t="inlineStr">
        <is>
          <t>Direct Attainment Level (0–3) (Auto)</t>
        </is>
      </c>
      <c r="N1" s="1" t="inlineStr">
        <is>
          <t>Indirect Attainment Level (Auto)</t>
        </is>
      </c>
      <c r="O1" s="1" t="inlineStr">
        <is>
          <t>Final Attainment Level (0–3) (Auto)</t>
        </is>
      </c>
    </row>
    <row r="2">
      <c r="A2">
        <f>'CO–PO Attainment Summary'!A2</f>
        <v/>
      </c>
      <c r="B2">
        <f>'CO–PO Attainment Summary'!B2</f>
        <v/>
      </c>
      <c r="C2">
        <f>'CO–PO Attainment Summary'!C2</f>
        <v/>
      </c>
      <c r="D2">
        <f>'CO–PO Attainment Summary'!D2</f>
        <v/>
      </c>
      <c r="E2">
        <f>'CO–PO Attainment Summary'!E2</f>
        <v/>
      </c>
      <c r="F2">
        <f>'CO–PO Attainment Summary'!F2</f>
        <v/>
      </c>
      <c r="G2">
        <f>'CO–PO Attainment Summary'!G2</f>
        <v/>
      </c>
      <c r="H2">
        <f>'CO–PO Attainment Summary'!H2</f>
        <v/>
      </c>
      <c r="I2" s="5">
        <f>IFERROR(AVERAGEIFS('Continuous Assessment Records'!L:L,'Continuous Assessment Records'!A:A,$A2,'Continuous Assessment Records'!F:F,$B2,'Continuous Assessment Records'!C:C,"Assignment"),"")</f>
        <v/>
      </c>
      <c r="J2" s="5">
        <f>IFERROR(AVERAGEIFS('Continuous Assessment Records'!L:L,'Continuous Assessment Records'!A:A,$A2,'Continuous Assessment Records'!F:F,$B2,'Continuous Assessment Records'!C:C,"Unit Test"),"")</f>
        <v/>
      </c>
      <c r="K2" s="5">
        <f>IFERROR(AVERAGEIFS('Continuous Assessment Records'!L:L,'Continuous Assessment Records'!A:A,$A2,'Continuous Assessment Records'!F:F,$B2,'Continuous Assessment Records'!C:C,"Mid-Term"),"")</f>
        <v/>
      </c>
      <c r="L2" s="5">
        <f>IF(OR(I2="",J2="",K2=""),"",I2*$I$205+J2*$J$205+K2*$K$205)</f>
        <v/>
      </c>
      <c r="M2">
        <f>IF(L2="","",IF(L2&gt;=0.7,3,IF(L2&gt;=0.6,2,IF(L2&gt;=0.5,1,0))))</f>
        <v/>
      </c>
      <c r="N2">
        <f>'CO–PO Attainment Summary'!E2</f>
        <v/>
      </c>
      <c r="O2">
        <f>IF(M2="",'CO–PO Attainment Summary'!F2,ROUND(0.8*M2+0.2*N2,0))</f>
        <v/>
      </c>
    </row>
    <row r="3">
      <c r="A3">
        <f>'CO–PO Attainment Summary'!A3</f>
        <v/>
      </c>
      <c r="B3">
        <f>'CO–PO Attainment Summary'!B3</f>
        <v/>
      </c>
      <c r="C3">
        <f>'CO–PO Attainment Summary'!C3</f>
        <v/>
      </c>
      <c r="D3">
        <f>'CO–PO Attainment Summary'!D3</f>
        <v/>
      </c>
      <c r="E3">
        <f>'CO–PO Attainment Summary'!E3</f>
        <v/>
      </c>
      <c r="F3">
        <f>'CO–PO Attainment Summary'!F3</f>
        <v/>
      </c>
      <c r="G3">
        <f>'CO–PO Attainment Summary'!G3</f>
        <v/>
      </c>
      <c r="H3">
        <f>'CO–PO Attainment Summary'!H3</f>
        <v/>
      </c>
      <c r="I3" s="5">
        <f>IFERROR(AVERAGEIFS('Continuous Assessment Records'!L:L,'Continuous Assessment Records'!A:A,$A3,'Continuous Assessment Records'!F:F,$B3,'Continuous Assessment Records'!C:C,"Assignment"),"")</f>
        <v/>
      </c>
      <c r="J3" s="5">
        <f>IFERROR(AVERAGEIFS('Continuous Assessment Records'!L:L,'Continuous Assessment Records'!A:A,$A3,'Continuous Assessment Records'!F:F,$B3,'Continuous Assessment Records'!C:C,"Unit Test"),"")</f>
        <v/>
      </c>
      <c r="K3" s="5">
        <f>IFERROR(AVERAGEIFS('Continuous Assessment Records'!L:L,'Continuous Assessment Records'!A:A,$A3,'Continuous Assessment Records'!F:F,$B3,'Continuous Assessment Records'!C:C,"Mid-Term"),"")</f>
        <v/>
      </c>
      <c r="L3" s="5">
        <f>IF(OR(I3="",J3="",K3=""),"",I3*$I$205+J3*$J$205+K3*$K$205)</f>
        <v/>
      </c>
      <c r="M3">
        <f>IF(L3="","",IF(L3&gt;=0.7,3,IF(L3&gt;=0.6,2,IF(L3&gt;=0.5,1,0))))</f>
        <v/>
      </c>
      <c r="N3">
        <f>'CO–PO Attainment Summary'!E3</f>
        <v/>
      </c>
      <c r="O3">
        <f>IF(M3="",'CO–PO Attainment Summary'!F3,ROUND(0.8*M3+0.2*N3,0))</f>
        <v/>
      </c>
    </row>
    <row r="4">
      <c r="A4">
        <f>'CO–PO Attainment Summary'!A4</f>
        <v/>
      </c>
      <c r="B4">
        <f>'CO–PO Attainment Summary'!B4</f>
        <v/>
      </c>
      <c r="C4">
        <f>'CO–PO Attainment Summary'!C4</f>
        <v/>
      </c>
      <c r="D4">
        <f>'CO–PO Attainment Summary'!D4</f>
        <v/>
      </c>
      <c r="E4">
        <f>'CO–PO Attainment Summary'!E4</f>
        <v/>
      </c>
      <c r="F4">
        <f>'CO–PO Attainment Summary'!F4</f>
        <v/>
      </c>
      <c r="G4">
        <f>'CO–PO Attainment Summary'!G4</f>
        <v/>
      </c>
      <c r="H4">
        <f>'CO–PO Attainment Summary'!H4</f>
        <v/>
      </c>
      <c r="I4" s="5">
        <f>IFERROR(AVERAGEIFS('Continuous Assessment Records'!L:L,'Continuous Assessment Records'!A:A,$A4,'Continuous Assessment Records'!F:F,$B4,'Continuous Assessment Records'!C:C,"Assignment"),"")</f>
        <v/>
      </c>
      <c r="J4" s="5">
        <f>IFERROR(AVERAGEIFS('Continuous Assessment Records'!L:L,'Continuous Assessment Records'!A:A,$A4,'Continuous Assessment Records'!F:F,$B4,'Continuous Assessment Records'!C:C,"Unit Test"),"")</f>
        <v/>
      </c>
      <c r="K4" s="5">
        <f>IFERROR(AVERAGEIFS('Continuous Assessment Records'!L:L,'Continuous Assessment Records'!A:A,$A4,'Continuous Assessment Records'!F:F,$B4,'Continuous Assessment Records'!C:C,"Mid-Term"),"")</f>
        <v/>
      </c>
      <c r="L4" s="5">
        <f>IF(OR(I4="",J4="",K4=""),"",I4*$I$205+J4*$J$205+K4*$K$205)</f>
        <v/>
      </c>
      <c r="M4">
        <f>IF(L4="","",IF(L4&gt;=0.7,3,IF(L4&gt;=0.6,2,IF(L4&gt;=0.5,1,0))))</f>
        <v/>
      </c>
      <c r="N4">
        <f>'CO–PO Attainment Summary'!E4</f>
        <v/>
      </c>
      <c r="O4">
        <f>IF(M4="",'CO–PO Attainment Summary'!F4,ROUND(0.8*M4+0.2*N4,0))</f>
        <v/>
      </c>
    </row>
    <row r="5">
      <c r="A5">
        <f>'CO–PO Attainment Summary'!A5</f>
        <v/>
      </c>
      <c r="B5">
        <f>'CO–PO Attainment Summary'!B5</f>
        <v/>
      </c>
      <c r="C5">
        <f>'CO–PO Attainment Summary'!C5</f>
        <v/>
      </c>
      <c r="D5">
        <f>'CO–PO Attainment Summary'!D5</f>
        <v/>
      </c>
      <c r="E5">
        <f>'CO–PO Attainment Summary'!E5</f>
        <v/>
      </c>
      <c r="F5">
        <f>'CO–PO Attainment Summary'!F5</f>
        <v/>
      </c>
      <c r="G5">
        <f>'CO–PO Attainment Summary'!G5</f>
        <v/>
      </c>
      <c r="H5">
        <f>'CO–PO Attainment Summary'!H5</f>
        <v/>
      </c>
      <c r="I5" s="5">
        <f>IFERROR(AVERAGEIFS('Continuous Assessment Records'!L:L,'Continuous Assessment Records'!A:A,$A5,'Continuous Assessment Records'!F:F,$B5,'Continuous Assessment Records'!C:C,"Assignment"),"")</f>
        <v/>
      </c>
      <c r="J5" s="5">
        <f>IFERROR(AVERAGEIFS('Continuous Assessment Records'!L:L,'Continuous Assessment Records'!A:A,$A5,'Continuous Assessment Records'!F:F,$B5,'Continuous Assessment Records'!C:C,"Unit Test"),"")</f>
        <v/>
      </c>
      <c r="K5" s="5">
        <f>IFERROR(AVERAGEIFS('Continuous Assessment Records'!L:L,'Continuous Assessment Records'!A:A,$A5,'Continuous Assessment Records'!F:F,$B5,'Continuous Assessment Records'!C:C,"Mid-Term"),"")</f>
        <v/>
      </c>
      <c r="L5" s="5">
        <f>IF(OR(I5="",J5="",K5=""),"",I5*$I$205+J5*$J$205+K5*$K$205)</f>
        <v/>
      </c>
      <c r="M5">
        <f>IF(L5="","",IF(L5&gt;=0.7,3,IF(L5&gt;=0.6,2,IF(L5&gt;=0.5,1,0))))</f>
        <v/>
      </c>
      <c r="N5">
        <f>'CO–PO Attainment Summary'!E5</f>
        <v/>
      </c>
      <c r="O5">
        <f>IF(M5="",'CO–PO Attainment Summary'!F5,ROUND(0.8*M5+0.2*N5,0))</f>
        <v/>
      </c>
    </row>
    <row r="6">
      <c r="A6">
        <f>'CO–PO Attainment Summary'!A6</f>
        <v/>
      </c>
      <c r="B6">
        <f>'CO–PO Attainment Summary'!B6</f>
        <v/>
      </c>
      <c r="C6">
        <f>'CO–PO Attainment Summary'!C6</f>
        <v/>
      </c>
      <c r="D6">
        <f>'CO–PO Attainment Summary'!D6</f>
        <v/>
      </c>
      <c r="E6">
        <f>'CO–PO Attainment Summary'!E6</f>
        <v/>
      </c>
      <c r="F6">
        <f>'CO–PO Attainment Summary'!F6</f>
        <v/>
      </c>
      <c r="G6">
        <f>'CO–PO Attainment Summary'!G6</f>
        <v/>
      </c>
      <c r="H6">
        <f>'CO–PO Attainment Summary'!H6</f>
        <v/>
      </c>
      <c r="I6" s="5">
        <f>IFERROR(AVERAGEIFS('Continuous Assessment Records'!L:L,'Continuous Assessment Records'!A:A,$A6,'Continuous Assessment Records'!F:F,$B6,'Continuous Assessment Records'!C:C,"Assignment"),"")</f>
        <v/>
      </c>
      <c r="J6" s="5">
        <f>IFERROR(AVERAGEIFS('Continuous Assessment Records'!L:L,'Continuous Assessment Records'!A:A,$A6,'Continuous Assessment Records'!F:F,$B6,'Continuous Assessment Records'!C:C,"Unit Test"),"")</f>
        <v/>
      </c>
      <c r="K6" s="5">
        <f>IFERROR(AVERAGEIFS('Continuous Assessment Records'!L:L,'Continuous Assessment Records'!A:A,$A6,'Continuous Assessment Records'!F:F,$B6,'Continuous Assessment Records'!C:C,"Mid-Term"),"")</f>
        <v/>
      </c>
      <c r="L6" s="5">
        <f>IF(OR(I6="",J6="",K6=""),"",I6*$I$205+J6*$J$205+K6*$K$205)</f>
        <v/>
      </c>
      <c r="M6">
        <f>IF(L6="","",IF(L6&gt;=0.7,3,IF(L6&gt;=0.6,2,IF(L6&gt;=0.5,1,0))))</f>
        <v/>
      </c>
      <c r="N6">
        <f>'CO–PO Attainment Summary'!E6</f>
        <v/>
      </c>
      <c r="O6">
        <f>IF(M6="",'CO–PO Attainment Summary'!F6,ROUND(0.8*M6+0.2*N6,0))</f>
        <v/>
      </c>
    </row>
    <row r="7">
      <c r="A7">
        <f>'CO–PO Attainment Summary'!A7</f>
        <v/>
      </c>
      <c r="B7">
        <f>'CO–PO Attainment Summary'!B7</f>
        <v/>
      </c>
      <c r="C7">
        <f>'CO–PO Attainment Summary'!C7</f>
        <v/>
      </c>
      <c r="D7">
        <f>'CO–PO Attainment Summary'!D7</f>
        <v/>
      </c>
      <c r="E7">
        <f>'CO–PO Attainment Summary'!E7</f>
        <v/>
      </c>
      <c r="F7">
        <f>'CO–PO Attainment Summary'!F7</f>
        <v/>
      </c>
      <c r="G7">
        <f>'CO–PO Attainment Summary'!G7</f>
        <v/>
      </c>
      <c r="H7">
        <f>'CO–PO Attainment Summary'!H7</f>
        <v/>
      </c>
      <c r="I7" s="5">
        <f>IFERROR(AVERAGEIFS('Continuous Assessment Records'!L:L,'Continuous Assessment Records'!A:A,$A7,'Continuous Assessment Records'!F:F,$B7,'Continuous Assessment Records'!C:C,"Assignment"),"")</f>
        <v/>
      </c>
      <c r="J7" s="5">
        <f>IFERROR(AVERAGEIFS('Continuous Assessment Records'!L:L,'Continuous Assessment Records'!A:A,$A7,'Continuous Assessment Records'!F:F,$B7,'Continuous Assessment Records'!C:C,"Unit Test"),"")</f>
        <v/>
      </c>
      <c r="K7" s="5">
        <f>IFERROR(AVERAGEIFS('Continuous Assessment Records'!L:L,'Continuous Assessment Records'!A:A,$A7,'Continuous Assessment Records'!F:F,$B7,'Continuous Assessment Records'!C:C,"Mid-Term"),"")</f>
        <v/>
      </c>
      <c r="L7" s="5">
        <f>IF(OR(I7="",J7="",K7=""),"",I7*$I$205+J7*$J$205+K7*$K$205)</f>
        <v/>
      </c>
      <c r="M7">
        <f>IF(L7="","",IF(L7&gt;=0.7,3,IF(L7&gt;=0.6,2,IF(L7&gt;=0.5,1,0))))</f>
        <v/>
      </c>
      <c r="N7">
        <f>'CO–PO Attainment Summary'!E7</f>
        <v/>
      </c>
      <c r="O7">
        <f>IF(M7="",'CO–PO Attainment Summary'!F7,ROUND(0.8*M7+0.2*N7,0))</f>
        <v/>
      </c>
    </row>
    <row r="8">
      <c r="A8">
        <f>'CO–PO Attainment Summary'!A8</f>
        <v/>
      </c>
      <c r="B8">
        <f>'CO–PO Attainment Summary'!B8</f>
        <v/>
      </c>
      <c r="C8">
        <f>'CO–PO Attainment Summary'!C8</f>
        <v/>
      </c>
      <c r="D8">
        <f>'CO–PO Attainment Summary'!D8</f>
        <v/>
      </c>
      <c r="E8">
        <f>'CO–PO Attainment Summary'!E8</f>
        <v/>
      </c>
      <c r="F8">
        <f>'CO–PO Attainment Summary'!F8</f>
        <v/>
      </c>
      <c r="G8">
        <f>'CO–PO Attainment Summary'!G8</f>
        <v/>
      </c>
      <c r="H8">
        <f>'CO–PO Attainment Summary'!H8</f>
        <v/>
      </c>
      <c r="I8" s="5">
        <f>IFERROR(AVERAGEIFS('Continuous Assessment Records'!L:L,'Continuous Assessment Records'!A:A,$A8,'Continuous Assessment Records'!F:F,$B8,'Continuous Assessment Records'!C:C,"Assignment"),"")</f>
        <v/>
      </c>
      <c r="J8" s="5">
        <f>IFERROR(AVERAGEIFS('Continuous Assessment Records'!L:L,'Continuous Assessment Records'!A:A,$A8,'Continuous Assessment Records'!F:F,$B8,'Continuous Assessment Records'!C:C,"Unit Test"),"")</f>
        <v/>
      </c>
      <c r="K8" s="5">
        <f>IFERROR(AVERAGEIFS('Continuous Assessment Records'!L:L,'Continuous Assessment Records'!A:A,$A8,'Continuous Assessment Records'!F:F,$B8,'Continuous Assessment Records'!C:C,"Mid-Term"),"")</f>
        <v/>
      </c>
      <c r="L8" s="5">
        <f>IF(OR(I8="",J8="",K8=""),"",I8*$I$205+J8*$J$205+K8*$K$205)</f>
        <v/>
      </c>
      <c r="M8">
        <f>IF(L8="","",IF(L8&gt;=0.7,3,IF(L8&gt;=0.6,2,IF(L8&gt;=0.5,1,0))))</f>
        <v/>
      </c>
      <c r="N8">
        <f>'CO–PO Attainment Summary'!E8</f>
        <v/>
      </c>
      <c r="O8">
        <f>IF(M8="",'CO–PO Attainment Summary'!F8,ROUND(0.8*M8+0.2*N8,0))</f>
        <v/>
      </c>
    </row>
    <row r="9">
      <c r="A9">
        <f>'CO–PO Attainment Summary'!A9</f>
        <v/>
      </c>
      <c r="B9">
        <f>'CO–PO Attainment Summary'!B9</f>
        <v/>
      </c>
      <c r="C9">
        <f>'CO–PO Attainment Summary'!C9</f>
        <v/>
      </c>
      <c r="D9">
        <f>'CO–PO Attainment Summary'!D9</f>
        <v/>
      </c>
      <c r="E9">
        <f>'CO–PO Attainment Summary'!E9</f>
        <v/>
      </c>
      <c r="F9">
        <f>'CO–PO Attainment Summary'!F9</f>
        <v/>
      </c>
      <c r="G9">
        <f>'CO–PO Attainment Summary'!G9</f>
        <v/>
      </c>
      <c r="H9">
        <f>'CO–PO Attainment Summary'!H9</f>
        <v/>
      </c>
      <c r="I9" s="5">
        <f>IFERROR(AVERAGEIFS('Continuous Assessment Records'!L:L,'Continuous Assessment Records'!A:A,$A9,'Continuous Assessment Records'!F:F,$B9,'Continuous Assessment Records'!C:C,"Assignment"),"")</f>
        <v/>
      </c>
      <c r="J9" s="5">
        <f>IFERROR(AVERAGEIFS('Continuous Assessment Records'!L:L,'Continuous Assessment Records'!A:A,$A9,'Continuous Assessment Records'!F:F,$B9,'Continuous Assessment Records'!C:C,"Unit Test"),"")</f>
        <v/>
      </c>
      <c r="K9" s="5">
        <f>IFERROR(AVERAGEIFS('Continuous Assessment Records'!L:L,'Continuous Assessment Records'!A:A,$A9,'Continuous Assessment Records'!F:F,$B9,'Continuous Assessment Records'!C:C,"Mid-Term"),"")</f>
        <v/>
      </c>
      <c r="L9" s="5">
        <f>IF(OR(I9="",J9="",K9=""),"",I9*$I$205+J9*$J$205+K9*$K$205)</f>
        <v/>
      </c>
      <c r="M9">
        <f>IF(L9="","",IF(L9&gt;=0.7,3,IF(L9&gt;=0.6,2,IF(L9&gt;=0.5,1,0))))</f>
        <v/>
      </c>
      <c r="N9">
        <f>'CO–PO Attainment Summary'!E9</f>
        <v/>
      </c>
      <c r="O9">
        <f>IF(M9="",'CO–PO Attainment Summary'!F9,ROUND(0.8*M9+0.2*N9,0))</f>
        <v/>
      </c>
    </row>
    <row r="10">
      <c r="A10">
        <f>'CO–PO Attainment Summary'!A10</f>
        <v/>
      </c>
      <c r="B10">
        <f>'CO–PO Attainment Summary'!B10</f>
        <v/>
      </c>
      <c r="C10">
        <f>'CO–PO Attainment Summary'!C10</f>
        <v/>
      </c>
      <c r="D10">
        <f>'CO–PO Attainment Summary'!D10</f>
        <v/>
      </c>
      <c r="E10">
        <f>'CO–PO Attainment Summary'!E10</f>
        <v/>
      </c>
      <c r="F10">
        <f>'CO–PO Attainment Summary'!F10</f>
        <v/>
      </c>
      <c r="G10">
        <f>'CO–PO Attainment Summary'!G10</f>
        <v/>
      </c>
      <c r="H10">
        <f>'CO–PO Attainment Summary'!H10</f>
        <v/>
      </c>
      <c r="I10" s="5">
        <f>IFERROR(AVERAGEIFS('Continuous Assessment Records'!L:L,'Continuous Assessment Records'!A:A,$A10,'Continuous Assessment Records'!F:F,$B10,'Continuous Assessment Records'!C:C,"Assignment"),"")</f>
        <v/>
      </c>
      <c r="J10" s="5">
        <f>IFERROR(AVERAGEIFS('Continuous Assessment Records'!L:L,'Continuous Assessment Records'!A:A,$A10,'Continuous Assessment Records'!F:F,$B10,'Continuous Assessment Records'!C:C,"Unit Test"),"")</f>
        <v/>
      </c>
      <c r="K10" s="5">
        <f>IFERROR(AVERAGEIFS('Continuous Assessment Records'!L:L,'Continuous Assessment Records'!A:A,$A10,'Continuous Assessment Records'!F:F,$B10,'Continuous Assessment Records'!C:C,"Mid-Term"),"")</f>
        <v/>
      </c>
      <c r="L10" s="5">
        <f>IF(OR(I10="",J10="",K10=""),"",I10*$I$205+J10*$J$205+K10*$K$205)</f>
        <v/>
      </c>
      <c r="M10">
        <f>IF(L10="","",IF(L10&gt;=0.7,3,IF(L10&gt;=0.6,2,IF(L10&gt;=0.5,1,0))))</f>
        <v/>
      </c>
      <c r="N10">
        <f>'CO–PO Attainment Summary'!E10</f>
        <v/>
      </c>
      <c r="O10">
        <f>IF(M10="",'CO–PO Attainment Summary'!F10,ROUND(0.8*M10+0.2*N10,0))</f>
        <v/>
      </c>
    </row>
    <row r="11">
      <c r="A11">
        <f>'CO–PO Attainment Summary'!A11</f>
        <v/>
      </c>
      <c r="B11">
        <f>'CO–PO Attainment Summary'!B11</f>
        <v/>
      </c>
      <c r="C11">
        <f>'CO–PO Attainment Summary'!C11</f>
        <v/>
      </c>
      <c r="D11">
        <f>'CO–PO Attainment Summary'!D11</f>
        <v/>
      </c>
      <c r="E11">
        <f>'CO–PO Attainment Summary'!E11</f>
        <v/>
      </c>
      <c r="F11">
        <f>'CO–PO Attainment Summary'!F11</f>
        <v/>
      </c>
      <c r="G11">
        <f>'CO–PO Attainment Summary'!G11</f>
        <v/>
      </c>
      <c r="H11">
        <f>'CO–PO Attainment Summary'!H11</f>
        <v/>
      </c>
      <c r="I11" s="5">
        <f>IFERROR(AVERAGEIFS('Continuous Assessment Records'!L:L,'Continuous Assessment Records'!A:A,$A11,'Continuous Assessment Records'!F:F,$B11,'Continuous Assessment Records'!C:C,"Assignment"),"")</f>
        <v/>
      </c>
      <c r="J11" s="5">
        <f>IFERROR(AVERAGEIFS('Continuous Assessment Records'!L:L,'Continuous Assessment Records'!A:A,$A11,'Continuous Assessment Records'!F:F,$B11,'Continuous Assessment Records'!C:C,"Unit Test"),"")</f>
        <v/>
      </c>
      <c r="K11" s="5">
        <f>IFERROR(AVERAGEIFS('Continuous Assessment Records'!L:L,'Continuous Assessment Records'!A:A,$A11,'Continuous Assessment Records'!F:F,$B11,'Continuous Assessment Records'!C:C,"Mid-Term"),"")</f>
        <v/>
      </c>
      <c r="L11" s="5">
        <f>IF(OR(I11="",J11="",K11=""),"",I11*$I$205+J11*$J$205+K11*$K$205)</f>
        <v/>
      </c>
      <c r="M11">
        <f>IF(L11="","",IF(L11&gt;=0.7,3,IF(L11&gt;=0.6,2,IF(L11&gt;=0.5,1,0))))</f>
        <v/>
      </c>
      <c r="N11">
        <f>'CO–PO Attainment Summary'!E11</f>
        <v/>
      </c>
      <c r="O11">
        <f>IF(M11="",'CO–PO Attainment Summary'!F11,ROUND(0.8*M11+0.2*N11,0))</f>
        <v/>
      </c>
    </row>
    <row r="12">
      <c r="A12">
        <f>'CO–PO Attainment Summary'!A12</f>
        <v/>
      </c>
      <c r="B12">
        <f>'CO–PO Attainment Summary'!B12</f>
        <v/>
      </c>
      <c r="C12">
        <f>'CO–PO Attainment Summary'!C12</f>
        <v/>
      </c>
      <c r="D12">
        <f>'CO–PO Attainment Summary'!D12</f>
        <v/>
      </c>
      <c r="E12">
        <f>'CO–PO Attainment Summary'!E12</f>
        <v/>
      </c>
      <c r="F12">
        <f>'CO–PO Attainment Summary'!F12</f>
        <v/>
      </c>
      <c r="G12">
        <f>'CO–PO Attainment Summary'!G12</f>
        <v/>
      </c>
      <c r="H12">
        <f>'CO–PO Attainment Summary'!H12</f>
        <v/>
      </c>
      <c r="I12" s="5">
        <f>IFERROR(AVERAGEIFS('Continuous Assessment Records'!L:L,'Continuous Assessment Records'!A:A,$A12,'Continuous Assessment Records'!F:F,$B12,'Continuous Assessment Records'!C:C,"Assignment"),"")</f>
        <v/>
      </c>
      <c r="J12" s="5">
        <f>IFERROR(AVERAGEIFS('Continuous Assessment Records'!L:L,'Continuous Assessment Records'!A:A,$A12,'Continuous Assessment Records'!F:F,$B12,'Continuous Assessment Records'!C:C,"Unit Test"),"")</f>
        <v/>
      </c>
      <c r="K12" s="5">
        <f>IFERROR(AVERAGEIFS('Continuous Assessment Records'!L:L,'Continuous Assessment Records'!A:A,$A12,'Continuous Assessment Records'!F:F,$B12,'Continuous Assessment Records'!C:C,"Mid-Term"),"")</f>
        <v/>
      </c>
      <c r="L12" s="5">
        <f>IF(OR(I12="",J12="",K12=""),"",I12*$I$205+J12*$J$205+K12*$K$205)</f>
        <v/>
      </c>
      <c r="M12">
        <f>IF(L12="","",IF(L12&gt;=0.7,3,IF(L12&gt;=0.6,2,IF(L12&gt;=0.5,1,0))))</f>
        <v/>
      </c>
      <c r="N12">
        <f>'CO–PO Attainment Summary'!E12</f>
        <v/>
      </c>
      <c r="O12">
        <f>IF(M12="",'CO–PO Attainment Summary'!F12,ROUND(0.8*M12+0.2*N12,0))</f>
        <v/>
      </c>
    </row>
    <row r="13">
      <c r="A13">
        <f>'CO–PO Attainment Summary'!A13</f>
        <v/>
      </c>
      <c r="B13">
        <f>'CO–PO Attainment Summary'!B13</f>
        <v/>
      </c>
      <c r="C13">
        <f>'CO–PO Attainment Summary'!C13</f>
        <v/>
      </c>
      <c r="D13">
        <f>'CO–PO Attainment Summary'!D13</f>
        <v/>
      </c>
      <c r="E13">
        <f>'CO–PO Attainment Summary'!E13</f>
        <v/>
      </c>
      <c r="F13">
        <f>'CO–PO Attainment Summary'!F13</f>
        <v/>
      </c>
      <c r="G13">
        <f>'CO–PO Attainment Summary'!G13</f>
        <v/>
      </c>
      <c r="H13">
        <f>'CO–PO Attainment Summary'!H13</f>
        <v/>
      </c>
      <c r="I13" s="5">
        <f>IFERROR(AVERAGEIFS('Continuous Assessment Records'!L:L,'Continuous Assessment Records'!A:A,$A13,'Continuous Assessment Records'!F:F,$B13,'Continuous Assessment Records'!C:C,"Assignment"),"")</f>
        <v/>
      </c>
      <c r="J13" s="5">
        <f>IFERROR(AVERAGEIFS('Continuous Assessment Records'!L:L,'Continuous Assessment Records'!A:A,$A13,'Continuous Assessment Records'!F:F,$B13,'Continuous Assessment Records'!C:C,"Unit Test"),"")</f>
        <v/>
      </c>
      <c r="K13" s="5">
        <f>IFERROR(AVERAGEIFS('Continuous Assessment Records'!L:L,'Continuous Assessment Records'!A:A,$A13,'Continuous Assessment Records'!F:F,$B13,'Continuous Assessment Records'!C:C,"Mid-Term"),"")</f>
        <v/>
      </c>
      <c r="L13" s="5">
        <f>IF(OR(I13="",J13="",K13=""),"",I13*$I$205+J13*$J$205+K13*$K$205)</f>
        <v/>
      </c>
      <c r="M13">
        <f>IF(L13="","",IF(L13&gt;=0.7,3,IF(L13&gt;=0.6,2,IF(L13&gt;=0.5,1,0))))</f>
        <v/>
      </c>
      <c r="N13">
        <f>'CO–PO Attainment Summary'!E13</f>
        <v/>
      </c>
      <c r="O13">
        <f>IF(M13="",'CO–PO Attainment Summary'!F13,ROUND(0.8*M13+0.2*N13,0))</f>
        <v/>
      </c>
    </row>
    <row r="14">
      <c r="A14">
        <f>'CO–PO Attainment Summary'!A14</f>
        <v/>
      </c>
      <c r="B14">
        <f>'CO–PO Attainment Summary'!B14</f>
        <v/>
      </c>
      <c r="C14">
        <f>'CO–PO Attainment Summary'!C14</f>
        <v/>
      </c>
      <c r="D14">
        <f>'CO–PO Attainment Summary'!D14</f>
        <v/>
      </c>
      <c r="E14">
        <f>'CO–PO Attainment Summary'!E14</f>
        <v/>
      </c>
      <c r="F14">
        <f>'CO–PO Attainment Summary'!F14</f>
        <v/>
      </c>
      <c r="G14">
        <f>'CO–PO Attainment Summary'!G14</f>
        <v/>
      </c>
      <c r="H14">
        <f>'CO–PO Attainment Summary'!H14</f>
        <v/>
      </c>
      <c r="I14" s="5">
        <f>IFERROR(AVERAGEIFS('Continuous Assessment Records'!L:L,'Continuous Assessment Records'!A:A,$A14,'Continuous Assessment Records'!F:F,$B14,'Continuous Assessment Records'!C:C,"Assignment"),"")</f>
        <v/>
      </c>
      <c r="J14" s="5">
        <f>IFERROR(AVERAGEIFS('Continuous Assessment Records'!L:L,'Continuous Assessment Records'!A:A,$A14,'Continuous Assessment Records'!F:F,$B14,'Continuous Assessment Records'!C:C,"Unit Test"),"")</f>
        <v/>
      </c>
      <c r="K14" s="5">
        <f>IFERROR(AVERAGEIFS('Continuous Assessment Records'!L:L,'Continuous Assessment Records'!A:A,$A14,'Continuous Assessment Records'!F:F,$B14,'Continuous Assessment Records'!C:C,"Mid-Term"),"")</f>
        <v/>
      </c>
      <c r="L14" s="5">
        <f>IF(OR(I14="",J14="",K14=""),"",I14*$I$205+J14*$J$205+K14*$K$205)</f>
        <v/>
      </c>
      <c r="M14">
        <f>IF(L14="","",IF(L14&gt;=0.7,3,IF(L14&gt;=0.6,2,IF(L14&gt;=0.5,1,0))))</f>
        <v/>
      </c>
      <c r="N14">
        <f>'CO–PO Attainment Summary'!E14</f>
        <v/>
      </c>
      <c r="O14">
        <f>IF(M14="",'CO–PO Attainment Summary'!F14,ROUND(0.8*M14+0.2*N14,0))</f>
        <v/>
      </c>
    </row>
    <row r="15">
      <c r="A15">
        <f>'CO–PO Attainment Summary'!A15</f>
        <v/>
      </c>
      <c r="B15">
        <f>'CO–PO Attainment Summary'!B15</f>
        <v/>
      </c>
      <c r="C15">
        <f>'CO–PO Attainment Summary'!C15</f>
        <v/>
      </c>
      <c r="D15">
        <f>'CO–PO Attainment Summary'!D15</f>
        <v/>
      </c>
      <c r="E15">
        <f>'CO–PO Attainment Summary'!E15</f>
        <v/>
      </c>
      <c r="F15">
        <f>'CO–PO Attainment Summary'!F15</f>
        <v/>
      </c>
      <c r="G15">
        <f>'CO–PO Attainment Summary'!G15</f>
        <v/>
      </c>
      <c r="H15">
        <f>'CO–PO Attainment Summary'!H15</f>
        <v/>
      </c>
      <c r="I15" s="5">
        <f>IFERROR(AVERAGEIFS('Continuous Assessment Records'!L:L,'Continuous Assessment Records'!A:A,$A15,'Continuous Assessment Records'!F:F,$B15,'Continuous Assessment Records'!C:C,"Assignment"),"")</f>
        <v/>
      </c>
      <c r="J15" s="5">
        <f>IFERROR(AVERAGEIFS('Continuous Assessment Records'!L:L,'Continuous Assessment Records'!A:A,$A15,'Continuous Assessment Records'!F:F,$B15,'Continuous Assessment Records'!C:C,"Unit Test"),"")</f>
        <v/>
      </c>
      <c r="K15" s="5">
        <f>IFERROR(AVERAGEIFS('Continuous Assessment Records'!L:L,'Continuous Assessment Records'!A:A,$A15,'Continuous Assessment Records'!F:F,$B15,'Continuous Assessment Records'!C:C,"Mid-Term"),"")</f>
        <v/>
      </c>
      <c r="L15" s="5">
        <f>IF(OR(I15="",J15="",K15=""),"",I15*$I$205+J15*$J$205+K15*$K$205)</f>
        <v/>
      </c>
      <c r="M15">
        <f>IF(L15="","",IF(L15&gt;=0.7,3,IF(L15&gt;=0.6,2,IF(L15&gt;=0.5,1,0))))</f>
        <v/>
      </c>
      <c r="N15">
        <f>'CO–PO Attainment Summary'!E15</f>
        <v/>
      </c>
      <c r="O15">
        <f>IF(M15="",'CO–PO Attainment Summary'!F15,ROUND(0.8*M15+0.2*N15,0))</f>
        <v/>
      </c>
    </row>
    <row r="16">
      <c r="A16">
        <f>'CO–PO Attainment Summary'!A16</f>
        <v/>
      </c>
      <c r="B16">
        <f>'CO–PO Attainment Summary'!B16</f>
        <v/>
      </c>
      <c r="C16">
        <f>'CO–PO Attainment Summary'!C16</f>
        <v/>
      </c>
      <c r="D16">
        <f>'CO–PO Attainment Summary'!D16</f>
        <v/>
      </c>
      <c r="E16">
        <f>'CO–PO Attainment Summary'!E16</f>
        <v/>
      </c>
      <c r="F16">
        <f>'CO–PO Attainment Summary'!F16</f>
        <v/>
      </c>
      <c r="G16">
        <f>'CO–PO Attainment Summary'!G16</f>
        <v/>
      </c>
      <c r="H16">
        <f>'CO–PO Attainment Summary'!H16</f>
        <v/>
      </c>
      <c r="I16" s="5">
        <f>IFERROR(AVERAGEIFS('Continuous Assessment Records'!L:L,'Continuous Assessment Records'!A:A,$A16,'Continuous Assessment Records'!F:F,$B16,'Continuous Assessment Records'!C:C,"Assignment"),"")</f>
        <v/>
      </c>
      <c r="J16" s="5">
        <f>IFERROR(AVERAGEIFS('Continuous Assessment Records'!L:L,'Continuous Assessment Records'!A:A,$A16,'Continuous Assessment Records'!F:F,$B16,'Continuous Assessment Records'!C:C,"Unit Test"),"")</f>
        <v/>
      </c>
      <c r="K16" s="5">
        <f>IFERROR(AVERAGEIFS('Continuous Assessment Records'!L:L,'Continuous Assessment Records'!A:A,$A16,'Continuous Assessment Records'!F:F,$B16,'Continuous Assessment Records'!C:C,"Mid-Term"),"")</f>
        <v/>
      </c>
      <c r="L16" s="5">
        <f>IF(OR(I16="",J16="",K16=""),"",I16*$I$205+J16*$J$205+K16*$K$205)</f>
        <v/>
      </c>
      <c r="M16">
        <f>IF(L16="","",IF(L16&gt;=0.7,3,IF(L16&gt;=0.6,2,IF(L16&gt;=0.5,1,0))))</f>
        <v/>
      </c>
      <c r="N16">
        <f>'CO–PO Attainment Summary'!E16</f>
        <v/>
      </c>
      <c r="O16">
        <f>IF(M16="",'CO–PO Attainment Summary'!F16,ROUND(0.8*M16+0.2*N16,0))</f>
        <v/>
      </c>
    </row>
    <row r="17">
      <c r="A17">
        <f>'CO–PO Attainment Summary'!A17</f>
        <v/>
      </c>
      <c r="B17">
        <f>'CO–PO Attainment Summary'!B17</f>
        <v/>
      </c>
      <c r="C17">
        <f>'CO–PO Attainment Summary'!C17</f>
        <v/>
      </c>
      <c r="D17">
        <f>'CO–PO Attainment Summary'!D17</f>
        <v/>
      </c>
      <c r="E17">
        <f>'CO–PO Attainment Summary'!E17</f>
        <v/>
      </c>
      <c r="F17">
        <f>'CO–PO Attainment Summary'!F17</f>
        <v/>
      </c>
      <c r="G17">
        <f>'CO–PO Attainment Summary'!G17</f>
        <v/>
      </c>
      <c r="H17">
        <f>'CO–PO Attainment Summary'!H17</f>
        <v/>
      </c>
      <c r="I17" s="5">
        <f>IFERROR(AVERAGEIFS('Continuous Assessment Records'!L:L,'Continuous Assessment Records'!A:A,$A17,'Continuous Assessment Records'!F:F,$B17,'Continuous Assessment Records'!C:C,"Assignment"),"")</f>
        <v/>
      </c>
      <c r="J17" s="5">
        <f>IFERROR(AVERAGEIFS('Continuous Assessment Records'!L:L,'Continuous Assessment Records'!A:A,$A17,'Continuous Assessment Records'!F:F,$B17,'Continuous Assessment Records'!C:C,"Unit Test"),"")</f>
        <v/>
      </c>
      <c r="K17" s="5">
        <f>IFERROR(AVERAGEIFS('Continuous Assessment Records'!L:L,'Continuous Assessment Records'!A:A,$A17,'Continuous Assessment Records'!F:F,$B17,'Continuous Assessment Records'!C:C,"Mid-Term"),"")</f>
        <v/>
      </c>
      <c r="L17" s="5">
        <f>IF(OR(I17="",J17="",K17=""),"",I17*$I$205+J17*$J$205+K17*$K$205)</f>
        <v/>
      </c>
      <c r="M17">
        <f>IF(L17="","",IF(L17&gt;=0.7,3,IF(L17&gt;=0.6,2,IF(L17&gt;=0.5,1,0))))</f>
        <v/>
      </c>
      <c r="N17">
        <f>'CO–PO Attainment Summary'!E17</f>
        <v/>
      </c>
      <c r="O17">
        <f>IF(M17="",'CO–PO Attainment Summary'!F17,ROUND(0.8*M17+0.2*N17,0))</f>
        <v/>
      </c>
    </row>
    <row r="18">
      <c r="A18">
        <f>'CO–PO Attainment Summary'!A18</f>
        <v/>
      </c>
      <c r="B18">
        <f>'CO–PO Attainment Summary'!B18</f>
        <v/>
      </c>
      <c r="C18">
        <f>'CO–PO Attainment Summary'!C18</f>
        <v/>
      </c>
      <c r="D18">
        <f>'CO–PO Attainment Summary'!D18</f>
        <v/>
      </c>
      <c r="E18">
        <f>'CO–PO Attainment Summary'!E18</f>
        <v/>
      </c>
      <c r="F18">
        <f>'CO–PO Attainment Summary'!F18</f>
        <v/>
      </c>
      <c r="G18">
        <f>'CO–PO Attainment Summary'!G18</f>
        <v/>
      </c>
      <c r="H18">
        <f>'CO–PO Attainment Summary'!H18</f>
        <v/>
      </c>
      <c r="I18" s="5">
        <f>IFERROR(AVERAGEIFS('Continuous Assessment Records'!L:L,'Continuous Assessment Records'!A:A,$A18,'Continuous Assessment Records'!F:F,$B18,'Continuous Assessment Records'!C:C,"Assignment"),"")</f>
        <v/>
      </c>
      <c r="J18" s="5">
        <f>IFERROR(AVERAGEIFS('Continuous Assessment Records'!L:L,'Continuous Assessment Records'!A:A,$A18,'Continuous Assessment Records'!F:F,$B18,'Continuous Assessment Records'!C:C,"Unit Test"),"")</f>
        <v/>
      </c>
      <c r="K18" s="5">
        <f>IFERROR(AVERAGEIFS('Continuous Assessment Records'!L:L,'Continuous Assessment Records'!A:A,$A18,'Continuous Assessment Records'!F:F,$B18,'Continuous Assessment Records'!C:C,"Mid-Term"),"")</f>
        <v/>
      </c>
      <c r="L18" s="5">
        <f>IF(OR(I18="",J18="",K18=""),"",I18*$I$205+J18*$J$205+K18*$K$205)</f>
        <v/>
      </c>
      <c r="M18">
        <f>IF(L18="","",IF(L18&gt;=0.7,3,IF(L18&gt;=0.6,2,IF(L18&gt;=0.5,1,0))))</f>
        <v/>
      </c>
      <c r="N18">
        <f>'CO–PO Attainment Summary'!E18</f>
        <v/>
      </c>
      <c r="O18">
        <f>IF(M18="",'CO–PO Attainment Summary'!F18,ROUND(0.8*M18+0.2*N18,0))</f>
        <v/>
      </c>
    </row>
    <row r="19">
      <c r="A19">
        <f>'CO–PO Attainment Summary'!A19</f>
        <v/>
      </c>
      <c r="B19">
        <f>'CO–PO Attainment Summary'!B19</f>
        <v/>
      </c>
      <c r="C19">
        <f>'CO–PO Attainment Summary'!C19</f>
        <v/>
      </c>
      <c r="D19">
        <f>'CO–PO Attainment Summary'!D19</f>
        <v/>
      </c>
      <c r="E19">
        <f>'CO–PO Attainment Summary'!E19</f>
        <v/>
      </c>
      <c r="F19">
        <f>'CO–PO Attainment Summary'!F19</f>
        <v/>
      </c>
      <c r="G19">
        <f>'CO–PO Attainment Summary'!G19</f>
        <v/>
      </c>
      <c r="H19">
        <f>'CO–PO Attainment Summary'!H19</f>
        <v/>
      </c>
      <c r="I19" s="5">
        <f>IFERROR(AVERAGEIFS('Continuous Assessment Records'!L:L,'Continuous Assessment Records'!A:A,$A19,'Continuous Assessment Records'!F:F,$B19,'Continuous Assessment Records'!C:C,"Assignment"),"")</f>
        <v/>
      </c>
      <c r="J19" s="5">
        <f>IFERROR(AVERAGEIFS('Continuous Assessment Records'!L:L,'Continuous Assessment Records'!A:A,$A19,'Continuous Assessment Records'!F:F,$B19,'Continuous Assessment Records'!C:C,"Unit Test"),"")</f>
        <v/>
      </c>
      <c r="K19" s="5">
        <f>IFERROR(AVERAGEIFS('Continuous Assessment Records'!L:L,'Continuous Assessment Records'!A:A,$A19,'Continuous Assessment Records'!F:F,$B19,'Continuous Assessment Records'!C:C,"Mid-Term"),"")</f>
        <v/>
      </c>
      <c r="L19" s="5">
        <f>IF(OR(I19="",J19="",K19=""),"",I19*$I$205+J19*$J$205+K19*$K$205)</f>
        <v/>
      </c>
      <c r="M19">
        <f>IF(L19="","",IF(L19&gt;=0.7,3,IF(L19&gt;=0.6,2,IF(L19&gt;=0.5,1,0))))</f>
        <v/>
      </c>
      <c r="N19">
        <f>'CO–PO Attainment Summary'!E19</f>
        <v/>
      </c>
      <c r="O19">
        <f>IF(M19="",'CO–PO Attainment Summary'!F19,ROUND(0.8*M19+0.2*N19,0))</f>
        <v/>
      </c>
    </row>
    <row r="20">
      <c r="A20">
        <f>'CO–PO Attainment Summary'!A20</f>
        <v/>
      </c>
      <c r="B20">
        <f>'CO–PO Attainment Summary'!B20</f>
        <v/>
      </c>
      <c r="C20">
        <f>'CO–PO Attainment Summary'!C20</f>
        <v/>
      </c>
      <c r="D20">
        <f>'CO–PO Attainment Summary'!D20</f>
        <v/>
      </c>
      <c r="E20">
        <f>'CO–PO Attainment Summary'!E20</f>
        <v/>
      </c>
      <c r="F20">
        <f>'CO–PO Attainment Summary'!F20</f>
        <v/>
      </c>
      <c r="G20">
        <f>'CO–PO Attainment Summary'!G20</f>
        <v/>
      </c>
      <c r="H20">
        <f>'CO–PO Attainment Summary'!H20</f>
        <v/>
      </c>
      <c r="I20" s="5">
        <f>IFERROR(AVERAGEIFS('Continuous Assessment Records'!L:L,'Continuous Assessment Records'!A:A,$A20,'Continuous Assessment Records'!F:F,$B20,'Continuous Assessment Records'!C:C,"Assignment"),"")</f>
        <v/>
      </c>
      <c r="J20" s="5">
        <f>IFERROR(AVERAGEIFS('Continuous Assessment Records'!L:L,'Continuous Assessment Records'!A:A,$A20,'Continuous Assessment Records'!F:F,$B20,'Continuous Assessment Records'!C:C,"Unit Test"),"")</f>
        <v/>
      </c>
      <c r="K20" s="5">
        <f>IFERROR(AVERAGEIFS('Continuous Assessment Records'!L:L,'Continuous Assessment Records'!A:A,$A20,'Continuous Assessment Records'!F:F,$B20,'Continuous Assessment Records'!C:C,"Mid-Term"),"")</f>
        <v/>
      </c>
      <c r="L20" s="5">
        <f>IF(OR(I20="",J20="",K20=""),"",I20*$I$205+J20*$J$205+K20*$K$205)</f>
        <v/>
      </c>
      <c r="M20">
        <f>IF(L20="","",IF(L20&gt;=0.7,3,IF(L20&gt;=0.6,2,IF(L20&gt;=0.5,1,0))))</f>
        <v/>
      </c>
      <c r="N20">
        <f>'CO–PO Attainment Summary'!E20</f>
        <v/>
      </c>
      <c r="O20">
        <f>IF(M20="",'CO–PO Attainment Summary'!F20,ROUND(0.8*M20+0.2*N20,0))</f>
        <v/>
      </c>
    </row>
    <row r="21">
      <c r="A21">
        <f>'CO–PO Attainment Summary'!A21</f>
        <v/>
      </c>
      <c r="B21">
        <f>'CO–PO Attainment Summary'!B21</f>
        <v/>
      </c>
      <c r="C21">
        <f>'CO–PO Attainment Summary'!C21</f>
        <v/>
      </c>
      <c r="D21">
        <f>'CO–PO Attainment Summary'!D21</f>
        <v/>
      </c>
      <c r="E21">
        <f>'CO–PO Attainment Summary'!E21</f>
        <v/>
      </c>
      <c r="F21">
        <f>'CO–PO Attainment Summary'!F21</f>
        <v/>
      </c>
      <c r="G21">
        <f>'CO–PO Attainment Summary'!G21</f>
        <v/>
      </c>
      <c r="H21">
        <f>'CO–PO Attainment Summary'!H21</f>
        <v/>
      </c>
      <c r="I21" s="5">
        <f>IFERROR(AVERAGEIFS('Continuous Assessment Records'!L:L,'Continuous Assessment Records'!A:A,$A21,'Continuous Assessment Records'!F:F,$B21,'Continuous Assessment Records'!C:C,"Assignment"),"")</f>
        <v/>
      </c>
      <c r="J21" s="5">
        <f>IFERROR(AVERAGEIFS('Continuous Assessment Records'!L:L,'Continuous Assessment Records'!A:A,$A21,'Continuous Assessment Records'!F:F,$B21,'Continuous Assessment Records'!C:C,"Unit Test"),"")</f>
        <v/>
      </c>
      <c r="K21" s="5">
        <f>IFERROR(AVERAGEIFS('Continuous Assessment Records'!L:L,'Continuous Assessment Records'!A:A,$A21,'Continuous Assessment Records'!F:F,$B21,'Continuous Assessment Records'!C:C,"Mid-Term"),"")</f>
        <v/>
      </c>
      <c r="L21" s="5">
        <f>IF(OR(I21="",J21="",K21=""),"",I21*$I$205+J21*$J$205+K21*$K$205)</f>
        <v/>
      </c>
      <c r="M21">
        <f>IF(L21="","",IF(L21&gt;=0.7,3,IF(L21&gt;=0.6,2,IF(L21&gt;=0.5,1,0))))</f>
        <v/>
      </c>
      <c r="N21">
        <f>'CO–PO Attainment Summary'!E21</f>
        <v/>
      </c>
      <c r="O21">
        <f>IF(M21="",'CO–PO Attainment Summary'!F21,ROUND(0.8*M21+0.2*N21,0))</f>
        <v/>
      </c>
    </row>
    <row r="22">
      <c r="A22">
        <f>'CO–PO Attainment Summary'!A22</f>
        <v/>
      </c>
      <c r="B22">
        <f>'CO–PO Attainment Summary'!B22</f>
        <v/>
      </c>
      <c r="C22">
        <f>'CO–PO Attainment Summary'!C22</f>
        <v/>
      </c>
      <c r="D22">
        <f>'CO–PO Attainment Summary'!D22</f>
        <v/>
      </c>
      <c r="E22">
        <f>'CO–PO Attainment Summary'!E22</f>
        <v/>
      </c>
      <c r="F22">
        <f>'CO–PO Attainment Summary'!F22</f>
        <v/>
      </c>
      <c r="G22">
        <f>'CO–PO Attainment Summary'!G22</f>
        <v/>
      </c>
      <c r="H22">
        <f>'CO–PO Attainment Summary'!H22</f>
        <v/>
      </c>
      <c r="I22" s="5">
        <f>IFERROR(AVERAGEIFS('Continuous Assessment Records'!L:L,'Continuous Assessment Records'!A:A,$A22,'Continuous Assessment Records'!F:F,$B22,'Continuous Assessment Records'!C:C,"Assignment"),"")</f>
        <v/>
      </c>
      <c r="J22" s="5">
        <f>IFERROR(AVERAGEIFS('Continuous Assessment Records'!L:L,'Continuous Assessment Records'!A:A,$A22,'Continuous Assessment Records'!F:F,$B22,'Continuous Assessment Records'!C:C,"Unit Test"),"")</f>
        <v/>
      </c>
      <c r="K22" s="5">
        <f>IFERROR(AVERAGEIFS('Continuous Assessment Records'!L:L,'Continuous Assessment Records'!A:A,$A22,'Continuous Assessment Records'!F:F,$B22,'Continuous Assessment Records'!C:C,"Mid-Term"),"")</f>
        <v/>
      </c>
      <c r="L22" s="5">
        <f>IF(OR(I22="",J22="",K22=""),"",I22*$I$205+J22*$J$205+K22*$K$205)</f>
        <v/>
      </c>
      <c r="M22">
        <f>IF(L22="","",IF(L22&gt;=0.7,3,IF(L22&gt;=0.6,2,IF(L22&gt;=0.5,1,0))))</f>
        <v/>
      </c>
      <c r="N22">
        <f>'CO–PO Attainment Summary'!E22</f>
        <v/>
      </c>
      <c r="O22">
        <f>IF(M22="",'CO–PO Attainment Summary'!F22,ROUND(0.8*M22+0.2*N22,0))</f>
        <v/>
      </c>
    </row>
    <row r="23">
      <c r="A23">
        <f>'CO–PO Attainment Summary'!A23</f>
        <v/>
      </c>
      <c r="B23">
        <f>'CO–PO Attainment Summary'!B23</f>
        <v/>
      </c>
      <c r="C23">
        <f>'CO–PO Attainment Summary'!C23</f>
        <v/>
      </c>
      <c r="D23">
        <f>'CO–PO Attainment Summary'!D23</f>
        <v/>
      </c>
      <c r="E23">
        <f>'CO–PO Attainment Summary'!E23</f>
        <v/>
      </c>
      <c r="F23">
        <f>'CO–PO Attainment Summary'!F23</f>
        <v/>
      </c>
      <c r="G23">
        <f>'CO–PO Attainment Summary'!G23</f>
        <v/>
      </c>
      <c r="H23">
        <f>'CO–PO Attainment Summary'!H23</f>
        <v/>
      </c>
      <c r="I23" s="5">
        <f>IFERROR(AVERAGEIFS('Continuous Assessment Records'!L:L,'Continuous Assessment Records'!A:A,$A23,'Continuous Assessment Records'!F:F,$B23,'Continuous Assessment Records'!C:C,"Assignment"),"")</f>
        <v/>
      </c>
      <c r="J23" s="5">
        <f>IFERROR(AVERAGEIFS('Continuous Assessment Records'!L:L,'Continuous Assessment Records'!A:A,$A23,'Continuous Assessment Records'!F:F,$B23,'Continuous Assessment Records'!C:C,"Unit Test"),"")</f>
        <v/>
      </c>
      <c r="K23" s="5">
        <f>IFERROR(AVERAGEIFS('Continuous Assessment Records'!L:L,'Continuous Assessment Records'!A:A,$A23,'Continuous Assessment Records'!F:F,$B23,'Continuous Assessment Records'!C:C,"Mid-Term"),"")</f>
        <v/>
      </c>
      <c r="L23" s="5">
        <f>IF(OR(I23="",J23="",K23=""),"",I23*$I$205+J23*$J$205+K23*$K$205)</f>
        <v/>
      </c>
      <c r="M23">
        <f>IF(L23="","",IF(L23&gt;=0.7,3,IF(L23&gt;=0.6,2,IF(L23&gt;=0.5,1,0))))</f>
        <v/>
      </c>
      <c r="N23">
        <f>'CO–PO Attainment Summary'!E23</f>
        <v/>
      </c>
      <c r="O23">
        <f>IF(M23="",'CO–PO Attainment Summary'!F23,ROUND(0.8*M23+0.2*N23,0))</f>
        <v/>
      </c>
    </row>
    <row r="24">
      <c r="A24">
        <f>'CO–PO Attainment Summary'!A24</f>
        <v/>
      </c>
      <c r="B24">
        <f>'CO–PO Attainment Summary'!B24</f>
        <v/>
      </c>
      <c r="C24">
        <f>'CO–PO Attainment Summary'!C24</f>
        <v/>
      </c>
      <c r="D24">
        <f>'CO–PO Attainment Summary'!D24</f>
        <v/>
      </c>
      <c r="E24">
        <f>'CO–PO Attainment Summary'!E24</f>
        <v/>
      </c>
      <c r="F24">
        <f>'CO–PO Attainment Summary'!F24</f>
        <v/>
      </c>
      <c r="G24">
        <f>'CO–PO Attainment Summary'!G24</f>
        <v/>
      </c>
      <c r="H24">
        <f>'CO–PO Attainment Summary'!H24</f>
        <v/>
      </c>
      <c r="I24" s="5">
        <f>IFERROR(AVERAGEIFS('Continuous Assessment Records'!L:L,'Continuous Assessment Records'!A:A,$A24,'Continuous Assessment Records'!F:F,$B24,'Continuous Assessment Records'!C:C,"Assignment"),"")</f>
        <v/>
      </c>
      <c r="J24" s="5">
        <f>IFERROR(AVERAGEIFS('Continuous Assessment Records'!L:L,'Continuous Assessment Records'!A:A,$A24,'Continuous Assessment Records'!F:F,$B24,'Continuous Assessment Records'!C:C,"Unit Test"),"")</f>
        <v/>
      </c>
      <c r="K24" s="5">
        <f>IFERROR(AVERAGEIFS('Continuous Assessment Records'!L:L,'Continuous Assessment Records'!A:A,$A24,'Continuous Assessment Records'!F:F,$B24,'Continuous Assessment Records'!C:C,"Mid-Term"),"")</f>
        <v/>
      </c>
      <c r="L24" s="5">
        <f>IF(OR(I24="",J24="",K24=""),"",I24*$I$205+J24*$J$205+K24*$K$205)</f>
        <v/>
      </c>
      <c r="M24">
        <f>IF(L24="","",IF(L24&gt;=0.7,3,IF(L24&gt;=0.6,2,IF(L24&gt;=0.5,1,0))))</f>
        <v/>
      </c>
      <c r="N24">
        <f>'CO–PO Attainment Summary'!E24</f>
        <v/>
      </c>
      <c r="O24">
        <f>IF(M24="",'CO–PO Attainment Summary'!F24,ROUND(0.8*M24+0.2*N24,0))</f>
        <v/>
      </c>
    </row>
    <row r="25">
      <c r="A25">
        <f>'CO–PO Attainment Summary'!A25</f>
        <v/>
      </c>
      <c r="B25">
        <f>'CO–PO Attainment Summary'!B25</f>
        <v/>
      </c>
      <c r="C25">
        <f>'CO–PO Attainment Summary'!C25</f>
        <v/>
      </c>
      <c r="D25">
        <f>'CO–PO Attainment Summary'!D25</f>
        <v/>
      </c>
      <c r="E25">
        <f>'CO–PO Attainment Summary'!E25</f>
        <v/>
      </c>
      <c r="F25">
        <f>'CO–PO Attainment Summary'!F25</f>
        <v/>
      </c>
      <c r="G25">
        <f>'CO–PO Attainment Summary'!G25</f>
        <v/>
      </c>
      <c r="H25">
        <f>'CO–PO Attainment Summary'!H25</f>
        <v/>
      </c>
      <c r="I25" s="5">
        <f>IFERROR(AVERAGEIFS('Continuous Assessment Records'!L:L,'Continuous Assessment Records'!A:A,$A25,'Continuous Assessment Records'!F:F,$B25,'Continuous Assessment Records'!C:C,"Assignment"),"")</f>
        <v/>
      </c>
      <c r="J25" s="5">
        <f>IFERROR(AVERAGEIFS('Continuous Assessment Records'!L:L,'Continuous Assessment Records'!A:A,$A25,'Continuous Assessment Records'!F:F,$B25,'Continuous Assessment Records'!C:C,"Unit Test"),"")</f>
        <v/>
      </c>
      <c r="K25" s="5">
        <f>IFERROR(AVERAGEIFS('Continuous Assessment Records'!L:L,'Continuous Assessment Records'!A:A,$A25,'Continuous Assessment Records'!F:F,$B25,'Continuous Assessment Records'!C:C,"Mid-Term"),"")</f>
        <v/>
      </c>
      <c r="L25" s="5">
        <f>IF(OR(I25="",J25="",K25=""),"",I25*$I$205+J25*$J$205+K25*$K$205)</f>
        <v/>
      </c>
      <c r="M25">
        <f>IF(L25="","",IF(L25&gt;=0.7,3,IF(L25&gt;=0.6,2,IF(L25&gt;=0.5,1,0))))</f>
        <v/>
      </c>
      <c r="N25">
        <f>'CO–PO Attainment Summary'!E25</f>
        <v/>
      </c>
      <c r="O25">
        <f>IF(M25="",'CO–PO Attainment Summary'!F25,ROUND(0.8*M25+0.2*N25,0))</f>
        <v/>
      </c>
    </row>
    <row r="26">
      <c r="A26">
        <f>'CO–PO Attainment Summary'!A26</f>
        <v/>
      </c>
      <c r="B26">
        <f>'CO–PO Attainment Summary'!B26</f>
        <v/>
      </c>
      <c r="C26">
        <f>'CO–PO Attainment Summary'!C26</f>
        <v/>
      </c>
      <c r="D26">
        <f>'CO–PO Attainment Summary'!D26</f>
        <v/>
      </c>
      <c r="E26">
        <f>'CO–PO Attainment Summary'!E26</f>
        <v/>
      </c>
      <c r="F26">
        <f>'CO–PO Attainment Summary'!F26</f>
        <v/>
      </c>
      <c r="G26">
        <f>'CO–PO Attainment Summary'!G26</f>
        <v/>
      </c>
      <c r="H26">
        <f>'CO–PO Attainment Summary'!H26</f>
        <v/>
      </c>
      <c r="I26" s="5">
        <f>IFERROR(AVERAGEIFS('Continuous Assessment Records'!L:L,'Continuous Assessment Records'!A:A,$A26,'Continuous Assessment Records'!F:F,$B26,'Continuous Assessment Records'!C:C,"Assignment"),"")</f>
        <v/>
      </c>
      <c r="J26" s="5">
        <f>IFERROR(AVERAGEIFS('Continuous Assessment Records'!L:L,'Continuous Assessment Records'!A:A,$A26,'Continuous Assessment Records'!F:F,$B26,'Continuous Assessment Records'!C:C,"Unit Test"),"")</f>
        <v/>
      </c>
      <c r="K26" s="5">
        <f>IFERROR(AVERAGEIFS('Continuous Assessment Records'!L:L,'Continuous Assessment Records'!A:A,$A26,'Continuous Assessment Records'!F:F,$B26,'Continuous Assessment Records'!C:C,"Mid-Term"),"")</f>
        <v/>
      </c>
      <c r="L26" s="5">
        <f>IF(OR(I26="",J26="",K26=""),"",I26*$I$205+J26*$J$205+K26*$K$205)</f>
        <v/>
      </c>
      <c r="M26">
        <f>IF(L26="","",IF(L26&gt;=0.7,3,IF(L26&gt;=0.6,2,IF(L26&gt;=0.5,1,0))))</f>
        <v/>
      </c>
      <c r="N26">
        <f>'CO–PO Attainment Summary'!E26</f>
        <v/>
      </c>
      <c r="O26">
        <f>IF(M26="",'CO–PO Attainment Summary'!F26,ROUND(0.8*M26+0.2*N26,0))</f>
        <v/>
      </c>
    </row>
    <row r="27">
      <c r="A27">
        <f>'CO–PO Attainment Summary'!A27</f>
        <v/>
      </c>
      <c r="B27">
        <f>'CO–PO Attainment Summary'!B27</f>
        <v/>
      </c>
      <c r="C27">
        <f>'CO–PO Attainment Summary'!C27</f>
        <v/>
      </c>
      <c r="D27">
        <f>'CO–PO Attainment Summary'!D27</f>
        <v/>
      </c>
      <c r="E27">
        <f>'CO–PO Attainment Summary'!E27</f>
        <v/>
      </c>
      <c r="F27">
        <f>'CO–PO Attainment Summary'!F27</f>
        <v/>
      </c>
      <c r="G27">
        <f>'CO–PO Attainment Summary'!G27</f>
        <v/>
      </c>
      <c r="H27">
        <f>'CO–PO Attainment Summary'!H27</f>
        <v/>
      </c>
      <c r="I27" s="5">
        <f>IFERROR(AVERAGEIFS('Continuous Assessment Records'!L:L,'Continuous Assessment Records'!A:A,$A27,'Continuous Assessment Records'!F:F,$B27,'Continuous Assessment Records'!C:C,"Assignment"),"")</f>
        <v/>
      </c>
      <c r="J27" s="5">
        <f>IFERROR(AVERAGEIFS('Continuous Assessment Records'!L:L,'Continuous Assessment Records'!A:A,$A27,'Continuous Assessment Records'!F:F,$B27,'Continuous Assessment Records'!C:C,"Unit Test"),"")</f>
        <v/>
      </c>
      <c r="K27" s="5">
        <f>IFERROR(AVERAGEIFS('Continuous Assessment Records'!L:L,'Continuous Assessment Records'!A:A,$A27,'Continuous Assessment Records'!F:F,$B27,'Continuous Assessment Records'!C:C,"Mid-Term"),"")</f>
        <v/>
      </c>
      <c r="L27" s="5">
        <f>IF(OR(I27="",J27="",K27=""),"",I27*$I$205+J27*$J$205+K27*$K$205)</f>
        <v/>
      </c>
      <c r="M27">
        <f>IF(L27="","",IF(L27&gt;=0.7,3,IF(L27&gt;=0.6,2,IF(L27&gt;=0.5,1,0))))</f>
        <v/>
      </c>
      <c r="N27">
        <f>'CO–PO Attainment Summary'!E27</f>
        <v/>
      </c>
      <c r="O27">
        <f>IF(M27="",'CO–PO Attainment Summary'!F27,ROUND(0.8*M27+0.2*N27,0))</f>
        <v/>
      </c>
    </row>
    <row r="28">
      <c r="A28">
        <f>'CO–PO Attainment Summary'!A28</f>
        <v/>
      </c>
      <c r="B28">
        <f>'CO–PO Attainment Summary'!B28</f>
        <v/>
      </c>
      <c r="C28">
        <f>'CO–PO Attainment Summary'!C28</f>
        <v/>
      </c>
      <c r="D28">
        <f>'CO–PO Attainment Summary'!D28</f>
        <v/>
      </c>
      <c r="E28">
        <f>'CO–PO Attainment Summary'!E28</f>
        <v/>
      </c>
      <c r="F28">
        <f>'CO–PO Attainment Summary'!F28</f>
        <v/>
      </c>
      <c r="G28">
        <f>'CO–PO Attainment Summary'!G28</f>
        <v/>
      </c>
      <c r="H28">
        <f>'CO–PO Attainment Summary'!H28</f>
        <v/>
      </c>
      <c r="I28" s="5">
        <f>IFERROR(AVERAGEIFS('Continuous Assessment Records'!L:L,'Continuous Assessment Records'!A:A,$A28,'Continuous Assessment Records'!F:F,$B28,'Continuous Assessment Records'!C:C,"Assignment"),"")</f>
        <v/>
      </c>
      <c r="J28" s="5">
        <f>IFERROR(AVERAGEIFS('Continuous Assessment Records'!L:L,'Continuous Assessment Records'!A:A,$A28,'Continuous Assessment Records'!F:F,$B28,'Continuous Assessment Records'!C:C,"Unit Test"),"")</f>
        <v/>
      </c>
      <c r="K28" s="5">
        <f>IFERROR(AVERAGEIFS('Continuous Assessment Records'!L:L,'Continuous Assessment Records'!A:A,$A28,'Continuous Assessment Records'!F:F,$B28,'Continuous Assessment Records'!C:C,"Mid-Term"),"")</f>
        <v/>
      </c>
      <c r="L28" s="5">
        <f>IF(OR(I28="",J28="",K28=""),"",I28*$I$205+J28*$J$205+K28*$K$205)</f>
        <v/>
      </c>
      <c r="M28">
        <f>IF(L28="","",IF(L28&gt;=0.7,3,IF(L28&gt;=0.6,2,IF(L28&gt;=0.5,1,0))))</f>
        <v/>
      </c>
      <c r="N28">
        <f>'CO–PO Attainment Summary'!E28</f>
        <v/>
      </c>
      <c r="O28">
        <f>IF(M28="",'CO–PO Attainment Summary'!F28,ROUND(0.8*M28+0.2*N28,0))</f>
        <v/>
      </c>
    </row>
    <row r="29">
      <c r="A29">
        <f>'CO–PO Attainment Summary'!A29</f>
        <v/>
      </c>
      <c r="B29">
        <f>'CO–PO Attainment Summary'!B29</f>
        <v/>
      </c>
      <c r="C29">
        <f>'CO–PO Attainment Summary'!C29</f>
        <v/>
      </c>
      <c r="D29">
        <f>'CO–PO Attainment Summary'!D29</f>
        <v/>
      </c>
      <c r="E29">
        <f>'CO–PO Attainment Summary'!E29</f>
        <v/>
      </c>
      <c r="F29">
        <f>'CO–PO Attainment Summary'!F29</f>
        <v/>
      </c>
      <c r="G29">
        <f>'CO–PO Attainment Summary'!G29</f>
        <v/>
      </c>
      <c r="H29">
        <f>'CO–PO Attainment Summary'!H29</f>
        <v/>
      </c>
      <c r="I29" s="5">
        <f>IFERROR(AVERAGEIFS('Continuous Assessment Records'!L:L,'Continuous Assessment Records'!A:A,$A29,'Continuous Assessment Records'!F:F,$B29,'Continuous Assessment Records'!C:C,"Assignment"),"")</f>
        <v/>
      </c>
      <c r="J29" s="5">
        <f>IFERROR(AVERAGEIFS('Continuous Assessment Records'!L:L,'Continuous Assessment Records'!A:A,$A29,'Continuous Assessment Records'!F:F,$B29,'Continuous Assessment Records'!C:C,"Unit Test"),"")</f>
        <v/>
      </c>
      <c r="K29" s="5">
        <f>IFERROR(AVERAGEIFS('Continuous Assessment Records'!L:L,'Continuous Assessment Records'!A:A,$A29,'Continuous Assessment Records'!F:F,$B29,'Continuous Assessment Records'!C:C,"Mid-Term"),"")</f>
        <v/>
      </c>
      <c r="L29" s="5">
        <f>IF(OR(I29="",J29="",K29=""),"",I29*$I$205+J29*$J$205+K29*$K$205)</f>
        <v/>
      </c>
      <c r="M29">
        <f>IF(L29="","",IF(L29&gt;=0.7,3,IF(L29&gt;=0.6,2,IF(L29&gt;=0.5,1,0))))</f>
        <v/>
      </c>
      <c r="N29">
        <f>'CO–PO Attainment Summary'!E29</f>
        <v/>
      </c>
      <c r="O29">
        <f>IF(M29="",'CO–PO Attainment Summary'!F29,ROUND(0.8*M29+0.2*N29,0))</f>
        <v/>
      </c>
    </row>
    <row r="30">
      <c r="A30">
        <f>'CO–PO Attainment Summary'!A30</f>
        <v/>
      </c>
      <c r="B30">
        <f>'CO–PO Attainment Summary'!B30</f>
        <v/>
      </c>
      <c r="C30">
        <f>'CO–PO Attainment Summary'!C30</f>
        <v/>
      </c>
      <c r="D30">
        <f>'CO–PO Attainment Summary'!D30</f>
        <v/>
      </c>
      <c r="E30">
        <f>'CO–PO Attainment Summary'!E30</f>
        <v/>
      </c>
      <c r="F30">
        <f>'CO–PO Attainment Summary'!F30</f>
        <v/>
      </c>
      <c r="G30">
        <f>'CO–PO Attainment Summary'!G30</f>
        <v/>
      </c>
      <c r="H30">
        <f>'CO–PO Attainment Summary'!H30</f>
        <v/>
      </c>
      <c r="I30" s="5">
        <f>IFERROR(AVERAGEIFS('Continuous Assessment Records'!L:L,'Continuous Assessment Records'!A:A,$A30,'Continuous Assessment Records'!F:F,$B30,'Continuous Assessment Records'!C:C,"Assignment"),"")</f>
        <v/>
      </c>
      <c r="J30" s="5">
        <f>IFERROR(AVERAGEIFS('Continuous Assessment Records'!L:L,'Continuous Assessment Records'!A:A,$A30,'Continuous Assessment Records'!F:F,$B30,'Continuous Assessment Records'!C:C,"Unit Test"),"")</f>
        <v/>
      </c>
      <c r="K30" s="5">
        <f>IFERROR(AVERAGEIFS('Continuous Assessment Records'!L:L,'Continuous Assessment Records'!A:A,$A30,'Continuous Assessment Records'!F:F,$B30,'Continuous Assessment Records'!C:C,"Mid-Term"),"")</f>
        <v/>
      </c>
      <c r="L30" s="5">
        <f>IF(OR(I30="",J30="",K30=""),"",I30*$I$205+J30*$J$205+K30*$K$205)</f>
        <v/>
      </c>
      <c r="M30">
        <f>IF(L30="","",IF(L30&gt;=0.7,3,IF(L30&gt;=0.6,2,IF(L30&gt;=0.5,1,0))))</f>
        <v/>
      </c>
      <c r="N30">
        <f>'CO–PO Attainment Summary'!E30</f>
        <v/>
      </c>
      <c r="O30">
        <f>IF(M30="",'CO–PO Attainment Summary'!F30,ROUND(0.8*M30+0.2*N30,0))</f>
        <v/>
      </c>
    </row>
    <row r="31">
      <c r="A31">
        <f>'CO–PO Attainment Summary'!A31</f>
        <v/>
      </c>
      <c r="B31">
        <f>'CO–PO Attainment Summary'!B31</f>
        <v/>
      </c>
      <c r="C31">
        <f>'CO–PO Attainment Summary'!C31</f>
        <v/>
      </c>
      <c r="D31">
        <f>'CO–PO Attainment Summary'!D31</f>
        <v/>
      </c>
      <c r="E31">
        <f>'CO–PO Attainment Summary'!E31</f>
        <v/>
      </c>
      <c r="F31">
        <f>'CO–PO Attainment Summary'!F31</f>
        <v/>
      </c>
      <c r="G31">
        <f>'CO–PO Attainment Summary'!G31</f>
        <v/>
      </c>
      <c r="H31">
        <f>'CO–PO Attainment Summary'!H31</f>
        <v/>
      </c>
      <c r="I31" s="5">
        <f>IFERROR(AVERAGEIFS('Continuous Assessment Records'!L:L,'Continuous Assessment Records'!A:A,$A31,'Continuous Assessment Records'!F:F,$B31,'Continuous Assessment Records'!C:C,"Assignment"),"")</f>
        <v/>
      </c>
      <c r="J31" s="5">
        <f>IFERROR(AVERAGEIFS('Continuous Assessment Records'!L:L,'Continuous Assessment Records'!A:A,$A31,'Continuous Assessment Records'!F:F,$B31,'Continuous Assessment Records'!C:C,"Unit Test"),"")</f>
        <v/>
      </c>
      <c r="K31" s="5">
        <f>IFERROR(AVERAGEIFS('Continuous Assessment Records'!L:L,'Continuous Assessment Records'!A:A,$A31,'Continuous Assessment Records'!F:F,$B31,'Continuous Assessment Records'!C:C,"Mid-Term"),"")</f>
        <v/>
      </c>
      <c r="L31" s="5">
        <f>IF(OR(I31="",J31="",K31=""),"",I31*$I$205+J31*$J$205+K31*$K$205)</f>
        <v/>
      </c>
      <c r="M31">
        <f>IF(L31="","",IF(L31&gt;=0.7,3,IF(L31&gt;=0.6,2,IF(L31&gt;=0.5,1,0))))</f>
        <v/>
      </c>
      <c r="N31">
        <f>'CO–PO Attainment Summary'!E31</f>
        <v/>
      </c>
      <c r="O31">
        <f>IF(M31="",'CO–PO Attainment Summary'!F31,ROUND(0.8*M31+0.2*N31,0))</f>
        <v/>
      </c>
    </row>
    <row r="32">
      <c r="A32">
        <f>'CO–PO Attainment Summary'!A32</f>
        <v/>
      </c>
      <c r="B32">
        <f>'CO–PO Attainment Summary'!B32</f>
        <v/>
      </c>
      <c r="C32">
        <f>'CO–PO Attainment Summary'!C32</f>
        <v/>
      </c>
      <c r="D32">
        <f>'CO–PO Attainment Summary'!D32</f>
        <v/>
      </c>
      <c r="E32">
        <f>'CO–PO Attainment Summary'!E32</f>
        <v/>
      </c>
      <c r="F32">
        <f>'CO–PO Attainment Summary'!F32</f>
        <v/>
      </c>
      <c r="G32">
        <f>'CO–PO Attainment Summary'!G32</f>
        <v/>
      </c>
      <c r="H32">
        <f>'CO–PO Attainment Summary'!H32</f>
        <v/>
      </c>
      <c r="I32" s="5">
        <f>IFERROR(AVERAGEIFS('Continuous Assessment Records'!L:L,'Continuous Assessment Records'!A:A,$A32,'Continuous Assessment Records'!F:F,$B32,'Continuous Assessment Records'!C:C,"Assignment"),"")</f>
        <v/>
      </c>
      <c r="J32" s="5">
        <f>IFERROR(AVERAGEIFS('Continuous Assessment Records'!L:L,'Continuous Assessment Records'!A:A,$A32,'Continuous Assessment Records'!F:F,$B32,'Continuous Assessment Records'!C:C,"Unit Test"),"")</f>
        <v/>
      </c>
      <c r="K32" s="5">
        <f>IFERROR(AVERAGEIFS('Continuous Assessment Records'!L:L,'Continuous Assessment Records'!A:A,$A32,'Continuous Assessment Records'!F:F,$B32,'Continuous Assessment Records'!C:C,"Mid-Term"),"")</f>
        <v/>
      </c>
      <c r="L32" s="5">
        <f>IF(OR(I32="",J32="",K32=""),"",I32*$I$205+J32*$J$205+K32*$K$205)</f>
        <v/>
      </c>
      <c r="M32">
        <f>IF(L32="","",IF(L32&gt;=0.7,3,IF(L32&gt;=0.6,2,IF(L32&gt;=0.5,1,0))))</f>
        <v/>
      </c>
      <c r="N32">
        <f>'CO–PO Attainment Summary'!E32</f>
        <v/>
      </c>
      <c r="O32">
        <f>IF(M32="",'CO–PO Attainment Summary'!F32,ROUND(0.8*M32+0.2*N32,0))</f>
        <v/>
      </c>
    </row>
    <row r="33">
      <c r="A33">
        <f>'CO–PO Attainment Summary'!A33</f>
        <v/>
      </c>
      <c r="B33">
        <f>'CO–PO Attainment Summary'!B33</f>
        <v/>
      </c>
      <c r="C33">
        <f>'CO–PO Attainment Summary'!C33</f>
        <v/>
      </c>
      <c r="D33">
        <f>'CO–PO Attainment Summary'!D33</f>
        <v/>
      </c>
      <c r="E33">
        <f>'CO–PO Attainment Summary'!E33</f>
        <v/>
      </c>
      <c r="F33">
        <f>'CO–PO Attainment Summary'!F33</f>
        <v/>
      </c>
      <c r="G33">
        <f>'CO–PO Attainment Summary'!G33</f>
        <v/>
      </c>
      <c r="H33">
        <f>'CO–PO Attainment Summary'!H33</f>
        <v/>
      </c>
      <c r="I33" s="5">
        <f>IFERROR(AVERAGEIFS('Continuous Assessment Records'!L:L,'Continuous Assessment Records'!A:A,$A33,'Continuous Assessment Records'!F:F,$B33,'Continuous Assessment Records'!C:C,"Assignment"),"")</f>
        <v/>
      </c>
      <c r="J33" s="5">
        <f>IFERROR(AVERAGEIFS('Continuous Assessment Records'!L:L,'Continuous Assessment Records'!A:A,$A33,'Continuous Assessment Records'!F:F,$B33,'Continuous Assessment Records'!C:C,"Unit Test"),"")</f>
        <v/>
      </c>
      <c r="K33" s="5">
        <f>IFERROR(AVERAGEIFS('Continuous Assessment Records'!L:L,'Continuous Assessment Records'!A:A,$A33,'Continuous Assessment Records'!F:F,$B33,'Continuous Assessment Records'!C:C,"Mid-Term"),"")</f>
        <v/>
      </c>
      <c r="L33" s="5">
        <f>IF(OR(I33="",J33="",K33=""),"",I33*$I$205+J33*$J$205+K33*$K$205)</f>
        <v/>
      </c>
      <c r="M33">
        <f>IF(L33="","",IF(L33&gt;=0.7,3,IF(L33&gt;=0.6,2,IF(L33&gt;=0.5,1,0))))</f>
        <v/>
      </c>
      <c r="N33">
        <f>'CO–PO Attainment Summary'!E33</f>
        <v/>
      </c>
      <c r="O33">
        <f>IF(M33="",'CO–PO Attainment Summary'!F33,ROUND(0.8*M33+0.2*N33,0))</f>
        <v/>
      </c>
    </row>
    <row r="34">
      <c r="A34">
        <f>'CO–PO Attainment Summary'!A34</f>
        <v/>
      </c>
      <c r="B34">
        <f>'CO–PO Attainment Summary'!B34</f>
        <v/>
      </c>
      <c r="C34">
        <f>'CO–PO Attainment Summary'!C34</f>
        <v/>
      </c>
      <c r="D34">
        <f>'CO–PO Attainment Summary'!D34</f>
        <v/>
      </c>
      <c r="E34">
        <f>'CO–PO Attainment Summary'!E34</f>
        <v/>
      </c>
      <c r="F34">
        <f>'CO–PO Attainment Summary'!F34</f>
        <v/>
      </c>
      <c r="G34">
        <f>'CO–PO Attainment Summary'!G34</f>
        <v/>
      </c>
      <c r="H34">
        <f>'CO–PO Attainment Summary'!H34</f>
        <v/>
      </c>
      <c r="I34" s="5">
        <f>IFERROR(AVERAGEIFS('Continuous Assessment Records'!L:L,'Continuous Assessment Records'!A:A,$A34,'Continuous Assessment Records'!F:F,$B34,'Continuous Assessment Records'!C:C,"Assignment"),"")</f>
        <v/>
      </c>
      <c r="J34" s="5">
        <f>IFERROR(AVERAGEIFS('Continuous Assessment Records'!L:L,'Continuous Assessment Records'!A:A,$A34,'Continuous Assessment Records'!F:F,$B34,'Continuous Assessment Records'!C:C,"Unit Test"),"")</f>
        <v/>
      </c>
      <c r="K34" s="5">
        <f>IFERROR(AVERAGEIFS('Continuous Assessment Records'!L:L,'Continuous Assessment Records'!A:A,$A34,'Continuous Assessment Records'!F:F,$B34,'Continuous Assessment Records'!C:C,"Mid-Term"),"")</f>
        <v/>
      </c>
      <c r="L34" s="5">
        <f>IF(OR(I34="",J34="",K34=""),"",I34*$I$205+J34*$J$205+K34*$K$205)</f>
        <v/>
      </c>
      <c r="M34">
        <f>IF(L34="","",IF(L34&gt;=0.7,3,IF(L34&gt;=0.6,2,IF(L34&gt;=0.5,1,0))))</f>
        <v/>
      </c>
      <c r="N34">
        <f>'CO–PO Attainment Summary'!E34</f>
        <v/>
      </c>
      <c r="O34">
        <f>IF(M34="",'CO–PO Attainment Summary'!F34,ROUND(0.8*M34+0.2*N34,0))</f>
        <v/>
      </c>
    </row>
    <row r="35">
      <c r="A35">
        <f>'CO–PO Attainment Summary'!A35</f>
        <v/>
      </c>
      <c r="B35">
        <f>'CO–PO Attainment Summary'!B35</f>
        <v/>
      </c>
      <c r="C35">
        <f>'CO–PO Attainment Summary'!C35</f>
        <v/>
      </c>
      <c r="D35">
        <f>'CO–PO Attainment Summary'!D35</f>
        <v/>
      </c>
      <c r="E35">
        <f>'CO–PO Attainment Summary'!E35</f>
        <v/>
      </c>
      <c r="F35">
        <f>'CO–PO Attainment Summary'!F35</f>
        <v/>
      </c>
      <c r="G35">
        <f>'CO–PO Attainment Summary'!G35</f>
        <v/>
      </c>
      <c r="H35">
        <f>'CO–PO Attainment Summary'!H35</f>
        <v/>
      </c>
      <c r="I35" s="5">
        <f>IFERROR(AVERAGEIFS('Continuous Assessment Records'!L:L,'Continuous Assessment Records'!A:A,$A35,'Continuous Assessment Records'!F:F,$B35,'Continuous Assessment Records'!C:C,"Assignment"),"")</f>
        <v/>
      </c>
      <c r="J35" s="5">
        <f>IFERROR(AVERAGEIFS('Continuous Assessment Records'!L:L,'Continuous Assessment Records'!A:A,$A35,'Continuous Assessment Records'!F:F,$B35,'Continuous Assessment Records'!C:C,"Unit Test"),"")</f>
        <v/>
      </c>
      <c r="K35" s="5">
        <f>IFERROR(AVERAGEIFS('Continuous Assessment Records'!L:L,'Continuous Assessment Records'!A:A,$A35,'Continuous Assessment Records'!F:F,$B35,'Continuous Assessment Records'!C:C,"Mid-Term"),"")</f>
        <v/>
      </c>
      <c r="L35" s="5">
        <f>IF(OR(I35="",J35="",K35=""),"",I35*$I$205+J35*$J$205+K35*$K$205)</f>
        <v/>
      </c>
      <c r="M35">
        <f>IF(L35="","",IF(L35&gt;=0.7,3,IF(L35&gt;=0.6,2,IF(L35&gt;=0.5,1,0))))</f>
        <v/>
      </c>
      <c r="N35">
        <f>'CO–PO Attainment Summary'!E35</f>
        <v/>
      </c>
      <c r="O35">
        <f>IF(M35="",'CO–PO Attainment Summary'!F35,ROUND(0.8*M35+0.2*N35,0))</f>
        <v/>
      </c>
    </row>
    <row r="36">
      <c r="A36">
        <f>'CO–PO Attainment Summary'!A36</f>
        <v/>
      </c>
      <c r="B36">
        <f>'CO–PO Attainment Summary'!B36</f>
        <v/>
      </c>
      <c r="C36">
        <f>'CO–PO Attainment Summary'!C36</f>
        <v/>
      </c>
      <c r="D36">
        <f>'CO–PO Attainment Summary'!D36</f>
        <v/>
      </c>
      <c r="E36">
        <f>'CO–PO Attainment Summary'!E36</f>
        <v/>
      </c>
      <c r="F36">
        <f>'CO–PO Attainment Summary'!F36</f>
        <v/>
      </c>
      <c r="G36">
        <f>'CO–PO Attainment Summary'!G36</f>
        <v/>
      </c>
      <c r="H36">
        <f>'CO–PO Attainment Summary'!H36</f>
        <v/>
      </c>
      <c r="I36" s="5">
        <f>IFERROR(AVERAGEIFS('Continuous Assessment Records'!L:L,'Continuous Assessment Records'!A:A,$A36,'Continuous Assessment Records'!F:F,$B36,'Continuous Assessment Records'!C:C,"Assignment"),"")</f>
        <v/>
      </c>
      <c r="J36" s="5">
        <f>IFERROR(AVERAGEIFS('Continuous Assessment Records'!L:L,'Continuous Assessment Records'!A:A,$A36,'Continuous Assessment Records'!F:F,$B36,'Continuous Assessment Records'!C:C,"Unit Test"),"")</f>
        <v/>
      </c>
      <c r="K36" s="5">
        <f>IFERROR(AVERAGEIFS('Continuous Assessment Records'!L:L,'Continuous Assessment Records'!A:A,$A36,'Continuous Assessment Records'!F:F,$B36,'Continuous Assessment Records'!C:C,"Mid-Term"),"")</f>
        <v/>
      </c>
      <c r="L36" s="5">
        <f>IF(OR(I36="",J36="",K36=""),"",I36*$I$205+J36*$J$205+K36*$K$205)</f>
        <v/>
      </c>
      <c r="M36">
        <f>IF(L36="","",IF(L36&gt;=0.7,3,IF(L36&gt;=0.6,2,IF(L36&gt;=0.5,1,0))))</f>
        <v/>
      </c>
      <c r="N36">
        <f>'CO–PO Attainment Summary'!E36</f>
        <v/>
      </c>
      <c r="O36">
        <f>IF(M36="",'CO–PO Attainment Summary'!F36,ROUND(0.8*M36+0.2*N36,0))</f>
        <v/>
      </c>
    </row>
    <row r="37">
      <c r="A37">
        <f>'CO–PO Attainment Summary'!A37</f>
        <v/>
      </c>
      <c r="B37">
        <f>'CO–PO Attainment Summary'!B37</f>
        <v/>
      </c>
      <c r="C37">
        <f>'CO–PO Attainment Summary'!C37</f>
        <v/>
      </c>
      <c r="D37">
        <f>'CO–PO Attainment Summary'!D37</f>
        <v/>
      </c>
      <c r="E37">
        <f>'CO–PO Attainment Summary'!E37</f>
        <v/>
      </c>
      <c r="F37">
        <f>'CO–PO Attainment Summary'!F37</f>
        <v/>
      </c>
      <c r="G37">
        <f>'CO–PO Attainment Summary'!G37</f>
        <v/>
      </c>
      <c r="H37">
        <f>'CO–PO Attainment Summary'!H37</f>
        <v/>
      </c>
      <c r="I37" s="5">
        <f>IFERROR(AVERAGEIFS('Continuous Assessment Records'!L:L,'Continuous Assessment Records'!A:A,$A37,'Continuous Assessment Records'!F:F,$B37,'Continuous Assessment Records'!C:C,"Assignment"),"")</f>
        <v/>
      </c>
      <c r="J37" s="5">
        <f>IFERROR(AVERAGEIFS('Continuous Assessment Records'!L:L,'Continuous Assessment Records'!A:A,$A37,'Continuous Assessment Records'!F:F,$B37,'Continuous Assessment Records'!C:C,"Unit Test"),"")</f>
        <v/>
      </c>
      <c r="K37" s="5">
        <f>IFERROR(AVERAGEIFS('Continuous Assessment Records'!L:L,'Continuous Assessment Records'!A:A,$A37,'Continuous Assessment Records'!F:F,$B37,'Continuous Assessment Records'!C:C,"Mid-Term"),"")</f>
        <v/>
      </c>
      <c r="L37" s="5">
        <f>IF(OR(I37="",J37="",K37=""),"",I37*$I$205+J37*$J$205+K37*$K$205)</f>
        <v/>
      </c>
      <c r="M37">
        <f>IF(L37="","",IF(L37&gt;=0.7,3,IF(L37&gt;=0.6,2,IF(L37&gt;=0.5,1,0))))</f>
        <v/>
      </c>
      <c r="N37">
        <f>'CO–PO Attainment Summary'!E37</f>
        <v/>
      </c>
      <c r="O37">
        <f>IF(M37="",'CO–PO Attainment Summary'!F37,ROUND(0.8*M37+0.2*N37,0))</f>
        <v/>
      </c>
    </row>
    <row r="38">
      <c r="A38">
        <f>'CO–PO Attainment Summary'!A38</f>
        <v/>
      </c>
      <c r="B38">
        <f>'CO–PO Attainment Summary'!B38</f>
        <v/>
      </c>
      <c r="C38">
        <f>'CO–PO Attainment Summary'!C38</f>
        <v/>
      </c>
      <c r="D38">
        <f>'CO–PO Attainment Summary'!D38</f>
        <v/>
      </c>
      <c r="E38">
        <f>'CO–PO Attainment Summary'!E38</f>
        <v/>
      </c>
      <c r="F38">
        <f>'CO–PO Attainment Summary'!F38</f>
        <v/>
      </c>
      <c r="G38">
        <f>'CO–PO Attainment Summary'!G38</f>
        <v/>
      </c>
      <c r="H38">
        <f>'CO–PO Attainment Summary'!H38</f>
        <v/>
      </c>
      <c r="I38" s="5">
        <f>IFERROR(AVERAGEIFS('Continuous Assessment Records'!L:L,'Continuous Assessment Records'!A:A,$A38,'Continuous Assessment Records'!F:F,$B38,'Continuous Assessment Records'!C:C,"Assignment"),"")</f>
        <v/>
      </c>
      <c r="J38" s="5">
        <f>IFERROR(AVERAGEIFS('Continuous Assessment Records'!L:L,'Continuous Assessment Records'!A:A,$A38,'Continuous Assessment Records'!F:F,$B38,'Continuous Assessment Records'!C:C,"Unit Test"),"")</f>
        <v/>
      </c>
      <c r="K38" s="5">
        <f>IFERROR(AVERAGEIFS('Continuous Assessment Records'!L:L,'Continuous Assessment Records'!A:A,$A38,'Continuous Assessment Records'!F:F,$B38,'Continuous Assessment Records'!C:C,"Mid-Term"),"")</f>
        <v/>
      </c>
      <c r="L38" s="5">
        <f>IF(OR(I38="",J38="",K38=""),"",I38*$I$205+J38*$J$205+K38*$K$205)</f>
        <v/>
      </c>
      <c r="M38">
        <f>IF(L38="","",IF(L38&gt;=0.7,3,IF(L38&gt;=0.6,2,IF(L38&gt;=0.5,1,0))))</f>
        <v/>
      </c>
      <c r="N38">
        <f>'CO–PO Attainment Summary'!E38</f>
        <v/>
      </c>
      <c r="O38">
        <f>IF(M38="",'CO–PO Attainment Summary'!F38,ROUND(0.8*M38+0.2*N38,0))</f>
        <v/>
      </c>
    </row>
    <row r="39">
      <c r="A39">
        <f>'CO–PO Attainment Summary'!A39</f>
        <v/>
      </c>
      <c r="B39">
        <f>'CO–PO Attainment Summary'!B39</f>
        <v/>
      </c>
      <c r="C39">
        <f>'CO–PO Attainment Summary'!C39</f>
        <v/>
      </c>
      <c r="D39">
        <f>'CO–PO Attainment Summary'!D39</f>
        <v/>
      </c>
      <c r="E39">
        <f>'CO–PO Attainment Summary'!E39</f>
        <v/>
      </c>
      <c r="F39">
        <f>'CO–PO Attainment Summary'!F39</f>
        <v/>
      </c>
      <c r="G39">
        <f>'CO–PO Attainment Summary'!G39</f>
        <v/>
      </c>
      <c r="H39">
        <f>'CO–PO Attainment Summary'!H39</f>
        <v/>
      </c>
      <c r="I39" s="5">
        <f>IFERROR(AVERAGEIFS('Continuous Assessment Records'!L:L,'Continuous Assessment Records'!A:A,$A39,'Continuous Assessment Records'!F:F,$B39,'Continuous Assessment Records'!C:C,"Assignment"),"")</f>
        <v/>
      </c>
      <c r="J39" s="5">
        <f>IFERROR(AVERAGEIFS('Continuous Assessment Records'!L:L,'Continuous Assessment Records'!A:A,$A39,'Continuous Assessment Records'!F:F,$B39,'Continuous Assessment Records'!C:C,"Unit Test"),"")</f>
        <v/>
      </c>
      <c r="K39" s="5">
        <f>IFERROR(AVERAGEIFS('Continuous Assessment Records'!L:L,'Continuous Assessment Records'!A:A,$A39,'Continuous Assessment Records'!F:F,$B39,'Continuous Assessment Records'!C:C,"Mid-Term"),"")</f>
        <v/>
      </c>
      <c r="L39" s="5">
        <f>IF(OR(I39="",J39="",K39=""),"",I39*$I$205+J39*$J$205+K39*$K$205)</f>
        <v/>
      </c>
      <c r="M39">
        <f>IF(L39="","",IF(L39&gt;=0.7,3,IF(L39&gt;=0.6,2,IF(L39&gt;=0.5,1,0))))</f>
        <v/>
      </c>
      <c r="N39">
        <f>'CO–PO Attainment Summary'!E39</f>
        <v/>
      </c>
      <c r="O39">
        <f>IF(M39="",'CO–PO Attainment Summary'!F39,ROUND(0.8*M39+0.2*N39,0))</f>
        <v/>
      </c>
    </row>
    <row r="40">
      <c r="A40">
        <f>'CO–PO Attainment Summary'!A40</f>
        <v/>
      </c>
      <c r="B40">
        <f>'CO–PO Attainment Summary'!B40</f>
        <v/>
      </c>
      <c r="C40">
        <f>'CO–PO Attainment Summary'!C40</f>
        <v/>
      </c>
      <c r="D40">
        <f>'CO–PO Attainment Summary'!D40</f>
        <v/>
      </c>
      <c r="E40">
        <f>'CO–PO Attainment Summary'!E40</f>
        <v/>
      </c>
      <c r="F40">
        <f>'CO–PO Attainment Summary'!F40</f>
        <v/>
      </c>
      <c r="G40">
        <f>'CO–PO Attainment Summary'!G40</f>
        <v/>
      </c>
      <c r="H40">
        <f>'CO–PO Attainment Summary'!H40</f>
        <v/>
      </c>
      <c r="I40" s="5">
        <f>IFERROR(AVERAGEIFS('Continuous Assessment Records'!L:L,'Continuous Assessment Records'!A:A,$A40,'Continuous Assessment Records'!F:F,$B40,'Continuous Assessment Records'!C:C,"Assignment"),"")</f>
        <v/>
      </c>
      <c r="J40" s="5">
        <f>IFERROR(AVERAGEIFS('Continuous Assessment Records'!L:L,'Continuous Assessment Records'!A:A,$A40,'Continuous Assessment Records'!F:F,$B40,'Continuous Assessment Records'!C:C,"Unit Test"),"")</f>
        <v/>
      </c>
      <c r="K40" s="5">
        <f>IFERROR(AVERAGEIFS('Continuous Assessment Records'!L:L,'Continuous Assessment Records'!A:A,$A40,'Continuous Assessment Records'!F:F,$B40,'Continuous Assessment Records'!C:C,"Mid-Term"),"")</f>
        <v/>
      </c>
      <c r="L40" s="5">
        <f>IF(OR(I40="",J40="",K40=""),"",I40*$I$205+J40*$J$205+K40*$K$205)</f>
        <v/>
      </c>
      <c r="M40">
        <f>IF(L40="","",IF(L40&gt;=0.7,3,IF(L40&gt;=0.6,2,IF(L40&gt;=0.5,1,0))))</f>
        <v/>
      </c>
      <c r="N40">
        <f>'CO–PO Attainment Summary'!E40</f>
        <v/>
      </c>
      <c r="O40">
        <f>IF(M40="",'CO–PO Attainment Summary'!F40,ROUND(0.8*M40+0.2*N40,0))</f>
        <v/>
      </c>
    </row>
    <row r="41">
      <c r="A41">
        <f>'CO–PO Attainment Summary'!A41</f>
        <v/>
      </c>
      <c r="B41">
        <f>'CO–PO Attainment Summary'!B41</f>
        <v/>
      </c>
      <c r="C41">
        <f>'CO–PO Attainment Summary'!C41</f>
        <v/>
      </c>
      <c r="D41">
        <f>'CO–PO Attainment Summary'!D41</f>
        <v/>
      </c>
      <c r="E41">
        <f>'CO–PO Attainment Summary'!E41</f>
        <v/>
      </c>
      <c r="F41">
        <f>'CO–PO Attainment Summary'!F41</f>
        <v/>
      </c>
      <c r="G41">
        <f>'CO–PO Attainment Summary'!G41</f>
        <v/>
      </c>
      <c r="H41">
        <f>'CO–PO Attainment Summary'!H41</f>
        <v/>
      </c>
      <c r="I41" s="5">
        <f>IFERROR(AVERAGEIFS('Continuous Assessment Records'!L:L,'Continuous Assessment Records'!A:A,$A41,'Continuous Assessment Records'!F:F,$B41,'Continuous Assessment Records'!C:C,"Assignment"),"")</f>
        <v/>
      </c>
      <c r="J41" s="5">
        <f>IFERROR(AVERAGEIFS('Continuous Assessment Records'!L:L,'Continuous Assessment Records'!A:A,$A41,'Continuous Assessment Records'!F:F,$B41,'Continuous Assessment Records'!C:C,"Unit Test"),"")</f>
        <v/>
      </c>
      <c r="K41" s="5">
        <f>IFERROR(AVERAGEIFS('Continuous Assessment Records'!L:L,'Continuous Assessment Records'!A:A,$A41,'Continuous Assessment Records'!F:F,$B41,'Continuous Assessment Records'!C:C,"Mid-Term"),"")</f>
        <v/>
      </c>
      <c r="L41" s="5">
        <f>IF(OR(I41="",J41="",K41=""),"",I41*$I$205+J41*$J$205+K41*$K$205)</f>
        <v/>
      </c>
      <c r="M41">
        <f>IF(L41="","",IF(L41&gt;=0.7,3,IF(L41&gt;=0.6,2,IF(L41&gt;=0.5,1,0))))</f>
        <v/>
      </c>
      <c r="N41">
        <f>'CO–PO Attainment Summary'!E41</f>
        <v/>
      </c>
      <c r="O41">
        <f>IF(M41="",'CO–PO Attainment Summary'!F41,ROUND(0.8*M41+0.2*N41,0))</f>
        <v/>
      </c>
    </row>
    <row r="42">
      <c r="A42">
        <f>'CO–PO Attainment Summary'!A42</f>
        <v/>
      </c>
      <c r="B42">
        <f>'CO–PO Attainment Summary'!B42</f>
        <v/>
      </c>
      <c r="C42">
        <f>'CO–PO Attainment Summary'!C42</f>
        <v/>
      </c>
      <c r="D42">
        <f>'CO–PO Attainment Summary'!D42</f>
        <v/>
      </c>
      <c r="E42">
        <f>'CO–PO Attainment Summary'!E42</f>
        <v/>
      </c>
      <c r="F42">
        <f>'CO–PO Attainment Summary'!F42</f>
        <v/>
      </c>
      <c r="G42">
        <f>'CO–PO Attainment Summary'!G42</f>
        <v/>
      </c>
      <c r="H42">
        <f>'CO–PO Attainment Summary'!H42</f>
        <v/>
      </c>
      <c r="I42" s="5">
        <f>IFERROR(AVERAGEIFS('Continuous Assessment Records'!L:L,'Continuous Assessment Records'!A:A,$A42,'Continuous Assessment Records'!F:F,$B42,'Continuous Assessment Records'!C:C,"Assignment"),"")</f>
        <v/>
      </c>
      <c r="J42" s="5">
        <f>IFERROR(AVERAGEIFS('Continuous Assessment Records'!L:L,'Continuous Assessment Records'!A:A,$A42,'Continuous Assessment Records'!F:F,$B42,'Continuous Assessment Records'!C:C,"Unit Test"),"")</f>
        <v/>
      </c>
      <c r="K42" s="5">
        <f>IFERROR(AVERAGEIFS('Continuous Assessment Records'!L:L,'Continuous Assessment Records'!A:A,$A42,'Continuous Assessment Records'!F:F,$B42,'Continuous Assessment Records'!C:C,"Mid-Term"),"")</f>
        <v/>
      </c>
      <c r="L42" s="5">
        <f>IF(OR(I42="",J42="",K42=""),"",I42*$I$205+J42*$J$205+K42*$K$205)</f>
        <v/>
      </c>
      <c r="M42">
        <f>IF(L42="","",IF(L42&gt;=0.7,3,IF(L42&gt;=0.6,2,IF(L42&gt;=0.5,1,0))))</f>
        <v/>
      </c>
      <c r="N42">
        <f>'CO–PO Attainment Summary'!E42</f>
        <v/>
      </c>
      <c r="O42">
        <f>IF(M42="",'CO–PO Attainment Summary'!F42,ROUND(0.8*M42+0.2*N42,0))</f>
        <v/>
      </c>
    </row>
    <row r="43">
      <c r="A43">
        <f>'CO–PO Attainment Summary'!A43</f>
        <v/>
      </c>
      <c r="B43">
        <f>'CO–PO Attainment Summary'!B43</f>
        <v/>
      </c>
      <c r="C43">
        <f>'CO–PO Attainment Summary'!C43</f>
        <v/>
      </c>
      <c r="D43">
        <f>'CO–PO Attainment Summary'!D43</f>
        <v/>
      </c>
      <c r="E43">
        <f>'CO–PO Attainment Summary'!E43</f>
        <v/>
      </c>
      <c r="F43">
        <f>'CO–PO Attainment Summary'!F43</f>
        <v/>
      </c>
      <c r="G43">
        <f>'CO–PO Attainment Summary'!G43</f>
        <v/>
      </c>
      <c r="H43">
        <f>'CO–PO Attainment Summary'!H43</f>
        <v/>
      </c>
      <c r="I43" s="5">
        <f>IFERROR(AVERAGEIFS('Continuous Assessment Records'!L:L,'Continuous Assessment Records'!A:A,$A43,'Continuous Assessment Records'!F:F,$B43,'Continuous Assessment Records'!C:C,"Assignment"),"")</f>
        <v/>
      </c>
      <c r="J43" s="5">
        <f>IFERROR(AVERAGEIFS('Continuous Assessment Records'!L:L,'Continuous Assessment Records'!A:A,$A43,'Continuous Assessment Records'!F:F,$B43,'Continuous Assessment Records'!C:C,"Unit Test"),"")</f>
        <v/>
      </c>
      <c r="K43" s="5">
        <f>IFERROR(AVERAGEIFS('Continuous Assessment Records'!L:L,'Continuous Assessment Records'!A:A,$A43,'Continuous Assessment Records'!F:F,$B43,'Continuous Assessment Records'!C:C,"Mid-Term"),"")</f>
        <v/>
      </c>
      <c r="L43" s="5">
        <f>IF(OR(I43="",J43="",K43=""),"",I43*$I$205+J43*$J$205+K43*$K$205)</f>
        <v/>
      </c>
      <c r="M43">
        <f>IF(L43="","",IF(L43&gt;=0.7,3,IF(L43&gt;=0.6,2,IF(L43&gt;=0.5,1,0))))</f>
        <v/>
      </c>
      <c r="N43">
        <f>'CO–PO Attainment Summary'!E43</f>
        <v/>
      </c>
      <c r="O43">
        <f>IF(M43="",'CO–PO Attainment Summary'!F43,ROUND(0.8*M43+0.2*N43,0))</f>
        <v/>
      </c>
    </row>
    <row r="44">
      <c r="A44">
        <f>'CO–PO Attainment Summary'!A44</f>
        <v/>
      </c>
      <c r="B44">
        <f>'CO–PO Attainment Summary'!B44</f>
        <v/>
      </c>
      <c r="C44">
        <f>'CO–PO Attainment Summary'!C44</f>
        <v/>
      </c>
      <c r="D44">
        <f>'CO–PO Attainment Summary'!D44</f>
        <v/>
      </c>
      <c r="E44">
        <f>'CO–PO Attainment Summary'!E44</f>
        <v/>
      </c>
      <c r="F44">
        <f>'CO–PO Attainment Summary'!F44</f>
        <v/>
      </c>
      <c r="G44">
        <f>'CO–PO Attainment Summary'!G44</f>
        <v/>
      </c>
      <c r="H44">
        <f>'CO–PO Attainment Summary'!H44</f>
        <v/>
      </c>
      <c r="I44" s="5">
        <f>IFERROR(AVERAGEIFS('Continuous Assessment Records'!L:L,'Continuous Assessment Records'!A:A,$A44,'Continuous Assessment Records'!F:F,$B44,'Continuous Assessment Records'!C:C,"Assignment"),"")</f>
        <v/>
      </c>
      <c r="J44" s="5">
        <f>IFERROR(AVERAGEIFS('Continuous Assessment Records'!L:L,'Continuous Assessment Records'!A:A,$A44,'Continuous Assessment Records'!F:F,$B44,'Continuous Assessment Records'!C:C,"Unit Test"),"")</f>
        <v/>
      </c>
      <c r="K44" s="5">
        <f>IFERROR(AVERAGEIFS('Continuous Assessment Records'!L:L,'Continuous Assessment Records'!A:A,$A44,'Continuous Assessment Records'!F:F,$B44,'Continuous Assessment Records'!C:C,"Mid-Term"),"")</f>
        <v/>
      </c>
      <c r="L44" s="5">
        <f>IF(OR(I44="",J44="",K44=""),"",I44*$I$205+J44*$J$205+K44*$K$205)</f>
        <v/>
      </c>
      <c r="M44">
        <f>IF(L44="","",IF(L44&gt;=0.7,3,IF(L44&gt;=0.6,2,IF(L44&gt;=0.5,1,0))))</f>
        <v/>
      </c>
      <c r="N44">
        <f>'CO–PO Attainment Summary'!E44</f>
        <v/>
      </c>
      <c r="O44">
        <f>IF(M44="",'CO–PO Attainment Summary'!F44,ROUND(0.8*M44+0.2*N44,0))</f>
        <v/>
      </c>
    </row>
    <row r="45">
      <c r="A45">
        <f>'CO–PO Attainment Summary'!A45</f>
        <v/>
      </c>
      <c r="B45">
        <f>'CO–PO Attainment Summary'!B45</f>
        <v/>
      </c>
      <c r="C45">
        <f>'CO–PO Attainment Summary'!C45</f>
        <v/>
      </c>
      <c r="D45">
        <f>'CO–PO Attainment Summary'!D45</f>
        <v/>
      </c>
      <c r="E45">
        <f>'CO–PO Attainment Summary'!E45</f>
        <v/>
      </c>
      <c r="F45">
        <f>'CO–PO Attainment Summary'!F45</f>
        <v/>
      </c>
      <c r="G45">
        <f>'CO–PO Attainment Summary'!G45</f>
        <v/>
      </c>
      <c r="H45">
        <f>'CO–PO Attainment Summary'!H45</f>
        <v/>
      </c>
      <c r="I45" s="5">
        <f>IFERROR(AVERAGEIFS('Continuous Assessment Records'!L:L,'Continuous Assessment Records'!A:A,$A45,'Continuous Assessment Records'!F:F,$B45,'Continuous Assessment Records'!C:C,"Assignment"),"")</f>
        <v/>
      </c>
      <c r="J45" s="5">
        <f>IFERROR(AVERAGEIFS('Continuous Assessment Records'!L:L,'Continuous Assessment Records'!A:A,$A45,'Continuous Assessment Records'!F:F,$B45,'Continuous Assessment Records'!C:C,"Unit Test"),"")</f>
        <v/>
      </c>
      <c r="K45" s="5">
        <f>IFERROR(AVERAGEIFS('Continuous Assessment Records'!L:L,'Continuous Assessment Records'!A:A,$A45,'Continuous Assessment Records'!F:F,$B45,'Continuous Assessment Records'!C:C,"Mid-Term"),"")</f>
        <v/>
      </c>
      <c r="L45" s="5">
        <f>IF(OR(I45="",J45="",K45=""),"",I45*$I$205+J45*$J$205+K45*$K$205)</f>
        <v/>
      </c>
      <c r="M45">
        <f>IF(L45="","",IF(L45&gt;=0.7,3,IF(L45&gt;=0.6,2,IF(L45&gt;=0.5,1,0))))</f>
        <v/>
      </c>
      <c r="N45">
        <f>'CO–PO Attainment Summary'!E45</f>
        <v/>
      </c>
      <c r="O45">
        <f>IF(M45="",'CO–PO Attainment Summary'!F45,ROUND(0.8*M45+0.2*N45,0))</f>
        <v/>
      </c>
    </row>
    <row r="46">
      <c r="A46">
        <f>'CO–PO Attainment Summary'!A46</f>
        <v/>
      </c>
      <c r="B46">
        <f>'CO–PO Attainment Summary'!B46</f>
        <v/>
      </c>
      <c r="C46">
        <f>'CO–PO Attainment Summary'!C46</f>
        <v/>
      </c>
      <c r="D46">
        <f>'CO–PO Attainment Summary'!D46</f>
        <v/>
      </c>
      <c r="E46">
        <f>'CO–PO Attainment Summary'!E46</f>
        <v/>
      </c>
      <c r="F46">
        <f>'CO–PO Attainment Summary'!F46</f>
        <v/>
      </c>
      <c r="G46">
        <f>'CO–PO Attainment Summary'!G46</f>
        <v/>
      </c>
      <c r="H46">
        <f>'CO–PO Attainment Summary'!H46</f>
        <v/>
      </c>
      <c r="I46" s="5">
        <f>IFERROR(AVERAGEIFS('Continuous Assessment Records'!L:L,'Continuous Assessment Records'!A:A,$A46,'Continuous Assessment Records'!F:F,$B46,'Continuous Assessment Records'!C:C,"Assignment"),"")</f>
        <v/>
      </c>
      <c r="J46" s="5">
        <f>IFERROR(AVERAGEIFS('Continuous Assessment Records'!L:L,'Continuous Assessment Records'!A:A,$A46,'Continuous Assessment Records'!F:F,$B46,'Continuous Assessment Records'!C:C,"Unit Test"),"")</f>
        <v/>
      </c>
      <c r="K46" s="5">
        <f>IFERROR(AVERAGEIFS('Continuous Assessment Records'!L:L,'Continuous Assessment Records'!A:A,$A46,'Continuous Assessment Records'!F:F,$B46,'Continuous Assessment Records'!C:C,"Mid-Term"),"")</f>
        <v/>
      </c>
      <c r="L46" s="5">
        <f>IF(OR(I46="",J46="",K46=""),"",I46*$I$205+J46*$J$205+K46*$K$205)</f>
        <v/>
      </c>
      <c r="M46">
        <f>IF(L46="","",IF(L46&gt;=0.7,3,IF(L46&gt;=0.6,2,IF(L46&gt;=0.5,1,0))))</f>
        <v/>
      </c>
      <c r="N46">
        <f>'CO–PO Attainment Summary'!E46</f>
        <v/>
      </c>
      <c r="O46">
        <f>IF(M46="",'CO–PO Attainment Summary'!F46,ROUND(0.8*M46+0.2*N46,0))</f>
        <v/>
      </c>
    </row>
    <row r="47">
      <c r="A47">
        <f>'CO–PO Attainment Summary'!A47</f>
        <v/>
      </c>
      <c r="B47">
        <f>'CO–PO Attainment Summary'!B47</f>
        <v/>
      </c>
      <c r="C47">
        <f>'CO–PO Attainment Summary'!C47</f>
        <v/>
      </c>
      <c r="D47">
        <f>'CO–PO Attainment Summary'!D47</f>
        <v/>
      </c>
      <c r="E47">
        <f>'CO–PO Attainment Summary'!E47</f>
        <v/>
      </c>
      <c r="F47">
        <f>'CO–PO Attainment Summary'!F47</f>
        <v/>
      </c>
      <c r="G47">
        <f>'CO–PO Attainment Summary'!G47</f>
        <v/>
      </c>
      <c r="H47">
        <f>'CO–PO Attainment Summary'!H47</f>
        <v/>
      </c>
      <c r="I47" s="5">
        <f>IFERROR(AVERAGEIFS('Continuous Assessment Records'!L:L,'Continuous Assessment Records'!A:A,$A47,'Continuous Assessment Records'!F:F,$B47,'Continuous Assessment Records'!C:C,"Assignment"),"")</f>
        <v/>
      </c>
      <c r="J47" s="5">
        <f>IFERROR(AVERAGEIFS('Continuous Assessment Records'!L:L,'Continuous Assessment Records'!A:A,$A47,'Continuous Assessment Records'!F:F,$B47,'Continuous Assessment Records'!C:C,"Unit Test"),"")</f>
        <v/>
      </c>
      <c r="K47" s="5">
        <f>IFERROR(AVERAGEIFS('Continuous Assessment Records'!L:L,'Continuous Assessment Records'!A:A,$A47,'Continuous Assessment Records'!F:F,$B47,'Continuous Assessment Records'!C:C,"Mid-Term"),"")</f>
        <v/>
      </c>
      <c r="L47" s="5">
        <f>IF(OR(I47="",J47="",K47=""),"",I47*$I$205+J47*$J$205+K47*$K$205)</f>
        <v/>
      </c>
      <c r="M47">
        <f>IF(L47="","",IF(L47&gt;=0.7,3,IF(L47&gt;=0.6,2,IF(L47&gt;=0.5,1,0))))</f>
        <v/>
      </c>
      <c r="N47">
        <f>'CO–PO Attainment Summary'!E47</f>
        <v/>
      </c>
      <c r="O47">
        <f>IF(M47="",'CO–PO Attainment Summary'!F47,ROUND(0.8*M47+0.2*N47,0))</f>
        <v/>
      </c>
    </row>
    <row r="48">
      <c r="A48">
        <f>'CO–PO Attainment Summary'!A48</f>
        <v/>
      </c>
      <c r="B48">
        <f>'CO–PO Attainment Summary'!B48</f>
        <v/>
      </c>
      <c r="C48">
        <f>'CO–PO Attainment Summary'!C48</f>
        <v/>
      </c>
      <c r="D48">
        <f>'CO–PO Attainment Summary'!D48</f>
        <v/>
      </c>
      <c r="E48">
        <f>'CO–PO Attainment Summary'!E48</f>
        <v/>
      </c>
      <c r="F48">
        <f>'CO–PO Attainment Summary'!F48</f>
        <v/>
      </c>
      <c r="G48">
        <f>'CO–PO Attainment Summary'!G48</f>
        <v/>
      </c>
      <c r="H48">
        <f>'CO–PO Attainment Summary'!H48</f>
        <v/>
      </c>
      <c r="I48" s="5">
        <f>IFERROR(AVERAGEIFS('Continuous Assessment Records'!L:L,'Continuous Assessment Records'!A:A,$A48,'Continuous Assessment Records'!F:F,$B48,'Continuous Assessment Records'!C:C,"Assignment"),"")</f>
        <v/>
      </c>
      <c r="J48" s="5">
        <f>IFERROR(AVERAGEIFS('Continuous Assessment Records'!L:L,'Continuous Assessment Records'!A:A,$A48,'Continuous Assessment Records'!F:F,$B48,'Continuous Assessment Records'!C:C,"Unit Test"),"")</f>
        <v/>
      </c>
      <c r="K48" s="5">
        <f>IFERROR(AVERAGEIFS('Continuous Assessment Records'!L:L,'Continuous Assessment Records'!A:A,$A48,'Continuous Assessment Records'!F:F,$B48,'Continuous Assessment Records'!C:C,"Mid-Term"),"")</f>
        <v/>
      </c>
      <c r="L48" s="5">
        <f>IF(OR(I48="",J48="",K48=""),"",I48*$I$205+J48*$J$205+K48*$K$205)</f>
        <v/>
      </c>
      <c r="M48">
        <f>IF(L48="","",IF(L48&gt;=0.7,3,IF(L48&gt;=0.6,2,IF(L48&gt;=0.5,1,0))))</f>
        <v/>
      </c>
      <c r="N48">
        <f>'CO–PO Attainment Summary'!E48</f>
        <v/>
      </c>
      <c r="O48">
        <f>IF(M48="",'CO–PO Attainment Summary'!F48,ROUND(0.8*M48+0.2*N48,0))</f>
        <v/>
      </c>
    </row>
    <row r="49">
      <c r="A49">
        <f>'CO–PO Attainment Summary'!A49</f>
        <v/>
      </c>
      <c r="B49">
        <f>'CO–PO Attainment Summary'!B49</f>
        <v/>
      </c>
      <c r="C49">
        <f>'CO–PO Attainment Summary'!C49</f>
        <v/>
      </c>
      <c r="D49">
        <f>'CO–PO Attainment Summary'!D49</f>
        <v/>
      </c>
      <c r="E49">
        <f>'CO–PO Attainment Summary'!E49</f>
        <v/>
      </c>
      <c r="F49">
        <f>'CO–PO Attainment Summary'!F49</f>
        <v/>
      </c>
      <c r="G49">
        <f>'CO–PO Attainment Summary'!G49</f>
        <v/>
      </c>
      <c r="H49">
        <f>'CO–PO Attainment Summary'!H49</f>
        <v/>
      </c>
      <c r="I49" s="5">
        <f>IFERROR(AVERAGEIFS('Continuous Assessment Records'!L:L,'Continuous Assessment Records'!A:A,$A49,'Continuous Assessment Records'!F:F,$B49,'Continuous Assessment Records'!C:C,"Assignment"),"")</f>
        <v/>
      </c>
      <c r="J49" s="5">
        <f>IFERROR(AVERAGEIFS('Continuous Assessment Records'!L:L,'Continuous Assessment Records'!A:A,$A49,'Continuous Assessment Records'!F:F,$B49,'Continuous Assessment Records'!C:C,"Unit Test"),"")</f>
        <v/>
      </c>
      <c r="K49" s="5">
        <f>IFERROR(AVERAGEIFS('Continuous Assessment Records'!L:L,'Continuous Assessment Records'!A:A,$A49,'Continuous Assessment Records'!F:F,$B49,'Continuous Assessment Records'!C:C,"Mid-Term"),"")</f>
        <v/>
      </c>
      <c r="L49" s="5">
        <f>IF(OR(I49="",J49="",K49=""),"",I49*$I$205+J49*$J$205+K49*$K$205)</f>
        <v/>
      </c>
      <c r="M49">
        <f>IF(L49="","",IF(L49&gt;=0.7,3,IF(L49&gt;=0.6,2,IF(L49&gt;=0.5,1,0))))</f>
        <v/>
      </c>
      <c r="N49">
        <f>'CO–PO Attainment Summary'!E49</f>
        <v/>
      </c>
      <c r="O49">
        <f>IF(M49="",'CO–PO Attainment Summary'!F49,ROUND(0.8*M49+0.2*N49,0))</f>
        <v/>
      </c>
    </row>
    <row r="50">
      <c r="A50">
        <f>'CO–PO Attainment Summary'!A50</f>
        <v/>
      </c>
      <c r="B50">
        <f>'CO–PO Attainment Summary'!B50</f>
        <v/>
      </c>
      <c r="C50">
        <f>'CO–PO Attainment Summary'!C50</f>
        <v/>
      </c>
      <c r="D50">
        <f>'CO–PO Attainment Summary'!D50</f>
        <v/>
      </c>
      <c r="E50">
        <f>'CO–PO Attainment Summary'!E50</f>
        <v/>
      </c>
      <c r="F50">
        <f>'CO–PO Attainment Summary'!F50</f>
        <v/>
      </c>
      <c r="G50">
        <f>'CO–PO Attainment Summary'!G50</f>
        <v/>
      </c>
      <c r="H50">
        <f>'CO–PO Attainment Summary'!H50</f>
        <v/>
      </c>
      <c r="I50" s="5">
        <f>IFERROR(AVERAGEIFS('Continuous Assessment Records'!L:L,'Continuous Assessment Records'!A:A,$A50,'Continuous Assessment Records'!F:F,$B50,'Continuous Assessment Records'!C:C,"Assignment"),"")</f>
        <v/>
      </c>
      <c r="J50" s="5">
        <f>IFERROR(AVERAGEIFS('Continuous Assessment Records'!L:L,'Continuous Assessment Records'!A:A,$A50,'Continuous Assessment Records'!F:F,$B50,'Continuous Assessment Records'!C:C,"Unit Test"),"")</f>
        <v/>
      </c>
      <c r="K50" s="5">
        <f>IFERROR(AVERAGEIFS('Continuous Assessment Records'!L:L,'Continuous Assessment Records'!A:A,$A50,'Continuous Assessment Records'!F:F,$B50,'Continuous Assessment Records'!C:C,"Mid-Term"),"")</f>
        <v/>
      </c>
      <c r="L50" s="5">
        <f>IF(OR(I50="",J50="",K50=""),"",I50*$I$205+J50*$J$205+K50*$K$205)</f>
        <v/>
      </c>
      <c r="M50">
        <f>IF(L50="","",IF(L50&gt;=0.7,3,IF(L50&gt;=0.6,2,IF(L50&gt;=0.5,1,0))))</f>
        <v/>
      </c>
      <c r="N50">
        <f>'CO–PO Attainment Summary'!E50</f>
        <v/>
      </c>
      <c r="O50">
        <f>IF(M50="",'CO–PO Attainment Summary'!F50,ROUND(0.8*M50+0.2*N50,0))</f>
        <v/>
      </c>
    </row>
    <row r="51">
      <c r="A51">
        <f>'CO–PO Attainment Summary'!A51</f>
        <v/>
      </c>
      <c r="B51">
        <f>'CO–PO Attainment Summary'!B51</f>
        <v/>
      </c>
      <c r="C51">
        <f>'CO–PO Attainment Summary'!C51</f>
        <v/>
      </c>
      <c r="D51">
        <f>'CO–PO Attainment Summary'!D51</f>
        <v/>
      </c>
      <c r="E51">
        <f>'CO–PO Attainment Summary'!E51</f>
        <v/>
      </c>
      <c r="F51">
        <f>'CO–PO Attainment Summary'!F51</f>
        <v/>
      </c>
      <c r="G51">
        <f>'CO–PO Attainment Summary'!G51</f>
        <v/>
      </c>
      <c r="H51">
        <f>'CO–PO Attainment Summary'!H51</f>
        <v/>
      </c>
      <c r="I51" s="5">
        <f>IFERROR(AVERAGEIFS('Continuous Assessment Records'!L:L,'Continuous Assessment Records'!A:A,$A51,'Continuous Assessment Records'!F:F,$B51,'Continuous Assessment Records'!C:C,"Assignment"),"")</f>
        <v/>
      </c>
      <c r="J51" s="5">
        <f>IFERROR(AVERAGEIFS('Continuous Assessment Records'!L:L,'Continuous Assessment Records'!A:A,$A51,'Continuous Assessment Records'!F:F,$B51,'Continuous Assessment Records'!C:C,"Unit Test"),"")</f>
        <v/>
      </c>
      <c r="K51" s="5">
        <f>IFERROR(AVERAGEIFS('Continuous Assessment Records'!L:L,'Continuous Assessment Records'!A:A,$A51,'Continuous Assessment Records'!F:F,$B51,'Continuous Assessment Records'!C:C,"Mid-Term"),"")</f>
        <v/>
      </c>
      <c r="L51" s="5">
        <f>IF(OR(I51="",J51="",K51=""),"",I51*$I$205+J51*$J$205+K51*$K$205)</f>
        <v/>
      </c>
      <c r="M51">
        <f>IF(L51="","",IF(L51&gt;=0.7,3,IF(L51&gt;=0.6,2,IF(L51&gt;=0.5,1,0))))</f>
        <v/>
      </c>
      <c r="N51">
        <f>'CO–PO Attainment Summary'!E51</f>
        <v/>
      </c>
      <c r="O51">
        <f>IF(M51="",'CO–PO Attainment Summary'!F51,ROUND(0.8*M51+0.2*N51,0))</f>
        <v/>
      </c>
    </row>
    <row r="52">
      <c r="A52">
        <f>'CO–PO Attainment Summary'!A52</f>
        <v/>
      </c>
      <c r="B52">
        <f>'CO–PO Attainment Summary'!B52</f>
        <v/>
      </c>
      <c r="C52">
        <f>'CO–PO Attainment Summary'!C52</f>
        <v/>
      </c>
      <c r="D52">
        <f>'CO–PO Attainment Summary'!D52</f>
        <v/>
      </c>
      <c r="E52">
        <f>'CO–PO Attainment Summary'!E52</f>
        <v/>
      </c>
      <c r="F52">
        <f>'CO–PO Attainment Summary'!F52</f>
        <v/>
      </c>
      <c r="G52">
        <f>'CO–PO Attainment Summary'!G52</f>
        <v/>
      </c>
      <c r="H52">
        <f>'CO–PO Attainment Summary'!H52</f>
        <v/>
      </c>
      <c r="I52" s="5">
        <f>IFERROR(AVERAGEIFS('Continuous Assessment Records'!L:L,'Continuous Assessment Records'!A:A,$A52,'Continuous Assessment Records'!F:F,$B52,'Continuous Assessment Records'!C:C,"Assignment"),"")</f>
        <v/>
      </c>
      <c r="J52" s="5">
        <f>IFERROR(AVERAGEIFS('Continuous Assessment Records'!L:L,'Continuous Assessment Records'!A:A,$A52,'Continuous Assessment Records'!F:F,$B52,'Continuous Assessment Records'!C:C,"Unit Test"),"")</f>
        <v/>
      </c>
      <c r="K52" s="5">
        <f>IFERROR(AVERAGEIFS('Continuous Assessment Records'!L:L,'Continuous Assessment Records'!A:A,$A52,'Continuous Assessment Records'!F:F,$B52,'Continuous Assessment Records'!C:C,"Mid-Term"),"")</f>
        <v/>
      </c>
      <c r="L52" s="5">
        <f>IF(OR(I52="",J52="",K52=""),"",I52*$I$205+J52*$J$205+K52*$K$205)</f>
        <v/>
      </c>
      <c r="M52">
        <f>IF(L52="","",IF(L52&gt;=0.7,3,IF(L52&gt;=0.6,2,IF(L52&gt;=0.5,1,0))))</f>
        <v/>
      </c>
      <c r="N52">
        <f>'CO–PO Attainment Summary'!E52</f>
        <v/>
      </c>
      <c r="O52">
        <f>IF(M52="",'CO–PO Attainment Summary'!F52,ROUND(0.8*M52+0.2*N52,0))</f>
        <v/>
      </c>
    </row>
    <row r="53">
      <c r="A53">
        <f>'CO–PO Attainment Summary'!A53</f>
        <v/>
      </c>
      <c r="B53">
        <f>'CO–PO Attainment Summary'!B53</f>
        <v/>
      </c>
      <c r="C53">
        <f>'CO–PO Attainment Summary'!C53</f>
        <v/>
      </c>
      <c r="D53">
        <f>'CO–PO Attainment Summary'!D53</f>
        <v/>
      </c>
      <c r="E53">
        <f>'CO–PO Attainment Summary'!E53</f>
        <v/>
      </c>
      <c r="F53">
        <f>'CO–PO Attainment Summary'!F53</f>
        <v/>
      </c>
      <c r="G53">
        <f>'CO–PO Attainment Summary'!G53</f>
        <v/>
      </c>
      <c r="H53">
        <f>'CO–PO Attainment Summary'!H53</f>
        <v/>
      </c>
      <c r="I53" s="5">
        <f>IFERROR(AVERAGEIFS('Continuous Assessment Records'!L:L,'Continuous Assessment Records'!A:A,$A53,'Continuous Assessment Records'!F:F,$B53,'Continuous Assessment Records'!C:C,"Assignment"),"")</f>
        <v/>
      </c>
      <c r="J53" s="5">
        <f>IFERROR(AVERAGEIFS('Continuous Assessment Records'!L:L,'Continuous Assessment Records'!A:A,$A53,'Continuous Assessment Records'!F:F,$B53,'Continuous Assessment Records'!C:C,"Unit Test"),"")</f>
        <v/>
      </c>
      <c r="K53" s="5">
        <f>IFERROR(AVERAGEIFS('Continuous Assessment Records'!L:L,'Continuous Assessment Records'!A:A,$A53,'Continuous Assessment Records'!F:F,$B53,'Continuous Assessment Records'!C:C,"Mid-Term"),"")</f>
        <v/>
      </c>
      <c r="L53" s="5">
        <f>IF(OR(I53="",J53="",K53=""),"",I53*$I$205+J53*$J$205+K53*$K$205)</f>
        <v/>
      </c>
      <c r="M53">
        <f>IF(L53="","",IF(L53&gt;=0.7,3,IF(L53&gt;=0.6,2,IF(L53&gt;=0.5,1,0))))</f>
        <v/>
      </c>
      <c r="N53">
        <f>'CO–PO Attainment Summary'!E53</f>
        <v/>
      </c>
      <c r="O53">
        <f>IF(M53="",'CO–PO Attainment Summary'!F53,ROUND(0.8*M53+0.2*N53,0))</f>
        <v/>
      </c>
    </row>
    <row r="54">
      <c r="A54">
        <f>'CO–PO Attainment Summary'!A54</f>
        <v/>
      </c>
      <c r="B54">
        <f>'CO–PO Attainment Summary'!B54</f>
        <v/>
      </c>
      <c r="C54">
        <f>'CO–PO Attainment Summary'!C54</f>
        <v/>
      </c>
      <c r="D54">
        <f>'CO–PO Attainment Summary'!D54</f>
        <v/>
      </c>
      <c r="E54">
        <f>'CO–PO Attainment Summary'!E54</f>
        <v/>
      </c>
      <c r="F54">
        <f>'CO–PO Attainment Summary'!F54</f>
        <v/>
      </c>
      <c r="G54">
        <f>'CO–PO Attainment Summary'!G54</f>
        <v/>
      </c>
      <c r="H54">
        <f>'CO–PO Attainment Summary'!H54</f>
        <v/>
      </c>
      <c r="I54" s="5">
        <f>IFERROR(AVERAGEIFS('Continuous Assessment Records'!L:L,'Continuous Assessment Records'!A:A,$A54,'Continuous Assessment Records'!F:F,$B54,'Continuous Assessment Records'!C:C,"Assignment"),"")</f>
        <v/>
      </c>
      <c r="J54" s="5">
        <f>IFERROR(AVERAGEIFS('Continuous Assessment Records'!L:L,'Continuous Assessment Records'!A:A,$A54,'Continuous Assessment Records'!F:F,$B54,'Continuous Assessment Records'!C:C,"Unit Test"),"")</f>
        <v/>
      </c>
      <c r="K54" s="5">
        <f>IFERROR(AVERAGEIFS('Continuous Assessment Records'!L:L,'Continuous Assessment Records'!A:A,$A54,'Continuous Assessment Records'!F:F,$B54,'Continuous Assessment Records'!C:C,"Mid-Term"),"")</f>
        <v/>
      </c>
      <c r="L54" s="5">
        <f>IF(OR(I54="",J54="",K54=""),"",I54*$I$205+J54*$J$205+K54*$K$205)</f>
        <v/>
      </c>
      <c r="M54">
        <f>IF(L54="","",IF(L54&gt;=0.7,3,IF(L54&gt;=0.6,2,IF(L54&gt;=0.5,1,0))))</f>
        <v/>
      </c>
      <c r="N54">
        <f>'CO–PO Attainment Summary'!E54</f>
        <v/>
      </c>
      <c r="O54">
        <f>IF(M54="",'CO–PO Attainment Summary'!F54,ROUND(0.8*M54+0.2*N54,0))</f>
        <v/>
      </c>
    </row>
    <row r="55">
      <c r="A55">
        <f>'CO–PO Attainment Summary'!A55</f>
        <v/>
      </c>
      <c r="B55">
        <f>'CO–PO Attainment Summary'!B55</f>
        <v/>
      </c>
      <c r="C55">
        <f>'CO–PO Attainment Summary'!C55</f>
        <v/>
      </c>
      <c r="D55">
        <f>'CO–PO Attainment Summary'!D55</f>
        <v/>
      </c>
      <c r="E55">
        <f>'CO–PO Attainment Summary'!E55</f>
        <v/>
      </c>
      <c r="F55">
        <f>'CO–PO Attainment Summary'!F55</f>
        <v/>
      </c>
      <c r="G55">
        <f>'CO–PO Attainment Summary'!G55</f>
        <v/>
      </c>
      <c r="H55">
        <f>'CO–PO Attainment Summary'!H55</f>
        <v/>
      </c>
      <c r="I55" s="5">
        <f>IFERROR(AVERAGEIFS('Continuous Assessment Records'!L:L,'Continuous Assessment Records'!A:A,$A55,'Continuous Assessment Records'!F:F,$B55,'Continuous Assessment Records'!C:C,"Assignment"),"")</f>
        <v/>
      </c>
      <c r="J55" s="5">
        <f>IFERROR(AVERAGEIFS('Continuous Assessment Records'!L:L,'Continuous Assessment Records'!A:A,$A55,'Continuous Assessment Records'!F:F,$B55,'Continuous Assessment Records'!C:C,"Unit Test"),"")</f>
        <v/>
      </c>
      <c r="K55" s="5">
        <f>IFERROR(AVERAGEIFS('Continuous Assessment Records'!L:L,'Continuous Assessment Records'!A:A,$A55,'Continuous Assessment Records'!F:F,$B55,'Continuous Assessment Records'!C:C,"Mid-Term"),"")</f>
        <v/>
      </c>
      <c r="L55" s="5">
        <f>IF(OR(I55="",J55="",K55=""),"",I55*$I$205+J55*$J$205+K55*$K$205)</f>
        <v/>
      </c>
      <c r="M55">
        <f>IF(L55="","",IF(L55&gt;=0.7,3,IF(L55&gt;=0.6,2,IF(L55&gt;=0.5,1,0))))</f>
        <v/>
      </c>
      <c r="N55">
        <f>'CO–PO Attainment Summary'!E55</f>
        <v/>
      </c>
      <c r="O55">
        <f>IF(M55="",'CO–PO Attainment Summary'!F55,ROUND(0.8*M55+0.2*N55,0))</f>
        <v/>
      </c>
    </row>
    <row r="56">
      <c r="A56">
        <f>'CO–PO Attainment Summary'!A56</f>
        <v/>
      </c>
      <c r="B56">
        <f>'CO–PO Attainment Summary'!B56</f>
        <v/>
      </c>
      <c r="C56">
        <f>'CO–PO Attainment Summary'!C56</f>
        <v/>
      </c>
      <c r="D56">
        <f>'CO–PO Attainment Summary'!D56</f>
        <v/>
      </c>
      <c r="E56">
        <f>'CO–PO Attainment Summary'!E56</f>
        <v/>
      </c>
      <c r="F56">
        <f>'CO–PO Attainment Summary'!F56</f>
        <v/>
      </c>
      <c r="G56">
        <f>'CO–PO Attainment Summary'!G56</f>
        <v/>
      </c>
      <c r="H56">
        <f>'CO–PO Attainment Summary'!H56</f>
        <v/>
      </c>
      <c r="I56" s="5">
        <f>IFERROR(AVERAGEIFS('Continuous Assessment Records'!L:L,'Continuous Assessment Records'!A:A,$A56,'Continuous Assessment Records'!F:F,$B56,'Continuous Assessment Records'!C:C,"Assignment"),"")</f>
        <v/>
      </c>
      <c r="J56" s="5">
        <f>IFERROR(AVERAGEIFS('Continuous Assessment Records'!L:L,'Continuous Assessment Records'!A:A,$A56,'Continuous Assessment Records'!F:F,$B56,'Continuous Assessment Records'!C:C,"Unit Test"),"")</f>
        <v/>
      </c>
      <c r="K56" s="5">
        <f>IFERROR(AVERAGEIFS('Continuous Assessment Records'!L:L,'Continuous Assessment Records'!A:A,$A56,'Continuous Assessment Records'!F:F,$B56,'Continuous Assessment Records'!C:C,"Mid-Term"),"")</f>
        <v/>
      </c>
      <c r="L56" s="5">
        <f>IF(OR(I56="",J56="",K56=""),"",I56*$I$205+J56*$J$205+K56*$K$205)</f>
        <v/>
      </c>
      <c r="M56">
        <f>IF(L56="","",IF(L56&gt;=0.7,3,IF(L56&gt;=0.6,2,IF(L56&gt;=0.5,1,0))))</f>
        <v/>
      </c>
      <c r="N56">
        <f>'CO–PO Attainment Summary'!E56</f>
        <v/>
      </c>
      <c r="O56">
        <f>IF(M56="",'CO–PO Attainment Summary'!F56,ROUND(0.8*M56+0.2*N56,0))</f>
        <v/>
      </c>
    </row>
    <row r="57">
      <c r="A57">
        <f>'CO–PO Attainment Summary'!A57</f>
        <v/>
      </c>
      <c r="B57">
        <f>'CO–PO Attainment Summary'!B57</f>
        <v/>
      </c>
      <c r="C57">
        <f>'CO–PO Attainment Summary'!C57</f>
        <v/>
      </c>
      <c r="D57">
        <f>'CO–PO Attainment Summary'!D57</f>
        <v/>
      </c>
      <c r="E57">
        <f>'CO–PO Attainment Summary'!E57</f>
        <v/>
      </c>
      <c r="F57">
        <f>'CO–PO Attainment Summary'!F57</f>
        <v/>
      </c>
      <c r="G57">
        <f>'CO–PO Attainment Summary'!G57</f>
        <v/>
      </c>
      <c r="H57">
        <f>'CO–PO Attainment Summary'!H57</f>
        <v/>
      </c>
      <c r="I57" s="5">
        <f>IFERROR(AVERAGEIFS('Continuous Assessment Records'!L:L,'Continuous Assessment Records'!A:A,$A57,'Continuous Assessment Records'!F:F,$B57,'Continuous Assessment Records'!C:C,"Assignment"),"")</f>
        <v/>
      </c>
      <c r="J57" s="5">
        <f>IFERROR(AVERAGEIFS('Continuous Assessment Records'!L:L,'Continuous Assessment Records'!A:A,$A57,'Continuous Assessment Records'!F:F,$B57,'Continuous Assessment Records'!C:C,"Unit Test"),"")</f>
        <v/>
      </c>
      <c r="K57" s="5">
        <f>IFERROR(AVERAGEIFS('Continuous Assessment Records'!L:L,'Continuous Assessment Records'!A:A,$A57,'Continuous Assessment Records'!F:F,$B57,'Continuous Assessment Records'!C:C,"Mid-Term"),"")</f>
        <v/>
      </c>
      <c r="L57" s="5">
        <f>IF(OR(I57="",J57="",K57=""),"",I57*$I$205+J57*$J$205+K57*$K$205)</f>
        <v/>
      </c>
      <c r="M57">
        <f>IF(L57="","",IF(L57&gt;=0.7,3,IF(L57&gt;=0.6,2,IF(L57&gt;=0.5,1,0))))</f>
        <v/>
      </c>
      <c r="N57">
        <f>'CO–PO Attainment Summary'!E57</f>
        <v/>
      </c>
      <c r="O57">
        <f>IF(M57="",'CO–PO Attainment Summary'!F57,ROUND(0.8*M57+0.2*N57,0))</f>
        <v/>
      </c>
    </row>
    <row r="58">
      <c r="A58">
        <f>'CO–PO Attainment Summary'!A58</f>
        <v/>
      </c>
      <c r="B58">
        <f>'CO–PO Attainment Summary'!B58</f>
        <v/>
      </c>
      <c r="C58">
        <f>'CO–PO Attainment Summary'!C58</f>
        <v/>
      </c>
      <c r="D58">
        <f>'CO–PO Attainment Summary'!D58</f>
        <v/>
      </c>
      <c r="E58">
        <f>'CO–PO Attainment Summary'!E58</f>
        <v/>
      </c>
      <c r="F58">
        <f>'CO–PO Attainment Summary'!F58</f>
        <v/>
      </c>
      <c r="G58">
        <f>'CO–PO Attainment Summary'!G58</f>
        <v/>
      </c>
      <c r="H58">
        <f>'CO–PO Attainment Summary'!H58</f>
        <v/>
      </c>
      <c r="I58" s="5">
        <f>IFERROR(AVERAGEIFS('Continuous Assessment Records'!L:L,'Continuous Assessment Records'!A:A,$A58,'Continuous Assessment Records'!F:F,$B58,'Continuous Assessment Records'!C:C,"Assignment"),"")</f>
        <v/>
      </c>
      <c r="J58" s="5">
        <f>IFERROR(AVERAGEIFS('Continuous Assessment Records'!L:L,'Continuous Assessment Records'!A:A,$A58,'Continuous Assessment Records'!F:F,$B58,'Continuous Assessment Records'!C:C,"Unit Test"),"")</f>
        <v/>
      </c>
      <c r="K58" s="5">
        <f>IFERROR(AVERAGEIFS('Continuous Assessment Records'!L:L,'Continuous Assessment Records'!A:A,$A58,'Continuous Assessment Records'!F:F,$B58,'Continuous Assessment Records'!C:C,"Mid-Term"),"")</f>
        <v/>
      </c>
      <c r="L58" s="5">
        <f>IF(OR(I58="",J58="",K58=""),"",I58*$I$205+J58*$J$205+K58*$K$205)</f>
        <v/>
      </c>
      <c r="M58">
        <f>IF(L58="","",IF(L58&gt;=0.7,3,IF(L58&gt;=0.6,2,IF(L58&gt;=0.5,1,0))))</f>
        <v/>
      </c>
      <c r="N58">
        <f>'CO–PO Attainment Summary'!E58</f>
        <v/>
      </c>
      <c r="O58">
        <f>IF(M58="",'CO–PO Attainment Summary'!F58,ROUND(0.8*M58+0.2*N58,0))</f>
        <v/>
      </c>
    </row>
    <row r="59">
      <c r="A59">
        <f>'CO–PO Attainment Summary'!A59</f>
        <v/>
      </c>
      <c r="B59">
        <f>'CO–PO Attainment Summary'!B59</f>
        <v/>
      </c>
      <c r="C59">
        <f>'CO–PO Attainment Summary'!C59</f>
        <v/>
      </c>
      <c r="D59">
        <f>'CO–PO Attainment Summary'!D59</f>
        <v/>
      </c>
      <c r="E59">
        <f>'CO–PO Attainment Summary'!E59</f>
        <v/>
      </c>
      <c r="F59">
        <f>'CO–PO Attainment Summary'!F59</f>
        <v/>
      </c>
      <c r="G59">
        <f>'CO–PO Attainment Summary'!G59</f>
        <v/>
      </c>
      <c r="H59">
        <f>'CO–PO Attainment Summary'!H59</f>
        <v/>
      </c>
      <c r="I59" s="5">
        <f>IFERROR(AVERAGEIFS('Continuous Assessment Records'!L:L,'Continuous Assessment Records'!A:A,$A59,'Continuous Assessment Records'!F:F,$B59,'Continuous Assessment Records'!C:C,"Assignment"),"")</f>
        <v/>
      </c>
      <c r="J59" s="5">
        <f>IFERROR(AVERAGEIFS('Continuous Assessment Records'!L:L,'Continuous Assessment Records'!A:A,$A59,'Continuous Assessment Records'!F:F,$B59,'Continuous Assessment Records'!C:C,"Unit Test"),"")</f>
        <v/>
      </c>
      <c r="K59" s="5">
        <f>IFERROR(AVERAGEIFS('Continuous Assessment Records'!L:L,'Continuous Assessment Records'!A:A,$A59,'Continuous Assessment Records'!F:F,$B59,'Continuous Assessment Records'!C:C,"Mid-Term"),"")</f>
        <v/>
      </c>
      <c r="L59" s="5">
        <f>IF(OR(I59="",J59="",K59=""),"",I59*$I$205+J59*$J$205+K59*$K$205)</f>
        <v/>
      </c>
      <c r="M59">
        <f>IF(L59="","",IF(L59&gt;=0.7,3,IF(L59&gt;=0.6,2,IF(L59&gt;=0.5,1,0))))</f>
        <v/>
      </c>
      <c r="N59">
        <f>'CO–PO Attainment Summary'!E59</f>
        <v/>
      </c>
      <c r="O59">
        <f>IF(M59="",'CO–PO Attainment Summary'!F59,ROUND(0.8*M59+0.2*N59,0))</f>
        <v/>
      </c>
    </row>
    <row r="60">
      <c r="A60">
        <f>'CO–PO Attainment Summary'!A60</f>
        <v/>
      </c>
      <c r="B60">
        <f>'CO–PO Attainment Summary'!B60</f>
        <v/>
      </c>
      <c r="C60">
        <f>'CO–PO Attainment Summary'!C60</f>
        <v/>
      </c>
      <c r="D60">
        <f>'CO–PO Attainment Summary'!D60</f>
        <v/>
      </c>
      <c r="E60">
        <f>'CO–PO Attainment Summary'!E60</f>
        <v/>
      </c>
      <c r="F60">
        <f>'CO–PO Attainment Summary'!F60</f>
        <v/>
      </c>
      <c r="G60">
        <f>'CO–PO Attainment Summary'!G60</f>
        <v/>
      </c>
      <c r="H60">
        <f>'CO–PO Attainment Summary'!H60</f>
        <v/>
      </c>
      <c r="I60" s="5">
        <f>IFERROR(AVERAGEIFS('Continuous Assessment Records'!L:L,'Continuous Assessment Records'!A:A,$A60,'Continuous Assessment Records'!F:F,$B60,'Continuous Assessment Records'!C:C,"Assignment"),"")</f>
        <v/>
      </c>
      <c r="J60" s="5">
        <f>IFERROR(AVERAGEIFS('Continuous Assessment Records'!L:L,'Continuous Assessment Records'!A:A,$A60,'Continuous Assessment Records'!F:F,$B60,'Continuous Assessment Records'!C:C,"Unit Test"),"")</f>
        <v/>
      </c>
      <c r="K60" s="5">
        <f>IFERROR(AVERAGEIFS('Continuous Assessment Records'!L:L,'Continuous Assessment Records'!A:A,$A60,'Continuous Assessment Records'!F:F,$B60,'Continuous Assessment Records'!C:C,"Mid-Term"),"")</f>
        <v/>
      </c>
      <c r="L60" s="5">
        <f>IF(OR(I60="",J60="",K60=""),"",I60*$I$205+J60*$J$205+K60*$K$205)</f>
        <v/>
      </c>
      <c r="M60">
        <f>IF(L60="","",IF(L60&gt;=0.7,3,IF(L60&gt;=0.6,2,IF(L60&gt;=0.5,1,0))))</f>
        <v/>
      </c>
      <c r="N60">
        <f>'CO–PO Attainment Summary'!E60</f>
        <v/>
      </c>
      <c r="O60">
        <f>IF(M60="",'CO–PO Attainment Summary'!F60,ROUND(0.8*M60+0.2*N60,0))</f>
        <v/>
      </c>
    </row>
    <row r="61">
      <c r="A61">
        <f>'CO–PO Attainment Summary'!A61</f>
        <v/>
      </c>
      <c r="B61">
        <f>'CO–PO Attainment Summary'!B61</f>
        <v/>
      </c>
      <c r="C61">
        <f>'CO–PO Attainment Summary'!C61</f>
        <v/>
      </c>
      <c r="D61">
        <f>'CO–PO Attainment Summary'!D61</f>
        <v/>
      </c>
      <c r="E61">
        <f>'CO–PO Attainment Summary'!E61</f>
        <v/>
      </c>
      <c r="F61">
        <f>'CO–PO Attainment Summary'!F61</f>
        <v/>
      </c>
      <c r="G61">
        <f>'CO–PO Attainment Summary'!G61</f>
        <v/>
      </c>
      <c r="H61">
        <f>'CO–PO Attainment Summary'!H61</f>
        <v/>
      </c>
      <c r="I61" s="5">
        <f>IFERROR(AVERAGEIFS('Continuous Assessment Records'!L:L,'Continuous Assessment Records'!A:A,$A61,'Continuous Assessment Records'!F:F,$B61,'Continuous Assessment Records'!C:C,"Assignment"),"")</f>
        <v/>
      </c>
      <c r="J61" s="5">
        <f>IFERROR(AVERAGEIFS('Continuous Assessment Records'!L:L,'Continuous Assessment Records'!A:A,$A61,'Continuous Assessment Records'!F:F,$B61,'Continuous Assessment Records'!C:C,"Unit Test"),"")</f>
        <v/>
      </c>
      <c r="K61" s="5">
        <f>IFERROR(AVERAGEIFS('Continuous Assessment Records'!L:L,'Continuous Assessment Records'!A:A,$A61,'Continuous Assessment Records'!F:F,$B61,'Continuous Assessment Records'!C:C,"Mid-Term"),"")</f>
        <v/>
      </c>
      <c r="L61" s="5">
        <f>IF(OR(I61="",J61="",K61=""),"",I61*$I$205+J61*$J$205+K61*$K$205)</f>
        <v/>
      </c>
      <c r="M61">
        <f>IF(L61="","",IF(L61&gt;=0.7,3,IF(L61&gt;=0.6,2,IF(L61&gt;=0.5,1,0))))</f>
        <v/>
      </c>
      <c r="N61">
        <f>'CO–PO Attainment Summary'!E61</f>
        <v/>
      </c>
      <c r="O61">
        <f>IF(M61="",'CO–PO Attainment Summary'!F61,ROUND(0.8*M61+0.2*N61,0))</f>
        <v/>
      </c>
    </row>
    <row r="62">
      <c r="A62">
        <f>'CO–PO Attainment Summary'!A62</f>
        <v/>
      </c>
      <c r="B62">
        <f>'CO–PO Attainment Summary'!B62</f>
        <v/>
      </c>
      <c r="C62">
        <f>'CO–PO Attainment Summary'!C62</f>
        <v/>
      </c>
      <c r="D62">
        <f>'CO–PO Attainment Summary'!D62</f>
        <v/>
      </c>
      <c r="E62">
        <f>'CO–PO Attainment Summary'!E62</f>
        <v/>
      </c>
      <c r="F62">
        <f>'CO–PO Attainment Summary'!F62</f>
        <v/>
      </c>
      <c r="G62">
        <f>'CO–PO Attainment Summary'!G62</f>
        <v/>
      </c>
      <c r="H62">
        <f>'CO–PO Attainment Summary'!H62</f>
        <v/>
      </c>
      <c r="I62" s="5">
        <f>IFERROR(AVERAGEIFS('Continuous Assessment Records'!L:L,'Continuous Assessment Records'!A:A,$A62,'Continuous Assessment Records'!F:F,$B62,'Continuous Assessment Records'!C:C,"Assignment"),"")</f>
        <v/>
      </c>
      <c r="J62" s="5">
        <f>IFERROR(AVERAGEIFS('Continuous Assessment Records'!L:L,'Continuous Assessment Records'!A:A,$A62,'Continuous Assessment Records'!F:F,$B62,'Continuous Assessment Records'!C:C,"Unit Test"),"")</f>
        <v/>
      </c>
      <c r="K62" s="5">
        <f>IFERROR(AVERAGEIFS('Continuous Assessment Records'!L:L,'Continuous Assessment Records'!A:A,$A62,'Continuous Assessment Records'!F:F,$B62,'Continuous Assessment Records'!C:C,"Mid-Term"),"")</f>
        <v/>
      </c>
      <c r="L62" s="5">
        <f>IF(OR(I62="",J62="",K62=""),"",I62*$I$205+J62*$J$205+K62*$K$205)</f>
        <v/>
      </c>
      <c r="M62">
        <f>IF(L62="","",IF(L62&gt;=0.7,3,IF(L62&gt;=0.6,2,IF(L62&gt;=0.5,1,0))))</f>
        <v/>
      </c>
      <c r="N62">
        <f>'CO–PO Attainment Summary'!E62</f>
        <v/>
      </c>
      <c r="O62">
        <f>IF(M62="",'CO–PO Attainment Summary'!F62,ROUND(0.8*M62+0.2*N62,0))</f>
        <v/>
      </c>
    </row>
    <row r="63">
      <c r="A63">
        <f>'CO–PO Attainment Summary'!A63</f>
        <v/>
      </c>
      <c r="B63">
        <f>'CO–PO Attainment Summary'!B63</f>
        <v/>
      </c>
      <c r="C63">
        <f>'CO–PO Attainment Summary'!C63</f>
        <v/>
      </c>
      <c r="D63">
        <f>'CO–PO Attainment Summary'!D63</f>
        <v/>
      </c>
      <c r="E63">
        <f>'CO–PO Attainment Summary'!E63</f>
        <v/>
      </c>
      <c r="F63">
        <f>'CO–PO Attainment Summary'!F63</f>
        <v/>
      </c>
      <c r="G63">
        <f>'CO–PO Attainment Summary'!G63</f>
        <v/>
      </c>
      <c r="H63">
        <f>'CO–PO Attainment Summary'!H63</f>
        <v/>
      </c>
      <c r="I63" s="5">
        <f>IFERROR(AVERAGEIFS('Continuous Assessment Records'!L:L,'Continuous Assessment Records'!A:A,$A63,'Continuous Assessment Records'!F:F,$B63,'Continuous Assessment Records'!C:C,"Assignment"),"")</f>
        <v/>
      </c>
      <c r="J63" s="5">
        <f>IFERROR(AVERAGEIFS('Continuous Assessment Records'!L:L,'Continuous Assessment Records'!A:A,$A63,'Continuous Assessment Records'!F:F,$B63,'Continuous Assessment Records'!C:C,"Unit Test"),"")</f>
        <v/>
      </c>
      <c r="K63" s="5">
        <f>IFERROR(AVERAGEIFS('Continuous Assessment Records'!L:L,'Continuous Assessment Records'!A:A,$A63,'Continuous Assessment Records'!F:F,$B63,'Continuous Assessment Records'!C:C,"Mid-Term"),"")</f>
        <v/>
      </c>
      <c r="L63" s="5">
        <f>IF(OR(I63="",J63="",K63=""),"",I63*$I$205+J63*$J$205+K63*$K$205)</f>
        <v/>
      </c>
      <c r="M63">
        <f>IF(L63="","",IF(L63&gt;=0.7,3,IF(L63&gt;=0.6,2,IF(L63&gt;=0.5,1,0))))</f>
        <v/>
      </c>
      <c r="N63">
        <f>'CO–PO Attainment Summary'!E63</f>
        <v/>
      </c>
      <c r="O63">
        <f>IF(M63="",'CO–PO Attainment Summary'!F63,ROUND(0.8*M63+0.2*N63,0))</f>
        <v/>
      </c>
    </row>
    <row r="64">
      <c r="A64">
        <f>'CO–PO Attainment Summary'!A64</f>
        <v/>
      </c>
      <c r="B64">
        <f>'CO–PO Attainment Summary'!B64</f>
        <v/>
      </c>
      <c r="C64">
        <f>'CO–PO Attainment Summary'!C64</f>
        <v/>
      </c>
      <c r="D64">
        <f>'CO–PO Attainment Summary'!D64</f>
        <v/>
      </c>
      <c r="E64">
        <f>'CO–PO Attainment Summary'!E64</f>
        <v/>
      </c>
      <c r="F64">
        <f>'CO–PO Attainment Summary'!F64</f>
        <v/>
      </c>
      <c r="G64">
        <f>'CO–PO Attainment Summary'!G64</f>
        <v/>
      </c>
      <c r="H64">
        <f>'CO–PO Attainment Summary'!H64</f>
        <v/>
      </c>
      <c r="I64" s="5">
        <f>IFERROR(AVERAGEIFS('Continuous Assessment Records'!L:L,'Continuous Assessment Records'!A:A,$A64,'Continuous Assessment Records'!F:F,$B64,'Continuous Assessment Records'!C:C,"Assignment"),"")</f>
        <v/>
      </c>
      <c r="J64" s="5">
        <f>IFERROR(AVERAGEIFS('Continuous Assessment Records'!L:L,'Continuous Assessment Records'!A:A,$A64,'Continuous Assessment Records'!F:F,$B64,'Continuous Assessment Records'!C:C,"Unit Test"),"")</f>
        <v/>
      </c>
      <c r="K64" s="5">
        <f>IFERROR(AVERAGEIFS('Continuous Assessment Records'!L:L,'Continuous Assessment Records'!A:A,$A64,'Continuous Assessment Records'!F:F,$B64,'Continuous Assessment Records'!C:C,"Mid-Term"),"")</f>
        <v/>
      </c>
      <c r="L64" s="5">
        <f>IF(OR(I64="",J64="",K64=""),"",I64*$I$205+J64*$J$205+K64*$K$205)</f>
        <v/>
      </c>
      <c r="M64">
        <f>IF(L64="","",IF(L64&gt;=0.7,3,IF(L64&gt;=0.6,2,IF(L64&gt;=0.5,1,0))))</f>
        <v/>
      </c>
      <c r="N64">
        <f>'CO–PO Attainment Summary'!E64</f>
        <v/>
      </c>
      <c r="O64">
        <f>IF(M64="",'CO–PO Attainment Summary'!F64,ROUND(0.8*M64+0.2*N64,0))</f>
        <v/>
      </c>
    </row>
    <row r="65">
      <c r="A65">
        <f>'CO–PO Attainment Summary'!A65</f>
        <v/>
      </c>
      <c r="B65">
        <f>'CO–PO Attainment Summary'!B65</f>
        <v/>
      </c>
      <c r="C65">
        <f>'CO–PO Attainment Summary'!C65</f>
        <v/>
      </c>
      <c r="D65">
        <f>'CO–PO Attainment Summary'!D65</f>
        <v/>
      </c>
      <c r="E65">
        <f>'CO–PO Attainment Summary'!E65</f>
        <v/>
      </c>
      <c r="F65">
        <f>'CO–PO Attainment Summary'!F65</f>
        <v/>
      </c>
      <c r="G65">
        <f>'CO–PO Attainment Summary'!G65</f>
        <v/>
      </c>
      <c r="H65">
        <f>'CO–PO Attainment Summary'!H65</f>
        <v/>
      </c>
      <c r="I65" s="5">
        <f>IFERROR(AVERAGEIFS('Continuous Assessment Records'!L:L,'Continuous Assessment Records'!A:A,$A65,'Continuous Assessment Records'!F:F,$B65,'Continuous Assessment Records'!C:C,"Assignment"),"")</f>
        <v/>
      </c>
      <c r="J65" s="5">
        <f>IFERROR(AVERAGEIFS('Continuous Assessment Records'!L:L,'Continuous Assessment Records'!A:A,$A65,'Continuous Assessment Records'!F:F,$B65,'Continuous Assessment Records'!C:C,"Unit Test"),"")</f>
        <v/>
      </c>
      <c r="K65" s="5">
        <f>IFERROR(AVERAGEIFS('Continuous Assessment Records'!L:L,'Continuous Assessment Records'!A:A,$A65,'Continuous Assessment Records'!F:F,$B65,'Continuous Assessment Records'!C:C,"Mid-Term"),"")</f>
        <v/>
      </c>
      <c r="L65" s="5">
        <f>IF(OR(I65="",J65="",K65=""),"",I65*$I$205+J65*$J$205+K65*$K$205)</f>
        <v/>
      </c>
      <c r="M65">
        <f>IF(L65="","",IF(L65&gt;=0.7,3,IF(L65&gt;=0.6,2,IF(L65&gt;=0.5,1,0))))</f>
        <v/>
      </c>
      <c r="N65">
        <f>'CO–PO Attainment Summary'!E65</f>
        <v/>
      </c>
      <c r="O65">
        <f>IF(M65="",'CO–PO Attainment Summary'!F65,ROUND(0.8*M65+0.2*N65,0))</f>
        <v/>
      </c>
    </row>
    <row r="66">
      <c r="A66">
        <f>'CO–PO Attainment Summary'!A66</f>
        <v/>
      </c>
      <c r="B66">
        <f>'CO–PO Attainment Summary'!B66</f>
        <v/>
      </c>
      <c r="C66">
        <f>'CO–PO Attainment Summary'!C66</f>
        <v/>
      </c>
      <c r="D66">
        <f>'CO–PO Attainment Summary'!D66</f>
        <v/>
      </c>
      <c r="E66">
        <f>'CO–PO Attainment Summary'!E66</f>
        <v/>
      </c>
      <c r="F66">
        <f>'CO–PO Attainment Summary'!F66</f>
        <v/>
      </c>
      <c r="G66">
        <f>'CO–PO Attainment Summary'!G66</f>
        <v/>
      </c>
      <c r="H66">
        <f>'CO–PO Attainment Summary'!H66</f>
        <v/>
      </c>
      <c r="I66" s="5">
        <f>IFERROR(AVERAGEIFS('Continuous Assessment Records'!L:L,'Continuous Assessment Records'!A:A,$A66,'Continuous Assessment Records'!F:F,$B66,'Continuous Assessment Records'!C:C,"Assignment"),"")</f>
        <v/>
      </c>
      <c r="J66" s="5">
        <f>IFERROR(AVERAGEIFS('Continuous Assessment Records'!L:L,'Continuous Assessment Records'!A:A,$A66,'Continuous Assessment Records'!F:F,$B66,'Continuous Assessment Records'!C:C,"Unit Test"),"")</f>
        <v/>
      </c>
      <c r="K66" s="5">
        <f>IFERROR(AVERAGEIFS('Continuous Assessment Records'!L:L,'Continuous Assessment Records'!A:A,$A66,'Continuous Assessment Records'!F:F,$B66,'Continuous Assessment Records'!C:C,"Mid-Term"),"")</f>
        <v/>
      </c>
      <c r="L66" s="5">
        <f>IF(OR(I66="",J66="",K66=""),"",I66*$I$205+J66*$J$205+K66*$K$205)</f>
        <v/>
      </c>
      <c r="M66">
        <f>IF(L66="","",IF(L66&gt;=0.7,3,IF(L66&gt;=0.6,2,IF(L66&gt;=0.5,1,0))))</f>
        <v/>
      </c>
      <c r="N66">
        <f>'CO–PO Attainment Summary'!E66</f>
        <v/>
      </c>
      <c r="O66">
        <f>IF(M66="",'CO–PO Attainment Summary'!F66,ROUND(0.8*M66+0.2*N66,0))</f>
        <v/>
      </c>
    </row>
    <row r="67">
      <c r="A67">
        <f>'CO–PO Attainment Summary'!A67</f>
        <v/>
      </c>
      <c r="B67">
        <f>'CO–PO Attainment Summary'!B67</f>
        <v/>
      </c>
      <c r="C67">
        <f>'CO–PO Attainment Summary'!C67</f>
        <v/>
      </c>
      <c r="D67">
        <f>'CO–PO Attainment Summary'!D67</f>
        <v/>
      </c>
      <c r="E67">
        <f>'CO–PO Attainment Summary'!E67</f>
        <v/>
      </c>
      <c r="F67">
        <f>'CO–PO Attainment Summary'!F67</f>
        <v/>
      </c>
      <c r="G67">
        <f>'CO–PO Attainment Summary'!G67</f>
        <v/>
      </c>
      <c r="H67">
        <f>'CO–PO Attainment Summary'!H67</f>
        <v/>
      </c>
      <c r="I67" s="5">
        <f>IFERROR(AVERAGEIFS('Continuous Assessment Records'!L:L,'Continuous Assessment Records'!A:A,$A67,'Continuous Assessment Records'!F:F,$B67,'Continuous Assessment Records'!C:C,"Assignment"),"")</f>
        <v/>
      </c>
      <c r="J67" s="5">
        <f>IFERROR(AVERAGEIFS('Continuous Assessment Records'!L:L,'Continuous Assessment Records'!A:A,$A67,'Continuous Assessment Records'!F:F,$B67,'Continuous Assessment Records'!C:C,"Unit Test"),"")</f>
        <v/>
      </c>
      <c r="K67" s="5">
        <f>IFERROR(AVERAGEIFS('Continuous Assessment Records'!L:L,'Continuous Assessment Records'!A:A,$A67,'Continuous Assessment Records'!F:F,$B67,'Continuous Assessment Records'!C:C,"Mid-Term"),"")</f>
        <v/>
      </c>
      <c r="L67" s="5">
        <f>IF(OR(I67="",J67="",K67=""),"",I67*$I$205+J67*$J$205+K67*$K$205)</f>
        <v/>
      </c>
      <c r="M67">
        <f>IF(L67="","",IF(L67&gt;=0.7,3,IF(L67&gt;=0.6,2,IF(L67&gt;=0.5,1,0))))</f>
        <v/>
      </c>
      <c r="N67">
        <f>'CO–PO Attainment Summary'!E67</f>
        <v/>
      </c>
      <c r="O67">
        <f>IF(M67="",'CO–PO Attainment Summary'!F67,ROUND(0.8*M67+0.2*N67,0))</f>
        <v/>
      </c>
    </row>
    <row r="68">
      <c r="A68">
        <f>'CO–PO Attainment Summary'!A68</f>
        <v/>
      </c>
      <c r="B68">
        <f>'CO–PO Attainment Summary'!B68</f>
        <v/>
      </c>
      <c r="C68">
        <f>'CO–PO Attainment Summary'!C68</f>
        <v/>
      </c>
      <c r="D68">
        <f>'CO–PO Attainment Summary'!D68</f>
        <v/>
      </c>
      <c r="E68">
        <f>'CO–PO Attainment Summary'!E68</f>
        <v/>
      </c>
      <c r="F68">
        <f>'CO–PO Attainment Summary'!F68</f>
        <v/>
      </c>
      <c r="G68">
        <f>'CO–PO Attainment Summary'!G68</f>
        <v/>
      </c>
      <c r="H68">
        <f>'CO–PO Attainment Summary'!H68</f>
        <v/>
      </c>
      <c r="I68" s="5">
        <f>IFERROR(AVERAGEIFS('Continuous Assessment Records'!L:L,'Continuous Assessment Records'!A:A,$A68,'Continuous Assessment Records'!F:F,$B68,'Continuous Assessment Records'!C:C,"Assignment"),"")</f>
        <v/>
      </c>
      <c r="J68" s="5">
        <f>IFERROR(AVERAGEIFS('Continuous Assessment Records'!L:L,'Continuous Assessment Records'!A:A,$A68,'Continuous Assessment Records'!F:F,$B68,'Continuous Assessment Records'!C:C,"Unit Test"),"")</f>
        <v/>
      </c>
      <c r="K68" s="5">
        <f>IFERROR(AVERAGEIFS('Continuous Assessment Records'!L:L,'Continuous Assessment Records'!A:A,$A68,'Continuous Assessment Records'!F:F,$B68,'Continuous Assessment Records'!C:C,"Mid-Term"),"")</f>
        <v/>
      </c>
      <c r="L68" s="5">
        <f>IF(OR(I68="",J68="",K68=""),"",I68*$I$205+J68*$J$205+K68*$K$205)</f>
        <v/>
      </c>
      <c r="M68">
        <f>IF(L68="","",IF(L68&gt;=0.7,3,IF(L68&gt;=0.6,2,IF(L68&gt;=0.5,1,0))))</f>
        <v/>
      </c>
      <c r="N68">
        <f>'CO–PO Attainment Summary'!E68</f>
        <v/>
      </c>
      <c r="O68">
        <f>IF(M68="",'CO–PO Attainment Summary'!F68,ROUND(0.8*M68+0.2*N68,0))</f>
        <v/>
      </c>
    </row>
    <row r="69">
      <c r="A69">
        <f>'CO–PO Attainment Summary'!A69</f>
        <v/>
      </c>
      <c r="B69">
        <f>'CO–PO Attainment Summary'!B69</f>
        <v/>
      </c>
      <c r="C69">
        <f>'CO–PO Attainment Summary'!C69</f>
        <v/>
      </c>
      <c r="D69">
        <f>'CO–PO Attainment Summary'!D69</f>
        <v/>
      </c>
      <c r="E69">
        <f>'CO–PO Attainment Summary'!E69</f>
        <v/>
      </c>
      <c r="F69">
        <f>'CO–PO Attainment Summary'!F69</f>
        <v/>
      </c>
      <c r="G69">
        <f>'CO–PO Attainment Summary'!G69</f>
        <v/>
      </c>
      <c r="H69">
        <f>'CO–PO Attainment Summary'!H69</f>
        <v/>
      </c>
      <c r="I69" s="5">
        <f>IFERROR(AVERAGEIFS('Continuous Assessment Records'!L:L,'Continuous Assessment Records'!A:A,$A69,'Continuous Assessment Records'!F:F,$B69,'Continuous Assessment Records'!C:C,"Assignment"),"")</f>
        <v/>
      </c>
      <c r="J69" s="5">
        <f>IFERROR(AVERAGEIFS('Continuous Assessment Records'!L:L,'Continuous Assessment Records'!A:A,$A69,'Continuous Assessment Records'!F:F,$B69,'Continuous Assessment Records'!C:C,"Unit Test"),"")</f>
        <v/>
      </c>
      <c r="K69" s="5">
        <f>IFERROR(AVERAGEIFS('Continuous Assessment Records'!L:L,'Continuous Assessment Records'!A:A,$A69,'Continuous Assessment Records'!F:F,$B69,'Continuous Assessment Records'!C:C,"Mid-Term"),"")</f>
        <v/>
      </c>
      <c r="L69" s="5">
        <f>IF(OR(I69="",J69="",K69=""),"",I69*$I$205+J69*$J$205+K69*$K$205)</f>
        <v/>
      </c>
      <c r="M69">
        <f>IF(L69="","",IF(L69&gt;=0.7,3,IF(L69&gt;=0.6,2,IF(L69&gt;=0.5,1,0))))</f>
        <v/>
      </c>
      <c r="N69">
        <f>'CO–PO Attainment Summary'!E69</f>
        <v/>
      </c>
      <c r="O69">
        <f>IF(M69="",'CO–PO Attainment Summary'!F69,ROUND(0.8*M69+0.2*N69,0))</f>
        <v/>
      </c>
    </row>
    <row r="70">
      <c r="A70">
        <f>'CO–PO Attainment Summary'!A70</f>
        <v/>
      </c>
      <c r="B70">
        <f>'CO–PO Attainment Summary'!B70</f>
        <v/>
      </c>
      <c r="C70">
        <f>'CO–PO Attainment Summary'!C70</f>
        <v/>
      </c>
      <c r="D70">
        <f>'CO–PO Attainment Summary'!D70</f>
        <v/>
      </c>
      <c r="E70">
        <f>'CO–PO Attainment Summary'!E70</f>
        <v/>
      </c>
      <c r="F70">
        <f>'CO–PO Attainment Summary'!F70</f>
        <v/>
      </c>
      <c r="G70">
        <f>'CO–PO Attainment Summary'!G70</f>
        <v/>
      </c>
      <c r="H70">
        <f>'CO–PO Attainment Summary'!H70</f>
        <v/>
      </c>
      <c r="I70" s="5">
        <f>IFERROR(AVERAGEIFS('Continuous Assessment Records'!L:L,'Continuous Assessment Records'!A:A,$A70,'Continuous Assessment Records'!F:F,$B70,'Continuous Assessment Records'!C:C,"Assignment"),"")</f>
        <v/>
      </c>
      <c r="J70" s="5">
        <f>IFERROR(AVERAGEIFS('Continuous Assessment Records'!L:L,'Continuous Assessment Records'!A:A,$A70,'Continuous Assessment Records'!F:F,$B70,'Continuous Assessment Records'!C:C,"Unit Test"),"")</f>
        <v/>
      </c>
      <c r="K70" s="5">
        <f>IFERROR(AVERAGEIFS('Continuous Assessment Records'!L:L,'Continuous Assessment Records'!A:A,$A70,'Continuous Assessment Records'!F:F,$B70,'Continuous Assessment Records'!C:C,"Mid-Term"),"")</f>
        <v/>
      </c>
      <c r="L70" s="5">
        <f>IF(OR(I70="",J70="",K70=""),"",I70*$I$205+J70*$J$205+K70*$K$205)</f>
        <v/>
      </c>
      <c r="M70">
        <f>IF(L70="","",IF(L70&gt;=0.7,3,IF(L70&gt;=0.6,2,IF(L70&gt;=0.5,1,0))))</f>
        <v/>
      </c>
      <c r="N70">
        <f>'CO–PO Attainment Summary'!E70</f>
        <v/>
      </c>
      <c r="O70">
        <f>IF(M70="",'CO–PO Attainment Summary'!F70,ROUND(0.8*M70+0.2*N70,0))</f>
        <v/>
      </c>
    </row>
    <row r="71">
      <c r="A71">
        <f>'CO–PO Attainment Summary'!A71</f>
        <v/>
      </c>
      <c r="B71">
        <f>'CO–PO Attainment Summary'!B71</f>
        <v/>
      </c>
      <c r="C71">
        <f>'CO–PO Attainment Summary'!C71</f>
        <v/>
      </c>
      <c r="D71">
        <f>'CO–PO Attainment Summary'!D71</f>
        <v/>
      </c>
      <c r="E71">
        <f>'CO–PO Attainment Summary'!E71</f>
        <v/>
      </c>
      <c r="F71">
        <f>'CO–PO Attainment Summary'!F71</f>
        <v/>
      </c>
      <c r="G71">
        <f>'CO–PO Attainment Summary'!G71</f>
        <v/>
      </c>
      <c r="H71">
        <f>'CO–PO Attainment Summary'!H71</f>
        <v/>
      </c>
      <c r="I71" s="5">
        <f>IFERROR(AVERAGEIFS('Continuous Assessment Records'!L:L,'Continuous Assessment Records'!A:A,$A71,'Continuous Assessment Records'!F:F,$B71,'Continuous Assessment Records'!C:C,"Assignment"),"")</f>
        <v/>
      </c>
      <c r="J71" s="5">
        <f>IFERROR(AVERAGEIFS('Continuous Assessment Records'!L:L,'Continuous Assessment Records'!A:A,$A71,'Continuous Assessment Records'!F:F,$B71,'Continuous Assessment Records'!C:C,"Unit Test"),"")</f>
        <v/>
      </c>
      <c r="K71" s="5">
        <f>IFERROR(AVERAGEIFS('Continuous Assessment Records'!L:L,'Continuous Assessment Records'!A:A,$A71,'Continuous Assessment Records'!F:F,$B71,'Continuous Assessment Records'!C:C,"Mid-Term"),"")</f>
        <v/>
      </c>
      <c r="L71" s="5">
        <f>IF(OR(I71="",J71="",K71=""),"",I71*$I$205+J71*$J$205+K71*$K$205)</f>
        <v/>
      </c>
      <c r="M71">
        <f>IF(L71="","",IF(L71&gt;=0.7,3,IF(L71&gt;=0.6,2,IF(L71&gt;=0.5,1,0))))</f>
        <v/>
      </c>
      <c r="N71">
        <f>'CO–PO Attainment Summary'!E71</f>
        <v/>
      </c>
      <c r="O71">
        <f>IF(M71="",'CO–PO Attainment Summary'!F71,ROUND(0.8*M71+0.2*N71,0))</f>
        <v/>
      </c>
    </row>
    <row r="72">
      <c r="A72">
        <f>'CO–PO Attainment Summary'!A72</f>
        <v/>
      </c>
      <c r="B72">
        <f>'CO–PO Attainment Summary'!B72</f>
        <v/>
      </c>
      <c r="C72">
        <f>'CO–PO Attainment Summary'!C72</f>
        <v/>
      </c>
      <c r="D72">
        <f>'CO–PO Attainment Summary'!D72</f>
        <v/>
      </c>
      <c r="E72">
        <f>'CO–PO Attainment Summary'!E72</f>
        <v/>
      </c>
      <c r="F72">
        <f>'CO–PO Attainment Summary'!F72</f>
        <v/>
      </c>
      <c r="G72">
        <f>'CO–PO Attainment Summary'!G72</f>
        <v/>
      </c>
      <c r="H72">
        <f>'CO–PO Attainment Summary'!H72</f>
        <v/>
      </c>
      <c r="I72" s="5">
        <f>IFERROR(AVERAGEIFS('Continuous Assessment Records'!L:L,'Continuous Assessment Records'!A:A,$A72,'Continuous Assessment Records'!F:F,$B72,'Continuous Assessment Records'!C:C,"Assignment"),"")</f>
        <v/>
      </c>
      <c r="J72" s="5">
        <f>IFERROR(AVERAGEIFS('Continuous Assessment Records'!L:L,'Continuous Assessment Records'!A:A,$A72,'Continuous Assessment Records'!F:F,$B72,'Continuous Assessment Records'!C:C,"Unit Test"),"")</f>
        <v/>
      </c>
      <c r="K72" s="5">
        <f>IFERROR(AVERAGEIFS('Continuous Assessment Records'!L:L,'Continuous Assessment Records'!A:A,$A72,'Continuous Assessment Records'!F:F,$B72,'Continuous Assessment Records'!C:C,"Mid-Term"),"")</f>
        <v/>
      </c>
      <c r="L72" s="5">
        <f>IF(OR(I72="",J72="",K72=""),"",I72*$I$205+J72*$J$205+K72*$K$205)</f>
        <v/>
      </c>
      <c r="M72">
        <f>IF(L72="","",IF(L72&gt;=0.7,3,IF(L72&gt;=0.6,2,IF(L72&gt;=0.5,1,0))))</f>
        <v/>
      </c>
      <c r="N72">
        <f>'CO–PO Attainment Summary'!E72</f>
        <v/>
      </c>
      <c r="O72">
        <f>IF(M72="",'CO–PO Attainment Summary'!F72,ROUND(0.8*M72+0.2*N72,0))</f>
        <v/>
      </c>
    </row>
    <row r="73">
      <c r="A73">
        <f>'CO–PO Attainment Summary'!A73</f>
        <v/>
      </c>
      <c r="B73">
        <f>'CO–PO Attainment Summary'!B73</f>
        <v/>
      </c>
      <c r="C73">
        <f>'CO–PO Attainment Summary'!C73</f>
        <v/>
      </c>
      <c r="D73">
        <f>'CO–PO Attainment Summary'!D73</f>
        <v/>
      </c>
      <c r="E73">
        <f>'CO–PO Attainment Summary'!E73</f>
        <v/>
      </c>
      <c r="F73">
        <f>'CO–PO Attainment Summary'!F73</f>
        <v/>
      </c>
      <c r="G73">
        <f>'CO–PO Attainment Summary'!G73</f>
        <v/>
      </c>
      <c r="H73">
        <f>'CO–PO Attainment Summary'!H73</f>
        <v/>
      </c>
      <c r="I73" s="5">
        <f>IFERROR(AVERAGEIFS('Continuous Assessment Records'!L:L,'Continuous Assessment Records'!A:A,$A73,'Continuous Assessment Records'!F:F,$B73,'Continuous Assessment Records'!C:C,"Assignment"),"")</f>
        <v/>
      </c>
      <c r="J73" s="5">
        <f>IFERROR(AVERAGEIFS('Continuous Assessment Records'!L:L,'Continuous Assessment Records'!A:A,$A73,'Continuous Assessment Records'!F:F,$B73,'Continuous Assessment Records'!C:C,"Unit Test"),"")</f>
        <v/>
      </c>
      <c r="K73" s="5">
        <f>IFERROR(AVERAGEIFS('Continuous Assessment Records'!L:L,'Continuous Assessment Records'!A:A,$A73,'Continuous Assessment Records'!F:F,$B73,'Continuous Assessment Records'!C:C,"Mid-Term"),"")</f>
        <v/>
      </c>
      <c r="L73" s="5">
        <f>IF(OR(I73="",J73="",K73=""),"",I73*$I$205+J73*$J$205+K73*$K$205)</f>
        <v/>
      </c>
      <c r="M73">
        <f>IF(L73="","",IF(L73&gt;=0.7,3,IF(L73&gt;=0.6,2,IF(L73&gt;=0.5,1,0))))</f>
        <v/>
      </c>
      <c r="N73">
        <f>'CO–PO Attainment Summary'!E73</f>
        <v/>
      </c>
      <c r="O73">
        <f>IF(M73="",'CO–PO Attainment Summary'!F73,ROUND(0.8*M73+0.2*N73,0))</f>
        <v/>
      </c>
    </row>
    <row r="74">
      <c r="A74">
        <f>'CO–PO Attainment Summary'!A74</f>
        <v/>
      </c>
      <c r="B74">
        <f>'CO–PO Attainment Summary'!B74</f>
        <v/>
      </c>
      <c r="C74">
        <f>'CO–PO Attainment Summary'!C74</f>
        <v/>
      </c>
      <c r="D74">
        <f>'CO–PO Attainment Summary'!D74</f>
        <v/>
      </c>
      <c r="E74">
        <f>'CO–PO Attainment Summary'!E74</f>
        <v/>
      </c>
      <c r="F74">
        <f>'CO–PO Attainment Summary'!F74</f>
        <v/>
      </c>
      <c r="G74">
        <f>'CO–PO Attainment Summary'!G74</f>
        <v/>
      </c>
      <c r="H74">
        <f>'CO–PO Attainment Summary'!H74</f>
        <v/>
      </c>
      <c r="I74" s="5">
        <f>IFERROR(AVERAGEIFS('Continuous Assessment Records'!L:L,'Continuous Assessment Records'!A:A,$A74,'Continuous Assessment Records'!F:F,$B74,'Continuous Assessment Records'!C:C,"Assignment"),"")</f>
        <v/>
      </c>
      <c r="J74" s="5">
        <f>IFERROR(AVERAGEIFS('Continuous Assessment Records'!L:L,'Continuous Assessment Records'!A:A,$A74,'Continuous Assessment Records'!F:F,$B74,'Continuous Assessment Records'!C:C,"Unit Test"),"")</f>
        <v/>
      </c>
      <c r="K74" s="5">
        <f>IFERROR(AVERAGEIFS('Continuous Assessment Records'!L:L,'Continuous Assessment Records'!A:A,$A74,'Continuous Assessment Records'!F:F,$B74,'Continuous Assessment Records'!C:C,"Mid-Term"),"")</f>
        <v/>
      </c>
      <c r="L74" s="5">
        <f>IF(OR(I74="",J74="",K74=""),"",I74*$I$205+J74*$J$205+K74*$K$205)</f>
        <v/>
      </c>
      <c r="M74">
        <f>IF(L74="","",IF(L74&gt;=0.7,3,IF(L74&gt;=0.6,2,IF(L74&gt;=0.5,1,0))))</f>
        <v/>
      </c>
      <c r="N74">
        <f>'CO–PO Attainment Summary'!E74</f>
        <v/>
      </c>
      <c r="O74">
        <f>IF(M74="",'CO–PO Attainment Summary'!F74,ROUND(0.8*M74+0.2*N74,0))</f>
        <v/>
      </c>
    </row>
    <row r="75">
      <c r="A75">
        <f>'CO–PO Attainment Summary'!A75</f>
        <v/>
      </c>
      <c r="B75">
        <f>'CO–PO Attainment Summary'!B75</f>
        <v/>
      </c>
      <c r="C75">
        <f>'CO–PO Attainment Summary'!C75</f>
        <v/>
      </c>
      <c r="D75">
        <f>'CO–PO Attainment Summary'!D75</f>
        <v/>
      </c>
      <c r="E75">
        <f>'CO–PO Attainment Summary'!E75</f>
        <v/>
      </c>
      <c r="F75">
        <f>'CO–PO Attainment Summary'!F75</f>
        <v/>
      </c>
      <c r="G75">
        <f>'CO–PO Attainment Summary'!G75</f>
        <v/>
      </c>
      <c r="H75">
        <f>'CO–PO Attainment Summary'!H75</f>
        <v/>
      </c>
      <c r="I75" s="5">
        <f>IFERROR(AVERAGEIFS('Continuous Assessment Records'!L:L,'Continuous Assessment Records'!A:A,$A75,'Continuous Assessment Records'!F:F,$B75,'Continuous Assessment Records'!C:C,"Assignment"),"")</f>
        <v/>
      </c>
      <c r="J75" s="5">
        <f>IFERROR(AVERAGEIFS('Continuous Assessment Records'!L:L,'Continuous Assessment Records'!A:A,$A75,'Continuous Assessment Records'!F:F,$B75,'Continuous Assessment Records'!C:C,"Unit Test"),"")</f>
        <v/>
      </c>
      <c r="K75" s="5">
        <f>IFERROR(AVERAGEIFS('Continuous Assessment Records'!L:L,'Continuous Assessment Records'!A:A,$A75,'Continuous Assessment Records'!F:F,$B75,'Continuous Assessment Records'!C:C,"Mid-Term"),"")</f>
        <v/>
      </c>
      <c r="L75" s="5">
        <f>IF(OR(I75="",J75="",K75=""),"",I75*$I$205+J75*$J$205+K75*$K$205)</f>
        <v/>
      </c>
      <c r="M75">
        <f>IF(L75="","",IF(L75&gt;=0.7,3,IF(L75&gt;=0.6,2,IF(L75&gt;=0.5,1,0))))</f>
        <v/>
      </c>
      <c r="N75">
        <f>'CO–PO Attainment Summary'!E75</f>
        <v/>
      </c>
      <c r="O75">
        <f>IF(M75="",'CO–PO Attainment Summary'!F75,ROUND(0.8*M75+0.2*N75,0))</f>
        <v/>
      </c>
    </row>
    <row r="76">
      <c r="A76">
        <f>'CO–PO Attainment Summary'!A76</f>
        <v/>
      </c>
      <c r="B76">
        <f>'CO–PO Attainment Summary'!B76</f>
        <v/>
      </c>
      <c r="C76">
        <f>'CO–PO Attainment Summary'!C76</f>
        <v/>
      </c>
      <c r="D76">
        <f>'CO–PO Attainment Summary'!D76</f>
        <v/>
      </c>
      <c r="E76">
        <f>'CO–PO Attainment Summary'!E76</f>
        <v/>
      </c>
      <c r="F76">
        <f>'CO–PO Attainment Summary'!F76</f>
        <v/>
      </c>
      <c r="G76">
        <f>'CO–PO Attainment Summary'!G76</f>
        <v/>
      </c>
      <c r="H76">
        <f>'CO–PO Attainment Summary'!H76</f>
        <v/>
      </c>
      <c r="I76" s="5">
        <f>IFERROR(AVERAGEIFS('Continuous Assessment Records'!L:L,'Continuous Assessment Records'!A:A,$A76,'Continuous Assessment Records'!F:F,$B76,'Continuous Assessment Records'!C:C,"Assignment"),"")</f>
        <v/>
      </c>
      <c r="J76" s="5">
        <f>IFERROR(AVERAGEIFS('Continuous Assessment Records'!L:L,'Continuous Assessment Records'!A:A,$A76,'Continuous Assessment Records'!F:F,$B76,'Continuous Assessment Records'!C:C,"Unit Test"),"")</f>
        <v/>
      </c>
      <c r="K76" s="5">
        <f>IFERROR(AVERAGEIFS('Continuous Assessment Records'!L:L,'Continuous Assessment Records'!A:A,$A76,'Continuous Assessment Records'!F:F,$B76,'Continuous Assessment Records'!C:C,"Mid-Term"),"")</f>
        <v/>
      </c>
      <c r="L76" s="5">
        <f>IF(OR(I76="",J76="",K76=""),"",I76*$I$205+J76*$J$205+K76*$K$205)</f>
        <v/>
      </c>
      <c r="M76">
        <f>IF(L76="","",IF(L76&gt;=0.7,3,IF(L76&gt;=0.6,2,IF(L76&gt;=0.5,1,0))))</f>
        <v/>
      </c>
      <c r="N76">
        <f>'CO–PO Attainment Summary'!E76</f>
        <v/>
      </c>
      <c r="O76">
        <f>IF(M76="",'CO–PO Attainment Summary'!F76,ROUND(0.8*M76+0.2*N76,0))</f>
        <v/>
      </c>
    </row>
    <row r="77">
      <c r="A77">
        <f>'CO–PO Attainment Summary'!A77</f>
        <v/>
      </c>
      <c r="B77">
        <f>'CO–PO Attainment Summary'!B77</f>
        <v/>
      </c>
      <c r="C77">
        <f>'CO–PO Attainment Summary'!C77</f>
        <v/>
      </c>
      <c r="D77">
        <f>'CO–PO Attainment Summary'!D77</f>
        <v/>
      </c>
      <c r="E77">
        <f>'CO–PO Attainment Summary'!E77</f>
        <v/>
      </c>
      <c r="F77">
        <f>'CO–PO Attainment Summary'!F77</f>
        <v/>
      </c>
      <c r="G77">
        <f>'CO–PO Attainment Summary'!G77</f>
        <v/>
      </c>
      <c r="H77">
        <f>'CO–PO Attainment Summary'!H77</f>
        <v/>
      </c>
      <c r="I77" s="5">
        <f>IFERROR(AVERAGEIFS('Continuous Assessment Records'!L:L,'Continuous Assessment Records'!A:A,$A77,'Continuous Assessment Records'!F:F,$B77,'Continuous Assessment Records'!C:C,"Assignment"),"")</f>
        <v/>
      </c>
      <c r="J77" s="5">
        <f>IFERROR(AVERAGEIFS('Continuous Assessment Records'!L:L,'Continuous Assessment Records'!A:A,$A77,'Continuous Assessment Records'!F:F,$B77,'Continuous Assessment Records'!C:C,"Unit Test"),"")</f>
        <v/>
      </c>
      <c r="K77" s="5">
        <f>IFERROR(AVERAGEIFS('Continuous Assessment Records'!L:L,'Continuous Assessment Records'!A:A,$A77,'Continuous Assessment Records'!F:F,$B77,'Continuous Assessment Records'!C:C,"Mid-Term"),"")</f>
        <v/>
      </c>
      <c r="L77" s="5">
        <f>IF(OR(I77="",J77="",K77=""),"",I77*$I$205+J77*$J$205+K77*$K$205)</f>
        <v/>
      </c>
      <c r="M77">
        <f>IF(L77="","",IF(L77&gt;=0.7,3,IF(L77&gt;=0.6,2,IF(L77&gt;=0.5,1,0))))</f>
        <v/>
      </c>
      <c r="N77">
        <f>'CO–PO Attainment Summary'!E77</f>
        <v/>
      </c>
      <c r="O77">
        <f>IF(M77="",'CO–PO Attainment Summary'!F77,ROUND(0.8*M77+0.2*N77,0))</f>
        <v/>
      </c>
    </row>
    <row r="78">
      <c r="A78">
        <f>'CO–PO Attainment Summary'!A78</f>
        <v/>
      </c>
      <c r="B78">
        <f>'CO–PO Attainment Summary'!B78</f>
        <v/>
      </c>
      <c r="C78">
        <f>'CO–PO Attainment Summary'!C78</f>
        <v/>
      </c>
      <c r="D78">
        <f>'CO–PO Attainment Summary'!D78</f>
        <v/>
      </c>
      <c r="E78">
        <f>'CO–PO Attainment Summary'!E78</f>
        <v/>
      </c>
      <c r="F78">
        <f>'CO–PO Attainment Summary'!F78</f>
        <v/>
      </c>
      <c r="G78">
        <f>'CO–PO Attainment Summary'!G78</f>
        <v/>
      </c>
      <c r="H78">
        <f>'CO–PO Attainment Summary'!H78</f>
        <v/>
      </c>
      <c r="I78" s="5">
        <f>IFERROR(AVERAGEIFS('Continuous Assessment Records'!L:L,'Continuous Assessment Records'!A:A,$A78,'Continuous Assessment Records'!F:F,$B78,'Continuous Assessment Records'!C:C,"Assignment"),"")</f>
        <v/>
      </c>
      <c r="J78" s="5">
        <f>IFERROR(AVERAGEIFS('Continuous Assessment Records'!L:L,'Continuous Assessment Records'!A:A,$A78,'Continuous Assessment Records'!F:F,$B78,'Continuous Assessment Records'!C:C,"Unit Test"),"")</f>
        <v/>
      </c>
      <c r="K78" s="5">
        <f>IFERROR(AVERAGEIFS('Continuous Assessment Records'!L:L,'Continuous Assessment Records'!A:A,$A78,'Continuous Assessment Records'!F:F,$B78,'Continuous Assessment Records'!C:C,"Mid-Term"),"")</f>
        <v/>
      </c>
      <c r="L78" s="5">
        <f>IF(OR(I78="",J78="",K78=""),"",I78*$I$205+J78*$J$205+K78*$K$205)</f>
        <v/>
      </c>
      <c r="M78">
        <f>IF(L78="","",IF(L78&gt;=0.7,3,IF(L78&gt;=0.6,2,IF(L78&gt;=0.5,1,0))))</f>
        <v/>
      </c>
      <c r="N78">
        <f>'CO–PO Attainment Summary'!E78</f>
        <v/>
      </c>
      <c r="O78">
        <f>IF(M78="",'CO–PO Attainment Summary'!F78,ROUND(0.8*M78+0.2*N78,0))</f>
        <v/>
      </c>
    </row>
    <row r="79">
      <c r="A79">
        <f>'CO–PO Attainment Summary'!A79</f>
        <v/>
      </c>
      <c r="B79">
        <f>'CO–PO Attainment Summary'!B79</f>
        <v/>
      </c>
      <c r="C79">
        <f>'CO–PO Attainment Summary'!C79</f>
        <v/>
      </c>
      <c r="D79">
        <f>'CO–PO Attainment Summary'!D79</f>
        <v/>
      </c>
      <c r="E79">
        <f>'CO–PO Attainment Summary'!E79</f>
        <v/>
      </c>
      <c r="F79">
        <f>'CO–PO Attainment Summary'!F79</f>
        <v/>
      </c>
      <c r="G79">
        <f>'CO–PO Attainment Summary'!G79</f>
        <v/>
      </c>
      <c r="H79">
        <f>'CO–PO Attainment Summary'!H79</f>
        <v/>
      </c>
      <c r="I79" s="5">
        <f>IFERROR(AVERAGEIFS('Continuous Assessment Records'!L:L,'Continuous Assessment Records'!A:A,$A79,'Continuous Assessment Records'!F:F,$B79,'Continuous Assessment Records'!C:C,"Assignment"),"")</f>
        <v/>
      </c>
      <c r="J79" s="5">
        <f>IFERROR(AVERAGEIFS('Continuous Assessment Records'!L:L,'Continuous Assessment Records'!A:A,$A79,'Continuous Assessment Records'!F:F,$B79,'Continuous Assessment Records'!C:C,"Unit Test"),"")</f>
        <v/>
      </c>
      <c r="K79" s="5">
        <f>IFERROR(AVERAGEIFS('Continuous Assessment Records'!L:L,'Continuous Assessment Records'!A:A,$A79,'Continuous Assessment Records'!F:F,$B79,'Continuous Assessment Records'!C:C,"Mid-Term"),"")</f>
        <v/>
      </c>
      <c r="L79" s="5">
        <f>IF(OR(I79="",J79="",K79=""),"",I79*$I$205+J79*$J$205+K79*$K$205)</f>
        <v/>
      </c>
      <c r="M79">
        <f>IF(L79="","",IF(L79&gt;=0.7,3,IF(L79&gt;=0.6,2,IF(L79&gt;=0.5,1,0))))</f>
        <v/>
      </c>
      <c r="N79">
        <f>'CO–PO Attainment Summary'!E79</f>
        <v/>
      </c>
      <c r="O79">
        <f>IF(M79="",'CO–PO Attainment Summary'!F79,ROUND(0.8*M79+0.2*N79,0))</f>
        <v/>
      </c>
    </row>
    <row r="80">
      <c r="A80">
        <f>'CO–PO Attainment Summary'!A80</f>
        <v/>
      </c>
      <c r="B80">
        <f>'CO–PO Attainment Summary'!B80</f>
        <v/>
      </c>
      <c r="C80">
        <f>'CO–PO Attainment Summary'!C80</f>
        <v/>
      </c>
      <c r="D80">
        <f>'CO–PO Attainment Summary'!D80</f>
        <v/>
      </c>
      <c r="E80">
        <f>'CO–PO Attainment Summary'!E80</f>
        <v/>
      </c>
      <c r="F80">
        <f>'CO–PO Attainment Summary'!F80</f>
        <v/>
      </c>
      <c r="G80">
        <f>'CO–PO Attainment Summary'!G80</f>
        <v/>
      </c>
      <c r="H80">
        <f>'CO–PO Attainment Summary'!H80</f>
        <v/>
      </c>
      <c r="I80" s="5">
        <f>IFERROR(AVERAGEIFS('Continuous Assessment Records'!L:L,'Continuous Assessment Records'!A:A,$A80,'Continuous Assessment Records'!F:F,$B80,'Continuous Assessment Records'!C:C,"Assignment"),"")</f>
        <v/>
      </c>
      <c r="J80" s="5">
        <f>IFERROR(AVERAGEIFS('Continuous Assessment Records'!L:L,'Continuous Assessment Records'!A:A,$A80,'Continuous Assessment Records'!F:F,$B80,'Continuous Assessment Records'!C:C,"Unit Test"),"")</f>
        <v/>
      </c>
      <c r="K80" s="5">
        <f>IFERROR(AVERAGEIFS('Continuous Assessment Records'!L:L,'Continuous Assessment Records'!A:A,$A80,'Continuous Assessment Records'!F:F,$B80,'Continuous Assessment Records'!C:C,"Mid-Term"),"")</f>
        <v/>
      </c>
      <c r="L80" s="5">
        <f>IF(OR(I80="",J80="",K80=""),"",I80*$I$205+J80*$J$205+K80*$K$205)</f>
        <v/>
      </c>
      <c r="M80">
        <f>IF(L80="","",IF(L80&gt;=0.7,3,IF(L80&gt;=0.6,2,IF(L80&gt;=0.5,1,0))))</f>
        <v/>
      </c>
      <c r="N80">
        <f>'CO–PO Attainment Summary'!E80</f>
        <v/>
      </c>
      <c r="O80">
        <f>IF(M80="",'CO–PO Attainment Summary'!F80,ROUND(0.8*M80+0.2*N80,0))</f>
        <v/>
      </c>
    </row>
    <row r="81">
      <c r="A81">
        <f>'CO–PO Attainment Summary'!A81</f>
        <v/>
      </c>
      <c r="B81">
        <f>'CO–PO Attainment Summary'!B81</f>
        <v/>
      </c>
      <c r="C81">
        <f>'CO–PO Attainment Summary'!C81</f>
        <v/>
      </c>
      <c r="D81">
        <f>'CO–PO Attainment Summary'!D81</f>
        <v/>
      </c>
      <c r="E81">
        <f>'CO–PO Attainment Summary'!E81</f>
        <v/>
      </c>
      <c r="F81">
        <f>'CO–PO Attainment Summary'!F81</f>
        <v/>
      </c>
      <c r="G81">
        <f>'CO–PO Attainment Summary'!G81</f>
        <v/>
      </c>
      <c r="H81">
        <f>'CO–PO Attainment Summary'!H81</f>
        <v/>
      </c>
      <c r="I81" s="5">
        <f>IFERROR(AVERAGEIFS('Continuous Assessment Records'!L:L,'Continuous Assessment Records'!A:A,$A81,'Continuous Assessment Records'!F:F,$B81,'Continuous Assessment Records'!C:C,"Assignment"),"")</f>
        <v/>
      </c>
      <c r="J81" s="5">
        <f>IFERROR(AVERAGEIFS('Continuous Assessment Records'!L:L,'Continuous Assessment Records'!A:A,$A81,'Continuous Assessment Records'!F:F,$B81,'Continuous Assessment Records'!C:C,"Unit Test"),"")</f>
        <v/>
      </c>
      <c r="K81" s="5">
        <f>IFERROR(AVERAGEIFS('Continuous Assessment Records'!L:L,'Continuous Assessment Records'!A:A,$A81,'Continuous Assessment Records'!F:F,$B81,'Continuous Assessment Records'!C:C,"Mid-Term"),"")</f>
        <v/>
      </c>
      <c r="L81" s="5">
        <f>IF(OR(I81="",J81="",K81=""),"",I81*$I$205+J81*$J$205+K81*$K$205)</f>
        <v/>
      </c>
      <c r="M81">
        <f>IF(L81="","",IF(L81&gt;=0.7,3,IF(L81&gt;=0.6,2,IF(L81&gt;=0.5,1,0))))</f>
        <v/>
      </c>
      <c r="N81">
        <f>'CO–PO Attainment Summary'!E81</f>
        <v/>
      </c>
      <c r="O81">
        <f>IF(M81="",'CO–PO Attainment Summary'!F81,ROUND(0.8*M81+0.2*N81,0))</f>
        <v/>
      </c>
    </row>
    <row r="82">
      <c r="A82">
        <f>'CO–PO Attainment Summary'!A82</f>
        <v/>
      </c>
      <c r="B82">
        <f>'CO–PO Attainment Summary'!B82</f>
        <v/>
      </c>
      <c r="C82">
        <f>'CO–PO Attainment Summary'!C82</f>
        <v/>
      </c>
      <c r="D82">
        <f>'CO–PO Attainment Summary'!D82</f>
        <v/>
      </c>
      <c r="E82">
        <f>'CO–PO Attainment Summary'!E82</f>
        <v/>
      </c>
      <c r="F82">
        <f>'CO–PO Attainment Summary'!F82</f>
        <v/>
      </c>
      <c r="G82">
        <f>'CO–PO Attainment Summary'!G82</f>
        <v/>
      </c>
      <c r="H82">
        <f>'CO–PO Attainment Summary'!H82</f>
        <v/>
      </c>
      <c r="I82" s="5">
        <f>IFERROR(AVERAGEIFS('Continuous Assessment Records'!L:L,'Continuous Assessment Records'!A:A,$A82,'Continuous Assessment Records'!F:F,$B82,'Continuous Assessment Records'!C:C,"Assignment"),"")</f>
        <v/>
      </c>
      <c r="J82" s="5">
        <f>IFERROR(AVERAGEIFS('Continuous Assessment Records'!L:L,'Continuous Assessment Records'!A:A,$A82,'Continuous Assessment Records'!F:F,$B82,'Continuous Assessment Records'!C:C,"Unit Test"),"")</f>
        <v/>
      </c>
      <c r="K82" s="5">
        <f>IFERROR(AVERAGEIFS('Continuous Assessment Records'!L:L,'Continuous Assessment Records'!A:A,$A82,'Continuous Assessment Records'!F:F,$B82,'Continuous Assessment Records'!C:C,"Mid-Term"),"")</f>
        <v/>
      </c>
      <c r="L82" s="5">
        <f>IF(OR(I82="",J82="",K82=""),"",I82*$I$205+J82*$J$205+K82*$K$205)</f>
        <v/>
      </c>
      <c r="M82">
        <f>IF(L82="","",IF(L82&gt;=0.7,3,IF(L82&gt;=0.6,2,IF(L82&gt;=0.5,1,0))))</f>
        <v/>
      </c>
      <c r="N82">
        <f>'CO–PO Attainment Summary'!E82</f>
        <v/>
      </c>
      <c r="O82">
        <f>IF(M82="",'CO–PO Attainment Summary'!F82,ROUND(0.8*M82+0.2*N82,0))</f>
        <v/>
      </c>
    </row>
    <row r="83">
      <c r="A83">
        <f>'CO–PO Attainment Summary'!A83</f>
        <v/>
      </c>
      <c r="B83">
        <f>'CO–PO Attainment Summary'!B83</f>
        <v/>
      </c>
      <c r="C83">
        <f>'CO–PO Attainment Summary'!C83</f>
        <v/>
      </c>
      <c r="D83">
        <f>'CO–PO Attainment Summary'!D83</f>
        <v/>
      </c>
      <c r="E83">
        <f>'CO–PO Attainment Summary'!E83</f>
        <v/>
      </c>
      <c r="F83">
        <f>'CO–PO Attainment Summary'!F83</f>
        <v/>
      </c>
      <c r="G83">
        <f>'CO–PO Attainment Summary'!G83</f>
        <v/>
      </c>
      <c r="H83">
        <f>'CO–PO Attainment Summary'!H83</f>
        <v/>
      </c>
      <c r="I83" s="5">
        <f>IFERROR(AVERAGEIFS('Continuous Assessment Records'!L:L,'Continuous Assessment Records'!A:A,$A83,'Continuous Assessment Records'!F:F,$B83,'Continuous Assessment Records'!C:C,"Assignment"),"")</f>
        <v/>
      </c>
      <c r="J83" s="5">
        <f>IFERROR(AVERAGEIFS('Continuous Assessment Records'!L:L,'Continuous Assessment Records'!A:A,$A83,'Continuous Assessment Records'!F:F,$B83,'Continuous Assessment Records'!C:C,"Unit Test"),"")</f>
        <v/>
      </c>
      <c r="K83" s="5">
        <f>IFERROR(AVERAGEIFS('Continuous Assessment Records'!L:L,'Continuous Assessment Records'!A:A,$A83,'Continuous Assessment Records'!F:F,$B83,'Continuous Assessment Records'!C:C,"Mid-Term"),"")</f>
        <v/>
      </c>
      <c r="L83" s="5">
        <f>IF(OR(I83="",J83="",K83=""),"",I83*$I$205+J83*$J$205+K83*$K$205)</f>
        <v/>
      </c>
      <c r="M83">
        <f>IF(L83="","",IF(L83&gt;=0.7,3,IF(L83&gt;=0.6,2,IF(L83&gt;=0.5,1,0))))</f>
        <v/>
      </c>
      <c r="N83">
        <f>'CO–PO Attainment Summary'!E83</f>
        <v/>
      </c>
      <c r="O83">
        <f>IF(M83="",'CO–PO Attainment Summary'!F83,ROUND(0.8*M83+0.2*N83,0))</f>
        <v/>
      </c>
    </row>
    <row r="84">
      <c r="A84">
        <f>'CO–PO Attainment Summary'!A84</f>
        <v/>
      </c>
      <c r="B84">
        <f>'CO–PO Attainment Summary'!B84</f>
        <v/>
      </c>
      <c r="C84">
        <f>'CO–PO Attainment Summary'!C84</f>
        <v/>
      </c>
      <c r="D84">
        <f>'CO–PO Attainment Summary'!D84</f>
        <v/>
      </c>
      <c r="E84">
        <f>'CO–PO Attainment Summary'!E84</f>
        <v/>
      </c>
      <c r="F84">
        <f>'CO–PO Attainment Summary'!F84</f>
        <v/>
      </c>
      <c r="G84">
        <f>'CO–PO Attainment Summary'!G84</f>
        <v/>
      </c>
      <c r="H84">
        <f>'CO–PO Attainment Summary'!H84</f>
        <v/>
      </c>
      <c r="I84" s="5">
        <f>IFERROR(AVERAGEIFS('Continuous Assessment Records'!L:L,'Continuous Assessment Records'!A:A,$A84,'Continuous Assessment Records'!F:F,$B84,'Continuous Assessment Records'!C:C,"Assignment"),"")</f>
        <v/>
      </c>
      <c r="J84" s="5">
        <f>IFERROR(AVERAGEIFS('Continuous Assessment Records'!L:L,'Continuous Assessment Records'!A:A,$A84,'Continuous Assessment Records'!F:F,$B84,'Continuous Assessment Records'!C:C,"Unit Test"),"")</f>
        <v/>
      </c>
      <c r="K84" s="5">
        <f>IFERROR(AVERAGEIFS('Continuous Assessment Records'!L:L,'Continuous Assessment Records'!A:A,$A84,'Continuous Assessment Records'!F:F,$B84,'Continuous Assessment Records'!C:C,"Mid-Term"),"")</f>
        <v/>
      </c>
      <c r="L84" s="5">
        <f>IF(OR(I84="",J84="",K84=""),"",I84*$I$205+J84*$J$205+K84*$K$205)</f>
        <v/>
      </c>
      <c r="M84">
        <f>IF(L84="","",IF(L84&gt;=0.7,3,IF(L84&gt;=0.6,2,IF(L84&gt;=0.5,1,0))))</f>
        <v/>
      </c>
      <c r="N84">
        <f>'CO–PO Attainment Summary'!E84</f>
        <v/>
      </c>
      <c r="O84">
        <f>IF(M84="",'CO–PO Attainment Summary'!F84,ROUND(0.8*M84+0.2*N84,0))</f>
        <v/>
      </c>
    </row>
    <row r="85">
      <c r="A85">
        <f>'CO–PO Attainment Summary'!A85</f>
        <v/>
      </c>
      <c r="B85">
        <f>'CO–PO Attainment Summary'!B85</f>
        <v/>
      </c>
      <c r="C85">
        <f>'CO–PO Attainment Summary'!C85</f>
        <v/>
      </c>
      <c r="D85">
        <f>'CO–PO Attainment Summary'!D85</f>
        <v/>
      </c>
      <c r="E85">
        <f>'CO–PO Attainment Summary'!E85</f>
        <v/>
      </c>
      <c r="F85">
        <f>'CO–PO Attainment Summary'!F85</f>
        <v/>
      </c>
      <c r="G85">
        <f>'CO–PO Attainment Summary'!G85</f>
        <v/>
      </c>
      <c r="H85">
        <f>'CO–PO Attainment Summary'!H85</f>
        <v/>
      </c>
      <c r="I85" s="5">
        <f>IFERROR(AVERAGEIFS('Continuous Assessment Records'!L:L,'Continuous Assessment Records'!A:A,$A85,'Continuous Assessment Records'!F:F,$B85,'Continuous Assessment Records'!C:C,"Assignment"),"")</f>
        <v/>
      </c>
      <c r="J85" s="5">
        <f>IFERROR(AVERAGEIFS('Continuous Assessment Records'!L:L,'Continuous Assessment Records'!A:A,$A85,'Continuous Assessment Records'!F:F,$B85,'Continuous Assessment Records'!C:C,"Unit Test"),"")</f>
        <v/>
      </c>
      <c r="K85" s="5">
        <f>IFERROR(AVERAGEIFS('Continuous Assessment Records'!L:L,'Continuous Assessment Records'!A:A,$A85,'Continuous Assessment Records'!F:F,$B85,'Continuous Assessment Records'!C:C,"Mid-Term"),"")</f>
        <v/>
      </c>
      <c r="L85" s="5">
        <f>IF(OR(I85="",J85="",K85=""),"",I85*$I$205+J85*$J$205+K85*$K$205)</f>
        <v/>
      </c>
      <c r="M85">
        <f>IF(L85="","",IF(L85&gt;=0.7,3,IF(L85&gt;=0.6,2,IF(L85&gt;=0.5,1,0))))</f>
        <v/>
      </c>
      <c r="N85">
        <f>'CO–PO Attainment Summary'!E85</f>
        <v/>
      </c>
      <c r="O85">
        <f>IF(M85="",'CO–PO Attainment Summary'!F85,ROUND(0.8*M85+0.2*N85,0))</f>
        <v/>
      </c>
    </row>
    <row r="86">
      <c r="A86">
        <f>'CO–PO Attainment Summary'!A86</f>
        <v/>
      </c>
      <c r="B86">
        <f>'CO–PO Attainment Summary'!B86</f>
        <v/>
      </c>
      <c r="C86">
        <f>'CO–PO Attainment Summary'!C86</f>
        <v/>
      </c>
      <c r="D86">
        <f>'CO–PO Attainment Summary'!D86</f>
        <v/>
      </c>
      <c r="E86">
        <f>'CO–PO Attainment Summary'!E86</f>
        <v/>
      </c>
      <c r="F86">
        <f>'CO–PO Attainment Summary'!F86</f>
        <v/>
      </c>
      <c r="G86">
        <f>'CO–PO Attainment Summary'!G86</f>
        <v/>
      </c>
      <c r="H86">
        <f>'CO–PO Attainment Summary'!H86</f>
        <v/>
      </c>
      <c r="I86" s="5">
        <f>IFERROR(AVERAGEIFS('Continuous Assessment Records'!L:L,'Continuous Assessment Records'!A:A,$A86,'Continuous Assessment Records'!F:F,$B86,'Continuous Assessment Records'!C:C,"Assignment"),"")</f>
        <v/>
      </c>
      <c r="J86" s="5">
        <f>IFERROR(AVERAGEIFS('Continuous Assessment Records'!L:L,'Continuous Assessment Records'!A:A,$A86,'Continuous Assessment Records'!F:F,$B86,'Continuous Assessment Records'!C:C,"Unit Test"),"")</f>
        <v/>
      </c>
      <c r="K86" s="5">
        <f>IFERROR(AVERAGEIFS('Continuous Assessment Records'!L:L,'Continuous Assessment Records'!A:A,$A86,'Continuous Assessment Records'!F:F,$B86,'Continuous Assessment Records'!C:C,"Mid-Term"),"")</f>
        <v/>
      </c>
      <c r="L86" s="5">
        <f>IF(OR(I86="",J86="",K86=""),"",I86*$I$205+J86*$J$205+K86*$K$205)</f>
        <v/>
      </c>
      <c r="M86">
        <f>IF(L86="","",IF(L86&gt;=0.7,3,IF(L86&gt;=0.6,2,IF(L86&gt;=0.5,1,0))))</f>
        <v/>
      </c>
      <c r="N86">
        <f>'CO–PO Attainment Summary'!E86</f>
        <v/>
      </c>
      <c r="O86">
        <f>IF(M86="",'CO–PO Attainment Summary'!F86,ROUND(0.8*M86+0.2*N86,0))</f>
        <v/>
      </c>
    </row>
    <row r="87">
      <c r="A87">
        <f>'CO–PO Attainment Summary'!A87</f>
        <v/>
      </c>
      <c r="B87">
        <f>'CO–PO Attainment Summary'!B87</f>
        <v/>
      </c>
      <c r="C87">
        <f>'CO–PO Attainment Summary'!C87</f>
        <v/>
      </c>
      <c r="D87">
        <f>'CO–PO Attainment Summary'!D87</f>
        <v/>
      </c>
      <c r="E87">
        <f>'CO–PO Attainment Summary'!E87</f>
        <v/>
      </c>
      <c r="F87">
        <f>'CO–PO Attainment Summary'!F87</f>
        <v/>
      </c>
      <c r="G87">
        <f>'CO–PO Attainment Summary'!G87</f>
        <v/>
      </c>
      <c r="H87">
        <f>'CO–PO Attainment Summary'!H87</f>
        <v/>
      </c>
      <c r="I87" s="5">
        <f>IFERROR(AVERAGEIFS('Continuous Assessment Records'!L:L,'Continuous Assessment Records'!A:A,$A87,'Continuous Assessment Records'!F:F,$B87,'Continuous Assessment Records'!C:C,"Assignment"),"")</f>
        <v/>
      </c>
      <c r="J87" s="5">
        <f>IFERROR(AVERAGEIFS('Continuous Assessment Records'!L:L,'Continuous Assessment Records'!A:A,$A87,'Continuous Assessment Records'!F:F,$B87,'Continuous Assessment Records'!C:C,"Unit Test"),"")</f>
        <v/>
      </c>
      <c r="K87" s="5">
        <f>IFERROR(AVERAGEIFS('Continuous Assessment Records'!L:L,'Continuous Assessment Records'!A:A,$A87,'Continuous Assessment Records'!F:F,$B87,'Continuous Assessment Records'!C:C,"Mid-Term"),"")</f>
        <v/>
      </c>
      <c r="L87" s="5">
        <f>IF(OR(I87="",J87="",K87=""),"",I87*$I$205+J87*$J$205+K87*$K$205)</f>
        <v/>
      </c>
      <c r="M87">
        <f>IF(L87="","",IF(L87&gt;=0.7,3,IF(L87&gt;=0.6,2,IF(L87&gt;=0.5,1,0))))</f>
        <v/>
      </c>
      <c r="N87">
        <f>'CO–PO Attainment Summary'!E87</f>
        <v/>
      </c>
      <c r="O87">
        <f>IF(M87="",'CO–PO Attainment Summary'!F87,ROUND(0.8*M87+0.2*N87,0))</f>
        <v/>
      </c>
    </row>
    <row r="88">
      <c r="A88">
        <f>'CO–PO Attainment Summary'!A88</f>
        <v/>
      </c>
      <c r="B88">
        <f>'CO–PO Attainment Summary'!B88</f>
        <v/>
      </c>
      <c r="C88">
        <f>'CO–PO Attainment Summary'!C88</f>
        <v/>
      </c>
      <c r="D88">
        <f>'CO–PO Attainment Summary'!D88</f>
        <v/>
      </c>
      <c r="E88">
        <f>'CO–PO Attainment Summary'!E88</f>
        <v/>
      </c>
      <c r="F88">
        <f>'CO–PO Attainment Summary'!F88</f>
        <v/>
      </c>
      <c r="G88">
        <f>'CO–PO Attainment Summary'!G88</f>
        <v/>
      </c>
      <c r="H88">
        <f>'CO–PO Attainment Summary'!H88</f>
        <v/>
      </c>
      <c r="I88" s="5">
        <f>IFERROR(AVERAGEIFS('Continuous Assessment Records'!L:L,'Continuous Assessment Records'!A:A,$A88,'Continuous Assessment Records'!F:F,$B88,'Continuous Assessment Records'!C:C,"Assignment"),"")</f>
        <v/>
      </c>
      <c r="J88" s="5">
        <f>IFERROR(AVERAGEIFS('Continuous Assessment Records'!L:L,'Continuous Assessment Records'!A:A,$A88,'Continuous Assessment Records'!F:F,$B88,'Continuous Assessment Records'!C:C,"Unit Test"),"")</f>
        <v/>
      </c>
      <c r="K88" s="5">
        <f>IFERROR(AVERAGEIFS('Continuous Assessment Records'!L:L,'Continuous Assessment Records'!A:A,$A88,'Continuous Assessment Records'!F:F,$B88,'Continuous Assessment Records'!C:C,"Mid-Term"),"")</f>
        <v/>
      </c>
      <c r="L88" s="5">
        <f>IF(OR(I88="",J88="",K88=""),"",I88*$I$205+J88*$J$205+K88*$K$205)</f>
        <v/>
      </c>
      <c r="M88">
        <f>IF(L88="","",IF(L88&gt;=0.7,3,IF(L88&gt;=0.6,2,IF(L88&gt;=0.5,1,0))))</f>
        <v/>
      </c>
      <c r="N88">
        <f>'CO–PO Attainment Summary'!E88</f>
        <v/>
      </c>
      <c r="O88">
        <f>IF(M88="",'CO–PO Attainment Summary'!F88,ROUND(0.8*M88+0.2*N88,0))</f>
        <v/>
      </c>
    </row>
    <row r="89">
      <c r="A89">
        <f>'CO–PO Attainment Summary'!A89</f>
        <v/>
      </c>
      <c r="B89">
        <f>'CO–PO Attainment Summary'!B89</f>
        <v/>
      </c>
      <c r="C89">
        <f>'CO–PO Attainment Summary'!C89</f>
        <v/>
      </c>
      <c r="D89">
        <f>'CO–PO Attainment Summary'!D89</f>
        <v/>
      </c>
      <c r="E89">
        <f>'CO–PO Attainment Summary'!E89</f>
        <v/>
      </c>
      <c r="F89">
        <f>'CO–PO Attainment Summary'!F89</f>
        <v/>
      </c>
      <c r="G89">
        <f>'CO–PO Attainment Summary'!G89</f>
        <v/>
      </c>
      <c r="H89">
        <f>'CO–PO Attainment Summary'!H89</f>
        <v/>
      </c>
      <c r="I89" s="5">
        <f>IFERROR(AVERAGEIFS('Continuous Assessment Records'!L:L,'Continuous Assessment Records'!A:A,$A89,'Continuous Assessment Records'!F:F,$B89,'Continuous Assessment Records'!C:C,"Assignment"),"")</f>
        <v/>
      </c>
      <c r="J89" s="5">
        <f>IFERROR(AVERAGEIFS('Continuous Assessment Records'!L:L,'Continuous Assessment Records'!A:A,$A89,'Continuous Assessment Records'!F:F,$B89,'Continuous Assessment Records'!C:C,"Unit Test"),"")</f>
        <v/>
      </c>
      <c r="K89" s="5">
        <f>IFERROR(AVERAGEIFS('Continuous Assessment Records'!L:L,'Continuous Assessment Records'!A:A,$A89,'Continuous Assessment Records'!F:F,$B89,'Continuous Assessment Records'!C:C,"Mid-Term"),"")</f>
        <v/>
      </c>
      <c r="L89" s="5">
        <f>IF(OR(I89="",J89="",K89=""),"",I89*$I$205+J89*$J$205+K89*$K$205)</f>
        <v/>
      </c>
      <c r="M89">
        <f>IF(L89="","",IF(L89&gt;=0.7,3,IF(L89&gt;=0.6,2,IF(L89&gt;=0.5,1,0))))</f>
        <v/>
      </c>
      <c r="N89">
        <f>'CO–PO Attainment Summary'!E89</f>
        <v/>
      </c>
      <c r="O89">
        <f>IF(M89="",'CO–PO Attainment Summary'!F89,ROUND(0.8*M89+0.2*N89,0))</f>
        <v/>
      </c>
    </row>
    <row r="90">
      <c r="A90">
        <f>'CO–PO Attainment Summary'!A90</f>
        <v/>
      </c>
      <c r="B90">
        <f>'CO–PO Attainment Summary'!B90</f>
        <v/>
      </c>
      <c r="C90">
        <f>'CO–PO Attainment Summary'!C90</f>
        <v/>
      </c>
      <c r="D90">
        <f>'CO–PO Attainment Summary'!D90</f>
        <v/>
      </c>
      <c r="E90">
        <f>'CO–PO Attainment Summary'!E90</f>
        <v/>
      </c>
      <c r="F90">
        <f>'CO–PO Attainment Summary'!F90</f>
        <v/>
      </c>
      <c r="G90">
        <f>'CO–PO Attainment Summary'!G90</f>
        <v/>
      </c>
      <c r="H90">
        <f>'CO–PO Attainment Summary'!H90</f>
        <v/>
      </c>
      <c r="I90" s="5">
        <f>IFERROR(AVERAGEIFS('Continuous Assessment Records'!L:L,'Continuous Assessment Records'!A:A,$A90,'Continuous Assessment Records'!F:F,$B90,'Continuous Assessment Records'!C:C,"Assignment"),"")</f>
        <v/>
      </c>
      <c r="J90" s="5">
        <f>IFERROR(AVERAGEIFS('Continuous Assessment Records'!L:L,'Continuous Assessment Records'!A:A,$A90,'Continuous Assessment Records'!F:F,$B90,'Continuous Assessment Records'!C:C,"Unit Test"),"")</f>
        <v/>
      </c>
      <c r="K90" s="5">
        <f>IFERROR(AVERAGEIFS('Continuous Assessment Records'!L:L,'Continuous Assessment Records'!A:A,$A90,'Continuous Assessment Records'!F:F,$B90,'Continuous Assessment Records'!C:C,"Mid-Term"),"")</f>
        <v/>
      </c>
      <c r="L90" s="5">
        <f>IF(OR(I90="",J90="",K90=""),"",I90*$I$205+J90*$J$205+K90*$K$205)</f>
        <v/>
      </c>
      <c r="M90">
        <f>IF(L90="","",IF(L90&gt;=0.7,3,IF(L90&gt;=0.6,2,IF(L90&gt;=0.5,1,0))))</f>
        <v/>
      </c>
      <c r="N90">
        <f>'CO–PO Attainment Summary'!E90</f>
        <v/>
      </c>
      <c r="O90">
        <f>IF(M90="",'CO–PO Attainment Summary'!F90,ROUND(0.8*M90+0.2*N90,0))</f>
        <v/>
      </c>
    </row>
    <row r="91">
      <c r="A91">
        <f>'CO–PO Attainment Summary'!A91</f>
        <v/>
      </c>
      <c r="B91">
        <f>'CO–PO Attainment Summary'!B91</f>
        <v/>
      </c>
      <c r="C91">
        <f>'CO–PO Attainment Summary'!C91</f>
        <v/>
      </c>
      <c r="D91">
        <f>'CO–PO Attainment Summary'!D91</f>
        <v/>
      </c>
      <c r="E91">
        <f>'CO–PO Attainment Summary'!E91</f>
        <v/>
      </c>
      <c r="F91">
        <f>'CO–PO Attainment Summary'!F91</f>
        <v/>
      </c>
      <c r="G91">
        <f>'CO–PO Attainment Summary'!G91</f>
        <v/>
      </c>
      <c r="H91">
        <f>'CO–PO Attainment Summary'!H91</f>
        <v/>
      </c>
      <c r="I91" s="5">
        <f>IFERROR(AVERAGEIFS('Continuous Assessment Records'!L:L,'Continuous Assessment Records'!A:A,$A91,'Continuous Assessment Records'!F:F,$B91,'Continuous Assessment Records'!C:C,"Assignment"),"")</f>
        <v/>
      </c>
      <c r="J91" s="5">
        <f>IFERROR(AVERAGEIFS('Continuous Assessment Records'!L:L,'Continuous Assessment Records'!A:A,$A91,'Continuous Assessment Records'!F:F,$B91,'Continuous Assessment Records'!C:C,"Unit Test"),"")</f>
        <v/>
      </c>
      <c r="K91" s="5">
        <f>IFERROR(AVERAGEIFS('Continuous Assessment Records'!L:L,'Continuous Assessment Records'!A:A,$A91,'Continuous Assessment Records'!F:F,$B91,'Continuous Assessment Records'!C:C,"Mid-Term"),"")</f>
        <v/>
      </c>
      <c r="L91" s="5">
        <f>IF(OR(I91="",J91="",K91=""),"",I91*$I$205+J91*$J$205+K91*$K$205)</f>
        <v/>
      </c>
      <c r="M91">
        <f>IF(L91="","",IF(L91&gt;=0.7,3,IF(L91&gt;=0.6,2,IF(L91&gt;=0.5,1,0))))</f>
        <v/>
      </c>
      <c r="N91">
        <f>'CO–PO Attainment Summary'!E91</f>
        <v/>
      </c>
      <c r="O91">
        <f>IF(M91="",'CO–PO Attainment Summary'!F91,ROUND(0.8*M91+0.2*N91,0))</f>
        <v/>
      </c>
    </row>
    <row r="92">
      <c r="A92">
        <f>'CO–PO Attainment Summary'!A92</f>
        <v/>
      </c>
      <c r="B92">
        <f>'CO–PO Attainment Summary'!B92</f>
        <v/>
      </c>
      <c r="C92">
        <f>'CO–PO Attainment Summary'!C92</f>
        <v/>
      </c>
      <c r="D92">
        <f>'CO–PO Attainment Summary'!D92</f>
        <v/>
      </c>
      <c r="E92">
        <f>'CO–PO Attainment Summary'!E92</f>
        <v/>
      </c>
      <c r="F92">
        <f>'CO–PO Attainment Summary'!F92</f>
        <v/>
      </c>
      <c r="G92">
        <f>'CO–PO Attainment Summary'!G92</f>
        <v/>
      </c>
      <c r="H92">
        <f>'CO–PO Attainment Summary'!H92</f>
        <v/>
      </c>
      <c r="I92" s="5">
        <f>IFERROR(AVERAGEIFS('Continuous Assessment Records'!L:L,'Continuous Assessment Records'!A:A,$A92,'Continuous Assessment Records'!F:F,$B92,'Continuous Assessment Records'!C:C,"Assignment"),"")</f>
        <v/>
      </c>
      <c r="J92" s="5">
        <f>IFERROR(AVERAGEIFS('Continuous Assessment Records'!L:L,'Continuous Assessment Records'!A:A,$A92,'Continuous Assessment Records'!F:F,$B92,'Continuous Assessment Records'!C:C,"Unit Test"),"")</f>
        <v/>
      </c>
      <c r="K92" s="5">
        <f>IFERROR(AVERAGEIFS('Continuous Assessment Records'!L:L,'Continuous Assessment Records'!A:A,$A92,'Continuous Assessment Records'!F:F,$B92,'Continuous Assessment Records'!C:C,"Mid-Term"),"")</f>
        <v/>
      </c>
      <c r="L92" s="5">
        <f>IF(OR(I92="",J92="",K92=""),"",I92*$I$205+J92*$J$205+K92*$K$205)</f>
        <v/>
      </c>
      <c r="M92">
        <f>IF(L92="","",IF(L92&gt;=0.7,3,IF(L92&gt;=0.6,2,IF(L92&gt;=0.5,1,0))))</f>
        <v/>
      </c>
      <c r="N92">
        <f>'CO–PO Attainment Summary'!E92</f>
        <v/>
      </c>
      <c r="O92">
        <f>IF(M92="",'CO–PO Attainment Summary'!F92,ROUND(0.8*M92+0.2*N92,0))</f>
        <v/>
      </c>
    </row>
    <row r="93">
      <c r="A93">
        <f>'CO–PO Attainment Summary'!A93</f>
        <v/>
      </c>
      <c r="B93">
        <f>'CO–PO Attainment Summary'!B93</f>
        <v/>
      </c>
      <c r="C93">
        <f>'CO–PO Attainment Summary'!C93</f>
        <v/>
      </c>
      <c r="D93">
        <f>'CO–PO Attainment Summary'!D93</f>
        <v/>
      </c>
      <c r="E93">
        <f>'CO–PO Attainment Summary'!E93</f>
        <v/>
      </c>
      <c r="F93">
        <f>'CO–PO Attainment Summary'!F93</f>
        <v/>
      </c>
      <c r="G93">
        <f>'CO–PO Attainment Summary'!G93</f>
        <v/>
      </c>
      <c r="H93">
        <f>'CO–PO Attainment Summary'!H93</f>
        <v/>
      </c>
      <c r="I93" s="5">
        <f>IFERROR(AVERAGEIFS('Continuous Assessment Records'!L:L,'Continuous Assessment Records'!A:A,$A93,'Continuous Assessment Records'!F:F,$B93,'Continuous Assessment Records'!C:C,"Assignment"),"")</f>
        <v/>
      </c>
      <c r="J93" s="5">
        <f>IFERROR(AVERAGEIFS('Continuous Assessment Records'!L:L,'Continuous Assessment Records'!A:A,$A93,'Continuous Assessment Records'!F:F,$B93,'Continuous Assessment Records'!C:C,"Unit Test"),"")</f>
        <v/>
      </c>
      <c r="K93" s="5">
        <f>IFERROR(AVERAGEIFS('Continuous Assessment Records'!L:L,'Continuous Assessment Records'!A:A,$A93,'Continuous Assessment Records'!F:F,$B93,'Continuous Assessment Records'!C:C,"Mid-Term"),"")</f>
        <v/>
      </c>
      <c r="L93" s="5">
        <f>IF(OR(I93="",J93="",K93=""),"",I93*$I$205+J93*$J$205+K93*$K$205)</f>
        <v/>
      </c>
      <c r="M93">
        <f>IF(L93="","",IF(L93&gt;=0.7,3,IF(L93&gt;=0.6,2,IF(L93&gt;=0.5,1,0))))</f>
        <v/>
      </c>
      <c r="N93">
        <f>'CO–PO Attainment Summary'!E93</f>
        <v/>
      </c>
      <c r="O93">
        <f>IF(M93="",'CO–PO Attainment Summary'!F93,ROUND(0.8*M93+0.2*N93,0))</f>
        <v/>
      </c>
    </row>
    <row r="94">
      <c r="A94">
        <f>'CO–PO Attainment Summary'!A94</f>
        <v/>
      </c>
      <c r="B94">
        <f>'CO–PO Attainment Summary'!B94</f>
        <v/>
      </c>
      <c r="C94">
        <f>'CO–PO Attainment Summary'!C94</f>
        <v/>
      </c>
      <c r="D94">
        <f>'CO–PO Attainment Summary'!D94</f>
        <v/>
      </c>
      <c r="E94">
        <f>'CO–PO Attainment Summary'!E94</f>
        <v/>
      </c>
      <c r="F94">
        <f>'CO–PO Attainment Summary'!F94</f>
        <v/>
      </c>
      <c r="G94">
        <f>'CO–PO Attainment Summary'!G94</f>
        <v/>
      </c>
      <c r="H94">
        <f>'CO–PO Attainment Summary'!H94</f>
        <v/>
      </c>
      <c r="I94" s="5">
        <f>IFERROR(AVERAGEIFS('Continuous Assessment Records'!L:L,'Continuous Assessment Records'!A:A,$A94,'Continuous Assessment Records'!F:F,$B94,'Continuous Assessment Records'!C:C,"Assignment"),"")</f>
        <v/>
      </c>
      <c r="J94" s="5">
        <f>IFERROR(AVERAGEIFS('Continuous Assessment Records'!L:L,'Continuous Assessment Records'!A:A,$A94,'Continuous Assessment Records'!F:F,$B94,'Continuous Assessment Records'!C:C,"Unit Test"),"")</f>
        <v/>
      </c>
      <c r="K94" s="5">
        <f>IFERROR(AVERAGEIFS('Continuous Assessment Records'!L:L,'Continuous Assessment Records'!A:A,$A94,'Continuous Assessment Records'!F:F,$B94,'Continuous Assessment Records'!C:C,"Mid-Term"),"")</f>
        <v/>
      </c>
      <c r="L94" s="5">
        <f>IF(OR(I94="",J94="",K94=""),"",I94*$I$205+J94*$J$205+K94*$K$205)</f>
        <v/>
      </c>
      <c r="M94">
        <f>IF(L94="","",IF(L94&gt;=0.7,3,IF(L94&gt;=0.6,2,IF(L94&gt;=0.5,1,0))))</f>
        <v/>
      </c>
      <c r="N94">
        <f>'CO–PO Attainment Summary'!E94</f>
        <v/>
      </c>
      <c r="O94">
        <f>IF(M94="",'CO–PO Attainment Summary'!F94,ROUND(0.8*M94+0.2*N94,0))</f>
        <v/>
      </c>
    </row>
    <row r="95">
      <c r="A95">
        <f>'CO–PO Attainment Summary'!A95</f>
        <v/>
      </c>
      <c r="B95">
        <f>'CO–PO Attainment Summary'!B95</f>
        <v/>
      </c>
      <c r="C95">
        <f>'CO–PO Attainment Summary'!C95</f>
        <v/>
      </c>
      <c r="D95">
        <f>'CO–PO Attainment Summary'!D95</f>
        <v/>
      </c>
      <c r="E95">
        <f>'CO–PO Attainment Summary'!E95</f>
        <v/>
      </c>
      <c r="F95">
        <f>'CO–PO Attainment Summary'!F95</f>
        <v/>
      </c>
      <c r="G95">
        <f>'CO–PO Attainment Summary'!G95</f>
        <v/>
      </c>
      <c r="H95">
        <f>'CO–PO Attainment Summary'!H95</f>
        <v/>
      </c>
      <c r="I95" s="5">
        <f>IFERROR(AVERAGEIFS('Continuous Assessment Records'!L:L,'Continuous Assessment Records'!A:A,$A95,'Continuous Assessment Records'!F:F,$B95,'Continuous Assessment Records'!C:C,"Assignment"),"")</f>
        <v/>
      </c>
      <c r="J95" s="5">
        <f>IFERROR(AVERAGEIFS('Continuous Assessment Records'!L:L,'Continuous Assessment Records'!A:A,$A95,'Continuous Assessment Records'!F:F,$B95,'Continuous Assessment Records'!C:C,"Unit Test"),"")</f>
        <v/>
      </c>
      <c r="K95" s="5">
        <f>IFERROR(AVERAGEIFS('Continuous Assessment Records'!L:L,'Continuous Assessment Records'!A:A,$A95,'Continuous Assessment Records'!F:F,$B95,'Continuous Assessment Records'!C:C,"Mid-Term"),"")</f>
        <v/>
      </c>
      <c r="L95" s="5">
        <f>IF(OR(I95="",J95="",K95=""),"",I95*$I$205+J95*$J$205+K95*$K$205)</f>
        <v/>
      </c>
      <c r="M95">
        <f>IF(L95="","",IF(L95&gt;=0.7,3,IF(L95&gt;=0.6,2,IF(L95&gt;=0.5,1,0))))</f>
        <v/>
      </c>
      <c r="N95">
        <f>'CO–PO Attainment Summary'!E95</f>
        <v/>
      </c>
      <c r="O95">
        <f>IF(M95="",'CO–PO Attainment Summary'!F95,ROUND(0.8*M95+0.2*N95,0))</f>
        <v/>
      </c>
    </row>
    <row r="96">
      <c r="A96">
        <f>'CO–PO Attainment Summary'!A96</f>
        <v/>
      </c>
      <c r="B96">
        <f>'CO–PO Attainment Summary'!B96</f>
        <v/>
      </c>
      <c r="C96">
        <f>'CO–PO Attainment Summary'!C96</f>
        <v/>
      </c>
      <c r="D96">
        <f>'CO–PO Attainment Summary'!D96</f>
        <v/>
      </c>
      <c r="E96">
        <f>'CO–PO Attainment Summary'!E96</f>
        <v/>
      </c>
      <c r="F96">
        <f>'CO–PO Attainment Summary'!F96</f>
        <v/>
      </c>
      <c r="G96">
        <f>'CO–PO Attainment Summary'!G96</f>
        <v/>
      </c>
      <c r="H96">
        <f>'CO–PO Attainment Summary'!H96</f>
        <v/>
      </c>
      <c r="I96" s="5">
        <f>IFERROR(AVERAGEIFS('Continuous Assessment Records'!L:L,'Continuous Assessment Records'!A:A,$A96,'Continuous Assessment Records'!F:F,$B96,'Continuous Assessment Records'!C:C,"Assignment"),"")</f>
        <v/>
      </c>
      <c r="J96" s="5">
        <f>IFERROR(AVERAGEIFS('Continuous Assessment Records'!L:L,'Continuous Assessment Records'!A:A,$A96,'Continuous Assessment Records'!F:F,$B96,'Continuous Assessment Records'!C:C,"Unit Test"),"")</f>
        <v/>
      </c>
      <c r="K96" s="5">
        <f>IFERROR(AVERAGEIFS('Continuous Assessment Records'!L:L,'Continuous Assessment Records'!A:A,$A96,'Continuous Assessment Records'!F:F,$B96,'Continuous Assessment Records'!C:C,"Mid-Term"),"")</f>
        <v/>
      </c>
      <c r="L96" s="5">
        <f>IF(OR(I96="",J96="",K96=""),"",I96*$I$205+J96*$J$205+K96*$K$205)</f>
        <v/>
      </c>
      <c r="M96">
        <f>IF(L96="","",IF(L96&gt;=0.7,3,IF(L96&gt;=0.6,2,IF(L96&gt;=0.5,1,0))))</f>
        <v/>
      </c>
      <c r="N96">
        <f>'CO–PO Attainment Summary'!E96</f>
        <v/>
      </c>
      <c r="O96">
        <f>IF(M96="",'CO–PO Attainment Summary'!F96,ROUND(0.8*M96+0.2*N96,0))</f>
        <v/>
      </c>
    </row>
    <row r="97">
      <c r="A97">
        <f>'CO–PO Attainment Summary'!A97</f>
        <v/>
      </c>
      <c r="B97">
        <f>'CO–PO Attainment Summary'!B97</f>
        <v/>
      </c>
      <c r="C97">
        <f>'CO–PO Attainment Summary'!C97</f>
        <v/>
      </c>
      <c r="D97">
        <f>'CO–PO Attainment Summary'!D97</f>
        <v/>
      </c>
      <c r="E97">
        <f>'CO–PO Attainment Summary'!E97</f>
        <v/>
      </c>
      <c r="F97">
        <f>'CO–PO Attainment Summary'!F97</f>
        <v/>
      </c>
      <c r="G97">
        <f>'CO–PO Attainment Summary'!G97</f>
        <v/>
      </c>
      <c r="H97">
        <f>'CO–PO Attainment Summary'!H97</f>
        <v/>
      </c>
      <c r="I97" s="5">
        <f>IFERROR(AVERAGEIFS('Continuous Assessment Records'!L:L,'Continuous Assessment Records'!A:A,$A97,'Continuous Assessment Records'!F:F,$B97,'Continuous Assessment Records'!C:C,"Assignment"),"")</f>
        <v/>
      </c>
      <c r="J97" s="5">
        <f>IFERROR(AVERAGEIFS('Continuous Assessment Records'!L:L,'Continuous Assessment Records'!A:A,$A97,'Continuous Assessment Records'!F:F,$B97,'Continuous Assessment Records'!C:C,"Unit Test"),"")</f>
        <v/>
      </c>
      <c r="K97" s="5">
        <f>IFERROR(AVERAGEIFS('Continuous Assessment Records'!L:L,'Continuous Assessment Records'!A:A,$A97,'Continuous Assessment Records'!F:F,$B97,'Continuous Assessment Records'!C:C,"Mid-Term"),"")</f>
        <v/>
      </c>
      <c r="L97" s="5">
        <f>IF(OR(I97="",J97="",K97=""),"",I97*$I$205+J97*$J$205+K97*$K$205)</f>
        <v/>
      </c>
      <c r="M97">
        <f>IF(L97="","",IF(L97&gt;=0.7,3,IF(L97&gt;=0.6,2,IF(L97&gt;=0.5,1,0))))</f>
        <v/>
      </c>
      <c r="N97">
        <f>'CO–PO Attainment Summary'!E97</f>
        <v/>
      </c>
      <c r="O97">
        <f>IF(M97="",'CO–PO Attainment Summary'!F97,ROUND(0.8*M97+0.2*N97,0))</f>
        <v/>
      </c>
    </row>
    <row r="98">
      <c r="A98">
        <f>'CO–PO Attainment Summary'!A98</f>
        <v/>
      </c>
      <c r="B98">
        <f>'CO–PO Attainment Summary'!B98</f>
        <v/>
      </c>
      <c r="C98">
        <f>'CO–PO Attainment Summary'!C98</f>
        <v/>
      </c>
      <c r="D98">
        <f>'CO–PO Attainment Summary'!D98</f>
        <v/>
      </c>
      <c r="E98">
        <f>'CO–PO Attainment Summary'!E98</f>
        <v/>
      </c>
      <c r="F98">
        <f>'CO–PO Attainment Summary'!F98</f>
        <v/>
      </c>
      <c r="G98">
        <f>'CO–PO Attainment Summary'!G98</f>
        <v/>
      </c>
      <c r="H98">
        <f>'CO–PO Attainment Summary'!H98</f>
        <v/>
      </c>
      <c r="I98" s="5">
        <f>IFERROR(AVERAGEIFS('Continuous Assessment Records'!L:L,'Continuous Assessment Records'!A:A,$A98,'Continuous Assessment Records'!F:F,$B98,'Continuous Assessment Records'!C:C,"Assignment"),"")</f>
        <v/>
      </c>
      <c r="J98" s="5">
        <f>IFERROR(AVERAGEIFS('Continuous Assessment Records'!L:L,'Continuous Assessment Records'!A:A,$A98,'Continuous Assessment Records'!F:F,$B98,'Continuous Assessment Records'!C:C,"Unit Test"),"")</f>
        <v/>
      </c>
      <c r="K98" s="5">
        <f>IFERROR(AVERAGEIFS('Continuous Assessment Records'!L:L,'Continuous Assessment Records'!A:A,$A98,'Continuous Assessment Records'!F:F,$B98,'Continuous Assessment Records'!C:C,"Mid-Term"),"")</f>
        <v/>
      </c>
      <c r="L98" s="5">
        <f>IF(OR(I98="",J98="",K98=""),"",I98*$I$205+J98*$J$205+K98*$K$205)</f>
        <v/>
      </c>
      <c r="M98">
        <f>IF(L98="","",IF(L98&gt;=0.7,3,IF(L98&gt;=0.6,2,IF(L98&gt;=0.5,1,0))))</f>
        <v/>
      </c>
      <c r="N98">
        <f>'CO–PO Attainment Summary'!E98</f>
        <v/>
      </c>
      <c r="O98">
        <f>IF(M98="",'CO–PO Attainment Summary'!F98,ROUND(0.8*M98+0.2*N98,0))</f>
        <v/>
      </c>
    </row>
    <row r="99">
      <c r="A99">
        <f>'CO–PO Attainment Summary'!A99</f>
        <v/>
      </c>
      <c r="B99">
        <f>'CO–PO Attainment Summary'!B99</f>
        <v/>
      </c>
      <c r="C99">
        <f>'CO–PO Attainment Summary'!C99</f>
        <v/>
      </c>
      <c r="D99">
        <f>'CO–PO Attainment Summary'!D99</f>
        <v/>
      </c>
      <c r="E99">
        <f>'CO–PO Attainment Summary'!E99</f>
        <v/>
      </c>
      <c r="F99">
        <f>'CO–PO Attainment Summary'!F99</f>
        <v/>
      </c>
      <c r="G99">
        <f>'CO–PO Attainment Summary'!G99</f>
        <v/>
      </c>
      <c r="H99">
        <f>'CO–PO Attainment Summary'!H99</f>
        <v/>
      </c>
      <c r="I99" s="5">
        <f>IFERROR(AVERAGEIFS('Continuous Assessment Records'!L:L,'Continuous Assessment Records'!A:A,$A99,'Continuous Assessment Records'!F:F,$B99,'Continuous Assessment Records'!C:C,"Assignment"),"")</f>
        <v/>
      </c>
      <c r="J99" s="5">
        <f>IFERROR(AVERAGEIFS('Continuous Assessment Records'!L:L,'Continuous Assessment Records'!A:A,$A99,'Continuous Assessment Records'!F:F,$B99,'Continuous Assessment Records'!C:C,"Unit Test"),"")</f>
        <v/>
      </c>
      <c r="K99" s="5">
        <f>IFERROR(AVERAGEIFS('Continuous Assessment Records'!L:L,'Continuous Assessment Records'!A:A,$A99,'Continuous Assessment Records'!F:F,$B99,'Continuous Assessment Records'!C:C,"Mid-Term"),"")</f>
        <v/>
      </c>
      <c r="L99" s="5">
        <f>IF(OR(I99="",J99="",K99=""),"",I99*$I$205+J99*$J$205+K99*$K$205)</f>
        <v/>
      </c>
      <c r="M99">
        <f>IF(L99="","",IF(L99&gt;=0.7,3,IF(L99&gt;=0.6,2,IF(L99&gt;=0.5,1,0))))</f>
        <v/>
      </c>
      <c r="N99">
        <f>'CO–PO Attainment Summary'!E99</f>
        <v/>
      </c>
      <c r="O99">
        <f>IF(M99="",'CO–PO Attainment Summary'!F99,ROUND(0.8*M99+0.2*N99,0))</f>
        <v/>
      </c>
    </row>
    <row r="100">
      <c r="A100">
        <f>'CO–PO Attainment Summary'!A100</f>
        <v/>
      </c>
      <c r="B100">
        <f>'CO–PO Attainment Summary'!B100</f>
        <v/>
      </c>
      <c r="C100">
        <f>'CO–PO Attainment Summary'!C100</f>
        <v/>
      </c>
      <c r="D100">
        <f>'CO–PO Attainment Summary'!D100</f>
        <v/>
      </c>
      <c r="E100">
        <f>'CO–PO Attainment Summary'!E100</f>
        <v/>
      </c>
      <c r="F100">
        <f>'CO–PO Attainment Summary'!F100</f>
        <v/>
      </c>
      <c r="G100">
        <f>'CO–PO Attainment Summary'!G100</f>
        <v/>
      </c>
      <c r="H100">
        <f>'CO–PO Attainment Summary'!H100</f>
        <v/>
      </c>
      <c r="I100" s="5">
        <f>IFERROR(AVERAGEIFS('Continuous Assessment Records'!L:L,'Continuous Assessment Records'!A:A,$A100,'Continuous Assessment Records'!F:F,$B100,'Continuous Assessment Records'!C:C,"Assignment"),"")</f>
        <v/>
      </c>
      <c r="J100" s="5">
        <f>IFERROR(AVERAGEIFS('Continuous Assessment Records'!L:L,'Continuous Assessment Records'!A:A,$A100,'Continuous Assessment Records'!F:F,$B100,'Continuous Assessment Records'!C:C,"Unit Test"),"")</f>
        <v/>
      </c>
      <c r="K100" s="5">
        <f>IFERROR(AVERAGEIFS('Continuous Assessment Records'!L:L,'Continuous Assessment Records'!A:A,$A100,'Continuous Assessment Records'!F:F,$B100,'Continuous Assessment Records'!C:C,"Mid-Term"),"")</f>
        <v/>
      </c>
      <c r="L100" s="5">
        <f>IF(OR(I100="",J100="",K100=""),"",I100*$I$205+J100*$J$205+K100*$K$205)</f>
        <v/>
      </c>
      <c r="M100">
        <f>IF(L100="","",IF(L100&gt;=0.7,3,IF(L100&gt;=0.6,2,IF(L100&gt;=0.5,1,0))))</f>
        <v/>
      </c>
      <c r="N100">
        <f>'CO–PO Attainment Summary'!E100</f>
        <v/>
      </c>
      <c r="O100">
        <f>IF(M100="",'CO–PO Attainment Summary'!F100,ROUND(0.8*M100+0.2*N100,0))</f>
        <v/>
      </c>
    </row>
    <row r="101">
      <c r="A101">
        <f>'CO–PO Attainment Summary'!A101</f>
        <v/>
      </c>
      <c r="B101">
        <f>'CO–PO Attainment Summary'!B101</f>
        <v/>
      </c>
      <c r="C101">
        <f>'CO–PO Attainment Summary'!C101</f>
        <v/>
      </c>
      <c r="D101">
        <f>'CO–PO Attainment Summary'!D101</f>
        <v/>
      </c>
      <c r="E101">
        <f>'CO–PO Attainment Summary'!E101</f>
        <v/>
      </c>
      <c r="F101">
        <f>'CO–PO Attainment Summary'!F101</f>
        <v/>
      </c>
      <c r="G101">
        <f>'CO–PO Attainment Summary'!G101</f>
        <v/>
      </c>
      <c r="H101">
        <f>'CO–PO Attainment Summary'!H101</f>
        <v/>
      </c>
      <c r="I101" s="5">
        <f>IFERROR(AVERAGEIFS('Continuous Assessment Records'!L:L,'Continuous Assessment Records'!A:A,$A101,'Continuous Assessment Records'!F:F,$B101,'Continuous Assessment Records'!C:C,"Assignment"),"")</f>
        <v/>
      </c>
      <c r="J101" s="5">
        <f>IFERROR(AVERAGEIFS('Continuous Assessment Records'!L:L,'Continuous Assessment Records'!A:A,$A101,'Continuous Assessment Records'!F:F,$B101,'Continuous Assessment Records'!C:C,"Unit Test"),"")</f>
        <v/>
      </c>
      <c r="K101" s="5">
        <f>IFERROR(AVERAGEIFS('Continuous Assessment Records'!L:L,'Continuous Assessment Records'!A:A,$A101,'Continuous Assessment Records'!F:F,$B101,'Continuous Assessment Records'!C:C,"Mid-Term"),"")</f>
        <v/>
      </c>
      <c r="L101" s="5">
        <f>IF(OR(I101="",J101="",K101=""),"",I101*$I$205+J101*$J$205+K101*$K$205)</f>
        <v/>
      </c>
      <c r="M101">
        <f>IF(L101="","",IF(L101&gt;=0.7,3,IF(L101&gt;=0.6,2,IF(L101&gt;=0.5,1,0))))</f>
        <v/>
      </c>
      <c r="N101">
        <f>'CO–PO Attainment Summary'!E101</f>
        <v/>
      </c>
      <c r="O101">
        <f>IF(M101="",'CO–PO Attainment Summary'!F101,ROUND(0.8*M101+0.2*N101,0))</f>
        <v/>
      </c>
    </row>
    <row r="102">
      <c r="A102">
        <f>'CO–PO Attainment Summary'!A102</f>
        <v/>
      </c>
      <c r="B102">
        <f>'CO–PO Attainment Summary'!B102</f>
        <v/>
      </c>
      <c r="C102">
        <f>'CO–PO Attainment Summary'!C102</f>
        <v/>
      </c>
      <c r="D102">
        <f>'CO–PO Attainment Summary'!D102</f>
        <v/>
      </c>
      <c r="E102">
        <f>'CO–PO Attainment Summary'!E102</f>
        <v/>
      </c>
      <c r="F102">
        <f>'CO–PO Attainment Summary'!F102</f>
        <v/>
      </c>
      <c r="G102">
        <f>'CO–PO Attainment Summary'!G102</f>
        <v/>
      </c>
      <c r="H102">
        <f>'CO–PO Attainment Summary'!H102</f>
        <v/>
      </c>
      <c r="I102" s="5">
        <f>IFERROR(AVERAGEIFS('Continuous Assessment Records'!L:L,'Continuous Assessment Records'!A:A,$A102,'Continuous Assessment Records'!F:F,$B102,'Continuous Assessment Records'!C:C,"Assignment"),"")</f>
        <v/>
      </c>
      <c r="J102" s="5">
        <f>IFERROR(AVERAGEIFS('Continuous Assessment Records'!L:L,'Continuous Assessment Records'!A:A,$A102,'Continuous Assessment Records'!F:F,$B102,'Continuous Assessment Records'!C:C,"Unit Test"),"")</f>
        <v/>
      </c>
      <c r="K102" s="5">
        <f>IFERROR(AVERAGEIFS('Continuous Assessment Records'!L:L,'Continuous Assessment Records'!A:A,$A102,'Continuous Assessment Records'!F:F,$B102,'Continuous Assessment Records'!C:C,"Mid-Term"),"")</f>
        <v/>
      </c>
      <c r="L102" s="5">
        <f>IF(OR(I102="",J102="",K102=""),"",I102*$I$205+J102*$J$205+K102*$K$205)</f>
        <v/>
      </c>
      <c r="M102">
        <f>IF(L102="","",IF(L102&gt;=0.7,3,IF(L102&gt;=0.6,2,IF(L102&gt;=0.5,1,0))))</f>
        <v/>
      </c>
      <c r="N102">
        <f>'CO–PO Attainment Summary'!E102</f>
        <v/>
      </c>
      <c r="O102">
        <f>IF(M102="",'CO–PO Attainment Summary'!F102,ROUND(0.8*M102+0.2*N102,0))</f>
        <v/>
      </c>
    </row>
    <row r="103">
      <c r="A103">
        <f>'CO–PO Attainment Summary'!A103</f>
        <v/>
      </c>
      <c r="B103">
        <f>'CO–PO Attainment Summary'!B103</f>
        <v/>
      </c>
      <c r="C103">
        <f>'CO–PO Attainment Summary'!C103</f>
        <v/>
      </c>
      <c r="D103">
        <f>'CO–PO Attainment Summary'!D103</f>
        <v/>
      </c>
      <c r="E103">
        <f>'CO–PO Attainment Summary'!E103</f>
        <v/>
      </c>
      <c r="F103">
        <f>'CO–PO Attainment Summary'!F103</f>
        <v/>
      </c>
      <c r="G103">
        <f>'CO–PO Attainment Summary'!G103</f>
        <v/>
      </c>
      <c r="H103">
        <f>'CO–PO Attainment Summary'!H103</f>
        <v/>
      </c>
      <c r="I103" s="5">
        <f>IFERROR(AVERAGEIFS('Continuous Assessment Records'!L:L,'Continuous Assessment Records'!A:A,$A103,'Continuous Assessment Records'!F:F,$B103,'Continuous Assessment Records'!C:C,"Assignment"),"")</f>
        <v/>
      </c>
      <c r="J103" s="5">
        <f>IFERROR(AVERAGEIFS('Continuous Assessment Records'!L:L,'Continuous Assessment Records'!A:A,$A103,'Continuous Assessment Records'!F:F,$B103,'Continuous Assessment Records'!C:C,"Unit Test"),"")</f>
        <v/>
      </c>
      <c r="K103" s="5">
        <f>IFERROR(AVERAGEIFS('Continuous Assessment Records'!L:L,'Continuous Assessment Records'!A:A,$A103,'Continuous Assessment Records'!F:F,$B103,'Continuous Assessment Records'!C:C,"Mid-Term"),"")</f>
        <v/>
      </c>
      <c r="L103" s="5">
        <f>IF(OR(I103="",J103="",K103=""),"",I103*$I$205+J103*$J$205+K103*$K$205)</f>
        <v/>
      </c>
      <c r="M103">
        <f>IF(L103="","",IF(L103&gt;=0.7,3,IF(L103&gt;=0.6,2,IF(L103&gt;=0.5,1,0))))</f>
        <v/>
      </c>
      <c r="N103">
        <f>'CO–PO Attainment Summary'!E103</f>
        <v/>
      </c>
      <c r="O103">
        <f>IF(M103="",'CO–PO Attainment Summary'!F103,ROUND(0.8*M103+0.2*N103,0))</f>
        <v/>
      </c>
    </row>
    <row r="104">
      <c r="A104">
        <f>'CO–PO Attainment Summary'!A104</f>
        <v/>
      </c>
      <c r="B104">
        <f>'CO–PO Attainment Summary'!B104</f>
        <v/>
      </c>
      <c r="C104">
        <f>'CO–PO Attainment Summary'!C104</f>
        <v/>
      </c>
      <c r="D104">
        <f>'CO–PO Attainment Summary'!D104</f>
        <v/>
      </c>
      <c r="E104">
        <f>'CO–PO Attainment Summary'!E104</f>
        <v/>
      </c>
      <c r="F104">
        <f>'CO–PO Attainment Summary'!F104</f>
        <v/>
      </c>
      <c r="G104">
        <f>'CO–PO Attainment Summary'!G104</f>
        <v/>
      </c>
      <c r="H104">
        <f>'CO–PO Attainment Summary'!H104</f>
        <v/>
      </c>
      <c r="I104" s="5">
        <f>IFERROR(AVERAGEIFS('Continuous Assessment Records'!L:L,'Continuous Assessment Records'!A:A,$A104,'Continuous Assessment Records'!F:F,$B104,'Continuous Assessment Records'!C:C,"Assignment"),"")</f>
        <v/>
      </c>
      <c r="J104" s="5">
        <f>IFERROR(AVERAGEIFS('Continuous Assessment Records'!L:L,'Continuous Assessment Records'!A:A,$A104,'Continuous Assessment Records'!F:F,$B104,'Continuous Assessment Records'!C:C,"Unit Test"),"")</f>
        <v/>
      </c>
      <c r="K104" s="5">
        <f>IFERROR(AVERAGEIFS('Continuous Assessment Records'!L:L,'Continuous Assessment Records'!A:A,$A104,'Continuous Assessment Records'!F:F,$B104,'Continuous Assessment Records'!C:C,"Mid-Term"),"")</f>
        <v/>
      </c>
      <c r="L104" s="5">
        <f>IF(OR(I104="",J104="",K104=""),"",I104*$I$205+J104*$J$205+K104*$K$205)</f>
        <v/>
      </c>
      <c r="M104">
        <f>IF(L104="","",IF(L104&gt;=0.7,3,IF(L104&gt;=0.6,2,IF(L104&gt;=0.5,1,0))))</f>
        <v/>
      </c>
      <c r="N104">
        <f>'CO–PO Attainment Summary'!E104</f>
        <v/>
      </c>
      <c r="O104">
        <f>IF(M104="",'CO–PO Attainment Summary'!F104,ROUND(0.8*M104+0.2*N104,0))</f>
        <v/>
      </c>
    </row>
    <row r="105">
      <c r="A105">
        <f>'CO–PO Attainment Summary'!A105</f>
        <v/>
      </c>
      <c r="B105">
        <f>'CO–PO Attainment Summary'!B105</f>
        <v/>
      </c>
      <c r="C105">
        <f>'CO–PO Attainment Summary'!C105</f>
        <v/>
      </c>
      <c r="D105">
        <f>'CO–PO Attainment Summary'!D105</f>
        <v/>
      </c>
      <c r="E105">
        <f>'CO–PO Attainment Summary'!E105</f>
        <v/>
      </c>
      <c r="F105">
        <f>'CO–PO Attainment Summary'!F105</f>
        <v/>
      </c>
      <c r="G105">
        <f>'CO–PO Attainment Summary'!G105</f>
        <v/>
      </c>
      <c r="H105">
        <f>'CO–PO Attainment Summary'!H105</f>
        <v/>
      </c>
      <c r="I105" s="5">
        <f>IFERROR(AVERAGEIFS('Continuous Assessment Records'!L:L,'Continuous Assessment Records'!A:A,$A105,'Continuous Assessment Records'!F:F,$B105,'Continuous Assessment Records'!C:C,"Assignment"),"")</f>
        <v/>
      </c>
      <c r="J105" s="5">
        <f>IFERROR(AVERAGEIFS('Continuous Assessment Records'!L:L,'Continuous Assessment Records'!A:A,$A105,'Continuous Assessment Records'!F:F,$B105,'Continuous Assessment Records'!C:C,"Unit Test"),"")</f>
        <v/>
      </c>
      <c r="K105" s="5">
        <f>IFERROR(AVERAGEIFS('Continuous Assessment Records'!L:L,'Continuous Assessment Records'!A:A,$A105,'Continuous Assessment Records'!F:F,$B105,'Continuous Assessment Records'!C:C,"Mid-Term"),"")</f>
        <v/>
      </c>
      <c r="L105" s="5">
        <f>IF(OR(I105="",J105="",K105=""),"",I105*$I$205+J105*$J$205+K105*$K$205)</f>
        <v/>
      </c>
      <c r="M105">
        <f>IF(L105="","",IF(L105&gt;=0.7,3,IF(L105&gt;=0.6,2,IF(L105&gt;=0.5,1,0))))</f>
        <v/>
      </c>
      <c r="N105">
        <f>'CO–PO Attainment Summary'!E105</f>
        <v/>
      </c>
      <c r="O105">
        <f>IF(M105="",'CO–PO Attainment Summary'!F105,ROUND(0.8*M105+0.2*N105,0))</f>
        <v/>
      </c>
    </row>
    <row r="106">
      <c r="A106">
        <f>'CO–PO Attainment Summary'!A106</f>
        <v/>
      </c>
      <c r="B106">
        <f>'CO–PO Attainment Summary'!B106</f>
        <v/>
      </c>
      <c r="C106">
        <f>'CO–PO Attainment Summary'!C106</f>
        <v/>
      </c>
      <c r="D106">
        <f>'CO–PO Attainment Summary'!D106</f>
        <v/>
      </c>
      <c r="E106">
        <f>'CO–PO Attainment Summary'!E106</f>
        <v/>
      </c>
      <c r="F106">
        <f>'CO–PO Attainment Summary'!F106</f>
        <v/>
      </c>
      <c r="G106">
        <f>'CO–PO Attainment Summary'!G106</f>
        <v/>
      </c>
      <c r="H106">
        <f>'CO–PO Attainment Summary'!H106</f>
        <v/>
      </c>
      <c r="I106" s="5">
        <f>IFERROR(AVERAGEIFS('Continuous Assessment Records'!L:L,'Continuous Assessment Records'!A:A,$A106,'Continuous Assessment Records'!F:F,$B106,'Continuous Assessment Records'!C:C,"Assignment"),"")</f>
        <v/>
      </c>
      <c r="J106" s="5">
        <f>IFERROR(AVERAGEIFS('Continuous Assessment Records'!L:L,'Continuous Assessment Records'!A:A,$A106,'Continuous Assessment Records'!F:F,$B106,'Continuous Assessment Records'!C:C,"Unit Test"),"")</f>
        <v/>
      </c>
      <c r="K106" s="5">
        <f>IFERROR(AVERAGEIFS('Continuous Assessment Records'!L:L,'Continuous Assessment Records'!A:A,$A106,'Continuous Assessment Records'!F:F,$B106,'Continuous Assessment Records'!C:C,"Mid-Term"),"")</f>
        <v/>
      </c>
      <c r="L106" s="5">
        <f>IF(OR(I106="",J106="",K106=""),"",I106*$I$205+J106*$J$205+K106*$K$205)</f>
        <v/>
      </c>
      <c r="M106">
        <f>IF(L106="","",IF(L106&gt;=0.7,3,IF(L106&gt;=0.6,2,IF(L106&gt;=0.5,1,0))))</f>
        <v/>
      </c>
      <c r="N106">
        <f>'CO–PO Attainment Summary'!E106</f>
        <v/>
      </c>
      <c r="O106">
        <f>IF(M106="",'CO–PO Attainment Summary'!F106,ROUND(0.8*M106+0.2*N106,0))</f>
        <v/>
      </c>
    </row>
    <row r="107">
      <c r="A107">
        <f>'CO–PO Attainment Summary'!A107</f>
        <v/>
      </c>
      <c r="B107">
        <f>'CO–PO Attainment Summary'!B107</f>
        <v/>
      </c>
      <c r="C107">
        <f>'CO–PO Attainment Summary'!C107</f>
        <v/>
      </c>
      <c r="D107">
        <f>'CO–PO Attainment Summary'!D107</f>
        <v/>
      </c>
      <c r="E107">
        <f>'CO–PO Attainment Summary'!E107</f>
        <v/>
      </c>
      <c r="F107">
        <f>'CO–PO Attainment Summary'!F107</f>
        <v/>
      </c>
      <c r="G107">
        <f>'CO–PO Attainment Summary'!G107</f>
        <v/>
      </c>
      <c r="H107">
        <f>'CO–PO Attainment Summary'!H107</f>
        <v/>
      </c>
      <c r="I107" s="5">
        <f>IFERROR(AVERAGEIFS('Continuous Assessment Records'!L:L,'Continuous Assessment Records'!A:A,$A107,'Continuous Assessment Records'!F:F,$B107,'Continuous Assessment Records'!C:C,"Assignment"),"")</f>
        <v/>
      </c>
      <c r="J107" s="5">
        <f>IFERROR(AVERAGEIFS('Continuous Assessment Records'!L:L,'Continuous Assessment Records'!A:A,$A107,'Continuous Assessment Records'!F:F,$B107,'Continuous Assessment Records'!C:C,"Unit Test"),"")</f>
        <v/>
      </c>
      <c r="K107" s="5">
        <f>IFERROR(AVERAGEIFS('Continuous Assessment Records'!L:L,'Continuous Assessment Records'!A:A,$A107,'Continuous Assessment Records'!F:F,$B107,'Continuous Assessment Records'!C:C,"Mid-Term"),"")</f>
        <v/>
      </c>
      <c r="L107" s="5">
        <f>IF(OR(I107="",J107="",K107=""),"",I107*$I$205+J107*$J$205+K107*$K$205)</f>
        <v/>
      </c>
      <c r="M107">
        <f>IF(L107="","",IF(L107&gt;=0.7,3,IF(L107&gt;=0.6,2,IF(L107&gt;=0.5,1,0))))</f>
        <v/>
      </c>
      <c r="N107">
        <f>'CO–PO Attainment Summary'!E107</f>
        <v/>
      </c>
      <c r="O107">
        <f>IF(M107="",'CO–PO Attainment Summary'!F107,ROUND(0.8*M107+0.2*N107,0))</f>
        <v/>
      </c>
    </row>
    <row r="108">
      <c r="A108">
        <f>'CO–PO Attainment Summary'!A108</f>
        <v/>
      </c>
      <c r="B108">
        <f>'CO–PO Attainment Summary'!B108</f>
        <v/>
      </c>
      <c r="C108">
        <f>'CO–PO Attainment Summary'!C108</f>
        <v/>
      </c>
      <c r="D108">
        <f>'CO–PO Attainment Summary'!D108</f>
        <v/>
      </c>
      <c r="E108">
        <f>'CO–PO Attainment Summary'!E108</f>
        <v/>
      </c>
      <c r="F108">
        <f>'CO–PO Attainment Summary'!F108</f>
        <v/>
      </c>
      <c r="G108">
        <f>'CO–PO Attainment Summary'!G108</f>
        <v/>
      </c>
      <c r="H108">
        <f>'CO–PO Attainment Summary'!H108</f>
        <v/>
      </c>
      <c r="I108" s="5">
        <f>IFERROR(AVERAGEIFS('Continuous Assessment Records'!L:L,'Continuous Assessment Records'!A:A,$A108,'Continuous Assessment Records'!F:F,$B108,'Continuous Assessment Records'!C:C,"Assignment"),"")</f>
        <v/>
      </c>
      <c r="J108" s="5">
        <f>IFERROR(AVERAGEIFS('Continuous Assessment Records'!L:L,'Continuous Assessment Records'!A:A,$A108,'Continuous Assessment Records'!F:F,$B108,'Continuous Assessment Records'!C:C,"Unit Test"),"")</f>
        <v/>
      </c>
      <c r="K108" s="5">
        <f>IFERROR(AVERAGEIFS('Continuous Assessment Records'!L:L,'Continuous Assessment Records'!A:A,$A108,'Continuous Assessment Records'!F:F,$B108,'Continuous Assessment Records'!C:C,"Mid-Term"),"")</f>
        <v/>
      </c>
      <c r="L108" s="5">
        <f>IF(OR(I108="",J108="",K108=""),"",I108*$I$205+J108*$J$205+K108*$K$205)</f>
        <v/>
      </c>
      <c r="M108">
        <f>IF(L108="","",IF(L108&gt;=0.7,3,IF(L108&gt;=0.6,2,IF(L108&gt;=0.5,1,0))))</f>
        <v/>
      </c>
      <c r="N108">
        <f>'CO–PO Attainment Summary'!E108</f>
        <v/>
      </c>
      <c r="O108">
        <f>IF(M108="",'CO–PO Attainment Summary'!F108,ROUND(0.8*M108+0.2*N108,0))</f>
        <v/>
      </c>
    </row>
    <row r="109">
      <c r="A109">
        <f>'CO–PO Attainment Summary'!A109</f>
        <v/>
      </c>
      <c r="B109">
        <f>'CO–PO Attainment Summary'!B109</f>
        <v/>
      </c>
      <c r="C109">
        <f>'CO–PO Attainment Summary'!C109</f>
        <v/>
      </c>
      <c r="D109">
        <f>'CO–PO Attainment Summary'!D109</f>
        <v/>
      </c>
      <c r="E109">
        <f>'CO–PO Attainment Summary'!E109</f>
        <v/>
      </c>
      <c r="F109">
        <f>'CO–PO Attainment Summary'!F109</f>
        <v/>
      </c>
      <c r="G109">
        <f>'CO–PO Attainment Summary'!G109</f>
        <v/>
      </c>
      <c r="H109">
        <f>'CO–PO Attainment Summary'!H109</f>
        <v/>
      </c>
      <c r="I109" s="5">
        <f>IFERROR(AVERAGEIFS('Continuous Assessment Records'!L:L,'Continuous Assessment Records'!A:A,$A109,'Continuous Assessment Records'!F:F,$B109,'Continuous Assessment Records'!C:C,"Assignment"),"")</f>
        <v/>
      </c>
      <c r="J109" s="5">
        <f>IFERROR(AVERAGEIFS('Continuous Assessment Records'!L:L,'Continuous Assessment Records'!A:A,$A109,'Continuous Assessment Records'!F:F,$B109,'Continuous Assessment Records'!C:C,"Unit Test"),"")</f>
        <v/>
      </c>
      <c r="K109" s="5">
        <f>IFERROR(AVERAGEIFS('Continuous Assessment Records'!L:L,'Continuous Assessment Records'!A:A,$A109,'Continuous Assessment Records'!F:F,$B109,'Continuous Assessment Records'!C:C,"Mid-Term"),"")</f>
        <v/>
      </c>
      <c r="L109" s="5">
        <f>IF(OR(I109="",J109="",K109=""),"",I109*$I$205+J109*$J$205+K109*$K$205)</f>
        <v/>
      </c>
      <c r="M109">
        <f>IF(L109="","",IF(L109&gt;=0.7,3,IF(L109&gt;=0.6,2,IF(L109&gt;=0.5,1,0))))</f>
        <v/>
      </c>
      <c r="N109">
        <f>'CO–PO Attainment Summary'!E109</f>
        <v/>
      </c>
      <c r="O109">
        <f>IF(M109="",'CO–PO Attainment Summary'!F109,ROUND(0.8*M109+0.2*N109,0))</f>
        <v/>
      </c>
    </row>
    <row r="110">
      <c r="A110">
        <f>'CO–PO Attainment Summary'!A110</f>
        <v/>
      </c>
      <c r="B110">
        <f>'CO–PO Attainment Summary'!B110</f>
        <v/>
      </c>
      <c r="C110">
        <f>'CO–PO Attainment Summary'!C110</f>
        <v/>
      </c>
      <c r="D110">
        <f>'CO–PO Attainment Summary'!D110</f>
        <v/>
      </c>
      <c r="E110">
        <f>'CO–PO Attainment Summary'!E110</f>
        <v/>
      </c>
      <c r="F110">
        <f>'CO–PO Attainment Summary'!F110</f>
        <v/>
      </c>
      <c r="G110">
        <f>'CO–PO Attainment Summary'!G110</f>
        <v/>
      </c>
      <c r="H110">
        <f>'CO–PO Attainment Summary'!H110</f>
        <v/>
      </c>
      <c r="I110" s="5">
        <f>IFERROR(AVERAGEIFS('Continuous Assessment Records'!L:L,'Continuous Assessment Records'!A:A,$A110,'Continuous Assessment Records'!F:F,$B110,'Continuous Assessment Records'!C:C,"Assignment"),"")</f>
        <v/>
      </c>
      <c r="J110" s="5">
        <f>IFERROR(AVERAGEIFS('Continuous Assessment Records'!L:L,'Continuous Assessment Records'!A:A,$A110,'Continuous Assessment Records'!F:F,$B110,'Continuous Assessment Records'!C:C,"Unit Test"),"")</f>
        <v/>
      </c>
      <c r="K110" s="5">
        <f>IFERROR(AVERAGEIFS('Continuous Assessment Records'!L:L,'Continuous Assessment Records'!A:A,$A110,'Continuous Assessment Records'!F:F,$B110,'Continuous Assessment Records'!C:C,"Mid-Term"),"")</f>
        <v/>
      </c>
      <c r="L110" s="5">
        <f>IF(OR(I110="",J110="",K110=""),"",I110*$I$205+J110*$J$205+K110*$K$205)</f>
        <v/>
      </c>
      <c r="M110">
        <f>IF(L110="","",IF(L110&gt;=0.7,3,IF(L110&gt;=0.6,2,IF(L110&gt;=0.5,1,0))))</f>
        <v/>
      </c>
      <c r="N110">
        <f>'CO–PO Attainment Summary'!E110</f>
        <v/>
      </c>
      <c r="O110">
        <f>IF(M110="",'CO–PO Attainment Summary'!F110,ROUND(0.8*M110+0.2*N110,0))</f>
        <v/>
      </c>
    </row>
    <row r="111">
      <c r="A111">
        <f>'CO–PO Attainment Summary'!A111</f>
        <v/>
      </c>
      <c r="B111">
        <f>'CO–PO Attainment Summary'!B111</f>
        <v/>
      </c>
      <c r="C111">
        <f>'CO–PO Attainment Summary'!C111</f>
        <v/>
      </c>
      <c r="D111">
        <f>'CO–PO Attainment Summary'!D111</f>
        <v/>
      </c>
      <c r="E111">
        <f>'CO–PO Attainment Summary'!E111</f>
        <v/>
      </c>
      <c r="F111">
        <f>'CO–PO Attainment Summary'!F111</f>
        <v/>
      </c>
      <c r="G111">
        <f>'CO–PO Attainment Summary'!G111</f>
        <v/>
      </c>
      <c r="H111">
        <f>'CO–PO Attainment Summary'!H111</f>
        <v/>
      </c>
      <c r="I111" s="5">
        <f>IFERROR(AVERAGEIFS('Continuous Assessment Records'!L:L,'Continuous Assessment Records'!A:A,$A111,'Continuous Assessment Records'!F:F,$B111,'Continuous Assessment Records'!C:C,"Assignment"),"")</f>
        <v/>
      </c>
      <c r="J111" s="5">
        <f>IFERROR(AVERAGEIFS('Continuous Assessment Records'!L:L,'Continuous Assessment Records'!A:A,$A111,'Continuous Assessment Records'!F:F,$B111,'Continuous Assessment Records'!C:C,"Unit Test"),"")</f>
        <v/>
      </c>
      <c r="K111" s="5">
        <f>IFERROR(AVERAGEIFS('Continuous Assessment Records'!L:L,'Continuous Assessment Records'!A:A,$A111,'Continuous Assessment Records'!F:F,$B111,'Continuous Assessment Records'!C:C,"Mid-Term"),"")</f>
        <v/>
      </c>
      <c r="L111" s="5">
        <f>IF(OR(I111="",J111="",K111=""),"",I111*$I$205+J111*$J$205+K111*$K$205)</f>
        <v/>
      </c>
      <c r="M111">
        <f>IF(L111="","",IF(L111&gt;=0.7,3,IF(L111&gt;=0.6,2,IF(L111&gt;=0.5,1,0))))</f>
        <v/>
      </c>
      <c r="N111">
        <f>'CO–PO Attainment Summary'!E111</f>
        <v/>
      </c>
      <c r="O111">
        <f>IF(M111="",'CO–PO Attainment Summary'!F111,ROUND(0.8*M111+0.2*N111,0))</f>
        <v/>
      </c>
    </row>
    <row r="112">
      <c r="A112">
        <f>'CO–PO Attainment Summary'!A112</f>
        <v/>
      </c>
      <c r="B112">
        <f>'CO–PO Attainment Summary'!B112</f>
        <v/>
      </c>
      <c r="C112">
        <f>'CO–PO Attainment Summary'!C112</f>
        <v/>
      </c>
      <c r="D112">
        <f>'CO–PO Attainment Summary'!D112</f>
        <v/>
      </c>
      <c r="E112">
        <f>'CO–PO Attainment Summary'!E112</f>
        <v/>
      </c>
      <c r="F112">
        <f>'CO–PO Attainment Summary'!F112</f>
        <v/>
      </c>
      <c r="G112">
        <f>'CO–PO Attainment Summary'!G112</f>
        <v/>
      </c>
      <c r="H112">
        <f>'CO–PO Attainment Summary'!H112</f>
        <v/>
      </c>
      <c r="I112" s="5">
        <f>IFERROR(AVERAGEIFS('Continuous Assessment Records'!L:L,'Continuous Assessment Records'!A:A,$A112,'Continuous Assessment Records'!F:F,$B112,'Continuous Assessment Records'!C:C,"Assignment"),"")</f>
        <v/>
      </c>
      <c r="J112" s="5">
        <f>IFERROR(AVERAGEIFS('Continuous Assessment Records'!L:L,'Continuous Assessment Records'!A:A,$A112,'Continuous Assessment Records'!F:F,$B112,'Continuous Assessment Records'!C:C,"Unit Test"),"")</f>
        <v/>
      </c>
      <c r="K112" s="5">
        <f>IFERROR(AVERAGEIFS('Continuous Assessment Records'!L:L,'Continuous Assessment Records'!A:A,$A112,'Continuous Assessment Records'!F:F,$B112,'Continuous Assessment Records'!C:C,"Mid-Term"),"")</f>
        <v/>
      </c>
      <c r="L112" s="5">
        <f>IF(OR(I112="",J112="",K112=""),"",I112*$I$205+J112*$J$205+K112*$K$205)</f>
        <v/>
      </c>
      <c r="M112">
        <f>IF(L112="","",IF(L112&gt;=0.7,3,IF(L112&gt;=0.6,2,IF(L112&gt;=0.5,1,0))))</f>
        <v/>
      </c>
      <c r="N112">
        <f>'CO–PO Attainment Summary'!E112</f>
        <v/>
      </c>
      <c r="O112">
        <f>IF(M112="",'CO–PO Attainment Summary'!F112,ROUND(0.8*M112+0.2*N112,0))</f>
        <v/>
      </c>
    </row>
    <row r="113">
      <c r="A113">
        <f>'CO–PO Attainment Summary'!A113</f>
        <v/>
      </c>
      <c r="B113">
        <f>'CO–PO Attainment Summary'!B113</f>
        <v/>
      </c>
      <c r="C113">
        <f>'CO–PO Attainment Summary'!C113</f>
        <v/>
      </c>
      <c r="D113">
        <f>'CO–PO Attainment Summary'!D113</f>
        <v/>
      </c>
      <c r="E113">
        <f>'CO–PO Attainment Summary'!E113</f>
        <v/>
      </c>
      <c r="F113">
        <f>'CO–PO Attainment Summary'!F113</f>
        <v/>
      </c>
      <c r="G113">
        <f>'CO–PO Attainment Summary'!G113</f>
        <v/>
      </c>
      <c r="H113">
        <f>'CO–PO Attainment Summary'!H113</f>
        <v/>
      </c>
      <c r="I113" s="5">
        <f>IFERROR(AVERAGEIFS('Continuous Assessment Records'!L:L,'Continuous Assessment Records'!A:A,$A113,'Continuous Assessment Records'!F:F,$B113,'Continuous Assessment Records'!C:C,"Assignment"),"")</f>
        <v/>
      </c>
      <c r="J113" s="5">
        <f>IFERROR(AVERAGEIFS('Continuous Assessment Records'!L:L,'Continuous Assessment Records'!A:A,$A113,'Continuous Assessment Records'!F:F,$B113,'Continuous Assessment Records'!C:C,"Unit Test"),"")</f>
        <v/>
      </c>
      <c r="K113" s="5">
        <f>IFERROR(AVERAGEIFS('Continuous Assessment Records'!L:L,'Continuous Assessment Records'!A:A,$A113,'Continuous Assessment Records'!F:F,$B113,'Continuous Assessment Records'!C:C,"Mid-Term"),"")</f>
        <v/>
      </c>
      <c r="L113" s="5">
        <f>IF(OR(I113="",J113="",K113=""),"",I113*$I$205+J113*$J$205+K113*$K$205)</f>
        <v/>
      </c>
      <c r="M113">
        <f>IF(L113="","",IF(L113&gt;=0.7,3,IF(L113&gt;=0.6,2,IF(L113&gt;=0.5,1,0))))</f>
        <v/>
      </c>
      <c r="N113">
        <f>'CO–PO Attainment Summary'!E113</f>
        <v/>
      </c>
      <c r="O113">
        <f>IF(M113="",'CO–PO Attainment Summary'!F113,ROUND(0.8*M113+0.2*N113,0))</f>
        <v/>
      </c>
    </row>
    <row r="114">
      <c r="A114">
        <f>'CO–PO Attainment Summary'!A114</f>
        <v/>
      </c>
      <c r="B114">
        <f>'CO–PO Attainment Summary'!B114</f>
        <v/>
      </c>
      <c r="C114">
        <f>'CO–PO Attainment Summary'!C114</f>
        <v/>
      </c>
      <c r="D114">
        <f>'CO–PO Attainment Summary'!D114</f>
        <v/>
      </c>
      <c r="E114">
        <f>'CO–PO Attainment Summary'!E114</f>
        <v/>
      </c>
      <c r="F114">
        <f>'CO–PO Attainment Summary'!F114</f>
        <v/>
      </c>
      <c r="G114">
        <f>'CO–PO Attainment Summary'!G114</f>
        <v/>
      </c>
      <c r="H114">
        <f>'CO–PO Attainment Summary'!H114</f>
        <v/>
      </c>
      <c r="I114" s="5">
        <f>IFERROR(AVERAGEIFS('Continuous Assessment Records'!L:L,'Continuous Assessment Records'!A:A,$A114,'Continuous Assessment Records'!F:F,$B114,'Continuous Assessment Records'!C:C,"Assignment"),"")</f>
        <v/>
      </c>
      <c r="J114" s="5">
        <f>IFERROR(AVERAGEIFS('Continuous Assessment Records'!L:L,'Continuous Assessment Records'!A:A,$A114,'Continuous Assessment Records'!F:F,$B114,'Continuous Assessment Records'!C:C,"Unit Test"),"")</f>
        <v/>
      </c>
      <c r="K114" s="5">
        <f>IFERROR(AVERAGEIFS('Continuous Assessment Records'!L:L,'Continuous Assessment Records'!A:A,$A114,'Continuous Assessment Records'!F:F,$B114,'Continuous Assessment Records'!C:C,"Mid-Term"),"")</f>
        <v/>
      </c>
      <c r="L114" s="5">
        <f>IF(OR(I114="",J114="",K114=""),"",I114*$I$205+J114*$J$205+K114*$K$205)</f>
        <v/>
      </c>
      <c r="M114">
        <f>IF(L114="","",IF(L114&gt;=0.7,3,IF(L114&gt;=0.6,2,IF(L114&gt;=0.5,1,0))))</f>
        <v/>
      </c>
      <c r="N114">
        <f>'CO–PO Attainment Summary'!E114</f>
        <v/>
      </c>
      <c r="O114">
        <f>IF(M114="",'CO–PO Attainment Summary'!F114,ROUND(0.8*M114+0.2*N114,0))</f>
        <v/>
      </c>
    </row>
    <row r="115">
      <c r="A115">
        <f>'CO–PO Attainment Summary'!A115</f>
        <v/>
      </c>
      <c r="B115">
        <f>'CO–PO Attainment Summary'!B115</f>
        <v/>
      </c>
      <c r="C115">
        <f>'CO–PO Attainment Summary'!C115</f>
        <v/>
      </c>
      <c r="D115">
        <f>'CO–PO Attainment Summary'!D115</f>
        <v/>
      </c>
      <c r="E115">
        <f>'CO–PO Attainment Summary'!E115</f>
        <v/>
      </c>
      <c r="F115">
        <f>'CO–PO Attainment Summary'!F115</f>
        <v/>
      </c>
      <c r="G115">
        <f>'CO–PO Attainment Summary'!G115</f>
        <v/>
      </c>
      <c r="H115">
        <f>'CO–PO Attainment Summary'!H115</f>
        <v/>
      </c>
      <c r="I115" s="5">
        <f>IFERROR(AVERAGEIFS('Continuous Assessment Records'!L:L,'Continuous Assessment Records'!A:A,$A115,'Continuous Assessment Records'!F:F,$B115,'Continuous Assessment Records'!C:C,"Assignment"),"")</f>
        <v/>
      </c>
      <c r="J115" s="5">
        <f>IFERROR(AVERAGEIFS('Continuous Assessment Records'!L:L,'Continuous Assessment Records'!A:A,$A115,'Continuous Assessment Records'!F:F,$B115,'Continuous Assessment Records'!C:C,"Unit Test"),"")</f>
        <v/>
      </c>
      <c r="K115" s="5">
        <f>IFERROR(AVERAGEIFS('Continuous Assessment Records'!L:L,'Continuous Assessment Records'!A:A,$A115,'Continuous Assessment Records'!F:F,$B115,'Continuous Assessment Records'!C:C,"Mid-Term"),"")</f>
        <v/>
      </c>
      <c r="L115" s="5">
        <f>IF(OR(I115="",J115="",K115=""),"",I115*$I$205+J115*$J$205+K115*$K$205)</f>
        <v/>
      </c>
      <c r="M115">
        <f>IF(L115="","",IF(L115&gt;=0.7,3,IF(L115&gt;=0.6,2,IF(L115&gt;=0.5,1,0))))</f>
        <v/>
      </c>
      <c r="N115">
        <f>'CO–PO Attainment Summary'!E115</f>
        <v/>
      </c>
      <c r="O115">
        <f>IF(M115="",'CO–PO Attainment Summary'!F115,ROUND(0.8*M115+0.2*N115,0))</f>
        <v/>
      </c>
    </row>
    <row r="116">
      <c r="A116">
        <f>'CO–PO Attainment Summary'!A116</f>
        <v/>
      </c>
      <c r="B116">
        <f>'CO–PO Attainment Summary'!B116</f>
        <v/>
      </c>
      <c r="C116">
        <f>'CO–PO Attainment Summary'!C116</f>
        <v/>
      </c>
      <c r="D116">
        <f>'CO–PO Attainment Summary'!D116</f>
        <v/>
      </c>
      <c r="E116">
        <f>'CO–PO Attainment Summary'!E116</f>
        <v/>
      </c>
      <c r="F116">
        <f>'CO–PO Attainment Summary'!F116</f>
        <v/>
      </c>
      <c r="G116">
        <f>'CO–PO Attainment Summary'!G116</f>
        <v/>
      </c>
      <c r="H116">
        <f>'CO–PO Attainment Summary'!H116</f>
        <v/>
      </c>
      <c r="I116" s="5">
        <f>IFERROR(AVERAGEIFS('Continuous Assessment Records'!L:L,'Continuous Assessment Records'!A:A,$A116,'Continuous Assessment Records'!F:F,$B116,'Continuous Assessment Records'!C:C,"Assignment"),"")</f>
        <v/>
      </c>
      <c r="J116" s="5">
        <f>IFERROR(AVERAGEIFS('Continuous Assessment Records'!L:L,'Continuous Assessment Records'!A:A,$A116,'Continuous Assessment Records'!F:F,$B116,'Continuous Assessment Records'!C:C,"Unit Test"),"")</f>
        <v/>
      </c>
      <c r="K116" s="5">
        <f>IFERROR(AVERAGEIFS('Continuous Assessment Records'!L:L,'Continuous Assessment Records'!A:A,$A116,'Continuous Assessment Records'!F:F,$B116,'Continuous Assessment Records'!C:C,"Mid-Term"),"")</f>
        <v/>
      </c>
      <c r="L116" s="5">
        <f>IF(OR(I116="",J116="",K116=""),"",I116*$I$205+J116*$J$205+K116*$K$205)</f>
        <v/>
      </c>
      <c r="M116">
        <f>IF(L116="","",IF(L116&gt;=0.7,3,IF(L116&gt;=0.6,2,IF(L116&gt;=0.5,1,0))))</f>
        <v/>
      </c>
      <c r="N116">
        <f>'CO–PO Attainment Summary'!E116</f>
        <v/>
      </c>
      <c r="O116">
        <f>IF(M116="",'CO–PO Attainment Summary'!F116,ROUND(0.8*M116+0.2*N116,0))</f>
        <v/>
      </c>
    </row>
    <row r="117">
      <c r="A117">
        <f>'CO–PO Attainment Summary'!A117</f>
        <v/>
      </c>
      <c r="B117">
        <f>'CO–PO Attainment Summary'!B117</f>
        <v/>
      </c>
      <c r="C117">
        <f>'CO–PO Attainment Summary'!C117</f>
        <v/>
      </c>
      <c r="D117">
        <f>'CO–PO Attainment Summary'!D117</f>
        <v/>
      </c>
      <c r="E117">
        <f>'CO–PO Attainment Summary'!E117</f>
        <v/>
      </c>
      <c r="F117">
        <f>'CO–PO Attainment Summary'!F117</f>
        <v/>
      </c>
      <c r="G117">
        <f>'CO–PO Attainment Summary'!G117</f>
        <v/>
      </c>
      <c r="H117">
        <f>'CO–PO Attainment Summary'!H117</f>
        <v/>
      </c>
      <c r="I117" s="5">
        <f>IFERROR(AVERAGEIFS('Continuous Assessment Records'!L:L,'Continuous Assessment Records'!A:A,$A117,'Continuous Assessment Records'!F:F,$B117,'Continuous Assessment Records'!C:C,"Assignment"),"")</f>
        <v/>
      </c>
      <c r="J117" s="5">
        <f>IFERROR(AVERAGEIFS('Continuous Assessment Records'!L:L,'Continuous Assessment Records'!A:A,$A117,'Continuous Assessment Records'!F:F,$B117,'Continuous Assessment Records'!C:C,"Unit Test"),"")</f>
        <v/>
      </c>
      <c r="K117" s="5">
        <f>IFERROR(AVERAGEIFS('Continuous Assessment Records'!L:L,'Continuous Assessment Records'!A:A,$A117,'Continuous Assessment Records'!F:F,$B117,'Continuous Assessment Records'!C:C,"Mid-Term"),"")</f>
        <v/>
      </c>
      <c r="L117" s="5">
        <f>IF(OR(I117="",J117="",K117=""),"",I117*$I$205+J117*$J$205+K117*$K$205)</f>
        <v/>
      </c>
      <c r="M117">
        <f>IF(L117="","",IF(L117&gt;=0.7,3,IF(L117&gt;=0.6,2,IF(L117&gt;=0.5,1,0))))</f>
        <v/>
      </c>
      <c r="N117">
        <f>'CO–PO Attainment Summary'!E117</f>
        <v/>
      </c>
      <c r="O117">
        <f>IF(M117="",'CO–PO Attainment Summary'!F117,ROUND(0.8*M117+0.2*N117,0))</f>
        <v/>
      </c>
    </row>
    <row r="118">
      <c r="A118">
        <f>'CO–PO Attainment Summary'!A118</f>
        <v/>
      </c>
      <c r="B118">
        <f>'CO–PO Attainment Summary'!B118</f>
        <v/>
      </c>
      <c r="C118">
        <f>'CO–PO Attainment Summary'!C118</f>
        <v/>
      </c>
      <c r="D118">
        <f>'CO–PO Attainment Summary'!D118</f>
        <v/>
      </c>
      <c r="E118">
        <f>'CO–PO Attainment Summary'!E118</f>
        <v/>
      </c>
      <c r="F118">
        <f>'CO–PO Attainment Summary'!F118</f>
        <v/>
      </c>
      <c r="G118">
        <f>'CO–PO Attainment Summary'!G118</f>
        <v/>
      </c>
      <c r="H118">
        <f>'CO–PO Attainment Summary'!H118</f>
        <v/>
      </c>
      <c r="I118" s="5">
        <f>IFERROR(AVERAGEIFS('Continuous Assessment Records'!L:L,'Continuous Assessment Records'!A:A,$A118,'Continuous Assessment Records'!F:F,$B118,'Continuous Assessment Records'!C:C,"Assignment"),"")</f>
        <v/>
      </c>
      <c r="J118" s="5">
        <f>IFERROR(AVERAGEIFS('Continuous Assessment Records'!L:L,'Continuous Assessment Records'!A:A,$A118,'Continuous Assessment Records'!F:F,$B118,'Continuous Assessment Records'!C:C,"Unit Test"),"")</f>
        <v/>
      </c>
      <c r="K118" s="5">
        <f>IFERROR(AVERAGEIFS('Continuous Assessment Records'!L:L,'Continuous Assessment Records'!A:A,$A118,'Continuous Assessment Records'!F:F,$B118,'Continuous Assessment Records'!C:C,"Mid-Term"),"")</f>
        <v/>
      </c>
      <c r="L118" s="5">
        <f>IF(OR(I118="",J118="",K118=""),"",I118*$I$205+J118*$J$205+K118*$K$205)</f>
        <v/>
      </c>
      <c r="M118">
        <f>IF(L118="","",IF(L118&gt;=0.7,3,IF(L118&gt;=0.6,2,IF(L118&gt;=0.5,1,0))))</f>
        <v/>
      </c>
      <c r="N118">
        <f>'CO–PO Attainment Summary'!E118</f>
        <v/>
      </c>
      <c r="O118">
        <f>IF(M118="",'CO–PO Attainment Summary'!F118,ROUND(0.8*M118+0.2*N118,0))</f>
        <v/>
      </c>
    </row>
    <row r="119">
      <c r="A119">
        <f>'CO–PO Attainment Summary'!A119</f>
        <v/>
      </c>
      <c r="B119">
        <f>'CO–PO Attainment Summary'!B119</f>
        <v/>
      </c>
      <c r="C119">
        <f>'CO–PO Attainment Summary'!C119</f>
        <v/>
      </c>
      <c r="D119">
        <f>'CO–PO Attainment Summary'!D119</f>
        <v/>
      </c>
      <c r="E119">
        <f>'CO–PO Attainment Summary'!E119</f>
        <v/>
      </c>
      <c r="F119">
        <f>'CO–PO Attainment Summary'!F119</f>
        <v/>
      </c>
      <c r="G119">
        <f>'CO–PO Attainment Summary'!G119</f>
        <v/>
      </c>
      <c r="H119">
        <f>'CO–PO Attainment Summary'!H119</f>
        <v/>
      </c>
      <c r="I119" s="5">
        <f>IFERROR(AVERAGEIFS('Continuous Assessment Records'!L:L,'Continuous Assessment Records'!A:A,$A119,'Continuous Assessment Records'!F:F,$B119,'Continuous Assessment Records'!C:C,"Assignment"),"")</f>
        <v/>
      </c>
      <c r="J119" s="5">
        <f>IFERROR(AVERAGEIFS('Continuous Assessment Records'!L:L,'Continuous Assessment Records'!A:A,$A119,'Continuous Assessment Records'!F:F,$B119,'Continuous Assessment Records'!C:C,"Unit Test"),"")</f>
        <v/>
      </c>
      <c r="K119" s="5">
        <f>IFERROR(AVERAGEIFS('Continuous Assessment Records'!L:L,'Continuous Assessment Records'!A:A,$A119,'Continuous Assessment Records'!F:F,$B119,'Continuous Assessment Records'!C:C,"Mid-Term"),"")</f>
        <v/>
      </c>
      <c r="L119" s="5">
        <f>IF(OR(I119="",J119="",K119=""),"",I119*$I$205+J119*$J$205+K119*$K$205)</f>
        <v/>
      </c>
      <c r="M119">
        <f>IF(L119="","",IF(L119&gt;=0.7,3,IF(L119&gt;=0.6,2,IF(L119&gt;=0.5,1,0))))</f>
        <v/>
      </c>
      <c r="N119">
        <f>'CO–PO Attainment Summary'!E119</f>
        <v/>
      </c>
      <c r="O119">
        <f>IF(M119="",'CO–PO Attainment Summary'!F119,ROUND(0.8*M119+0.2*N119,0))</f>
        <v/>
      </c>
    </row>
    <row r="120">
      <c r="A120">
        <f>'CO–PO Attainment Summary'!A120</f>
        <v/>
      </c>
      <c r="B120">
        <f>'CO–PO Attainment Summary'!B120</f>
        <v/>
      </c>
      <c r="C120">
        <f>'CO–PO Attainment Summary'!C120</f>
        <v/>
      </c>
      <c r="D120">
        <f>'CO–PO Attainment Summary'!D120</f>
        <v/>
      </c>
      <c r="E120">
        <f>'CO–PO Attainment Summary'!E120</f>
        <v/>
      </c>
      <c r="F120">
        <f>'CO–PO Attainment Summary'!F120</f>
        <v/>
      </c>
      <c r="G120">
        <f>'CO–PO Attainment Summary'!G120</f>
        <v/>
      </c>
      <c r="H120">
        <f>'CO–PO Attainment Summary'!H120</f>
        <v/>
      </c>
      <c r="I120" s="5">
        <f>IFERROR(AVERAGEIFS('Continuous Assessment Records'!L:L,'Continuous Assessment Records'!A:A,$A120,'Continuous Assessment Records'!F:F,$B120,'Continuous Assessment Records'!C:C,"Assignment"),"")</f>
        <v/>
      </c>
      <c r="J120" s="5">
        <f>IFERROR(AVERAGEIFS('Continuous Assessment Records'!L:L,'Continuous Assessment Records'!A:A,$A120,'Continuous Assessment Records'!F:F,$B120,'Continuous Assessment Records'!C:C,"Unit Test"),"")</f>
        <v/>
      </c>
      <c r="K120" s="5">
        <f>IFERROR(AVERAGEIFS('Continuous Assessment Records'!L:L,'Continuous Assessment Records'!A:A,$A120,'Continuous Assessment Records'!F:F,$B120,'Continuous Assessment Records'!C:C,"Mid-Term"),"")</f>
        <v/>
      </c>
      <c r="L120" s="5">
        <f>IF(OR(I120="",J120="",K120=""),"",I120*$I$205+J120*$J$205+K120*$K$205)</f>
        <v/>
      </c>
      <c r="M120">
        <f>IF(L120="","",IF(L120&gt;=0.7,3,IF(L120&gt;=0.6,2,IF(L120&gt;=0.5,1,0))))</f>
        <v/>
      </c>
      <c r="N120">
        <f>'CO–PO Attainment Summary'!E120</f>
        <v/>
      </c>
      <c r="O120">
        <f>IF(M120="",'CO–PO Attainment Summary'!F120,ROUND(0.8*M120+0.2*N120,0))</f>
        <v/>
      </c>
    </row>
    <row r="121">
      <c r="A121">
        <f>'CO–PO Attainment Summary'!A121</f>
        <v/>
      </c>
      <c r="B121">
        <f>'CO–PO Attainment Summary'!B121</f>
        <v/>
      </c>
      <c r="C121">
        <f>'CO–PO Attainment Summary'!C121</f>
        <v/>
      </c>
      <c r="D121">
        <f>'CO–PO Attainment Summary'!D121</f>
        <v/>
      </c>
      <c r="E121">
        <f>'CO–PO Attainment Summary'!E121</f>
        <v/>
      </c>
      <c r="F121">
        <f>'CO–PO Attainment Summary'!F121</f>
        <v/>
      </c>
      <c r="G121">
        <f>'CO–PO Attainment Summary'!G121</f>
        <v/>
      </c>
      <c r="H121">
        <f>'CO–PO Attainment Summary'!H121</f>
        <v/>
      </c>
      <c r="I121" s="5">
        <f>IFERROR(AVERAGEIFS('Continuous Assessment Records'!L:L,'Continuous Assessment Records'!A:A,$A121,'Continuous Assessment Records'!F:F,$B121,'Continuous Assessment Records'!C:C,"Assignment"),"")</f>
        <v/>
      </c>
      <c r="J121" s="5">
        <f>IFERROR(AVERAGEIFS('Continuous Assessment Records'!L:L,'Continuous Assessment Records'!A:A,$A121,'Continuous Assessment Records'!F:F,$B121,'Continuous Assessment Records'!C:C,"Unit Test"),"")</f>
        <v/>
      </c>
      <c r="K121" s="5">
        <f>IFERROR(AVERAGEIFS('Continuous Assessment Records'!L:L,'Continuous Assessment Records'!A:A,$A121,'Continuous Assessment Records'!F:F,$B121,'Continuous Assessment Records'!C:C,"Mid-Term"),"")</f>
        <v/>
      </c>
      <c r="L121" s="5">
        <f>IF(OR(I121="",J121="",K121=""),"",I121*$I$205+J121*$J$205+K121*$K$205)</f>
        <v/>
      </c>
      <c r="M121">
        <f>IF(L121="","",IF(L121&gt;=0.7,3,IF(L121&gt;=0.6,2,IF(L121&gt;=0.5,1,0))))</f>
        <v/>
      </c>
      <c r="N121">
        <f>'CO–PO Attainment Summary'!E121</f>
        <v/>
      </c>
      <c r="O121">
        <f>IF(M121="",'CO–PO Attainment Summary'!F121,ROUND(0.8*M121+0.2*N121,0))</f>
        <v/>
      </c>
    </row>
    <row r="122">
      <c r="A122">
        <f>'CO–PO Attainment Summary'!A122</f>
        <v/>
      </c>
      <c r="B122">
        <f>'CO–PO Attainment Summary'!B122</f>
        <v/>
      </c>
      <c r="C122">
        <f>'CO–PO Attainment Summary'!C122</f>
        <v/>
      </c>
      <c r="D122">
        <f>'CO–PO Attainment Summary'!D122</f>
        <v/>
      </c>
      <c r="E122">
        <f>'CO–PO Attainment Summary'!E122</f>
        <v/>
      </c>
      <c r="F122">
        <f>'CO–PO Attainment Summary'!F122</f>
        <v/>
      </c>
      <c r="G122">
        <f>'CO–PO Attainment Summary'!G122</f>
        <v/>
      </c>
      <c r="H122">
        <f>'CO–PO Attainment Summary'!H122</f>
        <v/>
      </c>
      <c r="I122" s="5">
        <f>IFERROR(AVERAGEIFS('Continuous Assessment Records'!L:L,'Continuous Assessment Records'!A:A,$A122,'Continuous Assessment Records'!F:F,$B122,'Continuous Assessment Records'!C:C,"Assignment"),"")</f>
        <v/>
      </c>
      <c r="J122" s="5">
        <f>IFERROR(AVERAGEIFS('Continuous Assessment Records'!L:L,'Continuous Assessment Records'!A:A,$A122,'Continuous Assessment Records'!F:F,$B122,'Continuous Assessment Records'!C:C,"Unit Test"),"")</f>
        <v/>
      </c>
      <c r="K122" s="5">
        <f>IFERROR(AVERAGEIFS('Continuous Assessment Records'!L:L,'Continuous Assessment Records'!A:A,$A122,'Continuous Assessment Records'!F:F,$B122,'Continuous Assessment Records'!C:C,"Mid-Term"),"")</f>
        <v/>
      </c>
      <c r="L122" s="5">
        <f>IF(OR(I122="",J122="",K122=""),"",I122*$I$205+J122*$J$205+K122*$K$205)</f>
        <v/>
      </c>
      <c r="M122">
        <f>IF(L122="","",IF(L122&gt;=0.7,3,IF(L122&gt;=0.6,2,IF(L122&gt;=0.5,1,0))))</f>
        <v/>
      </c>
      <c r="N122">
        <f>'CO–PO Attainment Summary'!E122</f>
        <v/>
      </c>
      <c r="O122">
        <f>IF(M122="",'CO–PO Attainment Summary'!F122,ROUND(0.8*M122+0.2*N122,0))</f>
        <v/>
      </c>
    </row>
    <row r="123">
      <c r="A123">
        <f>'CO–PO Attainment Summary'!A123</f>
        <v/>
      </c>
      <c r="B123">
        <f>'CO–PO Attainment Summary'!B123</f>
        <v/>
      </c>
      <c r="C123">
        <f>'CO–PO Attainment Summary'!C123</f>
        <v/>
      </c>
      <c r="D123">
        <f>'CO–PO Attainment Summary'!D123</f>
        <v/>
      </c>
      <c r="E123">
        <f>'CO–PO Attainment Summary'!E123</f>
        <v/>
      </c>
      <c r="F123">
        <f>'CO–PO Attainment Summary'!F123</f>
        <v/>
      </c>
      <c r="G123">
        <f>'CO–PO Attainment Summary'!G123</f>
        <v/>
      </c>
      <c r="H123">
        <f>'CO–PO Attainment Summary'!H123</f>
        <v/>
      </c>
      <c r="I123" s="5">
        <f>IFERROR(AVERAGEIFS('Continuous Assessment Records'!L:L,'Continuous Assessment Records'!A:A,$A123,'Continuous Assessment Records'!F:F,$B123,'Continuous Assessment Records'!C:C,"Assignment"),"")</f>
        <v/>
      </c>
      <c r="J123" s="5">
        <f>IFERROR(AVERAGEIFS('Continuous Assessment Records'!L:L,'Continuous Assessment Records'!A:A,$A123,'Continuous Assessment Records'!F:F,$B123,'Continuous Assessment Records'!C:C,"Unit Test"),"")</f>
        <v/>
      </c>
      <c r="K123" s="5">
        <f>IFERROR(AVERAGEIFS('Continuous Assessment Records'!L:L,'Continuous Assessment Records'!A:A,$A123,'Continuous Assessment Records'!F:F,$B123,'Continuous Assessment Records'!C:C,"Mid-Term"),"")</f>
        <v/>
      </c>
      <c r="L123" s="5">
        <f>IF(OR(I123="",J123="",K123=""),"",I123*$I$205+J123*$J$205+K123*$K$205)</f>
        <v/>
      </c>
      <c r="M123">
        <f>IF(L123="","",IF(L123&gt;=0.7,3,IF(L123&gt;=0.6,2,IF(L123&gt;=0.5,1,0))))</f>
        <v/>
      </c>
      <c r="N123">
        <f>'CO–PO Attainment Summary'!E123</f>
        <v/>
      </c>
      <c r="O123">
        <f>IF(M123="",'CO–PO Attainment Summary'!F123,ROUND(0.8*M123+0.2*N123,0))</f>
        <v/>
      </c>
    </row>
    <row r="124">
      <c r="A124">
        <f>'CO–PO Attainment Summary'!A124</f>
        <v/>
      </c>
      <c r="B124">
        <f>'CO–PO Attainment Summary'!B124</f>
        <v/>
      </c>
      <c r="C124">
        <f>'CO–PO Attainment Summary'!C124</f>
        <v/>
      </c>
      <c r="D124">
        <f>'CO–PO Attainment Summary'!D124</f>
        <v/>
      </c>
      <c r="E124">
        <f>'CO–PO Attainment Summary'!E124</f>
        <v/>
      </c>
      <c r="F124">
        <f>'CO–PO Attainment Summary'!F124</f>
        <v/>
      </c>
      <c r="G124">
        <f>'CO–PO Attainment Summary'!G124</f>
        <v/>
      </c>
      <c r="H124">
        <f>'CO–PO Attainment Summary'!H124</f>
        <v/>
      </c>
      <c r="I124" s="5">
        <f>IFERROR(AVERAGEIFS('Continuous Assessment Records'!L:L,'Continuous Assessment Records'!A:A,$A124,'Continuous Assessment Records'!F:F,$B124,'Continuous Assessment Records'!C:C,"Assignment"),"")</f>
        <v/>
      </c>
      <c r="J124" s="5">
        <f>IFERROR(AVERAGEIFS('Continuous Assessment Records'!L:L,'Continuous Assessment Records'!A:A,$A124,'Continuous Assessment Records'!F:F,$B124,'Continuous Assessment Records'!C:C,"Unit Test"),"")</f>
        <v/>
      </c>
      <c r="K124" s="5">
        <f>IFERROR(AVERAGEIFS('Continuous Assessment Records'!L:L,'Continuous Assessment Records'!A:A,$A124,'Continuous Assessment Records'!F:F,$B124,'Continuous Assessment Records'!C:C,"Mid-Term"),"")</f>
        <v/>
      </c>
      <c r="L124" s="5">
        <f>IF(OR(I124="",J124="",K124=""),"",I124*$I$205+J124*$J$205+K124*$K$205)</f>
        <v/>
      </c>
      <c r="M124">
        <f>IF(L124="","",IF(L124&gt;=0.7,3,IF(L124&gt;=0.6,2,IF(L124&gt;=0.5,1,0))))</f>
        <v/>
      </c>
      <c r="N124">
        <f>'CO–PO Attainment Summary'!E124</f>
        <v/>
      </c>
      <c r="O124">
        <f>IF(M124="",'CO–PO Attainment Summary'!F124,ROUND(0.8*M124+0.2*N124,0))</f>
        <v/>
      </c>
    </row>
    <row r="125">
      <c r="A125">
        <f>'CO–PO Attainment Summary'!A125</f>
        <v/>
      </c>
      <c r="B125">
        <f>'CO–PO Attainment Summary'!B125</f>
        <v/>
      </c>
      <c r="C125">
        <f>'CO–PO Attainment Summary'!C125</f>
        <v/>
      </c>
      <c r="D125">
        <f>'CO–PO Attainment Summary'!D125</f>
        <v/>
      </c>
      <c r="E125">
        <f>'CO–PO Attainment Summary'!E125</f>
        <v/>
      </c>
      <c r="F125">
        <f>'CO–PO Attainment Summary'!F125</f>
        <v/>
      </c>
      <c r="G125">
        <f>'CO–PO Attainment Summary'!G125</f>
        <v/>
      </c>
      <c r="H125">
        <f>'CO–PO Attainment Summary'!H125</f>
        <v/>
      </c>
      <c r="I125" s="5">
        <f>IFERROR(AVERAGEIFS('Continuous Assessment Records'!L:L,'Continuous Assessment Records'!A:A,$A125,'Continuous Assessment Records'!F:F,$B125,'Continuous Assessment Records'!C:C,"Assignment"),"")</f>
        <v/>
      </c>
      <c r="J125" s="5">
        <f>IFERROR(AVERAGEIFS('Continuous Assessment Records'!L:L,'Continuous Assessment Records'!A:A,$A125,'Continuous Assessment Records'!F:F,$B125,'Continuous Assessment Records'!C:C,"Unit Test"),"")</f>
        <v/>
      </c>
      <c r="K125" s="5">
        <f>IFERROR(AVERAGEIFS('Continuous Assessment Records'!L:L,'Continuous Assessment Records'!A:A,$A125,'Continuous Assessment Records'!F:F,$B125,'Continuous Assessment Records'!C:C,"Mid-Term"),"")</f>
        <v/>
      </c>
      <c r="L125" s="5">
        <f>IF(OR(I125="",J125="",K125=""),"",I125*$I$205+J125*$J$205+K125*$K$205)</f>
        <v/>
      </c>
      <c r="M125">
        <f>IF(L125="","",IF(L125&gt;=0.7,3,IF(L125&gt;=0.6,2,IF(L125&gt;=0.5,1,0))))</f>
        <v/>
      </c>
      <c r="N125">
        <f>'CO–PO Attainment Summary'!E125</f>
        <v/>
      </c>
      <c r="O125">
        <f>IF(M125="",'CO–PO Attainment Summary'!F125,ROUND(0.8*M125+0.2*N125,0))</f>
        <v/>
      </c>
    </row>
    <row r="126">
      <c r="A126">
        <f>'CO–PO Attainment Summary'!A126</f>
        <v/>
      </c>
      <c r="B126">
        <f>'CO–PO Attainment Summary'!B126</f>
        <v/>
      </c>
      <c r="C126">
        <f>'CO–PO Attainment Summary'!C126</f>
        <v/>
      </c>
      <c r="D126">
        <f>'CO–PO Attainment Summary'!D126</f>
        <v/>
      </c>
      <c r="E126">
        <f>'CO–PO Attainment Summary'!E126</f>
        <v/>
      </c>
      <c r="F126">
        <f>'CO–PO Attainment Summary'!F126</f>
        <v/>
      </c>
      <c r="G126">
        <f>'CO–PO Attainment Summary'!G126</f>
        <v/>
      </c>
      <c r="H126">
        <f>'CO–PO Attainment Summary'!H126</f>
        <v/>
      </c>
      <c r="I126" s="5">
        <f>IFERROR(AVERAGEIFS('Continuous Assessment Records'!L:L,'Continuous Assessment Records'!A:A,$A126,'Continuous Assessment Records'!F:F,$B126,'Continuous Assessment Records'!C:C,"Assignment"),"")</f>
        <v/>
      </c>
      <c r="J126" s="5">
        <f>IFERROR(AVERAGEIFS('Continuous Assessment Records'!L:L,'Continuous Assessment Records'!A:A,$A126,'Continuous Assessment Records'!F:F,$B126,'Continuous Assessment Records'!C:C,"Unit Test"),"")</f>
        <v/>
      </c>
      <c r="K126" s="5">
        <f>IFERROR(AVERAGEIFS('Continuous Assessment Records'!L:L,'Continuous Assessment Records'!A:A,$A126,'Continuous Assessment Records'!F:F,$B126,'Continuous Assessment Records'!C:C,"Mid-Term"),"")</f>
        <v/>
      </c>
      <c r="L126" s="5">
        <f>IF(OR(I126="",J126="",K126=""),"",I126*$I$205+J126*$J$205+K126*$K$205)</f>
        <v/>
      </c>
      <c r="M126">
        <f>IF(L126="","",IF(L126&gt;=0.7,3,IF(L126&gt;=0.6,2,IF(L126&gt;=0.5,1,0))))</f>
        <v/>
      </c>
      <c r="N126">
        <f>'CO–PO Attainment Summary'!E126</f>
        <v/>
      </c>
      <c r="O126">
        <f>IF(M126="",'CO–PO Attainment Summary'!F126,ROUND(0.8*M126+0.2*N126,0))</f>
        <v/>
      </c>
    </row>
    <row r="127">
      <c r="A127">
        <f>'CO–PO Attainment Summary'!A127</f>
        <v/>
      </c>
      <c r="B127">
        <f>'CO–PO Attainment Summary'!B127</f>
        <v/>
      </c>
      <c r="C127">
        <f>'CO–PO Attainment Summary'!C127</f>
        <v/>
      </c>
      <c r="D127">
        <f>'CO–PO Attainment Summary'!D127</f>
        <v/>
      </c>
      <c r="E127">
        <f>'CO–PO Attainment Summary'!E127</f>
        <v/>
      </c>
      <c r="F127">
        <f>'CO–PO Attainment Summary'!F127</f>
        <v/>
      </c>
      <c r="G127">
        <f>'CO–PO Attainment Summary'!G127</f>
        <v/>
      </c>
      <c r="H127">
        <f>'CO–PO Attainment Summary'!H127</f>
        <v/>
      </c>
      <c r="I127" s="5">
        <f>IFERROR(AVERAGEIFS('Continuous Assessment Records'!L:L,'Continuous Assessment Records'!A:A,$A127,'Continuous Assessment Records'!F:F,$B127,'Continuous Assessment Records'!C:C,"Assignment"),"")</f>
        <v/>
      </c>
      <c r="J127" s="5">
        <f>IFERROR(AVERAGEIFS('Continuous Assessment Records'!L:L,'Continuous Assessment Records'!A:A,$A127,'Continuous Assessment Records'!F:F,$B127,'Continuous Assessment Records'!C:C,"Unit Test"),"")</f>
        <v/>
      </c>
      <c r="K127" s="5">
        <f>IFERROR(AVERAGEIFS('Continuous Assessment Records'!L:L,'Continuous Assessment Records'!A:A,$A127,'Continuous Assessment Records'!F:F,$B127,'Continuous Assessment Records'!C:C,"Mid-Term"),"")</f>
        <v/>
      </c>
      <c r="L127" s="5">
        <f>IF(OR(I127="",J127="",K127=""),"",I127*$I$205+J127*$J$205+K127*$K$205)</f>
        <v/>
      </c>
      <c r="M127">
        <f>IF(L127="","",IF(L127&gt;=0.7,3,IF(L127&gt;=0.6,2,IF(L127&gt;=0.5,1,0))))</f>
        <v/>
      </c>
      <c r="N127">
        <f>'CO–PO Attainment Summary'!E127</f>
        <v/>
      </c>
      <c r="O127">
        <f>IF(M127="",'CO–PO Attainment Summary'!F127,ROUND(0.8*M127+0.2*N127,0))</f>
        <v/>
      </c>
    </row>
    <row r="128">
      <c r="A128">
        <f>'CO–PO Attainment Summary'!A128</f>
        <v/>
      </c>
      <c r="B128">
        <f>'CO–PO Attainment Summary'!B128</f>
        <v/>
      </c>
      <c r="C128">
        <f>'CO–PO Attainment Summary'!C128</f>
        <v/>
      </c>
      <c r="D128">
        <f>'CO–PO Attainment Summary'!D128</f>
        <v/>
      </c>
      <c r="E128">
        <f>'CO–PO Attainment Summary'!E128</f>
        <v/>
      </c>
      <c r="F128">
        <f>'CO–PO Attainment Summary'!F128</f>
        <v/>
      </c>
      <c r="G128">
        <f>'CO–PO Attainment Summary'!G128</f>
        <v/>
      </c>
      <c r="H128">
        <f>'CO–PO Attainment Summary'!H128</f>
        <v/>
      </c>
      <c r="I128" s="5">
        <f>IFERROR(AVERAGEIFS('Continuous Assessment Records'!L:L,'Continuous Assessment Records'!A:A,$A128,'Continuous Assessment Records'!F:F,$B128,'Continuous Assessment Records'!C:C,"Assignment"),"")</f>
        <v/>
      </c>
      <c r="J128" s="5">
        <f>IFERROR(AVERAGEIFS('Continuous Assessment Records'!L:L,'Continuous Assessment Records'!A:A,$A128,'Continuous Assessment Records'!F:F,$B128,'Continuous Assessment Records'!C:C,"Unit Test"),"")</f>
        <v/>
      </c>
      <c r="K128" s="5">
        <f>IFERROR(AVERAGEIFS('Continuous Assessment Records'!L:L,'Continuous Assessment Records'!A:A,$A128,'Continuous Assessment Records'!F:F,$B128,'Continuous Assessment Records'!C:C,"Mid-Term"),"")</f>
        <v/>
      </c>
      <c r="L128" s="5">
        <f>IF(OR(I128="",J128="",K128=""),"",I128*$I$205+J128*$J$205+K128*$K$205)</f>
        <v/>
      </c>
      <c r="M128">
        <f>IF(L128="","",IF(L128&gt;=0.7,3,IF(L128&gt;=0.6,2,IF(L128&gt;=0.5,1,0))))</f>
        <v/>
      </c>
      <c r="N128">
        <f>'CO–PO Attainment Summary'!E128</f>
        <v/>
      </c>
      <c r="O128">
        <f>IF(M128="",'CO–PO Attainment Summary'!F128,ROUND(0.8*M128+0.2*N128,0))</f>
        <v/>
      </c>
    </row>
    <row r="129">
      <c r="A129">
        <f>'CO–PO Attainment Summary'!A129</f>
        <v/>
      </c>
      <c r="B129">
        <f>'CO–PO Attainment Summary'!B129</f>
        <v/>
      </c>
      <c r="C129">
        <f>'CO–PO Attainment Summary'!C129</f>
        <v/>
      </c>
      <c r="D129">
        <f>'CO–PO Attainment Summary'!D129</f>
        <v/>
      </c>
      <c r="E129">
        <f>'CO–PO Attainment Summary'!E129</f>
        <v/>
      </c>
      <c r="F129">
        <f>'CO–PO Attainment Summary'!F129</f>
        <v/>
      </c>
      <c r="G129">
        <f>'CO–PO Attainment Summary'!G129</f>
        <v/>
      </c>
      <c r="H129">
        <f>'CO–PO Attainment Summary'!H129</f>
        <v/>
      </c>
      <c r="I129" s="5">
        <f>IFERROR(AVERAGEIFS('Continuous Assessment Records'!L:L,'Continuous Assessment Records'!A:A,$A129,'Continuous Assessment Records'!F:F,$B129,'Continuous Assessment Records'!C:C,"Assignment"),"")</f>
        <v/>
      </c>
      <c r="J129" s="5">
        <f>IFERROR(AVERAGEIFS('Continuous Assessment Records'!L:L,'Continuous Assessment Records'!A:A,$A129,'Continuous Assessment Records'!F:F,$B129,'Continuous Assessment Records'!C:C,"Unit Test"),"")</f>
        <v/>
      </c>
      <c r="K129" s="5">
        <f>IFERROR(AVERAGEIFS('Continuous Assessment Records'!L:L,'Continuous Assessment Records'!A:A,$A129,'Continuous Assessment Records'!F:F,$B129,'Continuous Assessment Records'!C:C,"Mid-Term"),"")</f>
        <v/>
      </c>
      <c r="L129" s="5">
        <f>IF(OR(I129="",J129="",K129=""),"",I129*$I$205+J129*$J$205+K129*$K$205)</f>
        <v/>
      </c>
      <c r="M129">
        <f>IF(L129="","",IF(L129&gt;=0.7,3,IF(L129&gt;=0.6,2,IF(L129&gt;=0.5,1,0))))</f>
        <v/>
      </c>
      <c r="N129">
        <f>'CO–PO Attainment Summary'!E129</f>
        <v/>
      </c>
      <c r="O129">
        <f>IF(M129="",'CO–PO Attainment Summary'!F129,ROUND(0.8*M129+0.2*N129,0))</f>
        <v/>
      </c>
    </row>
    <row r="130">
      <c r="A130">
        <f>'CO–PO Attainment Summary'!A130</f>
        <v/>
      </c>
      <c r="B130">
        <f>'CO–PO Attainment Summary'!B130</f>
        <v/>
      </c>
      <c r="C130">
        <f>'CO–PO Attainment Summary'!C130</f>
        <v/>
      </c>
      <c r="D130">
        <f>'CO–PO Attainment Summary'!D130</f>
        <v/>
      </c>
      <c r="E130">
        <f>'CO–PO Attainment Summary'!E130</f>
        <v/>
      </c>
      <c r="F130">
        <f>'CO–PO Attainment Summary'!F130</f>
        <v/>
      </c>
      <c r="G130">
        <f>'CO–PO Attainment Summary'!G130</f>
        <v/>
      </c>
      <c r="H130">
        <f>'CO–PO Attainment Summary'!H130</f>
        <v/>
      </c>
      <c r="I130" s="5">
        <f>IFERROR(AVERAGEIFS('Continuous Assessment Records'!L:L,'Continuous Assessment Records'!A:A,$A130,'Continuous Assessment Records'!F:F,$B130,'Continuous Assessment Records'!C:C,"Assignment"),"")</f>
        <v/>
      </c>
      <c r="J130" s="5">
        <f>IFERROR(AVERAGEIFS('Continuous Assessment Records'!L:L,'Continuous Assessment Records'!A:A,$A130,'Continuous Assessment Records'!F:F,$B130,'Continuous Assessment Records'!C:C,"Unit Test"),"")</f>
        <v/>
      </c>
      <c r="K130" s="5">
        <f>IFERROR(AVERAGEIFS('Continuous Assessment Records'!L:L,'Continuous Assessment Records'!A:A,$A130,'Continuous Assessment Records'!F:F,$B130,'Continuous Assessment Records'!C:C,"Mid-Term"),"")</f>
        <v/>
      </c>
      <c r="L130" s="5">
        <f>IF(OR(I130="",J130="",K130=""),"",I130*$I$205+J130*$J$205+K130*$K$205)</f>
        <v/>
      </c>
      <c r="M130">
        <f>IF(L130="","",IF(L130&gt;=0.7,3,IF(L130&gt;=0.6,2,IF(L130&gt;=0.5,1,0))))</f>
        <v/>
      </c>
      <c r="N130">
        <f>'CO–PO Attainment Summary'!E130</f>
        <v/>
      </c>
      <c r="O130">
        <f>IF(M130="",'CO–PO Attainment Summary'!F130,ROUND(0.8*M130+0.2*N130,0))</f>
        <v/>
      </c>
    </row>
    <row r="131">
      <c r="A131">
        <f>'CO–PO Attainment Summary'!A131</f>
        <v/>
      </c>
      <c r="B131">
        <f>'CO–PO Attainment Summary'!B131</f>
        <v/>
      </c>
      <c r="C131">
        <f>'CO–PO Attainment Summary'!C131</f>
        <v/>
      </c>
      <c r="D131">
        <f>'CO–PO Attainment Summary'!D131</f>
        <v/>
      </c>
      <c r="E131">
        <f>'CO–PO Attainment Summary'!E131</f>
        <v/>
      </c>
      <c r="F131">
        <f>'CO–PO Attainment Summary'!F131</f>
        <v/>
      </c>
      <c r="G131">
        <f>'CO–PO Attainment Summary'!G131</f>
        <v/>
      </c>
      <c r="H131">
        <f>'CO–PO Attainment Summary'!H131</f>
        <v/>
      </c>
      <c r="I131" s="5">
        <f>IFERROR(AVERAGEIFS('Continuous Assessment Records'!L:L,'Continuous Assessment Records'!A:A,$A131,'Continuous Assessment Records'!F:F,$B131,'Continuous Assessment Records'!C:C,"Assignment"),"")</f>
        <v/>
      </c>
      <c r="J131" s="5">
        <f>IFERROR(AVERAGEIFS('Continuous Assessment Records'!L:L,'Continuous Assessment Records'!A:A,$A131,'Continuous Assessment Records'!F:F,$B131,'Continuous Assessment Records'!C:C,"Unit Test"),"")</f>
        <v/>
      </c>
      <c r="K131" s="5">
        <f>IFERROR(AVERAGEIFS('Continuous Assessment Records'!L:L,'Continuous Assessment Records'!A:A,$A131,'Continuous Assessment Records'!F:F,$B131,'Continuous Assessment Records'!C:C,"Mid-Term"),"")</f>
        <v/>
      </c>
      <c r="L131" s="5">
        <f>IF(OR(I131="",J131="",K131=""),"",I131*$I$205+J131*$J$205+K131*$K$205)</f>
        <v/>
      </c>
      <c r="M131">
        <f>IF(L131="","",IF(L131&gt;=0.7,3,IF(L131&gt;=0.6,2,IF(L131&gt;=0.5,1,0))))</f>
        <v/>
      </c>
      <c r="N131">
        <f>'CO–PO Attainment Summary'!E131</f>
        <v/>
      </c>
      <c r="O131">
        <f>IF(M131="",'CO–PO Attainment Summary'!F131,ROUND(0.8*M131+0.2*N131,0))</f>
        <v/>
      </c>
    </row>
    <row r="132">
      <c r="A132">
        <f>'CO–PO Attainment Summary'!A132</f>
        <v/>
      </c>
      <c r="B132">
        <f>'CO–PO Attainment Summary'!B132</f>
        <v/>
      </c>
      <c r="C132">
        <f>'CO–PO Attainment Summary'!C132</f>
        <v/>
      </c>
      <c r="D132">
        <f>'CO–PO Attainment Summary'!D132</f>
        <v/>
      </c>
      <c r="E132">
        <f>'CO–PO Attainment Summary'!E132</f>
        <v/>
      </c>
      <c r="F132">
        <f>'CO–PO Attainment Summary'!F132</f>
        <v/>
      </c>
      <c r="G132">
        <f>'CO–PO Attainment Summary'!G132</f>
        <v/>
      </c>
      <c r="H132">
        <f>'CO–PO Attainment Summary'!H132</f>
        <v/>
      </c>
      <c r="I132" s="5">
        <f>IFERROR(AVERAGEIFS('Continuous Assessment Records'!L:L,'Continuous Assessment Records'!A:A,$A132,'Continuous Assessment Records'!F:F,$B132,'Continuous Assessment Records'!C:C,"Assignment"),"")</f>
        <v/>
      </c>
      <c r="J132" s="5">
        <f>IFERROR(AVERAGEIFS('Continuous Assessment Records'!L:L,'Continuous Assessment Records'!A:A,$A132,'Continuous Assessment Records'!F:F,$B132,'Continuous Assessment Records'!C:C,"Unit Test"),"")</f>
        <v/>
      </c>
      <c r="K132" s="5">
        <f>IFERROR(AVERAGEIFS('Continuous Assessment Records'!L:L,'Continuous Assessment Records'!A:A,$A132,'Continuous Assessment Records'!F:F,$B132,'Continuous Assessment Records'!C:C,"Mid-Term"),"")</f>
        <v/>
      </c>
      <c r="L132" s="5">
        <f>IF(OR(I132="",J132="",K132=""),"",I132*$I$205+J132*$J$205+K132*$K$205)</f>
        <v/>
      </c>
      <c r="M132">
        <f>IF(L132="","",IF(L132&gt;=0.7,3,IF(L132&gt;=0.6,2,IF(L132&gt;=0.5,1,0))))</f>
        <v/>
      </c>
      <c r="N132">
        <f>'CO–PO Attainment Summary'!E132</f>
        <v/>
      </c>
      <c r="O132">
        <f>IF(M132="",'CO–PO Attainment Summary'!F132,ROUND(0.8*M132+0.2*N132,0))</f>
        <v/>
      </c>
    </row>
    <row r="133">
      <c r="A133">
        <f>'CO–PO Attainment Summary'!A133</f>
        <v/>
      </c>
      <c r="B133">
        <f>'CO–PO Attainment Summary'!B133</f>
        <v/>
      </c>
      <c r="C133">
        <f>'CO–PO Attainment Summary'!C133</f>
        <v/>
      </c>
      <c r="D133">
        <f>'CO–PO Attainment Summary'!D133</f>
        <v/>
      </c>
      <c r="E133">
        <f>'CO–PO Attainment Summary'!E133</f>
        <v/>
      </c>
      <c r="F133">
        <f>'CO–PO Attainment Summary'!F133</f>
        <v/>
      </c>
      <c r="G133">
        <f>'CO–PO Attainment Summary'!G133</f>
        <v/>
      </c>
      <c r="H133">
        <f>'CO–PO Attainment Summary'!H133</f>
        <v/>
      </c>
      <c r="I133" s="5">
        <f>IFERROR(AVERAGEIFS('Continuous Assessment Records'!L:L,'Continuous Assessment Records'!A:A,$A133,'Continuous Assessment Records'!F:F,$B133,'Continuous Assessment Records'!C:C,"Assignment"),"")</f>
        <v/>
      </c>
      <c r="J133" s="5">
        <f>IFERROR(AVERAGEIFS('Continuous Assessment Records'!L:L,'Continuous Assessment Records'!A:A,$A133,'Continuous Assessment Records'!F:F,$B133,'Continuous Assessment Records'!C:C,"Unit Test"),"")</f>
        <v/>
      </c>
      <c r="K133" s="5">
        <f>IFERROR(AVERAGEIFS('Continuous Assessment Records'!L:L,'Continuous Assessment Records'!A:A,$A133,'Continuous Assessment Records'!F:F,$B133,'Continuous Assessment Records'!C:C,"Mid-Term"),"")</f>
        <v/>
      </c>
      <c r="L133" s="5">
        <f>IF(OR(I133="",J133="",K133=""),"",I133*$I$205+J133*$J$205+K133*$K$205)</f>
        <v/>
      </c>
      <c r="M133">
        <f>IF(L133="","",IF(L133&gt;=0.7,3,IF(L133&gt;=0.6,2,IF(L133&gt;=0.5,1,0))))</f>
        <v/>
      </c>
      <c r="N133">
        <f>'CO–PO Attainment Summary'!E133</f>
        <v/>
      </c>
      <c r="O133">
        <f>IF(M133="",'CO–PO Attainment Summary'!F133,ROUND(0.8*M133+0.2*N133,0))</f>
        <v/>
      </c>
    </row>
    <row r="134">
      <c r="A134">
        <f>'CO–PO Attainment Summary'!A134</f>
        <v/>
      </c>
      <c r="B134">
        <f>'CO–PO Attainment Summary'!B134</f>
        <v/>
      </c>
      <c r="C134">
        <f>'CO–PO Attainment Summary'!C134</f>
        <v/>
      </c>
      <c r="D134">
        <f>'CO–PO Attainment Summary'!D134</f>
        <v/>
      </c>
      <c r="E134">
        <f>'CO–PO Attainment Summary'!E134</f>
        <v/>
      </c>
      <c r="F134">
        <f>'CO–PO Attainment Summary'!F134</f>
        <v/>
      </c>
      <c r="G134">
        <f>'CO–PO Attainment Summary'!G134</f>
        <v/>
      </c>
      <c r="H134">
        <f>'CO–PO Attainment Summary'!H134</f>
        <v/>
      </c>
      <c r="I134" s="5">
        <f>IFERROR(AVERAGEIFS('Continuous Assessment Records'!L:L,'Continuous Assessment Records'!A:A,$A134,'Continuous Assessment Records'!F:F,$B134,'Continuous Assessment Records'!C:C,"Assignment"),"")</f>
        <v/>
      </c>
      <c r="J134" s="5">
        <f>IFERROR(AVERAGEIFS('Continuous Assessment Records'!L:L,'Continuous Assessment Records'!A:A,$A134,'Continuous Assessment Records'!F:F,$B134,'Continuous Assessment Records'!C:C,"Unit Test"),"")</f>
        <v/>
      </c>
      <c r="K134" s="5">
        <f>IFERROR(AVERAGEIFS('Continuous Assessment Records'!L:L,'Continuous Assessment Records'!A:A,$A134,'Continuous Assessment Records'!F:F,$B134,'Continuous Assessment Records'!C:C,"Mid-Term"),"")</f>
        <v/>
      </c>
      <c r="L134" s="5">
        <f>IF(OR(I134="",J134="",K134=""),"",I134*$I$205+J134*$J$205+K134*$K$205)</f>
        <v/>
      </c>
      <c r="M134">
        <f>IF(L134="","",IF(L134&gt;=0.7,3,IF(L134&gt;=0.6,2,IF(L134&gt;=0.5,1,0))))</f>
        <v/>
      </c>
      <c r="N134">
        <f>'CO–PO Attainment Summary'!E134</f>
        <v/>
      </c>
      <c r="O134">
        <f>IF(M134="",'CO–PO Attainment Summary'!F134,ROUND(0.8*M134+0.2*N134,0))</f>
        <v/>
      </c>
    </row>
    <row r="135">
      <c r="A135">
        <f>'CO–PO Attainment Summary'!A135</f>
        <v/>
      </c>
      <c r="B135">
        <f>'CO–PO Attainment Summary'!B135</f>
        <v/>
      </c>
      <c r="C135">
        <f>'CO–PO Attainment Summary'!C135</f>
        <v/>
      </c>
      <c r="D135">
        <f>'CO–PO Attainment Summary'!D135</f>
        <v/>
      </c>
      <c r="E135">
        <f>'CO–PO Attainment Summary'!E135</f>
        <v/>
      </c>
      <c r="F135">
        <f>'CO–PO Attainment Summary'!F135</f>
        <v/>
      </c>
      <c r="G135">
        <f>'CO–PO Attainment Summary'!G135</f>
        <v/>
      </c>
      <c r="H135">
        <f>'CO–PO Attainment Summary'!H135</f>
        <v/>
      </c>
      <c r="I135" s="5">
        <f>IFERROR(AVERAGEIFS('Continuous Assessment Records'!L:L,'Continuous Assessment Records'!A:A,$A135,'Continuous Assessment Records'!F:F,$B135,'Continuous Assessment Records'!C:C,"Assignment"),"")</f>
        <v/>
      </c>
      <c r="J135" s="5">
        <f>IFERROR(AVERAGEIFS('Continuous Assessment Records'!L:L,'Continuous Assessment Records'!A:A,$A135,'Continuous Assessment Records'!F:F,$B135,'Continuous Assessment Records'!C:C,"Unit Test"),"")</f>
        <v/>
      </c>
      <c r="K135" s="5">
        <f>IFERROR(AVERAGEIFS('Continuous Assessment Records'!L:L,'Continuous Assessment Records'!A:A,$A135,'Continuous Assessment Records'!F:F,$B135,'Continuous Assessment Records'!C:C,"Mid-Term"),"")</f>
        <v/>
      </c>
      <c r="L135" s="5">
        <f>IF(OR(I135="",J135="",K135=""),"",I135*$I$205+J135*$J$205+K135*$K$205)</f>
        <v/>
      </c>
      <c r="M135">
        <f>IF(L135="","",IF(L135&gt;=0.7,3,IF(L135&gt;=0.6,2,IF(L135&gt;=0.5,1,0))))</f>
        <v/>
      </c>
      <c r="N135">
        <f>'CO–PO Attainment Summary'!E135</f>
        <v/>
      </c>
      <c r="O135">
        <f>IF(M135="",'CO–PO Attainment Summary'!F135,ROUND(0.8*M135+0.2*N135,0))</f>
        <v/>
      </c>
    </row>
    <row r="136">
      <c r="A136">
        <f>'CO–PO Attainment Summary'!A136</f>
        <v/>
      </c>
      <c r="B136">
        <f>'CO–PO Attainment Summary'!B136</f>
        <v/>
      </c>
      <c r="C136">
        <f>'CO–PO Attainment Summary'!C136</f>
        <v/>
      </c>
      <c r="D136">
        <f>'CO–PO Attainment Summary'!D136</f>
        <v/>
      </c>
      <c r="E136">
        <f>'CO–PO Attainment Summary'!E136</f>
        <v/>
      </c>
      <c r="F136">
        <f>'CO–PO Attainment Summary'!F136</f>
        <v/>
      </c>
      <c r="G136">
        <f>'CO–PO Attainment Summary'!G136</f>
        <v/>
      </c>
      <c r="H136">
        <f>'CO–PO Attainment Summary'!H136</f>
        <v/>
      </c>
      <c r="I136" s="5">
        <f>IFERROR(AVERAGEIFS('Continuous Assessment Records'!L:L,'Continuous Assessment Records'!A:A,$A136,'Continuous Assessment Records'!F:F,$B136,'Continuous Assessment Records'!C:C,"Assignment"),"")</f>
        <v/>
      </c>
      <c r="J136" s="5">
        <f>IFERROR(AVERAGEIFS('Continuous Assessment Records'!L:L,'Continuous Assessment Records'!A:A,$A136,'Continuous Assessment Records'!F:F,$B136,'Continuous Assessment Records'!C:C,"Unit Test"),"")</f>
        <v/>
      </c>
      <c r="K136" s="5">
        <f>IFERROR(AVERAGEIFS('Continuous Assessment Records'!L:L,'Continuous Assessment Records'!A:A,$A136,'Continuous Assessment Records'!F:F,$B136,'Continuous Assessment Records'!C:C,"Mid-Term"),"")</f>
        <v/>
      </c>
      <c r="L136" s="5">
        <f>IF(OR(I136="",J136="",K136=""),"",I136*$I$205+J136*$J$205+K136*$K$205)</f>
        <v/>
      </c>
      <c r="M136">
        <f>IF(L136="","",IF(L136&gt;=0.7,3,IF(L136&gt;=0.6,2,IF(L136&gt;=0.5,1,0))))</f>
        <v/>
      </c>
      <c r="N136">
        <f>'CO–PO Attainment Summary'!E136</f>
        <v/>
      </c>
      <c r="O136">
        <f>IF(M136="",'CO–PO Attainment Summary'!F136,ROUND(0.8*M136+0.2*N136,0))</f>
        <v/>
      </c>
    </row>
    <row r="137">
      <c r="A137">
        <f>'CO–PO Attainment Summary'!A137</f>
        <v/>
      </c>
      <c r="B137">
        <f>'CO–PO Attainment Summary'!B137</f>
        <v/>
      </c>
      <c r="C137">
        <f>'CO–PO Attainment Summary'!C137</f>
        <v/>
      </c>
      <c r="D137">
        <f>'CO–PO Attainment Summary'!D137</f>
        <v/>
      </c>
      <c r="E137">
        <f>'CO–PO Attainment Summary'!E137</f>
        <v/>
      </c>
      <c r="F137">
        <f>'CO–PO Attainment Summary'!F137</f>
        <v/>
      </c>
      <c r="G137">
        <f>'CO–PO Attainment Summary'!G137</f>
        <v/>
      </c>
      <c r="H137">
        <f>'CO–PO Attainment Summary'!H137</f>
        <v/>
      </c>
      <c r="I137" s="5">
        <f>IFERROR(AVERAGEIFS('Continuous Assessment Records'!L:L,'Continuous Assessment Records'!A:A,$A137,'Continuous Assessment Records'!F:F,$B137,'Continuous Assessment Records'!C:C,"Assignment"),"")</f>
        <v/>
      </c>
      <c r="J137" s="5">
        <f>IFERROR(AVERAGEIFS('Continuous Assessment Records'!L:L,'Continuous Assessment Records'!A:A,$A137,'Continuous Assessment Records'!F:F,$B137,'Continuous Assessment Records'!C:C,"Unit Test"),"")</f>
        <v/>
      </c>
      <c r="K137" s="5">
        <f>IFERROR(AVERAGEIFS('Continuous Assessment Records'!L:L,'Continuous Assessment Records'!A:A,$A137,'Continuous Assessment Records'!F:F,$B137,'Continuous Assessment Records'!C:C,"Mid-Term"),"")</f>
        <v/>
      </c>
      <c r="L137" s="5">
        <f>IF(OR(I137="",J137="",K137=""),"",I137*$I$205+J137*$J$205+K137*$K$205)</f>
        <v/>
      </c>
      <c r="M137">
        <f>IF(L137="","",IF(L137&gt;=0.7,3,IF(L137&gt;=0.6,2,IF(L137&gt;=0.5,1,0))))</f>
        <v/>
      </c>
      <c r="N137">
        <f>'CO–PO Attainment Summary'!E137</f>
        <v/>
      </c>
      <c r="O137">
        <f>IF(M137="",'CO–PO Attainment Summary'!F137,ROUND(0.8*M137+0.2*N137,0))</f>
        <v/>
      </c>
    </row>
    <row r="138">
      <c r="A138">
        <f>'CO–PO Attainment Summary'!A138</f>
        <v/>
      </c>
      <c r="B138">
        <f>'CO–PO Attainment Summary'!B138</f>
        <v/>
      </c>
      <c r="C138">
        <f>'CO–PO Attainment Summary'!C138</f>
        <v/>
      </c>
      <c r="D138">
        <f>'CO–PO Attainment Summary'!D138</f>
        <v/>
      </c>
      <c r="E138">
        <f>'CO–PO Attainment Summary'!E138</f>
        <v/>
      </c>
      <c r="F138">
        <f>'CO–PO Attainment Summary'!F138</f>
        <v/>
      </c>
      <c r="G138">
        <f>'CO–PO Attainment Summary'!G138</f>
        <v/>
      </c>
      <c r="H138">
        <f>'CO–PO Attainment Summary'!H138</f>
        <v/>
      </c>
      <c r="I138" s="5">
        <f>IFERROR(AVERAGEIFS('Continuous Assessment Records'!L:L,'Continuous Assessment Records'!A:A,$A138,'Continuous Assessment Records'!F:F,$B138,'Continuous Assessment Records'!C:C,"Assignment"),"")</f>
        <v/>
      </c>
      <c r="J138" s="5">
        <f>IFERROR(AVERAGEIFS('Continuous Assessment Records'!L:L,'Continuous Assessment Records'!A:A,$A138,'Continuous Assessment Records'!F:F,$B138,'Continuous Assessment Records'!C:C,"Unit Test"),"")</f>
        <v/>
      </c>
      <c r="K138" s="5">
        <f>IFERROR(AVERAGEIFS('Continuous Assessment Records'!L:L,'Continuous Assessment Records'!A:A,$A138,'Continuous Assessment Records'!F:F,$B138,'Continuous Assessment Records'!C:C,"Mid-Term"),"")</f>
        <v/>
      </c>
      <c r="L138" s="5">
        <f>IF(OR(I138="",J138="",K138=""),"",I138*$I$205+J138*$J$205+K138*$K$205)</f>
        <v/>
      </c>
      <c r="M138">
        <f>IF(L138="","",IF(L138&gt;=0.7,3,IF(L138&gt;=0.6,2,IF(L138&gt;=0.5,1,0))))</f>
        <v/>
      </c>
      <c r="N138">
        <f>'CO–PO Attainment Summary'!E138</f>
        <v/>
      </c>
      <c r="O138">
        <f>IF(M138="",'CO–PO Attainment Summary'!F138,ROUND(0.8*M138+0.2*N138,0))</f>
        <v/>
      </c>
    </row>
    <row r="139">
      <c r="A139">
        <f>'CO–PO Attainment Summary'!A139</f>
        <v/>
      </c>
      <c r="B139">
        <f>'CO–PO Attainment Summary'!B139</f>
        <v/>
      </c>
      <c r="C139">
        <f>'CO–PO Attainment Summary'!C139</f>
        <v/>
      </c>
      <c r="D139">
        <f>'CO–PO Attainment Summary'!D139</f>
        <v/>
      </c>
      <c r="E139">
        <f>'CO–PO Attainment Summary'!E139</f>
        <v/>
      </c>
      <c r="F139">
        <f>'CO–PO Attainment Summary'!F139</f>
        <v/>
      </c>
      <c r="G139">
        <f>'CO–PO Attainment Summary'!G139</f>
        <v/>
      </c>
      <c r="H139">
        <f>'CO–PO Attainment Summary'!H139</f>
        <v/>
      </c>
      <c r="I139" s="5">
        <f>IFERROR(AVERAGEIFS('Continuous Assessment Records'!L:L,'Continuous Assessment Records'!A:A,$A139,'Continuous Assessment Records'!F:F,$B139,'Continuous Assessment Records'!C:C,"Assignment"),"")</f>
        <v/>
      </c>
      <c r="J139" s="5">
        <f>IFERROR(AVERAGEIFS('Continuous Assessment Records'!L:L,'Continuous Assessment Records'!A:A,$A139,'Continuous Assessment Records'!F:F,$B139,'Continuous Assessment Records'!C:C,"Unit Test"),"")</f>
        <v/>
      </c>
      <c r="K139" s="5">
        <f>IFERROR(AVERAGEIFS('Continuous Assessment Records'!L:L,'Continuous Assessment Records'!A:A,$A139,'Continuous Assessment Records'!F:F,$B139,'Continuous Assessment Records'!C:C,"Mid-Term"),"")</f>
        <v/>
      </c>
      <c r="L139" s="5">
        <f>IF(OR(I139="",J139="",K139=""),"",I139*$I$205+J139*$J$205+K139*$K$205)</f>
        <v/>
      </c>
      <c r="M139">
        <f>IF(L139="","",IF(L139&gt;=0.7,3,IF(L139&gt;=0.6,2,IF(L139&gt;=0.5,1,0))))</f>
        <v/>
      </c>
      <c r="N139">
        <f>'CO–PO Attainment Summary'!E139</f>
        <v/>
      </c>
      <c r="O139">
        <f>IF(M139="",'CO–PO Attainment Summary'!F139,ROUND(0.8*M139+0.2*N139,0))</f>
        <v/>
      </c>
    </row>
    <row r="140">
      <c r="A140">
        <f>'CO–PO Attainment Summary'!A140</f>
        <v/>
      </c>
      <c r="B140">
        <f>'CO–PO Attainment Summary'!B140</f>
        <v/>
      </c>
      <c r="C140">
        <f>'CO–PO Attainment Summary'!C140</f>
        <v/>
      </c>
      <c r="D140">
        <f>'CO–PO Attainment Summary'!D140</f>
        <v/>
      </c>
      <c r="E140">
        <f>'CO–PO Attainment Summary'!E140</f>
        <v/>
      </c>
      <c r="F140">
        <f>'CO–PO Attainment Summary'!F140</f>
        <v/>
      </c>
      <c r="G140">
        <f>'CO–PO Attainment Summary'!G140</f>
        <v/>
      </c>
      <c r="H140">
        <f>'CO–PO Attainment Summary'!H140</f>
        <v/>
      </c>
      <c r="I140" s="5">
        <f>IFERROR(AVERAGEIFS('Continuous Assessment Records'!L:L,'Continuous Assessment Records'!A:A,$A140,'Continuous Assessment Records'!F:F,$B140,'Continuous Assessment Records'!C:C,"Assignment"),"")</f>
        <v/>
      </c>
      <c r="J140" s="5">
        <f>IFERROR(AVERAGEIFS('Continuous Assessment Records'!L:L,'Continuous Assessment Records'!A:A,$A140,'Continuous Assessment Records'!F:F,$B140,'Continuous Assessment Records'!C:C,"Unit Test"),"")</f>
        <v/>
      </c>
      <c r="K140" s="5">
        <f>IFERROR(AVERAGEIFS('Continuous Assessment Records'!L:L,'Continuous Assessment Records'!A:A,$A140,'Continuous Assessment Records'!F:F,$B140,'Continuous Assessment Records'!C:C,"Mid-Term"),"")</f>
        <v/>
      </c>
      <c r="L140" s="5">
        <f>IF(OR(I140="",J140="",K140=""),"",I140*$I$205+J140*$J$205+K140*$K$205)</f>
        <v/>
      </c>
      <c r="M140">
        <f>IF(L140="","",IF(L140&gt;=0.7,3,IF(L140&gt;=0.6,2,IF(L140&gt;=0.5,1,0))))</f>
        <v/>
      </c>
      <c r="N140">
        <f>'CO–PO Attainment Summary'!E140</f>
        <v/>
      </c>
      <c r="O140">
        <f>IF(M140="",'CO–PO Attainment Summary'!F140,ROUND(0.8*M140+0.2*N140,0))</f>
        <v/>
      </c>
    </row>
    <row r="141">
      <c r="A141">
        <f>'CO–PO Attainment Summary'!A141</f>
        <v/>
      </c>
      <c r="B141">
        <f>'CO–PO Attainment Summary'!B141</f>
        <v/>
      </c>
      <c r="C141">
        <f>'CO–PO Attainment Summary'!C141</f>
        <v/>
      </c>
      <c r="D141">
        <f>'CO–PO Attainment Summary'!D141</f>
        <v/>
      </c>
      <c r="E141">
        <f>'CO–PO Attainment Summary'!E141</f>
        <v/>
      </c>
      <c r="F141">
        <f>'CO–PO Attainment Summary'!F141</f>
        <v/>
      </c>
      <c r="G141">
        <f>'CO–PO Attainment Summary'!G141</f>
        <v/>
      </c>
      <c r="H141">
        <f>'CO–PO Attainment Summary'!H141</f>
        <v/>
      </c>
      <c r="I141" s="5">
        <f>IFERROR(AVERAGEIFS('Continuous Assessment Records'!L:L,'Continuous Assessment Records'!A:A,$A141,'Continuous Assessment Records'!F:F,$B141,'Continuous Assessment Records'!C:C,"Assignment"),"")</f>
        <v/>
      </c>
      <c r="J141" s="5">
        <f>IFERROR(AVERAGEIFS('Continuous Assessment Records'!L:L,'Continuous Assessment Records'!A:A,$A141,'Continuous Assessment Records'!F:F,$B141,'Continuous Assessment Records'!C:C,"Unit Test"),"")</f>
        <v/>
      </c>
      <c r="K141" s="5">
        <f>IFERROR(AVERAGEIFS('Continuous Assessment Records'!L:L,'Continuous Assessment Records'!A:A,$A141,'Continuous Assessment Records'!F:F,$B141,'Continuous Assessment Records'!C:C,"Mid-Term"),"")</f>
        <v/>
      </c>
      <c r="L141" s="5">
        <f>IF(OR(I141="",J141="",K141=""),"",I141*$I$205+J141*$J$205+K141*$K$205)</f>
        <v/>
      </c>
      <c r="M141">
        <f>IF(L141="","",IF(L141&gt;=0.7,3,IF(L141&gt;=0.6,2,IF(L141&gt;=0.5,1,0))))</f>
        <v/>
      </c>
      <c r="N141">
        <f>'CO–PO Attainment Summary'!E141</f>
        <v/>
      </c>
      <c r="O141">
        <f>IF(M141="",'CO–PO Attainment Summary'!F141,ROUND(0.8*M141+0.2*N141,0))</f>
        <v/>
      </c>
    </row>
    <row r="142">
      <c r="A142">
        <f>'CO–PO Attainment Summary'!A142</f>
        <v/>
      </c>
      <c r="B142">
        <f>'CO–PO Attainment Summary'!B142</f>
        <v/>
      </c>
      <c r="C142">
        <f>'CO–PO Attainment Summary'!C142</f>
        <v/>
      </c>
      <c r="D142">
        <f>'CO–PO Attainment Summary'!D142</f>
        <v/>
      </c>
      <c r="E142">
        <f>'CO–PO Attainment Summary'!E142</f>
        <v/>
      </c>
      <c r="F142">
        <f>'CO–PO Attainment Summary'!F142</f>
        <v/>
      </c>
      <c r="G142">
        <f>'CO–PO Attainment Summary'!G142</f>
        <v/>
      </c>
      <c r="H142">
        <f>'CO–PO Attainment Summary'!H142</f>
        <v/>
      </c>
      <c r="I142" s="5">
        <f>IFERROR(AVERAGEIFS('Continuous Assessment Records'!L:L,'Continuous Assessment Records'!A:A,$A142,'Continuous Assessment Records'!F:F,$B142,'Continuous Assessment Records'!C:C,"Assignment"),"")</f>
        <v/>
      </c>
      <c r="J142" s="5">
        <f>IFERROR(AVERAGEIFS('Continuous Assessment Records'!L:L,'Continuous Assessment Records'!A:A,$A142,'Continuous Assessment Records'!F:F,$B142,'Continuous Assessment Records'!C:C,"Unit Test"),"")</f>
        <v/>
      </c>
      <c r="K142" s="5">
        <f>IFERROR(AVERAGEIFS('Continuous Assessment Records'!L:L,'Continuous Assessment Records'!A:A,$A142,'Continuous Assessment Records'!F:F,$B142,'Continuous Assessment Records'!C:C,"Mid-Term"),"")</f>
        <v/>
      </c>
      <c r="L142" s="5">
        <f>IF(OR(I142="",J142="",K142=""),"",I142*$I$205+J142*$J$205+K142*$K$205)</f>
        <v/>
      </c>
      <c r="M142">
        <f>IF(L142="","",IF(L142&gt;=0.7,3,IF(L142&gt;=0.6,2,IF(L142&gt;=0.5,1,0))))</f>
        <v/>
      </c>
      <c r="N142">
        <f>'CO–PO Attainment Summary'!E142</f>
        <v/>
      </c>
      <c r="O142">
        <f>IF(M142="",'CO–PO Attainment Summary'!F142,ROUND(0.8*M142+0.2*N142,0))</f>
        <v/>
      </c>
    </row>
    <row r="143">
      <c r="A143">
        <f>'CO–PO Attainment Summary'!A143</f>
        <v/>
      </c>
      <c r="B143">
        <f>'CO–PO Attainment Summary'!B143</f>
        <v/>
      </c>
      <c r="C143">
        <f>'CO–PO Attainment Summary'!C143</f>
        <v/>
      </c>
      <c r="D143">
        <f>'CO–PO Attainment Summary'!D143</f>
        <v/>
      </c>
      <c r="E143">
        <f>'CO–PO Attainment Summary'!E143</f>
        <v/>
      </c>
      <c r="F143">
        <f>'CO–PO Attainment Summary'!F143</f>
        <v/>
      </c>
      <c r="G143">
        <f>'CO–PO Attainment Summary'!G143</f>
        <v/>
      </c>
      <c r="H143">
        <f>'CO–PO Attainment Summary'!H143</f>
        <v/>
      </c>
      <c r="I143" s="5">
        <f>IFERROR(AVERAGEIFS('Continuous Assessment Records'!L:L,'Continuous Assessment Records'!A:A,$A143,'Continuous Assessment Records'!F:F,$B143,'Continuous Assessment Records'!C:C,"Assignment"),"")</f>
        <v/>
      </c>
      <c r="J143" s="5">
        <f>IFERROR(AVERAGEIFS('Continuous Assessment Records'!L:L,'Continuous Assessment Records'!A:A,$A143,'Continuous Assessment Records'!F:F,$B143,'Continuous Assessment Records'!C:C,"Unit Test"),"")</f>
        <v/>
      </c>
      <c r="K143" s="5">
        <f>IFERROR(AVERAGEIFS('Continuous Assessment Records'!L:L,'Continuous Assessment Records'!A:A,$A143,'Continuous Assessment Records'!F:F,$B143,'Continuous Assessment Records'!C:C,"Mid-Term"),"")</f>
        <v/>
      </c>
      <c r="L143" s="5">
        <f>IF(OR(I143="",J143="",K143=""),"",I143*$I$205+J143*$J$205+K143*$K$205)</f>
        <v/>
      </c>
      <c r="M143">
        <f>IF(L143="","",IF(L143&gt;=0.7,3,IF(L143&gt;=0.6,2,IF(L143&gt;=0.5,1,0))))</f>
        <v/>
      </c>
      <c r="N143">
        <f>'CO–PO Attainment Summary'!E143</f>
        <v/>
      </c>
      <c r="O143">
        <f>IF(M143="",'CO–PO Attainment Summary'!F143,ROUND(0.8*M143+0.2*N143,0))</f>
        <v/>
      </c>
    </row>
    <row r="144">
      <c r="A144">
        <f>'CO–PO Attainment Summary'!A144</f>
        <v/>
      </c>
      <c r="B144">
        <f>'CO–PO Attainment Summary'!B144</f>
        <v/>
      </c>
      <c r="C144">
        <f>'CO–PO Attainment Summary'!C144</f>
        <v/>
      </c>
      <c r="D144">
        <f>'CO–PO Attainment Summary'!D144</f>
        <v/>
      </c>
      <c r="E144">
        <f>'CO–PO Attainment Summary'!E144</f>
        <v/>
      </c>
      <c r="F144">
        <f>'CO–PO Attainment Summary'!F144</f>
        <v/>
      </c>
      <c r="G144">
        <f>'CO–PO Attainment Summary'!G144</f>
        <v/>
      </c>
      <c r="H144">
        <f>'CO–PO Attainment Summary'!H144</f>
        <v/>
      </c>
      <c r="I144" s="5">
        <f>IFERROR(AVERAGEIFS('Continuous Assessment Records'!L:L,'Continuous Assessment Records'!A:A,$A144,'Continuous Assessment Records'!F:F,$B144,'Continuous Assessment Records'!C:C,"Assignment"),"")</f>
        <v/>
      </c>
      <c r="J144" s="5">
        <f>IFERROR(AVERAGEIFS('Continuous Assessment Records'!L:L,'Continuous Assessment Records'!A:A,$A144,'Continuous Assessment Records'!F:F,$B144,'Continuous Assessment Records'!C:C,"Unit Test"),"")</f>
        <v/>
      </c>
      <c r="K144" s="5">
        <f>IFERROR(AVERAGEIFS('Continuous Assessment Records'!L:L,'Continuous Assessment Records'!A:A,$A144,'Continuous Assessment Records'!F:F,$B144,'Continuous Assessment Records'!C:C,"Mid-Term"),"")</f>
        <v/>
      </c>
      <c r="L144" s="5">
        <f>IF(OR(I144="",J144="",K144=""),"",I144*$I$205+J144*$J$205+K144*$K$205)</f>
        <v/>
      </c>
      <c r="M144">
        <f>IF(L144="","",IF(L144&gt;=0.7,3,IF(L144&gt;=0.6,2,IF(L144&gt;=0.5,1,0))))</f>
        <v/>
      </c>
      <c r="N144">
        <f>'CO–PO Attainment Summary'!E144</f>
        <v/>
      </c>
      <c r="O144">
        <f>IF(M144="",'CO–PO Attainment Summary'!F144,ROUND(0.8*M144+0.2*N144,0))</f>
        <v/>
      </c>
    </row>
    <row r="145">
      <c r="A145">
        <f>'CO–PO Attainment Summary'!A145</f>
        <v/>
      </c>
      <c r="B145">
        <f>'CO–PO Attainment Summary'!B145</f>
        <v/>
      </c>
      <c r="C145">
        <f>'CO–PO Attainment Summary'!C145</f>
        <v/>
      </c>
      <c r="D145">
        <f>'CO–PO Attainment Summary'!D145</f>
        <v/>
      </c>
      <c r="E145">
        <f>'CO–PO Attainment Summary'!E145</f>
        <v/>
      </c>
      <c r="F145">
        <f>'CO–PO Attainment Summary'!F145</f>
        <v/>
      </c>
      <c r="G145">
        <f>'CO–PO Attainment Summary'!G145</f>
        <v/>
      </c>
      <c r="H145">
        <f>'CO–PO Attainment Summary'!H145</f>
        <v/>
      </c>
      <c r="I145" s="5">
        <f>IFERROR(AVERAGEIFS('Continuous Assessment Records'!L:L,'Continuous Assessment Records'!A:A,$A145,'Continuous Assessment Records'!F:F,$B145,'Continuous Assessment Records'!C:C,"Assignment"),"")</f>
        <v/>
      </c>
      <c r="J145" s="5">
        <f>IFERROR(AVERAGEIFS('Continuous Assessment Records'!L:L,'Continuous Assessment Records'!A:A,$A145,'Continuous Assessment Records'!F:F,$B145,'Continuous Assessment Records'!C:C,"Unit Test"),"")</f>
        <v/>
      </c>
      <c r="K145" s="5">
        <f>IFERROR(AVERAGEIFS('Continuous Assessment Records'!L:L,'Continuous Assessment Records'!A:A,$A145,'Continuous Assessment Records'!F:F,$B145,'Continuous Assessment Records'!C:C,"Mid-Term"),"")</f>
        <v/>
      </c>
      <c r="L145" s="5">
        <f>IF(OR(I145="",J145="",K145=""),"",I145*$I$205+J145*$J$205+K145*$K$205)</f>
        <v/>
      </c>
      <c r="M145">
        <f>IF(L145="","",IF(L145&gt;=0.7,3,IF(L145&gt;=0.6,2,IF(L145&gt;=0.5,1,0))))</f>
        <v/>
      </c>
      <c r="N145">
        <f>'CO–PO Attainment Summary'!E145</f>
        <v/>
      </c>
      <c r="O145">
        <f>IF(M145="",'CO–PO Attainment Summary'!F145,ROUND(0.8*M145+0.2*N145,0))</f>
        <v/>
      </c>
    </row>
    <row r="146">
      <c r="A146">
        <f>'CO–PO Attainment Summary'!A146</f>
        <v/>
      </c>
      <c r="B146">
        <f>'CO–PO Attainment Summary'!B146</f>
        <v/>
      </c>
      <c r="C146">
        <f>'CO–PO Attainment Summary'!C146</f>
        <v/>
      </c>
      <c r="D146">
        <f>'CO–PO Attainment Summary'!D146</f>
        <v/>
      </c>
      <c r="E146">
        <f>'CO–PO Attainment Summary'!E146</f>
        <v/>
      </c>
      <c r="F146">
        <f>'CO–PO Attainment Summary'!F146</f>
        <v/>
      </c>
      <c r="G146">
        <f>'CO–PO Attainment Summary'!G146</f>
        <v/>
      </c>
      <c r="H146">
        <f>'CO–PO Attainment Summary'!H146</f>
        <v/>
      </c>
      <c r="I146" s="5">
        <f>IFERROR(AVERAGEIFS('Continuous Assessment Records'!L:L,'Continuous Assessment Records'!A:A,$A146,'Continuous Assessment Records'!F:F,$B146,'Continuous Assessment Records'!C:C,"Assignment"),"")</f>
        <v/>
      </c>
      <c r="J146" s="5">
        <f>IFERROR(AVERAGEIFS('Continuous Assessment Records'!L:L,'Continuous Assessment Records'!A:A,$A146,'Continuous Assessment Records'!F:F,$B146,'Continuous Assessment Records'!C:C,"Unit Test"),"")</f>
        <v/>
      </c>
      <c r="K146" s="5">
        <f>IFERROR(AVERAGEIFS('Continuous Assessment Records'!L:L,'Continuous Assessment Records'!A:A,$A146,'Continuous Assessment Records'!F:F,$B146,'Continuous Assessment Records'!C:C,"Mid-Term"),"")</f>
        <v/>
      </c>
      <c r="L146" s="5">
        <f>IF(OR(I146="",J146="",K146=""),"",I146*$I$205+J146*$J$205+K146*$K$205)</f>
        <v/>
      </c>
      <c r="M146">
        <f>IF(L146="","",IF(L146&gt;=0.7,3,IF(L146&gt;=0.6,2,IF(L146&gt;=0.5,1,0))))</f>
        <v/>
      </c>
      <c r="N146">
        <f>'CO–PO Attainment Summary'!E146</f>
        <v/>
      </c>
      <c r="O146">
        <f>IF(M146="",'CO–PO Attainment Summary'!F146,ROUND(0.8*M146+0.2*N146,0))</f>
        <v/>
      </c>
    </row>
    <row r="147">
      <c r="A147">
        <f>'CO–PO Attainment Summary'!A147</f>
        <v/>
      </c>
      <c r="B147">
        <f>'CO–PO Attainment Summary'!B147</f>
        <v/>
      </c>
      <c r="C147">
        <f>'CO–PO Attainment Summary'!C147</f>
        <v/>
      </c>
      <c r="D147">
        <f>'CO–PO Attainment Summary'!D147</f>
        <v/>
      </c>
      <c r="E147">
        <f>'CO–PO Attainment Summary'!E147</f>
        <v/>
      </c>
      <c r="F147">
        <f>'CO–PO Attainment Summary'!F147</f>
        <v/>
      </c>
      <c r="G147">
        <f>'CO–PO Attainment Summary'!G147</f>
        <v/>
      </c>
      <c r="H147">
        <f>'CO–PO Attainment Summary'!H147</f>
        <v/>
      </c>
      <c r="I147" s="5">
        <f>IFERROR(AVERAGEIFS('Continuous Assessment Records'!L:L,'Continuous Assessment Records'!A:A,$A147,'Continuous Assessment Records'!F:F,$B147,'Continuous Assessment Records'!C:C,"Assignment"),"")</f>
        <v/>
      </c>
      <c r="J147" s="5">
        <f>IFERROR(AVERAGEIFS('Continuous Assessment Records'!L:L,'Continuous Assessment Records'!A:A,$A147,'Continuous Assessment Records'!F:F,$B147,'Continuous Assessment Records'!C:C,"Unit Test"),"")</f>
        <v/>
      </c>
      <c r="K147" s="5">
        <f>IFERROR(AVERAGEIFS('Continuous Assessment Records'!L:L,'Continuous Assessment Records'!A:A,$A147,'Continuous Assessment Records'!F:F,$B147,'Continuous Assessment Records'!C:C,"Mid-Term"),"")</f>
        <v/>
      </c>
      <c r="L147" s="5">
        <f>IF(OR(I147="",J147="",K147=""),"",I147*$I$205+J147*$J$205+K147*$K$205)</f>
        <v/>
      </c>
      <c r="M147">
        <f>IF(L147="","",IF(L147&gt;=0.7,3,IF(L147&gt;=0.6,2,IF(L147&gt;=0.5,1,0))))</f>
        <v/>
      </c>
      <c r="N147">
        <f>'CO–PO Attainment Summary'!E147</f>
        <v/>
      </c>
      <c r="O147">
        <f>IF(M147="",'CO–PO Attainment Summary'!F147,ROUND(0.8*M147+0.2*N147,0))</f>
        <v/>
      </c>
    </row>
    <row r="148">
      <c r="A148">
        <f>'CO–PO Attainment Summary'!A148</f>
        <v/>
      </c>
      <c r="B148">
        <f>'CO–PO Attainment Summary'!B148</f>
        <v/>
      </c>
      <c r="C148">
        <f>'CO–PO Attainment Summary'!C148</f>
        <v/>
      </c>
      <c r="D148">
        <f>'CO–PO Attainment Summary'!D148</f>
        <v/>
      </c>
      <c r="E148">
        <f>'CO–PO Attainment Summary'!E148</f>
        <v/>
      </c>
      <c r="F148">
        <f>'CO–PO Attainment Summary'!F148</f>
        <v/>
      </c>
      <c r="G148">
        <f>'CO–PO Attainment Summary'!G148</f>
        <v/>
      </c>
      <c r="H148">
        <f>'CO–PO Attainment Summary'!H148</f>
        <v/>
      </c>
      <c r="I148" s="5">
        <f>IFERROR(AVERAGEIFS('Continuous Assessment Records'!L:L,'Continuous Assessment Records'!A:A,$A148,'Continuous Assessment Records'!F:F,$B148,'Continuous Assessment Records'!C:C,"Assignment"),"")</f>
        <v/>
      </c>
      <c r="J148" s="5">
        <f>IFERROR(AVERAGEIFS('Continuous Assessment Records'!L:L,'Continuous Assessment Records'!A:A,$A148,'Continuous Assessment Records'!F:F,$B148,'Continuous Assessment Records'!C:C,"Unit Test"),"")</f>
        <v/>
      </c>
      <c r="K148" s="5">
        <f>IFERROR(AVERAGEIFS('Continuous Assessment Records'!L:L,'Continuous Assessment Records'!A:A,$A148,'Continuous Assessment Records'!F:F,$B148,'Continuous Assessment Records'!C:C,"Mid-Term"),"")</f>
        <v/>
      </c>
      <c r="L148" s="5">
        <f>IF(OR(I148="",J148="",K148=""),"",I148*$I$205+J148*$J$205+K148*$K$205)</f>
        <v/>
      </c>
      <c r="M148">
        <f>IF(L148="","",IF(L148&gt;=0.7,3,IF(L148&gt;=0.6,2,IF(L148&gt;=0.5,1,0))))</f>
        <v/>
      </c>
      <c r="N148">
        <f>'CO–PO Attainment Summary'!E148</f>
        <v/>
      </c>
      <c r="O148">
        <f>IF(M148="",'CO–PO Attainment Summary'!F148,ROUND(0.8*M148+0.2*N148,0))</f>
        <v/>
      </c>
    </row>
    <row r="149">
      <c r="A149">
        <f>'CO–PO Attainment Summary'!A149</f>
        <v/>
      </c>
      <c r="B149">
        <f>'CO–PO Attainment Summary'!B149</f>
        <v/>
      </c>
      <c r="C149">
        <f>'CO–PO Attainment Summary'!C149</f>
        <v/>
      </c>
      <c r="D149">
        <f>'CO–PO Attainment Summary'!D149</f>
        <v/>
      </c>
      <c r="E149">
        <f>'CO–PO Attainment Summary'!E149</f>
        <v/>
      </c>
      <c r="F149">
        <f>'CO–PO Attainment Summary'!F149</f>
        <v/>
      </c>
      <c r="G149">
        <f>'CO–PO Attainment Summary'!G149</f>
        <v/>
      </c>
      <c r="H149">
        <f>'CO–PO Attainment Summary'!H149</f>
        <v/>
      </c>
      <c r="I149" s="5">
        <f>IFERROR(AVERAGEIFS('Continuous Assessment Records'!L:L,'Continuous Assessment Records'!A:A,$A149,'Continuous Assessment Records'!F:F,$B149,'Continuous Assessment Records'!C:C,"Assignment"),"")</f>
        <v/>
      </c>
      <c r="J149" s="5">
        <f>IFERROR(AVERAGEIFS('Continuous Assessment Records'!L:L,'Continuous Assessment Records'!A:A,$A149,'Continuous Assessment Records'!F:F,$B149,'Continuous Assessment Records'!C:C,"Unit Test"),"")</f>
        <v/>
      </c>
      <c r="K149" s="5">
        <f>IFERROR(AVERAGEIFS('Continuous Assessment Records'!L:L,'Continuous Assessment Records'!A:A,$A149,'Continuous Assessment Records'!F:F,$B149,'Continuous Assessment Records'!C:C,"Mid-Term"),"")</f>
        <v/>
      </c>
      <c r="L149" s="5">
        <f>IF(OR(I149="",J149="",K149=""),"",I149*$I$205+J149*$J$205+K149*$K$205)</f>
        <v/>
      </c>
      <c r="M149">
        <f>IF(L149="","",IF(L149&gt;=0.7,3,IF(L149&gt;=0.6,2,IF(L149&gt;=0.5,1,0))))</f>
        <v/>
      </c>
      <c r="N149">
        <f>'CO–PO Attainment Summary'!E149</f>
        <v/>
      </c>
      <c r="O149">
        <f>IF(M149="",'CO–PO Attainment Summary'!F149,ROUND(0.8*M149+0.2*N149,0))</f>
        <v/>
      </c>
    </row>
    <row r="150">
      <c r="A150">
        <f>'CO–PO Attainment Summary'!A150</f>
        <v/>
      </c>
      <c r="B150">
        <f>'CO–PO Attainment Summary'!B150</f>
        <v/>
      </c>
      <c r="C150">
        <f>'CO–PO Attainment Summary'!C150</f>
        <v/>
      </c>
      <c r="D150">
        <f>'CO–PO Attainment Summary'!D150</f>
        <v/>
      </c>
      <c r="E150">
        <f>'CO–PO Attainment Summary'!E150</f>
        <v/>
      </c>
      <c r="F150">
        <f>'CO–PO Attainment Summary'!F150</f>
        <v/>
      </c>
      <c r="G150">
        <f>'CO–PO Attainment Summary'!G150</f>
        <v/>
      </c>
      <c r="H150">
        <f>'CO–PO Attainment Summary'!H150</f>
        <v/>
      </c>
      <c r="I150" s="5">
        <f>IFERROR(AVERAGEIFS('Continuous Assessment Records'!L:L,'Continuous Assessment Records'!A:A,$A150,'Continuous Assessment Records'!F:F,$B150,'Continuous Assessment Records'!C:C,"Assignment"),"")</f>
        <v/>
      </c>
      <c r="J150" s="5">
        <f>IFERROR(AVERAGEIFS('Continuous Assessment Records'!L:L,'Continuous Assessment Records'!A:A,$A150,'Continuous Assessment Records'!F:F,$B150,'Continuous Assessment Records'!C:C,"Unit Test"),"")</f>
        <v/>
      </c>
      <c r="K150" s="5">
        <f>IFERROR(AVERAGEIFS('Continuous Assessment Records'!L:L,'Continuous Assessment Records'!A:A,$A150,'Continuous Assessment Records'!F:F,$B150,'Continuous Assessment Records'!C:C,"Mid-Term"),"")</f>
        <v/>
      </c>
      <c r="L150" s="5">
        <f>IF(OR(I150="",J150="",K150=""),"",I150*$I$205+J150*$J$205+K150*$K$205)</f>
        <v/>
      </c>
      <c r="M150">
        <f>IF(L150="","",IF(L150&gt;=0.7,3,IF(L150&gt;=0.6,2,IF(L150&gt;=0.5,1,0))))</f>
        <v/>
      </c>
      <c r="N150">
        <f>'CO–PO Attainment Summary'!E150</f>
        <v/>
      </c>
      <c r="O150">
        <f>IF(M150="",'CO–PO Attainment Summary'!F150,ROUND(0.8*M150+0.2*N150,0))</f>
        <v/>
      </c>
    </row>
    <row r="151">
      <c r="A151">
        <f>'CO–PO Attainment Summary'!A151</f>
        <v/>
      </c>
      <c r="B151">
        <f>'CO–PO Attainment Summary'!B151</f>
        <v/>
      </c>
      <c r="C151">
        <f>'CO–PO Attainment Summary'!C151</f>
        <v/>
      </c>
      <c r="D151">
        <f>'CO–PO Attainment Summary'!D151</f>
        <v/>
      </c>
      <c r="E151">
        <f>'CO–PO Attainment Summary'!E151</f>
        <v/>
      </c>
      <c r="F151">
        <f>'CO–PO Attainment Summary'!F151</f>
        <v/>
      </c>
      <c r="G151">
        <f>'CO–PO Attainment Summary'!G151</f>
        <v/>
      </c>
      <c r="H151">
        <f>'CO–PO Attainment Summary'!H151</f>
        <v/>
      </c>
      <c r="I151" s="5">
        <f>IFERROR(AVERAGEIFS('Continuous Assessment Records'!L:L,'Continuous Assessment Records'!A:A,$A151,'Continuous Assessment Records'!F:F,$B151,'Continuous Assessment Records'!C:C,"Assignment"),"")</f>
        <v/>
      </c>
      <c r="J151" s="5">
        <f>IFERROR(AVERAGEIFS('Continuous Assessment Records'!L:L,'Continuous Assessment Records'!A:A,$A151,'Continuous Assessment Records'!F:F,$B151,'Continuous Assessment Records'!C:C,"Unit Test"),"")</f>
        <v/>
      </c>
      <c r="K151" s="5">
        <f>IFERROR(AVERAGEIFS('Continuous Assessment Records'!L:L,'Continuous Assessment Records'!A:A,$A151,'Continuous Assessment Records'!F:F,$B151,'Continuous Assessment Records'!C:C,"Mid-Term"),"")</f>
        <v/>
      </c>
      <c r="L151" s="5">
        <f>IF(OR(I151="",J151="",K151=""),"",I151*$I$205+J151*$J$205+K151*$K$205)</f>
        <v/>
      </c>
      <c r="M151">
        <f>IF(L151="","",IF(L151&gt;=0.7,3,IF(L151&gt;=0.6,2,IF(L151&gt;=0.5,1,0))))</f>
        <v/>
      </c>
      <c r="N151">
        <f>'CO–PO Attainment Summary'!E151</f>
        <v/>
      </c>
      <c r="O151">
        <f>IF(M151="",'CO–PO Attainment Summary'!F151,ROUND(0.8*M151+0.2*N151,0))</f>
        <v/>
      </c>
    </row>
    <row r="152">
      <c r="A152">
        <f>'CO–PO Attainment Summary'!A152</f>
        <v/>
      </c>
      <c r="B152">
        <f>'CO–PO Attainment Summary'!B152</f>
        <v/>
      </c>
      <c r="C152">
        <f>'CO–PO Attainment Summary'!C152</f>
        <v/>
      </c>
      <c r="D152">
        <f>'CO–PO Attainment Summary'!D152</f>
        <v/>
      </c>
      <c r="E152">
        <f>'CO–PO Attainment Summary'!E152</f>
        <v/>
      </c>
      <c r="F152">
        <f>'CO–PO Attainment Summary'!F152</f>
        <v/>
      </c>
      <c r="G152">
        <f>'CO–PO Attainment Summary'!G152</f>
        <v/>
      </c>
      <c r="H152">
        <f>'CO–PO Attainment Summary'!H152</f>
        <v/>
      </c>
      <c r="I152" s="5">
        <f>IFERROR(AVERAGEIFS('Continuous Assessment Records'!L:L,'Continuous Assessment Records'!A:A,$A152,'Continuous Assessment Records'!F:F,$B152,'Continuous Assessment Records'!C:C,"Assignment"),"")</f>
        <v/>
      </c>
      <c r="J152" s="5">
        <f>IFERROR(AVERAGEIFS('Continuous Assessment Records'!L:L,'Continuous Assessment Records'!A:A,$A152,'Continuous Assessment Records'!F:F,$B152,'Continuous Assessment Records'!C:C,"Unit Test"),"")</f>
        <v/>
      </c>
      <c r="K152" s="5">
        <f>IFERROR(AVERAGEIFS('Continuous Assessment Records'!L:L,'Continuous Assessment Records'!A:A,$A152,'Continuous Assessment Records'!F:F,$B152,'Continuous Assessment Records'!C:C,"Mid-Term"),"")</f>
        <v/>
      </c>
      <c r="L152" s="5">
        <f>IF(OR(I152="",J152="",K152=""),"",I152*$I$205+J152*$J$205+K152*$K$205)</f>
        <v/>
      </c>
      <c r="M152">
        <f>IF(L152="","",IF(L152&gt;=0.7,3,IF(L152&gt;=0.6,2,IF(L152&gt;=0.5,1,0))))</f>
        <v/>
      </c>
      <c r="N152">
        <f>'CO–PO Attainment Summary'!E152</f>
        <v/>
      </c>
      <c r="O152">
        <f>IF(M152="",'CO–PO Attainment Summary'!F152,ROUND(0.8*M152+0.2*N152,0))</f>
        <v/>
      </c>
    </row>
    <row r="153">
      <c r="A153">
        <f>'CO–PO Attainment Summary'!A153</f>
        <v/>
      </c>
      <c r="B153">
        <f>'CO–PO Attainment Summary'!B153</f>
        <v/>
      </c>
      <c r="C153">
        <f>'CO–PO Attainment Summary'!C153</f>
        <v/>
      </c>
      <c r="D153">
        <f>'CO–PO Attainment Summary'!D153</f>
        <v/>
      </c>
      <c r="E153">
        <f>'CO–PO Attainment Summary'!E153</f>
        <v/>
      </c>
      <c r="F153">
        <f>'CO–PO Attainment Summary'!F153</f>
        <v/>
      </c>
      <c r="G153">
        <f>'CO–PO Attainment Summary'!G153</f>
        <v/>
      </c>
      <c r="H153">
        <f>'CO–PO Attainment Summary'!H153</f>
        <v/>
      </c>
      <c r="I153" s="5">
        <f>IFERROR(AVERAGEIFS('Continuous Assessment Records'!L:L,'Continuous Assessment Records'!A:A,$A153,'Continuous Assessment Records'!F:F,$B153,'Continuous Assessment Records'!C:C,"Assignment"),"")</f>
        <v/>
      </c>
      <c r="J153" s="5">
        <f>IFERROR(AVERAGEIFS('Continuous Assessment Records'!L:L,'Continuous Assessment Records'!A:A,$A153,'Continuous Assessment Records'!F:F,$B153,'Continuous Assessment Records'!C:C,"Unit Test"),"")</f>
        <v/>
      </c>
      <c r="K153" s="5">
        <f>IFERROR(AVERAGEIFS('Continuous Assessment Records'!L:L,'Continuous Assessment Records'!A:A,$A153,'Continuous Assessment Records'!F:F,$B153,'Continuous Assessment Records'!C:C,"Mid-Term"),"")</f>
        <v/>
      </c>
      <c r="L153" s="5">
        <f>IF(OR(I153="",J153="",K153=""),"",I153*$I$205+J153*$J$205+K153*$K$205)</f>
        <v/>
      </c>
      <c r="M153">
        <f>IF(L153="","",IF(L153&gt;=0.7,3,IF(L153&gt;=0.6,2,IF(L153&gt;=0.5,1,0))))</f>
        <v/>
      </c>
      <c r="N153">
        <f>'CO–PO Attainment Summary'!E153</f>
        <v/>
      </c>
      <c r="O153">
        <f>IF(M153="",'CO–PO Attainment Summary'!F153,ROUND(0.8*M153+0.2*N153,0))</f>
        <v/>
      </c>
    </row>
    <row r="154">
      <c r="A154">
        <f>'CO–PO Attainment Summary'!A154</f>
        <v/>
      </c>
      <c r="B154">
        <f>'CO–PO Attainment Summary'!B154</f>
        <v/>
      </c>
      <c r="C154">
        <f>'CO–PO Attainment Summary'!C154</f>
        <v/>
      </c>
      <c r="D154">
        <f>'CO–PO Attainment Summary'!D154</f>
        <v/>
      </c>
      <c r="E154">
        <f>'CO–PO Attainment Summary'!E154</f>
        <v/>
      </c>
      <c r="F154">
        <f>'CO–PO Attainment Summary'!F154</f>
        <v/>
      </c>
      <c r="G154">
        <f>'CO–PO Attainment Summary'!G154</f>
        <v/>
      </c>
      <c r="H154">
        <f>'CO–PO Attainment Summary'!H154</f>
        <v/>
      </c>
      <c r="I154" s="5">
        <f>IFERROR(AVERAGEIFS('Continuous Assessment Records'!L:L,'Continuous Assessment Records'!A:A,$A154,'Continuous Assessment Records'!F:F,$B154,'Continuous Assessment Records'!C:C,"Assignment"),"")</f>
        <v/>
      </c>
      <c r="J154" s="5">
        <f>IFERROR(AVERAGEIFS('Continuous Assessment Records'!L:L,'Continuous Assessment Records'!A:A,$A154,'Continuous Assessment Records'!F:F,$B154,'Continuous Assessment Records'!C:C,"Unit Test"),"")</f>
        <v/>
      </c>
      <c r="K154" s="5">
        <f>IFERROR(AVERAGEIFS('Continuous Assessment Records'!L:L,'Continuous Assessment Records'!A:A,$A154,'Continuous Assessment Records'!F:F,$B154,'Continuous Assessment Records'!C:C,"Mid-Term"),"")</f>
        <v/>
      </c>
      <c r="L154" s="5">
        <f>IF(OR(I154="",J154="",K154=""),"",I154*$I$205+J154*$J$205+K154*$K$205)</f>
        <v/>
      </c>
      <c r="M154">
        <f>IF(L154="","",IF(L154&gt;=0.7,3,IF(L154&gt;=0.6,2,IF(L154&gt;=0.5,1,0))))</f>
        <v/>
      </c>
      <c r="N154">
        <f>'CO–PO Attainment Summary'!E154</f>
        <v/>
      </c>
      <c r="O154">
        <f>IF(M154="",'CO–PO Attainment Summary'!F154,ROUND(0.8*M154+0.2*N154,0))</f>
        <v/>
      </c>
    </row>
    <row r="155">
      <c r="A155">
        <f>'CO–PO Attainment Summary'!A155</f>
        <v/>
      </c>
      <c r="B155">
        <f>'CO–PO Attainment Summary'!B155</f>
        <v/>
      </c>
      <c r="C155">
        <f>'CO–PO Attainment Summary'!C155</f>
        <v/>
      </c>
      <c r="D155">
        <f>'CO–PO Attainment Summary'!D155</f>
        <v/>
      </c>
      <c r="E155">
        <f>'CO–PO Attainment Summary'!E155</f>
        <v/>
      </c>
      <c r="F155">
        <f>'CO–PO Attainment Summary'!F155</f>
        <v/>
      </c>
      <c r="G155">
        <f>'CO–PO Attainment Summary'!G155</f>
        <v/>
      </c>
      <c r="H155">
        <f>'CO–PO Attainment Summary'!H155</f>
        <v/>
      </c>
      <c r="I155" s="5">
        <f>IFERROR(AVERAGEIFS('Continuous Assessment Records'!L:L,'Continuous Assessment Records'!A:A,$A155,'Continuous Assessment Records'!F:F,$B155,'Continuous Assessment Records'!C:C,"Assignment"),"")</f>
        <v/>
      </c>
      <c r="J155" s="5">
        <f>IFERROR(AVERAGEIFS('Continuous Assessment Records'!L:L,'Continuous Assessment Records'!A:A,$A155,'Continuous Assessment Records'!F:F,$B155,'Continuous Assessment Records'!C:C,"Unit Test"),"")</f>
        <v/>
      </c>
      <c r="K155" s="5">
        <f>IFERROR(AVERAGEIFS('Continuous Assessment Records'!L:L,'Continuous Assessment Records'!A:A,$A155,'Continuous Assessment Records'!F:F,$B155,'Continuous Assessment Records'!C:C,"Mid-Term"),"")</f>
        <v/>
      </c>
      <c r="L155" s="5">
        <f>IF(OR(I155="",J155="",K155=""),"",I155*$I$205+J155*$J$205+K155*$K$205)</f>
        <v/>
      </c>
      <c r="M155">
        <f>IF(L155="","",IF(L155&gt;=0.7,3,IF(L155&gt;=0.6,2,IF(L155&gt;=0.5,1,0))))</f>
        <v/>
      </c>
      <c r="N155">
        <f>'CO–PO Attainment Summary'!E155</f>
        <v/>
      </c>
      <c r="O155">
        <f>IF(M155="",'CO–PO Attainment Summary'!F155,ROUND(0.8*M155+0.2*N155,0))</f>
        <v/>
      </c>
    </row>
    <row r="156">
      <c r="A156">
        <f>'CO–PO Attainment Summary'!A156</f>
        <v/>
      </c>
      <c r="B156">
        <f>'CO–PO Attainment Summary'!B156</f>
        <v/>
      </c>
      <c r="C156">
        <f>'CO–PO Attainment Summary'!C156</f>
        <v/>
      </c>
      <c r="D156">
        <f>'CO–PO Attainment Summary'!D156</f>
        <v/>
      </c>
      <c r="E156">
        <f>'CO–PO Attainment Summary'!E156</f>
        <v/>
      </c>
      <c r="F156">
        <f>'CO–PO Attainment Summary'!F156</f>
        <v/>
      </c>
      <c r="G156">
        <f>'CO–PO Attainment Summary'!G156</f>
        <v/>
      </c>
      <c r="H156">
        <f>'CO–PO Attainment Summary'!H156</f>
        <v/>
      </c>
      <c r="I156" s="5">
        <f>IFERROR(AVERAGEIFS('Continuous Assessment Records'!L:L,'Continuous Assessment Records'!A:A,$A156,'Continuous Assessment Records'!F:F,$B156,'Continuous Assessment Records'!C:C,"Assignment"),"")</f>
        <v/>
      </c>
      <c r="J156" s="5">
        <f>IFERROR(AVERAGEIFS('Continuous Assessment Records'!L:L,'Continuous Assessment Records'!A:A,$A156,'Continuous Assessment Records'!F:F,$B156,'Continuous Assessment Records'!C:C,"Unit Test"),"")</f>
        <v/>
      </c>
      <c r="K156" s="5">
        <f>IFERROR(AVERAGEIFS('Continuous Assessment Records'!L:L,'Continuous Assessment Records'!A:A,$A156,'Continuous Assessment Records'!F:F,$B156,'Continuous Assessment Records'!C:C,"Mid-Term"),"")</f>
        <v/>
      </c>
      <c r="L156" s="5">
        <f>IF(OR(I156="",J156="",K156=""),"",I156*$I$205+J156*$J$205+K156*$K$205)</f>
        <v/>
      </c>
      <c r="M156">
        <f>IF(L156="","",IF(L156&gt;=0.7,3,IF(L156&gt;=0.6,2,IF(L156&gt;=0.5,1,0))))</f>
        <v/>
      </c>
      <c r="N156">
        <f>'CO–PO Attainment Summary'!E156</f>
        <v/>
      </c>
      <c r="O156">
        <f>IF(M156="",'CO–PO Attainment Summary'!F156,ROUND(0.8*M156+0.2*N156,0))</f>
        <v/>
      </c>
    </row>
    <row r="157">
      <c r="A157">
        <f>'CO–PO Attainment Summary'!A157</f>
        <v/>
      </c>
      <c r="B157">
        <f>'CO–PO Attainment Summary'!B157</f>
        <v/>
      </c>
      <c r="C157">
        <f>'CO–PO Attainment Summary'!C157</f>
        <v/>
      </c>
      <c r="D157">
        <f>'CO–PO Attainment Summary'!D157</f>
        <v/>
      </c>
      <c r="E157">
        <f>'CO–PO Attainment Summary'!E157</f>
        <v/>
      </c>
      <c r="F157">
        <f>'CO–PO Attainment Summary'!F157</f>
        <v/>
      </c>
      <c r="G157">
        <f>'CO–PO Attainment Summary'!G157</f>
        <v/>
      </c>
      <c r="H157">
        <f>'CO–PO Attainment Summary'!H157</f>
        <v/>
      </c>
      <c r="I157" s="5">
        <f>IFERROR(AVERAGEIFS('Continuous Assessment Records'!L:L,'Continuous Assessment Records'!A:A,$A157,'Continuous Assessment Records'!F:F,$B157,'Continuous Assessment Records'!C:C,"Assignment"),"")</f>
        <v/>
      </c>
      <c r="J157" s="5">
        <f>IFERROR(AVERAGEIFS('Continuous Assessment Records'!L:L,'Continuous Assessment Records'!A:A,$A157,'Continuous Assessment Records'!F:F,$B157,'Continuous Assessment Records'!C:C,"Unit Test"),"")</f>
        <v/>
      </c>
      <c r="K157" s="5">
        <f>IFERROR(AVERAGEIFS('Continuous Assessment Records'!L:L,'Continuous Assessment Records'!A:A,$A157,'Continuous Assessment Records'!F:F,$B157,'Continuous Assessment Records'!C:C,"Mid-Term"),"")</f>
        <v/>
      </c>
      <c r="L157" s="5">
        <f>IF(OR(I157="",J157="",K157=""),"",I157*$I$205+J157*$J$205+K157*$K$205)</f>
        <v/>
      </c>
      <c r="M157">
        <f>IF(L157="","",IF(L157&gt;=0.7,3,IF(L157&gt;=0.6,2,IF(L157&gt;=0.5,1,0))))</f>
        <v/>
      </c>
      <c r="N157">
        <f>'CO–PO Attainment Summary'!E157</f>
        <v/>
      </c>
      <c r="O157">
        <f>IF(M157="",'CO–PO Attainment Summary'!F157,ROUND(0.8*M157+0.2*N157,0))</f>
        <v/>
      </c>
    </row>
    <row r="158">
      <c r="A158">
        <f>'CO–PO Attainment Summary'!A158</f>
        <v/>
      </c>
      <c r="B158">
        <f>'CO–PO Attainment Summary'!B158</f>
        <v/>
      </c>
      <c r="C158">
        <f>'CO–PO Attainment Summary'!C158</f>
        <v/>
      </c>
      <c r="D158">
        <f>'CO–PO Attainment Summary'!D158</f>
        <v/>
      </c>
      <c r="E158">
        <f>'CO–PO Attainment Summary'!E158</f>
        <v/>
      </c>
      <c r="F158">
        <f>'CO–PO Attainment Summary'!F158</f>
        <v/>
      </c>
      <c r="G158">
        <f>'CO–PO Attainment Summary'!G158</f>
        <v/>
      </c>
      <c r="H158">
        <f>'CO–PO Attainment Summary'!H158</f>
        <v/>
      </c>
      <c r="I158" s="5">
        <f>IFERROR(AVERAGEIFS('Continuous Assessment Records'!L:L,'Continuous Assessment Records'!A:A,$A158,'Continuous Assessment Records'!F:F,$B158,'Continuous Assessment Records'!C:C,"Assignment"),"")</f>
        <v/>
      </c>
      <c r="J158" s="5">
        <f>IFERROR(AVERAGEIFS('Continuous Assessment Records'!L:L,'Continuous Assessment Records'!A:A,$A158,'Continuous Assessment Records'!F:F,$B158,'Continuous Assessment Records'!C:C,"Unit Test"),"")</f>
        <v/>
      </c>
      <c r="K158" s="5">
        <f>IFERROR(AVERAGEIFS('Continuous Assessment Records'!L:L,'Continuous Assessment Records'!A:A,$A158,'Continuous Assessment Records'!F:F,$B158,'Continuous Assessment Records'!C:C,"Mid-Term"),"")</f>
        <v/>
      </c>
      <c r="L158" s="5">
        <f>IF(OR(I158="",J158="",K158=""),"",I158*$I$205+J158*$J$205+K158*$K$205)</f>
        <v/>
      </c>
      <c r="M158">
        <f>IF(L158="","",IF(L158&gt;=0.7,3,IF(L158&gt;=0.6,2,IF(L158&gt;=0.5,1,0))))</f>
        <v/>
      </c>
      <c r="N158">
        <f>'CO–PO Attainment Summary'!E158</f>
        <v/>
      </c>
      <c r="O158">
        <f>IF(M158="",'CO–PO Attainment Summary'!F158,ROUND(0.8*M158+0.2*N158,0))</f>
        <v/>
      </c>
    </row>
    <row r="159">
      <c r="A159">
        <f>'CO–PO Attainment Summary'!A159</f>
        <v/>
      </c>
      <c r="B159">
        <f>'CO–PO Attainment Summary'!B159</f>
        <v/>
      </c>
      <c r="C159">
        <f>'CO–PO Attainment Summary'!C159</f>
        <v/>
      </c>
      <c r="D159">
        <f>'CO–PO Attainment Summary'!D159</f>
        <v/>
      </c>
      <c r="E159">
        <f>'CO–PO Attainment Summary'!E159</f>
        <v/>
      </c>
      <c r="F159">
        <f>'CO–PO Attainment Summary'!F159</f>
        <v/>
      </c>
      <c r="G159">
        <f>'CO–PO Attainment Summary'!G159</f>
        <v/>
      </c>
      <c r="H159">
        <f>'CO–PO Attainment Summary'!H159</f>
        <v/>
      </c>
      <c r="I159" s="5">
        <f>IFERROR(AVERAGEIFS('Continuous Assessment Records'!L:L,'Continuous Assessment Records'!A:A,$A159,'Continuous Assessment Records'!F:F,$B159,'Continuous Assessment Records'!C:C,"Assignment"),"")</f>
        <v/>
      </c>
      <c r="J159" s="5">
        <f>IFERROR(AVERAGEIFS('Continuous Assessment Records'!L:L,'Continuous Assessment Records'!A:A,$A159,'Continuous Assessment Records'!F:F,$B159,'Continuous Assessment Records'!C:C,"Unit Test"),"")</f>
        <v/>
      </c>
      <c r="K159" s="5">
        <f>IFERROR(AVERAGEIFS('Continuous Assessment Records'!L:L,'Continuous Assessment Records'!A:A,$A159,'Continuous Assessment Records'!F:F,$B159,'Continuous Assessment Records'!C:C,"Mid-Term"),"")</f>
        <v/>
      </c>
      <c r="L159" s="5">
        <f>IF(OR(I159="",J159="",K159=""),"",I159*$I$205+J159*$J$205+K159*$K$205)</f>
        <v/>
      </c>
      <c r="M159">
        <f>IF(L159="","",IF(L159&gt;=0.7,3,IF(L159&gt;=0.6,2,IF(L159&gt;=0.5,1,0))))</f>
        <v/>
      </c>
      <c r="N159">
        <f>'CO–PO Attainment Summary'!E159</f>
        <v/>
      </c>
      <c r="O159">
        <f>IF(M159="",'CO–PO Attainment Summary'!F159,ROUND(0.8*M159+0.2*N159,0))</f>
        <v/>
      </c>
    </row>
    <row r="160">
      <c r="A160">
        <f>'CO–PO Attainment Summary'!A160</f>
        <v/>
      </c>
      <c r="B160">
        <f>'CO–PO Attainment Summary'!B160</f>
        <v/>
      </c>
      <c r="C160">
        <f>'CO–PO Attainment Summary'!C160</f>
        <v/>
      </c>
      <c r="D160">
        <f>'CO–PO Attainment Summary'!D160</f>
        <v/>
      </c>
      <c r="E160">
        <f>'CO–PO Attainment Summary'!E160</f>
        <v/>
      </c>
      <c r="F160">
        <f>'CO–PO Attainment Summary'!F160</f>
        <v/>
      </c>
      <c r="G160">
        <f>'CO–PO Attainment Summary'!G160</f>
        <v/>
      </c>
      <c r="H160">
        <f>'CO–PO Attainment Summary'!H160</f>
        <v/>
      </c>
      <c r="I160" s="5">
        <f>IFERROR(AVERAGEIFS('Continuous Assessment Records'!L:L,'Continuous Assessment Records'!A:A,$A160,'Continuous Assessment Records'!F:F,$B160,'Continuous Assessment Records'!C:C,"Assignment"),"")</f>
        <v/>
      </c>
      <c r="J160" s="5">
        <f>IFERROR(AVERAGEIFS('Continuous Assessment Records'!L:L,'Continuous Assessment Records'!A:A,$A160,'Continuous Assessment Records'!F:F,$B160,'Continuous Assessment Records'!C:C,"Unit Test"),"")</f>
        <v/>
      </c>
      <c r="K160" s="5">
        <f>IFERROR(AVERAGEIFS('Continuous Assessment Records'!L:L,'Continuous Assessment Records'!A:A,$A160,'Continuous Assessment Records'!F:F,$B160,'Continuous Assessment Records'!C:C,"Mid-Term"),"")</f>
        <v/>
      </c>
      <c r="L160" s="5">
        <f>IF(OR(I160="",J160="",K160=""),"",I160*$I$205+J160*$J$205+K160*$K$205)</f>
        <v/>
      </c>
      <c r="M160">
        <f>IF(L160="","",IF(L160&gt;=0.7,3,IF(L160&gt;=0.6,2,IF(L160&gt;=0.5,1,0))))</f>
        <v/>
      </c>
      <c r="N160">
        <f>'CO–PO Attainment Summary'!E160</f>
        <v/>
      </c>
      <c r="O160">
        <f>IF(M160="",'CO–PO Attainment Summary'!F160,ROUND(0.8*M160+0.2*N160,0))</f>
        <v/>
      </c>
    </row>
    <row r="161">
      <c r="A161">
        <f>'CO–PO Attainment Summary'!A161</f>
        <v/>
      </c>
      <c r="B161">
        <f>'CO–PO Attainment Summary'!B161</f>
        <v/>
      </c>
      <c r="C161">
        <f>'CO–PO Attainment Summary'!C161</f>
        <v/>
      </c>
      <c r="D161">
        <f>'CO–PO Attainment Summary'!D161</f>
        <v/>
      </c>
      <c r="E161">
        <f>'CO–PO Attainment Summary'!E161</f>
        <v/>
      </c>
      <c r="F161">
        <f>'CO–PO Attainment Summary'!F161</f>
        <v/>
      </c>
      <c r="G161">
        <f>'CO–PO Attainment Summary'!G161</f>
        <v/>
      </c>
      <c r="H161">
        <f>'CO–PO Attainment Summary'!H161</f>
        <v/>
      </c>
      <c r="I161" s="5">
        <f>IFERROR(AVERAGEIFS('Continuous Assessment Records'!L:L,'Continuous Assessment Records'!A:A,$A161,'Continuous Assessment Records'!F:F,$B161,'Continuous Assessment Records'!C:C,"Assignment"),"")</f>
        <v/>
      </c>
      <c r="J161" s="5">
        <f>IFERROR(AVERAGEIFS('Continuous Assessment Records'!L:L,'Continuous Assessment Records'!A:A,$A161,'Continuous Assessment Records'!F:F,$B161,'Continuous Assessment Records'!C:C,"Unit Test"),"")</f>
        <v/>
      </c>
      <c r="K161" s="5">
        <f>IFERROR(AVERAGEIFS('Continuous Assessment Records'!L:L,'Continuous Assessment Records'!A:A,$A161,'Continuous Assessment Records'!F:F,$B161,'Continuous Assessment Records'!C:C,"Mid-Term"),"")</f>
        <v/>
      </c>
      <c r="L161" s="5">
        <f>IF(OR(I161="",J161="",K161=""),"",I161*$I$205+J161*$J$205+K161*$K$205)</f>
        <v/>
      </c>
      <c r="M161">
        <f>IF(L161="","",IF(L161&gt;=0.7,3,IF(L161&gt;=0.6,2,IF(L161&gt;=0.5,1,0))))</f>
        <v/>
      </c>
      <c r="N161">
        <f>'CO–PO Attainment Summary'!E161</f>
        <v/>
      </c>
      <c r="O161">
        <f>IF(M161="",'CO–PO Attainment Summary'!F161,ROUND(0.8*M161+0.2*N161,0))</f>
        <v/>
      </c>
    </row>
    <row r="162">
      <c r="A162">
        <f>'CO–PO Attainment Summary'!A162</f>
        <v/>
      </c>
      <c r="B162">
        <f>'CO–PO Attainment Summary'!B162</f>
        <v/>
      </c>
      <c r="C162">
        <f>'CO–PO Attainment Summary'!C162</f>
        <v/>
      </c>
      <c r="D162">
        <f>'CO–PO Attainment Summary'!D162</f>
        <v/>
      </c>
      <c r="E162">
        <f>'CO–PO Attainment Summary'!E162</f>
        <v/>
      </c>
      <c r="F162">
        <f>'CO–PO Attainment Summary'!F162</f>
        <v/>
      </c>
      <c r="G162">
        <f>'CO–PO Attainment Summary'!G162</f>
        <v/>
      </c>
      <c r="H162">
        <f>'CO–PO Attainment Summary'!H162</f>
        <v/>
      </c>
      <c r="I162" s="5">
        <f>IFERROR(AVERAGEIFS('Continuous Assessment Records'!L:L,'Continuous Assessment Records'!A:A,$A162,'Continuous Assessment Records'!F:F,$B162,'Continuous Assessment Records'!C:C,"Assignment"),"")</f>
        <v/>
      </c>
      <c r="J162" s="5">
        <f>IFERROR(AVERAGEIFS('Continuous Assessment Records'!L:L,'Continuous Assessment Records'!A:A,$A162,'Continuous Assessment Records'!F:F,$B162,'Continuous Assessment Records'!C:C,"Unit Test"),"")</f>
        <v/>
      </c>
      <c r="K162" s="5">
        <f>IFERROR(AVERAGEIFS('Continuous Assessment Records'!L:L,'Continuous Assessment Records'!A:A,$A162,'Continuous Assessment Records'!F:F,$B162,'Continuous Assessment Records'!C:C,"Mid-Term"),"")</f>
        <v/>
      </c>
      <c r="L162" s="5">
        <f>IF(OR(I162="",J162="",K162=""),"",I162*$I$205+J162*$J$205+K162*$K$205)</f>
        <v/>
      </c>
      <c r="M162">
        <f>IF(L162="","",IF(L162&gt;=0.7,3,IF(L162&gt;=0.6,2,IF(L162&gt;=0.5,1,0))))</f>
        <v/>
      </c>
      <c r="N162">
        <f>'CO–PO Attainment Summary'!E162</f>
        <v/>
      </c>
      <c r="O162">
        <f>IF(M162="",'CO–PO Attainment Summary'!F162,ROUND(0.8*M162+0.2*N162,0))</f>
        <v/>
      </c>
    </row>
    <row r="163">
      <c r="A163">
        <f>'CO–PO Attainment Summary'!A163</f>
        <v/>
      </c>
      <c r="B163">
        <f>'CO–PO Attainment Summary'!B163</f>
        <v/>
      </c>
      <c r="C163">
        <f>'CO–PO Attainment Summary'!C163</f>
        <v/>
      </c>
      <c r="D163">
        <f>'CO–PO Attainment Summary'!D163</f>
        <v/>
      </c>
      <c r="E163">
        <f>'CO–PO Attainment Summary'!E163</f>
        <v/>
      </c>
      <c r="F163">
        <f>'CO–PO Attainment Summary'!F163</f>
        <v/>
      </c>
      <c r="G163">
        <f>'CO–PO Attainment Summary'!G163</f>
        <v/>
      </c>
      <c r="H163">
        <f>'CO–PO Attainment Summary'!H163</f>
        <v/>
      </c>
      <c r="I163" s="5">
        <f>IFERROR(AVERAGEIFS('Continuous Assessment Records'!L:L,'Continuous Assessment Records'!A:A,$A163,'Continuous Assessment Records'!F:F,$B163,'Continuous Assessment Records'!C:C,"Assignment"),"")</f>
        <v/>
      </c>
      <c r="J163" s="5">
        <f>IFERROR(AVERAGEIFS('Continuous Assessment Records'!L:L,'Continuous Assessment Records'!A:A,$A163,'Continuous Assessment Records'!F:F,$B163,'Continuous Assessment Records'!C:C,"Unit Test"),"")</f>
        <v/>
      </c>
      <c r="K163" s="5">
        <f>IFERROR(AVERAGEIFS('Continuous Assessment Records'!L:L,'Continuous Assessment Records'!A:A,$A163,'Continuous Assessment Records'!F:F,$B163,'Continuous Assessment Records'!C:C,"Mid-Term"),"")</f>
        <v/>
      </c>
      <c r="L163" s="5">
        <f>IF(OR(I163="",J163="",K163=""),"",I163*$I$205+J163*$J$205+K163*$K$205)</f>
        <v/>
      </c>
      <c r="M163">
        <f>IF(L163="","",IF(L163&gt;=0.7,3,IF(L163&gt;=0.6,2,IF(L163&gt;=0.5,1,0))))</f>
        <v/>
      </c>
      <c r="N163">
        <f>'CO–PO Attainment Summary'!E163</f>
        <v/>
      </c>
      <c r="O163">
        <f>IF(M163="",'CO–PO Attainment Summary'!F163,ROUND(0.8*M163+0.2*N163,0))</f>
        <v/>
      </c>
    </row>
    <row r="164">
      <c r="A164">
        <f>'CO–PO Attainment Summary'!A164</f>
        <v/>
      </c>
      <c r="B164">
        <f>'CO–PO Attainment Summary'!B164</f>
        <v/>
      </c>
      <c r="C164">
        <f>'CO–PO Attainment Summary'!C164</f>
        <v/>
      </c>
      <c r="D164">
        <f>'CO–PO Attainment Summary'!D164</f>
        <v/>
      </c>
      <c r="E164">
        <f>'CO–PO Attainment Summary'!E164</f>
        <v/>
      </c>
      <c r="F164">
        <f>'CO–PO Attainment Summary'!F164</f>
        <v/>
      </c>
      <c r="G164">
        <f>'CO–PO Attainment Summary'!G164</f>
        <v/>
      </c>
      <c r="H164">
        <f>'CO–PO Attainment Summary'!H164</f>
        <v/>
      </c>
      <c r="I164" s="5">
        <f>IFERROR(AVERAGEIFS('Continuous Assessment Records'!L:L,'Continuous Assessment Records'!A:A,$A164,'Continuous Assessment Records'!F:F,$B164,'Continuous Assessment Records'!C:C,"Assignment"),"")</f>
        <v/>
      </c>
      <c r="J164" s="5">
        <f>IFERROR(AVERAGEIFS('Continuous Assessment Records'!L:L,'Continuous Assessment Records'!A:A,$A164,'Continuous Assessment Records'!F:F,$B164,'Continuous Assessment Records'!C:C,"Unit Test"),"")</f>
        <v/>
      </c>
      <c r="K164" s="5">
        <f>IFERROR(AVERAGEIFS('Continuous Assessment Records'!L:L,'Continuous Assessment Records'!A:A,$A164,'Continuous Assessment Records'!F:F,$B164,'Continuous Assessment Records'!C:C,"Mid-Term"),"")</f>
        <v/>
      </c>
      <c r="L164" s="5">
        <f>IF(OR(I164="",J164="",K164=""),"",I164*$I$205+J164*$J$205+K164*$K$205)</f>
        <v/>
      </c>
      <c r="M164">
        <f>IF(L164="","",IF(L164&gt;=0.7,3,IF(L164&gt;=0.6,2,IF(L164&gt;=0.5,1,0))))</f>
        <v/>
      </c>
      <c r="N164">
        <f>'CO–PO Attainment Summary'!E164</f>
        <v/>
      </c>
      <c r="O164">
        <f>IF(M164="",'CO–PO Attainment Summary'!F164,ROUND(0.8*M164+0.2*N164,0))</f>
        <v/>
      </c>
    </row>
    <row r="165">
      <c r="A165">
        <f>'CO–PO Attainment Summary'!A165</f>
        <v/>
      </c>
      <c r="B165">
        <f>'CO–PO Attainment Summary'!B165</f>
        <v/>
      </c>
      <c r="C165">
        <f>'CO–PO Attainment Summary'!C165</f>
        <v/>
      </c>
      <c r="D165">
        <f>'CO–PO Attainment Summary'!D165</f>
        <v/>
      </c>
      <c r="E165">
        <f>'CO–PO Attainment Summary'!E165</f>
        <v/>
      </c>
      <c r="F165">
        <f>'CO–PO Attainment Summary'!F165</f>
        <v/>
      </c>
      <c r="G165">
        <f>'CO–PO Attainment Summary'!G165</f>
        <v/>
      </c>
      <c r="H165">
        <f>'CO–PO Attainment Summary'!H165</f>
        <v/>
      </c>
      <c r="I165" s="5">
        <f>IFERROR(AVERAGEIFS('Continuous Assessment Records'!L:L,'Continuous Assessment Records'!A:A,$A165,'Continuous Assessment Records'!F:F,$B165,'Continuous Assessment Records'!C:C,"Assignment"),"")</f>
        <v/>
      </c>
      <c r="J165" s="5">
        <f>IFERROR(AVERAGEIFS('Continuous Assessment Records'!L:L,'Continuous Assessment Records'!A:A,$A165,'Continuous Assessment Records'!F:F,$B165,'Continuous Assessment Records'!C:C,"Unit Test"),"")</f>
        <v/>
      </c>
      <c r="K165" s="5">
        <f>IFERROR(AVERAGEIFS('Continuous Assessment Records'!L:L,'Continuous Assessment Records'!A:A,$A165,'Continuous Assessment Records'!F:F,$B165,'Continuous Assessment Records'!C:C,"Mid-Term"),"")</f>
        <v/>
      </c>
      <c r="L165" s="5">
        <f>IF(OR(I165="",J165="",K165=""),"",I165*$I$205+J165*$J$205+K165*$K$205)</f>
        <v/>
      </c>
      <c r="M165">
        <f>IF(L165="","",IF(L165&gt;=0.7,3,IF(L165&gt;=0.6,2,IF(L165&gt;=0.5,1,0))))</f>
        <v/>
      </c>
      <c r="N165">
        <f>'CO–PO Attainment Summary'!E165</f>
        <v/>
      </c>
      <c r="O165">
        <f>IF(M165="",'CO–PO Attainment Summary'!F165,ROUND(0.8*M165+0.2*N165,0))</f>
        <v/>
      </c>
    </row>
    <row r="166">
      <c r="A166">
        <f>'CO–PO Attainment Summary'!A166</f>
        <v/>
      </c>
      <c r="B166">
        <f>'CO–PO Attainment Summary'!B166</f>
        <v/>
      </c>
      <c r="C166">
        <f>'CO–PO Attainment Summary'!C166</f>
        <v/>
      </c>
      <c r="D166">
        <f>'CO–PO Attainment Summary'!D166</f>
        <v/>
      </c>
      <c r="E166">
        <f>'CO–PO Attainment Summary'!E166</f>
        <v/>
      </c>
      <c r="F166">
        <f>'CO–PO Attainment Summary'!F166</f>
        <v/>
      </c>
      <c r="G166">
        <f>'CO–PO Attainment Summary'!G166</f>
        <v/>
      </c>
      <c r="H166">
        <f>'CO–PO Attainment Summary'!H166</f>
        <v/>
      </c>
      <c r="I166" s="5">
        <f>IFERROR(AVERAGEIFS('Continuous Assessment Records'!L:L,'Continuous Assessment Records'!A:A,$A166,'Continuous Assessment Records'!F:F,$B166,'Continuous Assessment Records'!C:C,"Assignment"),"")</f>
        <v/>
      </c>
      <c r="J166" s="5">
        <f>IFERROR(AVERAGEIFS('Continuous Assessment Records'!L:L,'Continuous Assessment Records'!A:A,$A166,'Continuous Assessment Records'!F:F,$B166,'Continuous Assessment Records'!C:C,"Unit Test"),"")</f>
        <v/>
      </c>
      <c r="K166" s="5">
        <f>IFERROR(AVERAGEIFS('Continuous Assessment Records'!L:L,'Continuous Assessment Records'!A:A,$A166,'Continuous Assessment Records'!F:F,$B166,'Continuous Assessment Records'!C:C,"Mid-Term"),"")</f>
        <v/>
      </c>
      <c r="L166" s="5">
        <f>IF(OR(I166="",J166="",K166=""),"",I166*$I$205+J166*$J$205+K166*$K$205)</f>
        <v/>
      </c>
      <c r="M166">
        <f>IF(L166="","",IF(L166&gt;=0.7,3,IF(L166&gt;=0.6,2,IF(L166&gt;=0.5,1,0))))</f>
        <v/>
      </c>
      <c r="N166">
        <f>'CO–PO Attainment Summary'!E166</f>
        <v/>
      </c>
      <c r="O166">
        <f>IF(M166="",'CO–PO Attainment Summary'!F166,ROUND(0.8*M166+0.2*N166,0))</f>
        <v/>
      </c>
    </row>
    <row r="167">
      <c r="A167">
        <f>'CO–PO Attainment Summary'!A167</f>
        <v/>
      </c>
      <c r="B167">
        <f>'CO–PO Attainment Summary'!B167</f>
        <v/>
      </c>
      <c r="C167">
        <f>'CO–PO Attainment Summary'!C167</f>
        <v/>
      </c>
      <c r="D167">
        <f>'CO–PO Attainment Summary'!D167</f>
        <v/>
      </c>
      <c r="E167">
        <f>'CO–PO Attainment Summary'!E167</f>
        <v/>
      </c>
      <c r="F167">
        <f>'CO–PO Attainment Summary'!F167</f>
        <v/>
      </c>
      <c r="G167">
        <f>'CO–PO Attainment Summary'!G167</f>
        <v/>
      </c>
      <c r="H167">
        <f>'CO–PO Attainment Summary'!H167</f>
        <v/>
      </c>
      <c r="I167" s="5">
        <f>IFERROR(AVERAGEIFS('Continuous Assessment Records'!L:L,'Continuous Assessment Records'!A:A,$A167,'Continuous Assessment Records'!F:F,$B167,'Continuous Assessment Records'!C:C,"Assignment"),"")</f>
        <v/>
      </c>
      <c r="J167" s="5">
        <f>IFERROR(AVERAGEIFS('Continuous Assessment Records'!L:L,'Continuous Assessment Records'!A:A,$A167,'Continuous Assessment Records'!F:F,$B167,'Continuous Assessment Records'!C:C,"Unit Test"),"")</f>
        <v/>
      </c>
      <c r="K167" s="5">
        <f>IFERROR(AVERAGEIFS('Continuous Assessment Records'!L:L,'Continuous Assessment Records'!A:A,$A167,'Continuous Assessment Records'!F:F,$B167,'Continuous Assessment Records'!C:C,"Mid-Term"),"")</f>
        <v/>
      </c>
      <c r="L167" s="5">
        <f>IF(OR(I167="",J167="",K167=""),"",I167*$I$205+J167*$J$205+K167*$K$205)</f>
        <v/>
      </c>
      <c r="M167">
        <f>IF(L167="","",IF(L167&gt;=0.7,3,IF(L167&gt;=0.6,2,IF(L167&gt;=0.5,1,0))))</f>
        <v/>
      </c>
      <c r="N167">
        <f>'CO–PO Attainment Summary'!E167</f>
        <v/>
      </c>
      <c r="O167">
        <f>IF(M167="",'CO–PO Attainment Summary'!F167,ROUND(0.8*M167+0.2*N167,0))</f>
        <v/>
      </c>
    </row>
    <row r="168">
      <c r="A168">
        <f>'CO–PO Attainment Summary'!A168</f>
        <v/>
      </c>
      <c r="B168">
        <f>'CO–PO Attainment Summary'!B168</f>
        <v/>
      </c>
      <c r="C168">
        <f>'CO–PO Attainment Summary'!C168</f>
        <v/>
      </c>
      <c r="D168">
        <f>'CO–PO Attainment Summary'!D168</f>
        <v/>
      </c>
      <c r="E168">
        <f>'CO–PO Attainment Summary'!E168</f>
        <v/>
      </c>
      <c r="F168">
        <f>'CO–PO Attainment Summary'!F168</f>
        <v/>
      </c>
      <c r="G168">
        <f>'CO–PO Attainment Summary'!G168</f>
        <v/>
      </c>
      <c r="H168">
        <f>'CO–PO Attainment Summary'!H168</f>
        <v/>
      </c>
      <c r="I168" s="5">
        <f>IFERROR(AVERAGEIFS('Continuous Assessment Records'!L:L,'Continuous Assessment Records'!A:A,$A168,'Continuous Assessment Records'!F:F,$B168,'Continuous Assessment Records'!C:C,"Assignment"),"")</f>
        <v/>
      </c>
      <c r="J168" s="5">
        <f>IFERROR(AVERAGEIFS('Continuous Assessment Records'!L:L,'Continuous Assessment Records'!A:A,$A168,'Continuous Assessment Records'!F:F,$B168,'Continuous Assessment Records'!C:C,"Unit Test"),"")</f>
        <v/>
      </c>
      <c r="K168" s="5">
        <f>IFERROR(AVERAGEIFS('Continuous Assessment Records'!L:L,'Continuous Assessment Records'!A:A,$A168,'Continuous Assessment Records'!F:F,$B168,'Continuous Assessment Records'!C:C,"Mid-Term"),"")</f>
        <v/>
      </c>
      <c r="L168" s="5">
        <f>IF(OR(I168="",J168="",K168=""),"",I168*$I$205+J168*$J$205+K168*$K$205)</f>
        <v/>
      </c>
      <c r="M168">
        <f>IF(L168="","",IF(L168&gt;=0.7,3,IF(L168&gt;=0.6,2,IF(L168&gt;=0.5,1,0))))</f>
        <v/>
      </c>
      <c r="N168">
        <f>'CO–PO Attainment Summary'!E168</f>
        <v/>
      </c>
      <c r="O168">
        <f>IF(M168="",'CO–PO Attainment Summary'!F168,ROUND(0.8*M168+0.2*N168,0))</f>
        <v/>
      </c>
    </row>
    <row r="169">
      <c r="A169">
        <f>'CO–PO Attainment Summary'!A169</f>
        <v/>
      </c>
      <c r="B169">
        <f>'CO–PO Attainment Summary'!B169</f>
        <v/>
      </c>
      <c r="C169">
        <f>'CO–PO Attainment Summary'!C169</f>
        <v/>
      </c>
      <c r="D169">
        <f>'CO–PO Attainment Summary'!D169</f>
        <v/>
      </c>
      <c r="E169">
        <f>'CO–PO Attainment Summary'!E169</f>
        <v/>
      </c>
      <c r="F169">
        <f>'CO–PO Attainment Summary'!F169</f>
        <v/>
      </c>
      <c r="G169">
        <f>'CO–PO Attainment Summary'!G169</f>
        <v/>
      </c>
      <c r="H169">
        <f>'CO–PO Attainment Summary'!H169</f>
        <v/>
      </c>
      <c r="I169" s="5">
        <f>IFERROR(AVERAGEIFS('Continuous Assessment Records'!L:L,'Continuous Assessment Records'!A:A,$A169,'Continuous Assessment Records'!F:F,$B169,'Continuous Assessment Records'!C:C,"Assignment"),"")</f>
        <v/>
      </c>
      <c r="J169" s="5">
        <f>IFERROR(AVERAGEIFS('Continuous Assessment Records'!L:L,'Continuous Assessment Records'!A:A,$A169,'Continuous Assessment Records'!F:F,$B169,'Continuous Assessment Records'!C:C,"Unit Test"),"")</f>
        <v/>
      </c>
      <c r="K169" s="5">
        <f>IFERROR(AVERAGEIFS('Continuous Assessment Records'!L:L,'Continuous Assessment Records'!A:A,$A169,'Continuous Assessment Records'!F:F,$B169,'Continuous Assessment Records'!C:C,"Mid-Term"),"")</f>
        <v/>
      </c>
      <c r="L169" s="5">
        <f>IF(OR(I169="",J169="",K169=""),"",I169*$I$205+J169*$J$205+K169*$K$205)</f>
        <v/>
      </c>
      <c r="M169">
        <f>IF(L169="","",IF(L169&gt;=0.7,3,IF(L169&gt;=0.6,2,IF(L169&gt;=0.5,1,0))))</f>
        <v/>
      </c>
      <c r="N169">
        <f>'CO–PO Attainment Summary'!E169</f>
        <v/>
      </c>
      <c r="O169">
        <f>IF(M169="",'CO–PO Attainment Summary'!F169,ROUND(0.8*M169+0.2*N169,0))</f>
        <v/>
      </c>
    </row>
    <row r="170">
      <c r="A170">
        <f>'CO–PO Attainment Summary'!A170</f>
        <v/>
      </c>
      <c r="B170">
        <f>'CO–PO Attainment Summary'!B170</f>
        <v/>
      </c>
      <c r="C170">
        <f>'CO–PO Attainment Summary'!C170</f>
        <v/>
      </c>
      <c r="D170">
        <f>'CO–PO Attainment Summary'!D170</f>
        <v/>
      </c>
      <c r="E170">
        <f>'CO–PO Attainment Summary'!E170</f>
        <v/>
      </c>
      <c r="F170">
        <f>'CO–PO Attainment Summary'!F170</f>
        <v/>
      </c>
      <c r="G170">
        <f>'CO–PO Attainment Summary'!G170</f>
        <v/>
      </c>
      <c r="H170">
        <f>'CO–PO Attainment Summary'!H170</f>
        <v/>
      </c>
      <c r="I170" s="5">
        <f>IFERROR(AVERAGEIFS('Continuous Assessment Records'!L:L,'Continuous Assessment Records'!A:A,$A170,'Continuous Assessment Records'!F:F,$B170,'Continuous Assessment Records'!C:C,"Assignment"),"")</f>
        <v/>
      </c>
      <c r="J170" s="5">
        <f>IFERROR(AVERAGEIFS('Continuous Assessment Records'!L:L,'Continuous Assessment Records'!A:A,$A170,'Continuous Assessment Records'!F:F,$B170,'Continuous Assessment Records'!C:C,"Unit Test"),"")</f>
        <v/>
      </c>
      <c r="K170" s="5">
        <f>IFERROR(AVERAGEIFS('Continuous Assessment Records'!L:L,'Continuous Assessment Records'!A:A,$A170,'Continuous Assessment Records'!F:F,$B170,'Continuous Assessment Records'!C:C,"Mid-Term"),"")</f>
        <v/>
      </c>
      <c r="L170" s="5">
        <f>IF(OR(I170="",J170="",K170=""),"",I170*$I$205+J170*$J$205+K170*$K$205)</f>
        <v/>
      </c>
      <c r="M170">
        <f>IF(L170="","",IF(L170&gt;=0.7,3,IF(L170&gt;=0.6,2,IF(L170&gt;=0.5,1,0))))</f>
        <v/>
      </c>
      <c r="N170">
        <f>'CO–PO Attainment Summary'!E170</f>
        <v/>
      </c>
      <c r="O170">
        <f>IF(M170="",'CO–PO Attainment Summary'!F170,ROUND(0.8*M170+0.2*N170,0))</f>
        <v/>
      </c>
    </row>
    <row r="171">
      <c r="A171">
        <f>'CO–PO Attainment Summary'!A171</f>
        <v/>
      </c>
      <c r="B171">
        <f>'CO–PO Attainment Summary'!B171</f>
        <v/>
      </c>
      <c r="C171">
        <f>'CO–PO Attainment Summary'!C171</f>
        <v/>
      </c>
      <c r="D171">
        <f>'CO–PO Attainment Summary'!D171</f>
        <v/>
      </c>
      <c r="E171">
        <f>'CO–PO Attainment Summary'!E171</f>
        <v/>
      </c>
      <c r="F171">
        <f>'CO–PO Attainment Summary'!F171</f>
        <v/>
      </c>
      <c r="G171">
        <f>'CO–PO Attainment Summary'!G171</f>
        <v/>
      </c>
      <c r="H171">
        <f>'CO–PO Attainment Summary'!H171</f>
        <v/>
      </c>
      <c r="I171" s="5">
        <f>IFERROR(AVERAGEIFS('Continuous Assessment Records'!L:L,'Continuous Assessment Records'!A:A,$A171,'Continuous Assessment Records'!F:F,$B171,'Continuous Assessment Records'!C:C,"Assignment"),"")</f>
        <v/>
      </c>
      <c r="J171" s="5">
        <f>IFERROR(AVERAGEIFS('Continuous Assessment Records'!L:L,'Continuous Assessment Records'!A:A,$A171,'Continuous Assessment Records'!F:F,$B171,'Continuous Assessment Records'!C:C,"Unit Test"),"")</f>
        <v/>
      </c>
      <c r="K171" s="5">
        <f>IFERROR(AVERAGEIFS('Continuous Assessment Records'!L:L,'Continuous Assessment Records'!A:A,$A171,'Continuous Assessment Records'!F:F,$B171,'Continuous Assessment Records'!C:C,"Mid-Term"),"")</f>
        <v/>
      </c>
      <c r="L171" s="5">
        <f>IF(OR(I171="",J171="",K171=""),"",I171*$I$205+J171*$J$205+K171*$K$205)</f>
        <v/>
      </c>
      <c r="M171">
        <f>IF(L171="","",IF(L171&gt;=0.7,3,IF(L171&gt;=0.6,2,IF(L171&gt;=0.5,1,0))))</f>
        <v/>
      </c>
      <c r="N171">
        <f>'CO–PO Attainment Summary'!E171</f>
        <v/>
      </c>
      <c r="O171">
        <f>IF(M171="",'CO–PO Attainment Summary'!F171,ROUND(0.8*M171+0.2*N171,0))</f>
        <v/>
      </c>
    </row>
    <row r="172">
      <c r="A172">
        <f>'CO–PO Attainment Summary'!A172</f>
        <v/>
      </c>
      <c r="B172">
        <f>'CO–PO Attainment Summary'!B172</f>
        <v/>
      </c>
      <c r="C172">
        <f>'CO–PO Attainment Summary'!C172</f>
        <v/>
      </c>
      <c r="D172">
        <f>'CO–PO Attainment Summary'!D172</f>
        <v/>
      </c>
      <c r="E172">
        <f>'CO–PO Attainment Summary'!E172</f>
        <v/>
      </c>
      <c r="F172">
        <f>'CO–PO Attainment Summary'!F172</f>
        <v/>
      </c>
      <c r="G172">
        <f>'CO–PO Attainment Summary'!G172</f>
        <v/>
      </c>
      <c r="H172">
        <f>'CO–PO Attainment Summary'!H172</f>
        <v/>
      </c>
      <c r="I172" s="5">
        <f>IFERROR(AVERAGEIFS('Continuous Assessment Records'!L:L,'Continuous Assessment Records'!A:A,$A172,'Continuous Assessment Records'!F:F,$B172,'Continuous Assessment Records'!C:C,"Assignment"),"")</f>
        <v/>
      </c>
      <c r="J172" s="5">
        <f>IFERROR(AVERAGEIFS('Continuous Assessment Records'!L:L,'Continuous Assessment Records'!A:A,$A172,'Continuous Assessment Records'!F:F,$B172,'Continuous Assessment Records'!C:C,"Unit Test"),"")</f>
        <v/>
      </c>
      <c r="K172" s="5">
        <f>IFERROR(AVERAGEIFS('Continuous Assessment Records'!L:L,'Continuous Assessment Records'!A:A,$A172,'Continuous Assessment Records'!F:F,$B172,'Continuous Assessment Records'!C:C,"Mid-Term"),"")</f>
        <v/>
      </c>
      <c r="L172" s="5">
        <f>IF(OR(I172="",J172="",K172=""),"",I172*$I$205+J172*$J$205+K172*$K$205)</f>
        <v/>
      </c>
      <c r="M172">
        <f>IF(L172="","",IF(L172&gt;=0.7,3,IF(L172&gt;=0.6,2,IF(L172&gt;=0.5,1,0))))</f>
        <v/>
      </c>
      <c r="N172">
        <f>'CO–PO Attainment Summary'!E172</f>
        <v/>
      </c>
      <c r="O172">
        <f>IF(M172="",'CO–PO Attainment Summary'!F172,ROUND(0.8*M172+0.2*N172,0))</f>
        <v/>
      </c>
    </row>
    <row r="173">
      <c r="A173">
        <f>'CO–PO Attainment Summary'!A173</f>
        <v/>
      </c>
      <c r="B173">
        <f>'CO–PO Attainment Summary'!B173</f>
        <v/>
      </c>
      <c r="C173">
        <f>'CO–PO Attainment Summary'!C173</f>
        <v/>
      </c>
      <c r="D173">
        <f>'CO–PO Attainment Summary'!D173</f>
        <v/>
      </c>
      <c r="E173">
        <f>'CO–PO Attainment Summary'!E173</f>
        <v/>
      </c>
      <c r="F173">
        <f>'CO–PO Attainment Summary'!F173</f>
        <v/>
      </c>
      <c r="G173">
        <f>'CO–PO Attainment Summary'!G173</f>
        <v/>
      </c>
      <c r="H173">
        <f>'CO–PO Attainment Summary'!H173</f>
        <v/>
      </c>
      <c r="I173" s="5">
        <f>IFERROR(AVERAGEIFS('Continuous Assessment Records'!L:L,'Continuous Assessment Records'!A:A,$A173,'Continuous Assessment Records'!F:F,$B173,'Continuous Assessment Records'!C:C,"Assignment"),"")</f>
        <v/>
      </c>
      <c r="J173" s="5">
        <f>IFERROR(AVERAGEIFS('Continuous Assessment Records'!L:L,'Continuous Assessment Records'!A:A,$A173,'Continuous Assessment Records'!F:F,$B173,'Continuous Assessment Records'!C:C,"Unit Test"),"")</f>
        <v/>
      </c>
      <c r="K173" s="5">
        <f>IFERROR(AVERAGEIFS('Continuous Assessment Records'!L:L,'Continuous Assessment Records'!A:A,$A173,'Continuous Assessment Records'!F:F,$B173,'Continuous Assessment Records'!C:C,"Mid-Term"),"")</f>
        <v/>
      </c>
      <c r="L173" s="5">
        <f>IF(OR(I173="",J173="",K173=""),"",I173*$I$205+J173*$J$205+K173*$K$205)</f>
        <v/>
      </c>
      <c r="M173">
        <f>IF(L173="","",IF(L173&gt;=0.7,3,IF(L173&gt;=0.6,2,IF(L173&gt;=0.5,1,0))))</f>
        <v/>
      </c>
      <c r="N173">
        <f>'CO–PO Attainment Summary'!E173</f>
        <v/>
      </c>
      <c r="O173">
        <f>IF(M173="",'CO–PO Attainment Summary'!F173,ROUND(0.8*M173+0.2*N173,0))</f>
        <v/>
      </c>
    </row>
    <row r="174">
      <c r="A174">
        <f>'CO–PO Attainment Summary'!A174</f>
        <v/>
      </c>
      <c r="B174">
        <f>'CO–PO Attainment Summary'!B174</f>
        <v/>
      </c>
      <c r="C174">
        <f>'CO–PO Attainment Summary'!C174</f>
        <v/>
      </c>
      <c r="D174">
        <f>'CO–PO Attainment Summary'!D174</f>
        <v/>
      </c>
      <c r="E174">
        <f>'CO–PO Attainment Summary'!E174</f>
        <v/>
      </c>
      <c r="F174">
        <f>'CO–PO Attainment Summary'!F174</f>
        <v/>
      </c>
      <c r="G174">
        <f>'CO–PO Attainment Summary'!G174</f>
        <v/>
      </c>
      <c r="H174">
        <f>'CO–PO Attainment Summary'!H174</f>
        <v/>
      </c>
      <c r="I174" s="5">
        <f>IFERROR(AVERAGEIFS('Continuous Assessment Records'!L:L,'Continuous Assessment Records'!A:A,$A174,'Continuous Assessment Records'!F:F,$B174,'Continuous Assessment Records'!C:C,"Assignment"),"")</f>
        <v/>
      </c>
      <c r="J174" s="5">
        <f>IFERROR(AVERAGEIFS('Continuous Assessment Records'!L:L,'Continuous Assessment Records'!A:A,$A174,'Continuous Assessment Records'!F:F,$B174,'Continuous Assessment Records'!C:C,"Unit Test"),"")</f>
        <v/>
      </c>
      <c r="K174" s="5">
        <f>IFERROR(AVERAGEIFS('Continuous Assessment Records'!L:L,'Continuous Assessment Records'!A:A,$A174,'Continuous Assessment Records'!F:F,$B174,'Continuous Assessment Records'!C:C,"Mid-Term"),"")</f>
        <v/>
      </c>
      <c r="L174" s="5">
        <f>IF(OR(I174="",J174="",K174=""),"",I174*$I$205+J174*$J$205+K174*$K$205)</f>
        <v/>
      </c>
      <c r="M174">
        <f>IF(L174="","",IF(L174&gt;=0.7,3,IF(L174&gt;=0.6,2,IF(L174&gt;=0.5,1,0))))</f>
        <v/>
      </c>
      <c r="N174">
        <f>'CO–PO Attainment Summary'!E174</f>
        <v/>
      </c>
      <c r="O174">
        <f>IF(M174="",'CO–PO Attainment Summary'!F174,ROUND(0.8*M174+0.2*N174,0))</f>
        <v/>
      </c>
    </row>
    <row r="175">
      <c r="A175">
        <f>'CO–PO Attainment Summary'!A175</f>
        <v/>
      </c>
      <c r="B175">
        <f>'CO–PO Attainment Summary'!B175</f>
        <v/>
      </c>
      <c r="C175">
        <f>'CO–PO Attainment Summary'!C175</f>
        <v/>
      </c>
      <c r="D175">
        <f>'CO–PO Attainment Summary'!D175</f>
        <v/>
      </c>
      <c r="E175">
        <f>'CO–PO Attainment Summary'!E175</f>
        <v/>
      </c>
      <c r="F175">
        <f>'CO–PO Attainment Summary'!F175</f>
        <v/>
      </c>
      <c r="G175">
        <f>'CO–PO Attainment Summary'!G175</f>
        <v/>
      </c>
      <c r="H175">
        <f>'CO–PO Attainment Summary'!H175</f>
        <v/>
      </c>
      <c r="I175" s="5">
        <f>IFERROR(AVERAGEIFS('Continuous Assessment Records'!L:L,'Continuous Assessment Records'!A:A,$A175,'Continuous Assessment Records'!F:F,$B175,'Continuous Assessment Records'!C:C,"Assignment"),"")</f>
        <v/>
      </c>
      <c r="J175" s="5">
        <f>IFERROR(AVERAGEIFS('Continuous Assessment Records'!L:L,'Continuous Assessment Records'!A:A,$A175,'Continuous Assessment Records'!F:F,$B175,'Continuous Assessment Records'!C:C,"Unit Test"),"")</f>
        <v/>
      </c>
      <c r="K175" s="5">
        <f>IFERROR(AVERAGEIFS('Continuous Assessment Records'!L:L,'Continuous Assessment Records'!A:A,$A175,'Continuous Assessment Records'!F:F,$B175,'Continuous Assessment Records'!C:C,"Mid-Term"),"")</f>
        <v/>
      </c>
      <c r="L175" s="5">
        <f>IF(OR(I175="",J175="",K175=""),"",I175*$I$205+J175*$J$205+K175*$K$205)</f>
        <v/>
      </c>
      <c r="M175">
        <f>IF(L175="","",IF(L175&gt;=0.7,3,IF(L175&gt;=0.6,2,IF(L175&gt;=0.5,1,0))))</f>
        <v/>
      </c>
      <c r="N175">
        <f>'CO–PO Attainment Summary'!E175</f>
        <v/>
      </c>
      <c r="O175">
        <f>IF(M175="",'CO–PO Attainment Summary'!F175,ROUND(0.8*M175+0.2*N175,0))</f>
        <v/>
      </c>
    </row>
    <row r="176">
      <c r="A176">
        <f>'CO–PO Attainment Summary'!A176</f>
        <v/>
      </c>
      <c r="B176">
        <f>'CO–PO Attainment Summary'!B176</f>
        <v/>
      </c>
      <c r="C176">
        <f>'CO–PO Attainment Summary'!C176</f>
        <v/>
      </c>
      <c r="D176">
        <f>'CO–PO Attainment Summary'!D176</f>
        <v/>
      </c>
      <c r="E176">
        <f>'CO–PO Attainment Summary'!E176</f>
        <v/>
      </c>
      <c r="F176">
        <f>'CO–PO Attainment Summary'!F176</f>
        <v/>
      </c>
      <c r="G176">
        <f>'CO–PO Attainment Summary'!G176</f>
        <v/>
      </c>
      <c r="H176">
        <f>'CO–PO Attainment Summary'!H176</f>
        <v/>
      </c>
      <c r="I176" s="5">
        <f>IFERROR(AVERAGEIFS('Continuous Assessment Records'!L:L,'Continuous Assessment Records'!A:A,$A176,'Continuous Assessment Records'!F:F,$B176,'Continuous Assessment Records'!C:C,"Assignment"),"")</f>
        <v/>
      </c>
      <c r="J176" s="5">
        <f>IFERROR(AVERAGEIFS('Continuous Assessment Records'!L:L,'Continuous Assessment Records'!A:A,$A176,'Continuous Assessment Records'!F:F,$B176,'Continuous Assessment Records'!C:C,"Unit Test"),"")</f>
        <v/>
      </c>
      <c r="K176" s="5">
        <f>IFERROR(AVERAGEIFS('Continuous Assessment Records'!L:L,'Continuous Assessment Records'!A:A,$A176,'Continuous Assessment Records'!F:F,$B176,'Continuous Assessment Records'!C:C,"Mid-Term"),"")</f>
        <v/>
      </c>
      <c r="L176" s="5">
        <f>IF(OR(I176="",J176="",K176=""),"",I176*$I$205+J176*$J$205+K176*$K$205)</f>
        <v/>
      </c>
      <c r="M176">
        <f>IF(L176="","",IF(L176&gt;=0.7,3,IF(L176&gt;=0.6,2,IF(L176&gt;=0.5,1,0))))</f>
        <v/>
      </c>
      <c r="N176">
        <f>'CO–PO Attainment Summary'!E176</f>
        <v/>
      </c>
      <c r="O176">
        <f>IF(M176="",'CO–PO Attainment Summary'!F176,ROUND(0.8*M176+0.2*N176,0))</f>
        <v/>
      </c>
    </row>
    <row r="177">
      <c r="A177">
        <f>'CO–PO Attainment Summary'!A177</f>
        <v/>
      </c>
      <c r="B177">
        <f>'CO–PO Attainment Summary'!B177</f>
        <v/>
      </c>
      <c r="C177">
        <f>'CO–PO Attainment Summary'!C177</f>
        <v/>
      </c>
      <c r="D177">
        <f>'CO–PO Attainment Summary'!D177</f>
        <v/>
      </c>
      <c r="E177">
        <f>'CO–PO Attainment Summary'!E177</f>
        <v/>
      </c>
      <c r="F177">
        <f>'CO–PO Attainment Summary'!F177</f>
        <v/>
      </c>
      <c r="G177">
        <f>'CO–PO Attainment Summary'!G177</f>
        <v/>
      </c>
      <c r="H177">
        <f>'CO–PO Attainment Summary'!H177</f>
        <v/>
      </c>
      <c r="I177" s="5">
        <f>IFERROR(AVERAGEIFS('Continuous Assessment Records'!L:L,'Continuous Assessment Records'!A:A,$A177,'Continuous Assessment Records'!F:F,$B177,'Continuous Assessment Records'!C:C,"Assignment"),"")</f>
        <v/>
      </c>
      <c r="J177" s="5">
        <f>IFERROR(AVERAGEIFS('Continuous Assessment Records'!L:L,'Continuous Assessment Records'!A:A,$A177,'Continuous Assessment Records'!F:F,$B177,'Continuous Assessment Records'!C:C,"Unit Test"),"")</f>
        <v/>
      </c>
      <c r="K177" s="5">
        <f>IFERROR(AVERAGEIFS('Continuous Assessment Records'!L:L,'Continuous Assessment Records'!A:A,$A177,'Continuous Assessment Records'!F:F,$B177,'Continuous Assessment Records'!C:C,"Mid-Term"),"")</f>
        <v/>
      </c>
      <c r="L177" s="5">
        <f>IF(OR(I177="",J177="",K177=""),"",I177*$I$205+J177*$J$205+K177*$K$205)</f>
        <v/>
      </c>
      <c r="M177">
        <f>IF(L177="","",IF(L177&gt;=0.7,3,IF(L177&gt;=0.6,2,IF(L177&gt;=0.5,1,0))))</f>
        <v/>
      </c>
      <c r="N177">
        <f>'CO–PO Attainment Summary'!E177</f>
        <v/>
      </c>
      <c r="O177">
        <f>IF(M177="",'CO–PO Attainment Summary'!F177,ROUND(0.8*M177+0.2*N177,0))</f>
        <v/>
      </c>
    </row>
    <row r="178">
      <c r="A178">
        <f>'CO–PO Attainment Summary'!A178</f>
        <v/>
      </c>
      <c r="B178">
        <f>'CO–PO Attainment Summary'!B178</f>
        <v/>
      </c>
      <c r="C178">
        <f>'CO–PO Attainment Summary'!C178</f>
        <v/>
      </c>
      <c r="D178">
        <f>'CO–PO Attainment Summary'!D178</f>
        <v/>
      </c>
      <c r="E178">
        <f>'CO–PO Attainment Summary'!E178</f>
        <v/>
      </c>
      <c r="F178">
        <f>'CO–PO Attainment Summary'!F178</f>
        <v/>
      </c>
      <c r="G178">
        <f>'CO–PO Attainment Summary'!G178</f>
        <v/>
      </c>
      <c r="H178">
        <f>'CO–PO Attainment Summary'!H178</f>
        <v/>
      </c>
      <c r="I178" s="5">
        <f>IFERROR(AVERAGEIFS('Continuous Assessment Records'!L:L,'Continuous Assessment Records'!A:A,$A178,'Continuous Assessment Records'!F:F,$B178,'Continuous Assessment Records'!C:C,"Assignment"),"")</f>
        <v/>
      </c>
      <c r="J178" s="5">
        <f>IFERROR(AVERAGEIFS('Continuous Assessment Records'!L:L,'Continuous Assessment Records'!A:A,$A178,'Continuous Assessment Records'!F:F,$B178,'Continuous Assessment Records'!C:C,"Unit Test"),"")</f>
        <v/>
      </c>
      <c r="K178" s="5">
        <f>IFERROR(AVERAGEIFS('Continuous Assessment Records'!L:L,'Continuous Assessment Records'!A:A,$A178,'Continuous Assessment Records'!F:F,$B178,'Continuous Assessment Records'!C:C,"Mid-Term"),"")</f>
        <v/>
      </c>
      <c r="L178" s="5">
        <f>IF(OR(I178="",J178="",K178=""),"",I178*$I$205+J178*$J$205+K178*$K$205)</f>
        <v/>
      </c>
      <c r="M178">
        <f>IF(L178="","",IF(L178&gt;=0.7,3,IF(L178&gt;=0.6,2,IF(L178&gt;=0.5,1,0))))</f>
        <v/>
      </c>
      <c r="N178">
        <f>'CO–PO Attainment Summary'!E178</f>
        <v/>
      </c>
      <c r="O178">
        <f>IF(M178="",'CO–PO Attainment Summary'!F178,ROUND(0.8*M178+0.2*N178,0))</f>
        <v/>
      </c>
    </row>
    <row r="179">
      <c r="A179">
        <f>'CO–PO Attainment Summary'!A179</f>
        <v/>
      </c>
      <c r="B179">
        <f>'CO–PO Attainment Summary'!B179</f>
        <v/>
      </c>
      <c r="C179">
        <f>'CO–PO Attainment Summary'!C179</f>
        <v/>
      </c>
      <c r="D179">
        <f>'CO–PO Attainment Summary'!D179</f>
        <v/>
      </c>
      <c r="E179">
        <f>'CO–PO Attainment Summary'!E179</f>
        <v/>
      </c>
      <c r="F179">
        <f>'CO–PO Attainment Summary'!F179</f>
        <v/>
      </c>
      <c r="G179">
        <f>'CO–PO Attainment Summary'!G179</f>
        <v/>
      </c>
      <c r="H179">
        <f>'CO–PO Attainment Summary'!H179</f>
        <v/>
      </c>
      <c r="I179" s="5">
        <f>IFERROR(AVERAGEIFS('Continuous Assessment Records'!L:L,'Continuous Assessment Records'!A:A,$A179,'Continuous Assessment Records'!F:F,$B179,'Continuous Assessment Records'!C:C,"Assignment"),"")</f>
        <v/>
      </c>
      <c r="J179" s="5">
        <f>IFERROR(AVERAGEIFS('Continuous Assessment Records'!L:L,'Continuous Assessment Records'!A:A,$A179,'Continuous Assessment Records'!F:F,$B179,'Continuous Assessment Records'!C:C,"Unit Test"),"")</f>
        <v/>
      </c>
      <c r="K179" s="5">
        <f>IFERROR(AVERAGEIFS('Continuous Assessment Records'!L:L,'Continuous Assessment Records'!A:A,$A179,'Continuous Assessment Records'!F:F,$B179,'Continuous Assessment Records'!C:C,"Mid-Term"),"")</f>
        <v/>
      </c>
      <c r="L179" s="5">
        <f>IF(OR(I179="",J179="",K179=""),"",I179*$I$205+J179*$J$205+K179*$K$205)</f>
        <v/>
      </c>
      <c r="M179">
        <f>IF(L179="","",IF(L179&gt;=0.7,3,IF(L179&gt;=0.6,2,IF(L179&gt;=0.5,1,0))))</f>
        <v/>
      </c>
      <c r="N179">
        <f>'CO–PO Attainment Summary'!E179</f>
        <v/>
      </c>
      <c r="O179">
        <f>IF(M179="",'CO–PO Attainment Summary'!F179,ROUND(0.8*M179+0.2*N179,0))</f>
        <v/>
      </c>
    </row>
    <row r="180">
      <c r="A180">
        <f>'CO–PO Attainment Summary'!A180</f>
        <v/>
      </c>
      <c r="B180">
        <f>'CO–PO Attainment Summary'!B180</f>
        <v/>
      </c>
      <c r="C180">
        <f>'CO–PO Attainment Summary'!C180</f>
        <v/>
      </c>
      <c r="D180">
        <f>'CO–PO Attainment Summary'!D180</f>
        <v/>
      </c>
      <c r="E180">
        <f>'CO–PO Attainment Summary'!E180</f>
        <v/>
      </c>
      <c r="F180">
        <f>'CO–PO Attainment Summary'!F180</f>
        <v/>
      </c>
      <c r="G180">
        <f>'CO–PO Attainment Summary'!G180</f>
        <v/>
      </c>
      <c r="H180">
        <f>'CO–PO Attainment Summary'!H180</f>
        <v/>
      </c>
      <c r="I180" s="5">
        <f>IFERROR(AVERAGEIFS('Continuous Assessment Records'!L:L,'Continuous Assessment Records'!A:A,$A180,'Continuous Assessment Records'!F:F,$B180,'Continuous Assessment Records'!C:C,"Assignment"),"")</f>
        <v/>
      </c>
      <c r="J180" s="5">
        <f>IFERROR(AVERAGEIFS('Continuous Assessment Records'!L:L,'Continuous Assessment Records'!A:A,$A180,'Continuous Assessment Records'!F:F,$B180,'Continuous Assessment Records'!C:C,"Unit Test"),"")</f>
        <v/>
      </c>
      <c r="K180" s="5">
        <f>IFERROR(AVERAGEIFS('Continuous Assessment Records'!L:L,'Continuous Assessment Records'!A:A,$A180,'Continuous Assessment Records'!F:F,$B180,'Continuous Assessment Records'!C:C,"Mid-Term"),"")</f>
        <v/>
      </c>
      <c r="L180" s="5">
        <f>IF(OR(I180="",J180="",K180=""),"",I180*$I$205+J180*$J$205+K180*$K$205)</f>
        <v/>
      </c>
      <c r="M180">
        <f>IF(L180="","",IF(L180&gt;=0.7,3,IF(L180&gt;=0.6,2,IF(L180&gt;=0.5,1,0))))</f>
        <v/>
      </c>
      <c r="N180">
        <f>'CO–PO Attainment Summary'!E180</f>
        <v/>
      </c>
      <c r="O180">
        <f>IF(M180="",'CO–PO Attainment Summary'!F180,ROUND(0.8*M180+0.2*N180,0))</f>
        <v/>
      </c>
    </row>
    <row r="181">
      <c r="A181">
        <f>'CO–PO Attainment Summary'!A181</f>
        <v/>
      </c>
      <c r="B181">
        <f>'CO–PO Attainment Summary'!B181</f>
        <v/>
      </c>
      <c r="C181">
        <f>'CO–PO Attainment Summary'!C181</f>
        <v/>
      </c>
      <c r="D181">
        <f>'CO–PO Attainment Summary'!D181</f>
        <v/>
      </c>
      <c r="E181">
        <f>'CO–PO Attainment Summary'!E181</f>
        <v/>
      </c>
      <c r="F181">
        <f>'CO–PO Attainment Summary'!F181</f>
        <v/>
      </c>
      <c r="G181">
        <f>'CO–PO Attainment Summary'!G181</f>
        <v/>
      </c>
      <c r="H181">
        <f>'CO–PO Attainment Summary'!H181</f>
        <v/>
      </c>
      <c r="I181" s="5">
        <f>IFERROR(AVERAGEIFS('Continuous Assessment Records'!L:L,'Continuous Assessment Records'!A:A,$A181,'Continuous Assessment Records'!F:F,$B181,'Continuous Assessment Records'!C:C,"Assignment"),"")</f>
        <v/>
      </c>
      <c r="J181" s="5">
        <f>IFERROR(AVERAGEIFS('Continuous Assessment Records'!L:L,'Continuous Assessment Records'!A:A,$A181,'Continuous Assessment Records'!F:F,$B181,'Continuous Assessment Records'!C:C,"Unit Test"),"")</f>
        <v/>
      </c>
      <c r="K181" s="5">
        <f>IFERROR(AVERAGEIFS('Continuous Assessment Records'!L:L,'Continuous Assessment Records'!A:A,$A181,'Continuous Assessment Records'!F:F,$B181,'Continuous Assessment Records'!C:C,"Mid-Term"),"")</f>
        <v/>
      </c>
      <c r="L181" s="5">
        <f>IF(OR(I181="",J181="",K181=""),"",I181*$I$205+J181*$J$205+K181*$K$205)</f>
        <v/>
      </c>
      <c r="M181">
        <f>IF(L181="","",IF(L181&gt;=0.7,3,IF(L181&gt;=0.6,2,IF(L181&gt;=0.5,1,0))))</f>
        <v/>
      </c>
      <c r="N181">
        <f>'CO–PO Attainment Summary'!E181</f>
        <v/>
      </c>
      <c r="O181">
        <f>IF(M181="",'CO–PO Attainment Summary'!F181,ROUND(0.8*M181+0.2*N181,0))</f>
        <v/>
      </c>
    </row>
    <row r="182">
      <c r="A182">
        <f>'CO–PO Attainment Summary'!A182</f>
        <v/>
      </c>
      <c r="B182">
        <f>'CO–PO Attainment Summary'!B182</f>
        <v/>
      </c>
      <c r="C182">
        <f>'CO–PO Attainment Summary'!C182</f>
        <v/>
      </c>
      <c r="D182">
        <f>'CO–PO Attainment Summary'!D182</f>
        <v/>
      </c>
      <c r="E182">
        <f>'CO–PO Attainment Summary'!E182</f>
        <v/>
      </c>
      <c r="F182">
        <f>'CO–PO Attainment Summary'!F182</f>
        <v/>
      </c>
      <c r="G182">
        <f>'CO–PO Attainment Summary'!G182</f>
        <v/>
      </c>
      <c r="H182">
        <f>'CO–PO Attainment Summary'!H182</f>
        <v/>
      </c>
      <c r="I182" s="5">
        <f>IFERROR(AVERAGEIFS('Continuous Assessment Records'!L:L,'Continuous Assessment Records'!A:A,$A182,'Continuous Assessment Records'!F:F,$B182,'Continuous Assessment Records'!C:C,"Assignment"),"")</f>
        <v/>
      </c>
      <c r="J182" s="5">
        <f>IFERROR(AVERAGEIFS('Continuous Assessment Records'!L:L,'Continuous Assessment Records'!A:A,$A182,'Continuous Assessment Records'!F:F,$B182,'Continuous Assessment Records'!C:C,"Unit Test"),"")</f>
        <v/>
      </c>
      <c r="K182" s="5">
        <f>IFERROR(AVERAGEIFS('Continuous Assessment Records'!L:L,'Continuous Assessment Records'!A:A,$A182,'Continuous Assessment Records'!F:F,$B182,'Continuous Assessment Records'!C:C,"Mid-Term"),"")</f>
        <v/>
      </c>
      <c r="L182" s="5">
        <f>IF(OR(I182="",J182="",K182=""),"",I182*$I$205+J182*$J$205+K182*$K$205)</f>
        <v/>
      </c>
      <c r="M182">
        <f>IF(L182="","",IF(L182&gt;=0.7,3,IF(L182&gt;=0.6,2,IF(L182&gt;=0.5,1,0))))</f>
        <v/>
      </c>
      <c r="N182">
        <f>'CO–PO Attainment Summary'!E182</f>
        <v/>
      </c>
      <c r="O182">
        <f>IF(M182="",'CO–PO Attainment Summary'!F182,ROUND(0.8*M182+0.2*N182,0))</f>
        <v/>
      </c>
    </row>
    <row r="183">
      <c r="A183">
        <f>'CO–PO Attainment Summary'!A183</f>
        <v/>
      </c>
      <c r="B183">
        <f>'CO–PO Attainment Summary'!B183</f>
        <v/>
      </c>
      <c r="C183">
        <f>'CO–PO Attainment Summary'!C183</f>
        <v/>
      </c>
      <c r="D183">
        <f>'CO–PO Attainment Summary'!D183</f>
        <v/>
      </c>
      <c r="E183">
        <f>'CO–PO Attainment Summary'!E183</f>
        <v/>
      </c>
      <c r="F183">
        <f>'CO–PO Attainment Summary'!F183</f>
        <v/>
      </c>
      <c r="G183">
        <f>'CO–PO Attainment Summary'!G183</f>
        <v/>
      </c>
      <c r="H183">
        <f>'CO–PO Attainment Summary'!H183</f>
        <v/>
      </c>
      <c r="I183" s="5">
        <f>IFERROR(AVERAGEIFS('Continuous Assessment Records'!L:L,'Continuous Assessment Records'!A:A,$A183,'Continuous Assessment Records'!F:F,$B183,'Continuous Assessment Records'!C:C,"Assignment"),"")</f>
        <v/>
      </c>
      <c r="J183" s="5">
        <f>IFERROR(AVERAGEIFS('Continuous Assessment Records'!L:L,'Continuous Assessment Records'!A:A,$A183,'Continuous Assessment Records'!F:F,$B183,'Continuous Assessment Records'!C:C,"Unit Test"),"")</f>
        <v/>
      </c>
      <c r="K183" s="5">
        <f>IFERROR(AVERAGEIFS('Continuous Assessment Records'!L:L,'Continuous Assessment Records'!A:A,$A183,'Continuous Assessment Records'!F:F,$B183,'Continuous Assessment Records'!C:C,"Mid-Term"),"")</f>
        <v/>
      </c>
      <c r="L183" s="5">
        <f>IF(OR(I183="",J183="",K183=""),"",I183*$I$205+J183*$J$205+K183*$K$205)</f>
        <v/>
      </c>
      <c r="M183">
        <f>IF(L183="","",IF(L183&gt;=0.7,3,IF(L183&gt;=0.6,2,IF(L183&gt;=0.5,1,0))))</f>
        <v/>
      </c>
      <c r="N183">
        <f>'CO–PO Attainment Summary'!E183</f>
        <v/>
      </c>
      <c r="O183">
        <f>IF(M183="",'CO–PO Attainment Summary'!F183,ROUND(0.8*M183+0.2*N183,0))</f>
        <v/>
      </c>
    </row>
    <row r="184">
      <c r="A184">
        <f>'CO–PO Attainment Summary'!A184</f>
        <v/>
      </c>
      <c r="B184">
        <f>'CO–PO Attainment Summary'!B184</f>
        <v/>
      </c>
      <c r="C184">
        <f>'CO–PO Attainment Summary'!C184</f>
        <v/>
      </c>
      <c r="D184">
        <f>'CO–PO Attainment Summary'!D184</f>
        <v/>
      </c>
      <c r="E184">
        <f>'CO–PO Attainment Summary'!E184</f>
        <v/>
      </c>
      <c r="F184">
        <f>'CO–PO Attainment Summary'!F184</f>
        <v/>
      </c>
      <c r="G184">
        <f>'CO–PO Attainment Summary'!G184</f>
        <v/>
      </c>
      <c r="H184">
        <f>'CO–PO Attainment Summary'!H184</f>
        <v/>
      </c>
      <c r="I184" s="5">
        <f>IFERROR(AVERAGEIFS('Continuous Assessment Records'!L:L,'Continuous Assessment Records'!A:A,$A184,'Continuous Assessment Records'!F:F,$B184,'Continuous Assessment Records'!C:C,"Assignment"),"")</f>
        <v/>
      </c>
      <c r="J184" s="5">
        <f>IFERROR(AVERAGEIFS('Continuous Assessment Records'!L:L,'Continuous Assessment Records'!A:A,$A184,'Continuous Assessment Records'!F:F,$B184,'Continuous Assessment Records'!C:C,"Unit Test"),"")</f>
        <v/>
      </c>
      <c r="K184" s="5">
        <f>IFERROR(AVERAGEIFS('Continuous Assessment Records'!L:L,'Continuous Assessment Records'!A:A,$A184,'Continuous Assessment Records'!F:F,$B184,'Continuous Assessment Records'!C:C,"Mid-Term"),"")</f>
        <v/>
      </c>
      <c r="L184" s="5">
        <f>IF(OR(I184="",J184="",K184=""),"",I184*$I$205+J184*$J$205+K184*$K$205)</f>
        <v/>
      </c>
      <c r="M184">
        <f>IF(L184="","",IF(L184&gt;=0.7,3,IF(L184&gt;=0.6,2,IF(L184&gt;=0.5,1,0))))</f>
        <v/>
      </c>
      <c r="N184">
        <f>'CO–PO Attainment Summary'!E184</f>
        <v/>
      </c>
      <c r="O184">
        <f>IF(M184="",'CO–PO Attainment Summary'!F184,ROUND(0.8*M184+0.2*N184,0))</f>
        <v/>
      </c>
    </row>
    <row r="185">
      <c r="A185">
        <f>'CO–PO Attainment Summary'!A185</f>
        <v/>
      </c>
      <c r="B185">
        <f>'CO–PO Attainment Summary'!B185</f>
        <v/>
      </c>
      <c r="C185">
        <f>'CO–PO Attainment Summary'!C185</f>
        <v/>
      </c>
      <c r="D185">
        <f>'CO–PO Attainment Summary'!D185</f>
        <v/>
      </c>
      <c r="E185">
        <f>'CO–PO Attainment Summary'!E185</f>
        <v/>
      </c>
      <c r="F185">
        <f>'CO–PO Attainment Summary'!F185</f>
        <v/>
      </c>
      <c r="G185">
        <f>'CO–PO Attainment Summary'!G185</f>
        <v/>
      </c>
      <c r="H185">
        <f>'CO–PO Attainment Summary'!H185</f>
        <v/>
      </c>
      <c r="I185" s="5">
        <f>IFERROR(AVERAGEIFS('Continuous Assessment Records'!L:L,'Continuous Assessment Records'!A:A,$A185,'Continuous Assessment Records'!F:F,$B185,'Continuous Assessment Records'!C:C,"Assignment"),"")</f>
        <v/>
      </c>
      <c r="J185" s="5">
        <f>IFERROR(AVERAGEIFS('Continuous Assessment Records'!L:L,'Continuous Assessment Records'!A:A,$A185,'Continuous Assessment Records'!F:F,$B185,'Continuous Assessment Records'!C:C,"Unit Test"),"")</f>
        <v/>
      </c>
      <c r="K185" s="5">
        <f>IFERROR(AVERAGEIFS('Continuous Assessment Records'!L:L,'Continuous Assessment Records'!A:A,$A185,'Continuous Assessment Records'!F:F,$B185,'Continuous Assessment Records'!C:C,"Mid-Term"),"")</f>
        <v/>
      </c>
      <c r="L185" s="5">
        <f>IF(OR(I185="",J185="",K185=""),"",I185*$I$205+J185*$J$205+K185*$K$205)</f>
        <v/>
      </c>
      <c r="M185">
        <f>IF(L185="","",IF(L185&gt;=0.7,3,IF(L185&gt;=0.6,2,IF(L185&gt;=0.5,1,0))))</f>
        <v/>
      </c>
      <c r="N185">
        <f>'CO–PO Attainment Summary'!E185</f>
        <v/>
      </c>
      <c r="O185">
        <f>IF(M185="",'CO–PO Attainment Summary'!F185,ROUND(0.8*M185+0.2*N185,0))</f>
        <v/>
      </c>
    </row>
    <row r="186">
      <c r="A186">
        <f>'CO–PO Attainment Summary'!A186</f>
        <v/>
      </c>
      <c r="B186">
        <f>'CO–PO Attainment Summary'!B186</f>
        <v/>
      </c>
      <c r="C186">
        <f>'CO–PO Attainment Summary'!C186</f>
        <v/>
      </c>
      <c r="D186">
        <f>'CO–PO Attainment Summary'!D186</f>
        <v/>
      </c>
      <c r="E186">
        <f>'CO–PO Attainment Summary'!E186</f>
        <v/>
      </c>
      <c r="F186">
        <f>'CO–PO Attainment Summary'!F186</f>
        <v/>
      </c>
      <c r="G186">
        <f>'CO–PO Attainment Summary'!G186</f>
        <v/>
      </c>
      <c r="H186">
        <f>'CO–PO Attainment Summary'!H186</f>
        <v/>
      </c>
      <c r="I186" s="5">
        <f>IFERROR(AVERAGEIFS('Continuous Assessment Records'!L:L,'Continuous Assessment Records'!A:A,$A186,'Continuous Assessment Records'!F:F,$B186,'Continuous Assessment Records'!C:C,"Assignment"),"")</f>
        <v/>
      </c>
      <c r="J186" s="5">
        <f>IFERROR(AVERAGEIFS('Continuous Assessment Records'!L:L,'Continuous Assessment Records'!A:A,$A186,'Continuous Assessment Records'!F:F,$B186,'Continuous Assessment Records'!C:C,"Unit Test"),"")</f>
        <v/>
      </c>
      <c r="K186" s="5">
        <f>IFERROR(AVERAGEIFS('Continuous Assessment Records'!L:L,'Continuous Assessment Records'!A:A,$A186,'Continuous Assessment Records'!F:F,$B186,'Continuous Assessment Records'!C:C,"Mid-Term"),"")</f>
        <v/>
      </c>
      <c r="L186" s="5">
        <f>IF(OR(I186="",J186="",K186=""),"",I186*$I$205+J186*$J$205+K186*$K$205)</f>
        <v/>
      </c>
      <c r="M186">
        <f>IF(L186="","",IF(L186&gt;=0.7,3,IF(L186&gt;=0.6,2,IF(L186&gt;=0.5,1,0))))</f>
        <v/>
      </c>
      <c r="N186">
        <f>'CO–PO Attainment Summary'!E186</f>
        <v/>
      </c>
      <c r="O186">
        <f>IF(M186="",'CO–PO Attainment Summary'!F186,ROUND(0.8*M186+0.2*N186,0))</f>
        <v/>
      </c>
    </row>
    <row r="187">
      <c r="A187">
        <f>'CO–PO Attainment Summary'!A187</f>
        <v/>
      </c>
      <c r="B187">
        <f>'CO–PO Attainment Summary'!B187</f>
        <v/>
      </c>
      <c r="C187">
        <f>'CO–PO Attainment Summary'!C187</f>
        <v/>
      </c>
      <c r="D187">
        <f>'CO–PO Attainment Summary'!D187</f>
        <v/>
      </c>
      <c r="E187">
        <f>'CO–PO Attainment Summary'!E187</f>
        <v/>
      </c>
      <c r="F187">
        <f>'CO–PO Attainment Summary'!F187</f>
        <v/>
      </c>
      <c r="G187">
        <f>'CO–PO Attainment Summary'!G187</f>
        <v/>
      </c>
      <c r="H187">
        <f>'CO–PO Attainment Summary'!H187</f>
        <v/>
      </c>
      <c r="I187" s="5">
        <f>IFERROR(AVERAGEIFS('Continuous Assessment Records'!L:L,'Continuous Assessment Records'!A:A,$A187,'Continuous Assessment Records'!F:F,$B187,'Continuous Assessment Records'!C:C,"Assignment"),"")</f>
        <v/>
      </c>
      <c r="J187" s="5">
        <f>IFERROR(AVERAGEIFS('Continuous Assessment Records'!L:L,'Continuous Assessment Records'!A:A,$A187,'Continuous Assessment Records'!F:F,$B187,'Continuous Assessment Records'!C:C,"Unit Test"),"")</f>
        <v/>
      </c>
      <c r="K187" s="5">
        <f>IFERROR(AVERAGEIFS('Continuous Assessment Records'!L:L,'Continuous Assessment Records'!A:A,$A187,'Continuous Assessment Records'!F:F,$B187,'Continuous Assessment Records'!C:C,"Mid-Term"),"")</f>
        <v/>
      </c>
      <c r="L187" s="5">
        <f>IF(OR(I187="",J187="",K187=""),"",I187*$I$205+J187*$J$205+K187*$K$205)</f>
        <v/>
      </c>
      <c r="M187">
        <f>IF(L187="","",IF(L187&gt;=0.7,3,IF(L187&gt;=0.6,2,IF(L187&gt;=0.5,1,0))))</f>
        <v/>
      </c>
      <c r="N187">
        <f>'CO–PO Attainment Summary'!E187</f>
        <v/>
      </c>
      <c r="O187">
        <f>IF(M187="",'CO–PO Attainment Summary'!F187,ROUND(0.8*M187+0.2*N187,0))</f>
        <v/>
      </c>
    </row>
    <row r="188">
      <c r="A188">
        <f>'CO–PO Attainment Summary'!A188</f>
        <v/>
      </c>
      <c r="B188">
        <f>'CO–PO Attainment Summary'!B188</f>
        <v/>
      </c>
      <c r="C188">
        <f>'CO–PO Attainment Summary'!C188</f>
        <v/>
      </c>
      <c r="D188">
        <f>'CO–PO Attainment Summary'!D188</f>
        <v/>
      </c>
      <c r="E188">
        <f>'CO–PO Attainment Summary'!E188</f>
        <v/>
      </c>
      <c r="F188">
        <f>'CO–PO Attainment Summary'!F188</f>
        <v/>
      </c>
      <c r="G188">
        <f>'CO–PO Attainment Summary'!G188</f>
        <v/>
      </c>
      <c r="H188">
        <f>'CO–PO Attainment Summary'!H188</f>
        <v/>
      </c>
      <c r="I188" s="5">
        <f>IFERROR(AVERAGEIFS('Continuous Assessment Records'!L:L,'Continuous Assessment Records'!A:A,$A188,'Continuous Assessment Records'!F:F,$B188,'Continuous Assessment Records'!C:C,"Assignment"),"")</f>
        <v/>
      </c>
      <c r="J188" s="5">
        <f>IFERROR(AVERAGEIFS('Continuous Assessment Records'!L:L,'Continuous Assessment Records'!A:A,$A188,'Continuous Assessment Records'!F:F,$B188,'Continuous Assessment Records'!C:C,"Unit Test"),"")</f>
        <v/>
      </c>
      <c r="K188" s="5">
        <f>IFERROR(AVERAGEIFS('Continuous Assessment Records'!L:L,'Continuous Assessment Records'!A:A,$A188,'Continuous Assessment Records'!F:F,$B188,'Continuous Assessment Records'!C:C,"Mid-Term"),"")</f>
        <v/>
      </c>
      <c r="L188" s="5">
        <f>IF(OR(I188="",J188="",K188=""),"",I188*$I$205+J188*$J$205+K188*$K$205)</f>
        <v/>
      </c>
      <c r="M188">
        <f>IF(L188="","",IF(L188&gt;=0.7,3,IF(L188&gt;=0.6,2,IF(L188&gt;=0.5,1,0))))</f>
        <v/>
      </c>
      <c r="N188">
        <f>'CO–PO Attainment Summary'!E188</f>
        <v/>
      </c>
      <c r="O188">
        <f>IF(M188="",'CO–PO Attainment Summary'!F188,ROUND(0.8*M188+0.2*N188,0))</f>
        <v/>
      </c>
    </row>
    <row r="189">
      <c r="A189">
        <f>'CO–PO Attainment Summary'!A189</f>
        <v/>
      </c>
      <c r="B189">
        <f>'CO–PO Attainment Summary'!B189</f>
        <v/>
      </c>
      <c r="C189">
        <f>'CO–PO Attainment Summary'!C189</f>
        <v/>
      </c>
      <c r="D189">
        <f>'CO–PO Attainment Summary'!D189</f>
        <v/>
      </c>
      <c r="E189">
        <f>'CO–PO Attainment Summary'!E189</f>
        <v/>
      </c>
      <c r="F189">
        <f>'CO–PO Attainment Summary'!F189</f>
        <v/>
      </c>
      <c r="G189">
        <f>'CO–PO Attainment Summary'!G189</f>
        <v/>
      </c>
      <c r="H189">
        <f>'CO–PO Attainment Summary'!H189</f>
        <v/>
      </c>
      <c r="I189" s="5">
        <f>IFERROR(AVERAGEIFS('Continuous Assessment Records'!L:L,'Continuous Assessment Records'!A:A,$A189,'Continuous Assessment Records'!F:F,$B189,'Continuous Assessment Records'!C:C,"Assignment"),"")</f>
        <v/>
      </c>
      <c r="J189" s="5">
        <f>IFERROR(AVERAGEIFS('Continuous Assessment Records'!L:L,'Continuous Assessment Records'!A:A,$A189,'Continuous Assessment Records'!F:F,$B189,'Continuous Assessment Records'!C:C,"Unit Test"),"")</f>
        <v/>
      </c>
      <c r="K189" s="5">
        <f>IFERROR(AVERAGEIFS('Continuous Assessment Records'!L:L,'Continuous Assessment Records'!A:A,$A189,'Continuous Assessment Records'!F:F,$B189,'Continuous Assessment Records'!C:C,"Mid-Term"),"")</f>
        <v/>
      </c>
      <c r="L189" s="5">
        <f>IF(OR(I189="",J189="",K189=""),"",I189*$I$205+J189*$J$205+K189*$K$205)</f>
        <v/>
      </c>
      <c r="M189">
        <f>IF(L189="","",IF(L189&gt;=0.7,3,IF(L189&gt;=0.6,2,IF(L189&gt;=0.5,1,0))))</f>
        <v/>
      </c>
      <c r="N189">
        <f>'CO–PO Attainment Summary'!E189</f>
        <v/>
      </c>
      <c r="O189">
        <f>IF(M189="",'CO–PO Attainment Summary'!F189,ROUND(0.8*M189+0.2*N189,0))</f>
        <v/>
      </c>
    </row>
    <row r="190">
      <c r="A190">
        <f>'CO–PO Attainment Summary'!A190</f>
        <v/>
      </c>
      <c r="B190">
        <f>'CO–PO Attainment Summary'!B190</f>
        <v/>
      </c>
      <c r="C190">
        <f>'CO–PO Attainment Summary'!C190</f>
        <v/>
      </c>
      <c r="D190">
        <f>'CO–PO Attainment Summary'!D190</f>
        <v/>
      </c>
      <c r="E190">
        <f>'CO–PO Attainment Summary'!E190</f>
        <v/>
      </c>
      <c r="F190">
        <f>'CO–PO Attainment Summary'!F190</f>
        <v/>
      </c>
      <c r="G190">
        <f>'CO–PO Attainment Summary'!G190</f>
        <v/>
      </c>
      <c r="H190">
        <f>'CO–PO Attainment Summary'!H190</f>
        <v/>
      </c>
      <c r="I190" s="5">
        <f>IFERROR(AVERAGEIFS('Continuous Assessment Records'!L:L,'Continuous Assessment Records'!A:A,$A190,'Continuous Assessment Records'!F:F,$B190,'Continuous Assessment Records'!C:C,"Assignment"),"")</f>
        <v/>
      </c>
      <c r="J190" s="5">
        <f>IFERROR(AVERAGEIFS('Continuous Assessment Records'!L:L,'Continuous Assessment Records'!A:A,$A190,'Continuous Assessment Records'!F:F,$B190,'Continuous Assessment Records'!C:C,"Unit Test"),"")</f>
        <v/>
      </c>
      <c r="K190" s="5">
        <f>IFERROR(AVERAGEIFS('Continuous Assessment Records'!L:L,'Continuous Assessment Records'!A:A,$A190,'Continuous Assessment Records'!F:F,$B190,'Continuous Assessment Records'!C:C,"Mid-Term"),"")</f>
        <v/>
      </c>
      <c r="L190" s="5">
        <f>IF(OR(I190="",J190="",K190=""),"",I190*$I$205+J190*$J$205+K190*$K$205)</f>
        <v/>
      </c>
      <c r="M190">
        <f>IF(L190="","",IF(L190&gt;=0.7,3,IF(L190&gt;=0.6,2,IF(L190&gt;=0.5,1,0))))</f>
        <v/>
      </c>
      <c r="N190">
        <f>'CO–PO Attainment Summary'!E190</f>
        <v/>
      </c>
      <c r="O190">
        <f>IF(M190="",'CO–PO Attainment Summary'!F190,ROUND(0.8*M190+0.2*N190,0))</f>
        <v/>
      </c>
    </row>
    <row r="191">
      <c r="A191">
        <f>'CO–PO Attainment Summary'!A191</f>
        <v/>
      </c>
      <c r="B191">
        <f>'CO–PO Attainment Summary'!B191</f>
        <v/>
      </c>
      <c r="C191">
        <f>'CO–PO Attainment Summary'!C191</f>
        <v/>
      </c>
      <c r="D191">
        <f>'CO–PO Attainment Summary'!D191</f>
        <v/>
      </c>
      <c r="E191">
        <f>'CO–PO Attainment Summary'!E191</f>
        <v/>
      </c>
      <c r="F191">
        <f>'CO–PO Attainment Summary'!F191</f>
        <v/>
      </c>
      <c r="G191">
        <f>'CO–PO Attainment Summary'!G191</f>
        <v/>
      </c>
      <c r="H191">
        <f>'CO–PO Attainment Summary'!H191</f>
        <v/>
      </c>
      <c r="I191" s="5">
        <f>IFERROR(AVERAGEIFS('Continuous Assessment Records'!L:L,'Continuous Assessment Records'!A:A,$A191,'Continuous Assessment Records'!F:F,$B191,'Continuous Assessment Records'!C:C,"Assignment"),"")</f>
        <v/>
      </c>
      <c r="J191" s="5">
        <f>IFERROR(AVERAGEIFS('Continuous Assessment Records'!L:L,'Continuous Assessment Records'!A:A,$A191,'Continuous Assessment Records'!F:F,$B191,'Continuous Assessment Records'!C:C,"Unit Test"),"")</f>
        <v/>
      </c>
      <c r="K191" s="5">
        <f>IFERROR(AVERAGEIFS('Continuous Assessment Records'!L:L,'Continuous Assessment Records'!A:A,$A191,'Continuous Assessment Records'!F:F,$B191,'Continuous Assessment Records'!C:C,"Mid-Term"),"")</f>
        <v/>
      </c>
      <c r="L191" s="5">
        <f>IF(OR(I191="",J191="",K191=""),"",I191*$I$205+J191*$J$205+K191*$K$205)</f>
        <v/>
      </c>
      <c r="M191">
        <f>IF(L191="","",IF(L191&gt;=0.7,3,IF(L191&gt;=0.6,2,IF(L191&gt;=0.5,1,0))))</f>
        <v/>
      </c>
      <c r="N191">
        <f>'CO–PO Attainment Summary'!E191</f>
        <v/>
      </c>
      <c r="O191">
        <f>IF(M191="",'CO–PO Attainment Summary'!F191,ROUND(0.8*M191+0.2*N191,0))</f>
        <v/>
      </c>
    </row>
    <row r="192">
      <c r="A192">
        <f>'CO–PO Attainment Summary'!A192</f>
        <v/>
      </c>
      <c r="B192">
        <f>'CO–PO Attainment Summary'!B192</f>
        <v/>
      </c>
      <c r="C192">
        <f>'CO–PO Attainment Summary'!C192</f>
        <v/>
      </c>
      <c r="D192">
        <f>'CO–PO Attainment Summary'!D192</f>
        <v/>
      </c>
      <c r="E192">
        <f>'CO–PO Attainment Summary'!E192</f>
        <v/>
      </c>
      <c r="F192">
        <f>'CO–PO Attainment Summary'!F192</f>
        <v/>
      </c>
      <c r="G192">
        <f>'CO–PO Attainment Summary'!G192</f>
        <v/>
      </c>
      <c r="H192">
        <f>'CO–PO Attainment Summary'!H192</f>
        <v/>
      </c>
      <c r="I192" s="5">
        <f>IFERROR(AVERAGEIFS('Continuous Assessment Records'!L:L,'Continuous Assessment Records'!A:A,$A192,'Continuous Assessment Records'!F:F,$B192,'Continuous Assessment Records'!C:C,"Assignment"),"")</f>
        <v/>
      </c>
      <c r="J192" s="5">
        <f>IFERROR(AVERAGEIFS('Continuous Assessment Records'!L:L,'Continuous Assessment Records'!A:A,$A192,'Continuous Assessment Records'!F:F,$B192,'Continuous Assessment Records'!C:C,"Unit Test"),"")</f>
        <v/>
      </c>
      <c r="K192" s="5">
        <f>IFERROR(AVERAGEIFS('Continuous Assessment Records'!L:L,'Continuous Assessment Records'!A:A,$A192,'Continuous Assessment Records'!F:F,$B192,'Continuous Assessment Records'!C:C,"Mid-Term"),"")</f>
        <v/>
      </c>
      <c r="L192" s="5">
        <f>IF(OR(I192="",J192="",K192=""),"",I192*$I$205+J192*$J$205+K192*$K$205)</f>
        <v/>
      </c>
      <c r="M192">
        <f>IF(L192="","",IF(L192&gt;=0.7,3,IF(L192&gt;=0.6,2,IF(L192&gt;=0.5,1,0))))</f>
        <v/>
      </c>
      <c r="N192">
        <f>'CO–PO Attainment Summary'!E192</f>
        <v/>
      </c>
      <c r="O192">
        <f>IF(M192="",'CO–PO Attainment Summary'!F192,ROUND(0.8*M192+0.2*N192,0))</f>
        <v/>
      </c>
    </row>
    <row r="193">
      <c r="A193">
        <f>'CO–PO Attainment Summary'!A193</f>
        <v/>
      </c>
      <c r="B193">
        <f>'CO–PO Attainment Summary'!B193</f>
        <v/>
      </c>
      <c r="C193">
        <f>'CO–PO Attainment Summary'!C193</f>
        <v/>
      </c>
      <c r="D193">
        <f>'CO–PO Attainment Summary'!D193</f>
        <v/>
      </c>
      <c r="E193">
        <f>'CO–PO Attainment Summary'!E193</f>
        <v/>
      </c>
      <c r="F193">
        <f>'CO–PO Attainment Summary'!F193</f>
        <v/>
      </c>
      <c r="G193">
        <f>'CO–PO Attainment Summary'!G193</f>
        <v/>
      </c>
      <c r="H193">
        <f>'CO–PO Attainment Summary'!H193</f>
        <v/>
      </c>
      <c r="I193" s="5">
        <f>IFERROR(AVERAGEIFS('Continuous Assessment Records'!L:L,'Continuous Assessment Records'!A:A,$A193,'Continuous Assessment Records'!F:F,$B193,'Continuous Assessment Records'!C:C,"Assignment"),"")</f>
        <v/>
      </c>
      <c r="J193" s="5">
        <f>IFERROR(AVERAGEIFS('Continuous Assessment Records'!L:L,'Continuous Assessment Records'!A:A,$A193,'Continuous Assessment Records'!F:F,$B193,'Continuous Assessment Records'!C:C,"Unit Test"),"")</f>
        <v/>
      </c>
      <c r="K193" s="5">
        <f>IFERROR(AVERAGEIFS('Continuous Assessment Records'!L:L,'Continuous Assessment Records'!A:A,$A193,'Continuous Assessment Records'!F:F,$B193,'Continuous Assessment Records'!C:C,"Mid-Term"),"")</f>
        <v/>
      </c>
      <c r="L193" s="5">
        <f>IF(OR(I193="",J193="",K193=""),"",I193*$I$205+J193*$J$205+K193*$K$205)</f>
        <v/>
      </c>
      <c r="M193">
        <f>IF(L193="","",IF(L193&gt;=0.7,3,IF(L193&gt;=0.6,2,IF(L193&gt;=0.5,1,0))))</f>
        <v/>
      </c>
      <c r="N193">
        <f>'CO–PO Attainment Summary'!E193</f>
        <v/>
      </c>
      <c r="O193">
        <f>IF(M193="",'CO–PO Attainment Summary'!F193,ROUND(0.8*M193+0.2*N193,0))</f>
        <v/>
      </c>
    </row>
    <row r="194">
      <c r="A194">
        <f>'CO–PO Attainment Summary'!A194</f>
        <v/>
      </c>
      <c r="B194">
        <f>'CO–PO Attainment Summary'!B194</f>
        <v/>
      </c>
      <c r="C194">
        <f>'CO–PO Attainment Summary'!C194</f>
        <v/>
      </c>
      <c r="D194">
        <f>'CO–PO Attainment Summary'!D194</f>
        <v/>
      </c>
      <c r="E194">
        <f>'CO–PO Attainment Summary'!E194</f>
        <v/>
      </c>
      <c r="F194">
        <f>'CO–PO Attainment Summary'!F194</f>
        <v/>
      </c>
      <c r="G194">
        <f>'CO–PO Attainment Summary'!G194</f>
        <v/>
      </c>
      <c r="H194">
        <f>'CO–PO Attainment Summary'!H194</f>
        <v/>
      </c>
      <c r="I194" s="5">
        <f>IFERROR(AVERAGEIFS('Continuous Assessment Records'!L:L,'Continuous Assessment Records'!A:A,$A194,'Continuous Assessment Records'!F:F,$B194,'Continuous Assessment Records'!C:C,"Assignment"),"")</f>
        <v/>
      </c>
      <c r="J194" s="5">
        <f>IFERROR(AVERAGEIFS('Continuous Assessment Records'!L:L,'Continuous Assessment Records'!A:A,$A194,'Continuous Assessment Records'!F:F,$B194,'Continuous Assessment Records'!C:C,"Unit Test"),"")</f>
        <v/>
      </c>
      <c r="K194" s="5">
        <f>IFERROR(AVERAGEIFS('Continuous Assessment Records'!L:L,'Continuous Assessment Records'!A:A,$A194,'Continuous Assessment Records'!F:F,$B194,'Continuous Assessment Records'!C:C,"Mid-Term"),"")</f>
        <v/>
      </c>
      <c r="L194" s="5">
        <f>IF(OR(I194="",J194="",K194=""),"",I194*$I$205+J194*$J$205+K194*$K$205)</f>
        <v/>
      </c>
      <c r="M194">
        <f>IF(L194="","",IF(L194&gt;=0.7,3,IF(L194&gt;=0.6,2,IF(L194&gt;=0.5,1,0))))</f>
        <v/>
      </c>
      <c r="N194">
        <f>'CO–PO Attainment Summary'!E194</f>
        <v/>
      </c>
      <c r="O194">
        <f>IF(M194="",'CO–PO Attainment Summary'!F194,ROUND(0.8*M194+0.2*N194,0))</f>
        <v/>
      </c>
    </row>
    <row r="195">
      <c r="A195">
        <f>'CO–PO Attainment Summary'!A195</f>
        <v/>
      </c>
      <c r="B195">
        <f>'CO–PO Attainment Summary'!B195</f>
        <v/>
      </c>
      <c r="C195">
        <f>'CO–PO Attainment Summary'!C195</f>
        <v/>
      </c>
      <c r="D195">
        <f>'CO–PO Attainment Summary'!D195</f>
        <v/>
      </c>
      <c r="E195">
        <f>'CO–PO Attainment Summary'!E195</f>
        <v/>
      </c>
      <c r="F195">
        <f>'CO–PO Attainment Summary'!F195</f>
        <v/>
      </c>
      <c r="G195">
        <f>'CO–PO Attainment Summary'!G195</f>
        <v/>
      </c>
      <c r="H195">
        <f>'CO–PO Attainment Summary'!H195</f>
        <v/>
      </c>
      <c r="I195" s="5">
        <f>IFERROR(AVERAGEIFS('Continuous Assessment Records'!L:L,'Continuous Assessment Records'!A:A,$A195,'Continuous Assessment Records'!F:F,$B195,'Continuous Assessment Records'!C:C,"Assignment"),"")</f>
        <v/>
      </c>
      <c r="J195" s="5">
        <f>IFERROR(AVERAGEIFS('Continuous Assessment Records'!L:L,'Continuous Assessment Records'!A:A,$A195,'Continuous Assessment Records'!F:F,$B195,'Continuous Assessment Records'!C:C,"Unit Test"),"")</f>
        <v/>
      </c>
      <c r="K195" s="5">
        <f>IFERROR(AVERAGEIFS('Continuous Assessment Records'!L:L,'Continuous Assessment Records'!A:A,$A195,'Continuous Assessment Records'!F:F,$B195,'Continuous Assessment Records'!C:C,"Mid-Term"),"")</f>
        <v/>
      </c>
      <c r="L195" s="5">
        <f>IF(OR(I195="",J195="",K195=""),"",I195*$I$205+J195*$J$205+K195*$K$205)</f>
        <v/>
      </c>
      <c r="M195">
        <f>IF(L195="","",IF(L195&gt;=0.7,3,IF(L195&gt;=0.6,2,IF(L195&gt;=0.5,1,0))))</f>
        <v/>
      </c>
      <c r="N195">
        <f>'CO–PO Attainment Summary'!E195</f>
        <v/>
      </c>
      <c r="O195">
        <f>IF(M195="",'CO–PO Attainment Summary'!F195,ROUND(0.8*M195+0.2*N195,0))</f>
        <v/>
      </c>
    </row>
    <row r="196">
      <c r="A196">
        <f>'CO–PO Attainment Summary'!A196</f>
        <v/>
      </c>
      <c r="B196">
        <f>'CO–PO Attainment Summary'!B196</f>
        <v/>
      </c>
      <c r="C196">
        <f>'CO–PO Attainment Summary'!C196</f>
        <v/>
      </c>
      <c r="D196">
        <f>'CO–PO Attainment Summary'!D196</f>
        <v/>
      </c>
      <c r="E196">
        <f>'CO–PO Attainment Summary'!E196</f>
        <v/>
      </c>
      <c r="F196">
        <f>'CO–PO Attainment Summary'!F196</f>
        <v/>
      </c>
      <c r="G196">
        <f>'CO–PO Attainment Summary'!G196</f>
        <v/>
      </c>
      <c r="H196">
        <f>'CO–PO Attainment Summary'!H196</f>
        <v/>
      </c>
      <c r="I196" s="5">
        <f>IFERROR(AVERAGEIFS('Continuous Assessment Records'!L:L,'Continuous Assessment Records'!A:A,$A196,'Continuous Assessment Records'!F:F,$B196,'Continuous Assessment Records'!C:C,"Assignment"),"")</f>
        <v/>
      </c>
      <c r="J196" s="5">
        <f>IFERROR(AVERAGEIFS('Continuous Assessment Records'!L:L,'Continuous Assessment Records'!A:A,$A196,'Continuous Assessment Records'!F:F,$B196,'Continuous Assessment Records'!C:C,"Unit Test"),"")</f>
        <v/>
      </c>
      <c r="K196" s="5">
        <f>IFERROR(AVERAGEIFS('Continuous Assessment Records'!L:L,'Continuous Assessment Records'!A:A,$A196,'Continuous Assessment Records'!F:F,$B196,'Continuous Assessment Records'!C:C,"Mid-Term"),"")</f>
        <v/>
      </c>
      <c r="L196" s="5">
        <f>IF(OR(I196="",J196="",K196=""),"",I196*$I$205+J196*$J$205+K196*$K$205)</f>
        <v/>
      </c>
      <c r="M196">
        <f>IF(L196="","",IF(L196&gt;=0.7,3,IF(L196&gt;=0.6,2,IF(L196&gt;=0.5,1,0))))</f>
        <v/>
      </c>
      <c r="N196">
        <f>'CO–PO Attainment Summary'!E196</f>
        <v/>
      </c>
      <c r="O196">
        <f>IF(M196="",'CO–PO Attainment Summary'!F196,ROUND(0.8*M196+0.2*N196,0))</f>
        <v/>
      </c>
    </row>
    <row r="197">
      <c r="A197">
        <f>'CO–PO Attainment Summary'!A197</f>
        <v/>
      </c>
      <c r="B197">
        <f>'CO–PO Attainment Summary'!B197</f>
        <v/>
      </c>
      <c r="C197">
        <f>'CO–PO Attainment Summary'!C197</f>
        <v/>
      </c>
      <c r="D197">
        <f>'CO–PO Attainment Summary'!D197</f>
        <v/>
      </c>
      <c r="E197">
        <f>'CO–PO Attainment Summary'!E197</f>
        <v/>
      </c>
      <c r="F197">
        <f>'CO–PO Attainment Summary'!F197</f>
        <v/>
      </c>
      <c r="G197">
        <f>'CO–PO Attainment Summary'!G197</f>
        <v/>
      </c>
      <c r="H197">
        <f>'CO–PO Attainment Summary'!H197</f>
        <v/>
      </c>
      <c r="I197" s="5">
        <f>IFERROR(AVERAGEIFS('Continuous Assessment Records'!L:L,'Continuous Assessment Records'!A:A,$A197,'Continuous Assessment Records'!F:F,$B197,'Continuous Assessment Records'!C:C,"Assignment"),"")</f>
        <v/>
      </c>
      <c r="J197" s="5">
        <f>IFERROR(AVERAGEIFS('Continuous Assessment Records'!L:L,'Continuous Assessment Records'!A:A,$A197,'Continuous Assessment Records'!F:F,$B197,'Continuous Assessment Records'!C:C,"Unit Test"),"")</f>
        <v/>
      </c>
      <c r="K197" s="5">
        <f>IFERROR(AVERAGEIFS('Continuous Assessment Records'!L:L,'Continuous Assessment Records'!A:A,$A197,'Continuous Assessment Records'!F:F,$B197,'Continuous Assessment Records'!C:C,"Mid-Term"),"")</f>
        <v/>
      </c>
      <c r="L197" s="5">
        <f>IF(OR(I197="",J197="",K197=""),"",I197*$I$205+J197*$J$205+K197*$K$205)</f>
        <v/>
      </c>
      <c r="M197">
        <f>IF(L197="","",IF(L197&gt;=0.7,3,IF(L197&gt;=0.6,2,IF(L197&gt;=0.5,1,0))))</f>
        <v/>
      </c>
      <c r="N197">
        <f>'CO–PO Attainment Summary'!E197</f>
        <v/>
      </c>
      <c r="O197">
        <f>IF(M197="",'CO–PO Attainment Summary'!F197,ROUND(0.8*M197+0.2*N197,0))</f>
        <v/>
      </c>
    </row>
    <row r="198">
      <c r="A198">
        <f>'CO–PO Attainment Summary'!A198</f>
        <v/>
      </c>
      <c r="B198">
        <f>'CO–PO Attainment Summary'!B198</f>
        <v/>
      </c>
      <c r="C198">
        <f>'CO–PO Attainment Summary'!C198</f>
        <v/>
      </c>
      <c r="D198">
        <f>'CO–PO Attainment Summary'!D198</f>
        <v/>
      </c>
      <c r="E198">
        <f>'CO–PO Attainment Summary'!E198</f>
        <v/>
      </c>
      <c r="F198">
        <f>'CO–PO Attainment Summary'!F198</f>
        <v/>
      </c>
      <c r="G198">
        <f>'CO–PO Attainment Summary'!G198</f>
        <v/>
      </c>
      <c r="H198">
        <f>'CO–PO Attainment Summary'!H198</f>
        <v/>
      </c>
      <c r="I198" s="5">
        <f>IFERROR(AVERAGEIFS('Continuous Assessment Records'!L:L,'Continuous Assessment Records'!A:A,$A198,'Continuous Assessment Records'!F:F,$B198,'Continuous Assessment Records'!C:C,"Assignment"),"")</f>
        <v/>
      </c>
      <c r="J198" s="5">
        <f>IFERROR(AVERAGEIFS('Continuous Assessment Records'!L:L,'Continuous Assessment Records'!A:A,$A198,'Continuous Assessment Records'!F:F,$B198,'Continuous Assessment Records'!C:C,"Unit Test"),"")</f>
        <v/>
      </c>
      <c r="K198" s="5">
        <f>IFERROR(AVERAGEIFS('Continuous Assessment Records'!L:L,'Continuous Assessment Records'!A:A,$A198,'Continuous Assessment Records'!F:F,$B198,'Continuous Assessment Records'!C:C,"Mid-Term"),"")</f>
        <v/>
      </c>
      <c r="L198" s="5">
        <f>IF(OR(I198="",J198="",K198=""),"",I198*$I$205+J198*$J$205+K198*$K$205)</f>
        <v/>
      </c>
      <c r="M198">
        <f>IF(L198="","",IF(L198&gt;=0.7,3,IF(L198&gt;=0.6,2,IF(L198&gt;=0.5,1,0))))</f>
        <v/>
      </c>
      <c r="N198">
        <f>'CO–PO Attainment Summary'!E198</f>
        <v/>
      </c>
      <c r="O198">
        <f>IF(M198="",'CO–PO Attainment Summary'!F198,ROUND(0.8*M198+0.2*N198,0))</f>
        <v/>
      </c>
    </row>
    <row r="199">
      <c r="A199">
        <f>'CO–PO Attainment Summary'!A199</f>
        <v/>
      </c>
      <c r="B199">
        <f>'CO–PO Attainment Summary'!B199</f>
        <v/>
      </c>
      <c r="C199">
        <f>'CO–PO Attainment Summary'!C199</f>
        <v/>
      </c>
      <c r="D199">
        <f>'CO–PO Attainment Summary'!D199</f>
        <v/>
      </c>
      <c r="E199">
        <f>'CO–PO Attainment Summary'!E199</f>
        <v/>
      </c>
      <c r="F199">
        <f>'CO–PO Attainment Summary'!F199</f>
        <v/>
      </c>
      <c r="G199">
        <f>'CO–PO Attainment Summary'!G199</f>
        <v/>
      </c>
      <c r="H199">
        <f>'CO–PO Attainment Summary'!H199</f>
        <v/>
      </c>
      <c r="I199" s="5">
        <f>IFERROR(AVERAGEIFS('Continuous Assessment Records'!L:L,'Continuous Assessment Records'!A:A,$A199,'Continuous Assessment Records'!F:F,$B199,'Continuous Assessment Records'!C:C,"Assignment"),"")</f>
        <v/>
      </c>
      <c r="J199" s="5">
        <f>IFERROR(AVERAGEIFS('Continuous Assessment Records'!L:L,'Continuous Assessment Records'!A:A,$A199,'Continuous Assessment Records'!F:F,$B199,'Continuous Assessment Records'!C:C,"Unit Test"),"")</f>
        <v/>
      </c>
      <c r="K199" s="5">
        <f>IFERROR(AVERAGEIFS('Continuous Assessment Records'!L:L,'Continuous Assessment Records'!A:A,$A199,'Continuous Assessment Records'!F:F,$B199,'Continuous Assessment Records'!C:C,"Mid-Term"),"")</f>
        <v/>
      </c>
      <c r="L199" s="5">
        <f>IF(OR(I199="",J199="",K199=""),"",I199*$I$205+J199*$J$205+K199*$K$205)</f>
        <v/>
      </c>
      <c r="M199">
        <f>IF(L199="","",IF(L199&gt;=0.7,3,IF(L199&gt;=0.6,2,IF(L199&gt;=0.5,1,0))))</f>
        <v/>
      </c>
      <c r="N199">
        <f>'CO–PO Attainment Summary'!E199</f>
        <v/>
      </c>
      <c r="O199">
        <f>IF(M199="",'CO–PO Attainment Summary'!F199,ROUND(0.8*M199+0.2*N199,0))</f>
        <v/>
      </c>
    </row>
    <row r="200">
      <c r="A200">
        <f>'CO–PO Attainment Summary'!A200</f>
        <v/>
      </c>
      <c r="B200">
        <f>'CO–PO Attainment Summary'!B200</f>
        <v/>
      </c>
      <c r="C200">
        <f>'CO–PO Attainment Summary'!C200</f>
        <v/>
      </c>
      <c r="D200">
        <f>'CO–PO Attainment Summary'!D200</f>
        <v/>
      </c>
      <c r="E200">
        <f>'CO–PO Attainment Summary'!E200</f>
        <v/>
      </c>
      <c r="F200">
        <f>'CO–PO Attainment Summary'!F200</f>
        <v/>
      </c>
      <c r="G200">
        <f>'CO–PO Attainment Summary'!G200</f>
        <v/>
      </c>
      <c r="H200">
        <f>'CO–PO Attainment Summary'!H200</f>
        <v/>
      </c>
      <c r="I200" s="5">
        <f>IFERROR(AVERAGEIFS('Continuous Assessment Records'!L:L,'Continuous Assessment Records'!A:A,$A200,'Continuous Assessment Records'!F:F,$B200,'Continuous Assessment Records'!C:C,"Assignment"),"")</f>
        <v/>
      </c>
      <c r="J200" s="5">
        <f>IFERROR(AVERAGEIFS('Continuous Assessment Records'!L:L,'Continuous Assessment Records'!A:A,$A200,'Continuous Assessment Records'!F:F,$B200,'Continuous Assessment Records'!C:C,"Unit Test"),"")</f>
        <v/>
      </c>
      <c r="K200" s="5">
        <f>IFERROR(AVERAGEIFS('Continuous Assessment Records'!L:L,'Continuous Assessment Records'!A:A,$A200,'Continuous Assessment Records'!F:F,$B200,'Continuous Assessment Records'!C:C,"Mid-Term"),"")</f>
        <v/>
      </c>
      <c r="L200" s="5">
        <f>IF(OR(I200="",J200="",K200=""),"",I200*$I$205+J200*$J$205+K200*$K$205)</f>
        <v/>
      </c>
      <c r="M200">
        <f>IF(L200="","",IF(L200&gt;=0.7,3,IF(L200&gt;=0.6,2,IF(L200&gt;=0.5,1,0))))</f>
        <v/>
      </c>
      <c r="N200">
        <f>'CO–PO Attainment Summary'!E200</f>
        <v/>
      </c>
      <c r="O200">
        <f>IF(M200="",'CO–PO Attainment Summary'!F200,ROUND(0.8*M200+0.2*N200,0))</f>
        <v/>
      </c>
    </row>
    <row r="201">
      <c r="A201">
        <f>'CO–PO Attainment Summary'!A201</f>
        <v/>
      </c>
      <c r="B201">
        <f>'CO–PO Attainment Summary'!B201</f>
        <v/>
      </c>
      <c r="C201">
        <f>'CO–PO Attainment Summary'!C201</f>
        <v/>
      </c>
      <c r="D201">
        <f>'CO–PO Attainment Summary'!D201</f>
        <v/>
      </c>
      <c r="E201">
        <f>'CO–PO Attainment Summary'!E201</f>
        <v/>
      </c>
      <c r="F201">
        <f>'CO–PO Attainment Summary'!F201</f>
        <v/>
      </c>
      <c r="G201">
        <f>'CO–PO Attainment Summary'!G201</f>
        <v/>
      </c>
      <c r="H201">
        <f>'CO–PO Attainment Summary'!H201</f>
        <v/>
      </c>
      <c r="I201" s="5">
        <f>IFERROR(AVERAGEIFS('Continuous Assessment Records'!L:L,'Continuous Assessment Records'!A:A,$A201,'Continuous Assessment Records'!F:F,$B201,'Continuous Assessment Records'!C:C,"Assignment"),"")</f>
        <v/>
      </c>
      <c r="J201" s="5">
        <f>IFERROR(AVERAGEIFS('Continuous Assessment Records'!L:L,'Continuous Assessment Records'!A:A,$A201,'Continuous Assessment Records'!F:F,$B201,'Continuous Assessment Records'!C:C,"Unit Test"),"")</f>
        <v/>
      </c>
      <c r="K201" s="5">
        <f>IFERROR(AVERAGEIFS('Continuous Assessment Records'!L:L,'Continuous Assessment Records'!A:A,$A201,'Continuous Assessment Records'!F:F,$B201,'Continuous Assessment Records'!C:C,"Mid-Term"),"")</f>
        <v/>
      </c>
      <c r="L201" s="5">
        <f>IF(OR(I201="",J201="",K201=""),"",I201*$I$205+J201*$J$205+K201*$K$205)</f>
        <v/>
      </c>
      <c r="M201">
        <f>IF(L201="","",IF(L201&gt;=0.7,3,IF(L201&gt;=0.6,2,IF(L201&gt;=0.5,1,0))))</f>
        <v/>
      </c>
      <c r="N201">
        <f>'CO–PO Attainment Summary'!E201</f>
        <v/>
      </c>
      <c r="O201">
        <f>IF(M201="",'CO–PO Attainment Summary'!F201,ROUND(0.8*M201+0.2*N201,0))</f>
        <v/>
      </c>
    </row>
    <row r="203">
      <c r="A203" s="6" t="inlineStr">
        <is>
          <t>Weights (Edit as needed; must sum to 1.0)</t>
        </is>
      </c>
    </row>
    <row r="204">
      <c r="I204" t="inlineStr">
        <is>
          <t>Assignment Weight</t>
        </is>
      </c>
      <c r="J204" t="inlineStr">
        <is>
          <t>Unit Test Weight</t>
        </is>
      </c>
      <c r="K204" t="inlineStr">
        <is>
          <t>Mid-Term Weight</t>
        </is>
      </c>
    </row>
    <row r="205">
      <c r="A205" s="4" t="inlineStr">
        <is>
          <t>KPI Summary</t>
        </is>
      </c>
      <c r="I205" t="n">
        <v>0.2</v>
      </c>
      <c r="J205" t="n">
        <v>0.3</v>
      </c>
      <c r="K205" t="n">
        <v>0.5</v>
      </c>
    </row>
    <row r="207">
      <c r="A207" s="3" t="inlineStr">
        <is>
          <t>Note: Avg % values are based on 'Class Avg %' from Continuous Assessment Records per CO and assessment type. Adjust weights in I205:K205.</t>
        </is>
      </c>
      <c r="B207">
        <f>IFERROR(AVERAGE(F2:F200),"")</f>
        <v/>
      </c>
    </row>
    <row r="209">
      <c r="A209" t="inlineStr">
        <is>
          <t>Count of COs at Level 3</t>
        </is>
      </c>
      <c r="B209">
        <f>COUNTIF(F2:F200,3)</f>
        <v/>
      </c>
    </row>
    <row r="210">
      <c r="A210" t="inlineStr">
        <is>
          <t>Count of COs at Level 2</t>
        </is>
      </c>
      <c r="B210">
        <f>COUNTIF(F2:F200,2)</f>
        <v/>
      </c>
    </row>
    <row r="211">
      <c r="A211" t="inlineStr">
        <is>
          <t>Count of COs at Level 1</t>
        </is>
      </c>
      <c r="B211">
        <f>COUNTIF(F2:F200,1)</f>
        <v/>
      </c>
    </row>
    <row r="212">
      <c r="A212" t="inlineStr">
        <is>
          <t>Count of COs at Level 0</t>
        </is>
      </c>
      <c r="B212">
        <f>COUNTIF(F2:F200,0)</f>
        <v/>
      </c>
    </row>
    <row r="214">
      <c r="A214" t="inlineStr">
        <is>
          <t>Notes</t>
        </is>
      </c>
    </row>
    <row r="215">
      <c r="A215" s="3" t="inlineStr">
        <is>
          <t>This sheet auto-pulls CO-wise attainment from 'CO–PO Attainment Summary'. Edit that sheet to update values.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36" customWidth="1" min="12" max="12"/>
    <col width="30" customWidth="1" min="13" max="13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Mid-Term No. (MT1/MT2/…)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Evaluation Criteria / Rubric</t>
        </is>
      </c>
      <c r="M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MT1</t>
        </is>
      </c>
      <c r="D2" t="inlineStr">
        <is>
          <t>1(a)</t>
        </is>
      </c>
      <c r="E2" t="inlineStr">
        <is>
          <t>Explain types of data preprocessing</t>
        </is>
      </c>
      <c r="F2" t="n">
        <v>5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Understand</t>
        </is>
      </c>
      <c r="K2" t="inlineStr">
        <is>
          <t>L</t>
        </is>
      </c>
      <c r="L2" t="inlineStr">
        <is>
          <t>Correctness, clarity</t>
        </is>
      </c>
      <c r="M2" t="inlineStr">
        <is>
          <t>MT1_Q1a.pdf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MT1</t>
        </is>
      </c>
      <c r="D3" t="inlineStr">
        <is>
          <t>1(b)</t>
        </is>
      </c>
      <c r="E3" t="inlineStr">
        <is>
          <t>Apply decision tree algorithm to dataset</t>
        </is>
      </c>
      <c r="F3" t="n">
        <v>10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Apply</t>
        </is>
      </c>
      <c r="K3" t="inlineStr">
        <is>
          <t>M</t>
        </is>
      </c>
      <c r="L3" t="inlineStr">
        <is>
          <t>Application, logic clarity</t>
        </is>
      </c>
      <c r="M3" t="inlineStr">
        <is>
          <t>MT1_Q1b.pdf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MT1</t>
        </is>
      </c>
      <c r="D4" t="inlineStr">
        <is>
          <t>2</t>
        </is>
      </c>
      <c r="E4" t="inlineStr">
        <is>
          <t>Analyze Naïve Bayes vs SVM performance</t>
        </is>
      </c>
      <c r="F4" t="n">
        <v>15</v>
      </c>
      <c r="G4" t="inlineStr">
        <is>
          <t>CO3</t>
        </is>
      </c>
      <c r="H4" t="inlineStr">
        <is>
          <t>PO4</t>
        </is>
      </c>
      <c r="I4" t="inlineStr">
        <is>
          <t>PSO2</t>
        </is>
      </c>
      <c r="J4" t="inlineStr">
        <is>
          <t>Analyze</t>
        </is>
      </c>
      <c r="K4" t="inlineStr">
        <is>
          <t>H</t>
        </is>
      </c>
      <c r="L4" t="inlineStr">
        <is>
          <t>Analytical depth, evidence</t>
        </is>
      </c>
      <c r="M4" t="inlineStr">
        <is>
          <t>MT1_Q2.pdf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MT1</t>
        </is>
      </c>
      <c r="D5" t="inlineStr">
        <is>
          <t>3</t>
        </is>
      </c>
      <c r="E5" t="inlineStr">
        <is>
          <t>Design a neural network model for classification</t>
        </is>
      </c>
      <c r="F5" t="n">
        <v>20</v>
      </c>
      <c r="G5" t="inlineStr">
        <is>
          <t>CO4</t>
        </is>
      </c>
      <c r="H5" t="inlineStr">
        <is>
          <t>PO5</t>
        </is>
      </c>
      <c r="I5" t="inlineStr">
        <is>
          <t>PSO3</t>
        </is>
      </c>
      <c r="J5" t="inlineStr">
        <is>
          <t>Create</t>
        </is>
      </c>
      <c r="K5" t="inlineStr">
        <is>
          <t>H</t>
        </is>
      </c>
      <c r="L5" t="inlineStr">
        <is>
          <t>Innovation, feasibility</t>
        </is>
      </c>
      <c r="M5" t="inlineStr">
        <is>
          <t>MT1_Q3.pdf</t>
        </is>
      </c>
    </row>
  </sheetData>
  <dataValidations count="2">
    <dataValidation sqref="J2:J500" showErrorMessage="1" showInputMessage="1" allowBlank="1" type="list">
      <formula1>"Remember,Understand,Apply,Analyze,Evaluate,Create"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8" customWidth="1" min="2" max="2"/>
    <col width="16" customWidth="1" min="3" max="3"/>
    <col width="10" customWidth="1" min="4" max="4"/>
    <col width="18" customWidth="1" min="5" max="5"/>
    <col width="22" customWidth="1" min="6" max="6"/>
    <col width="18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6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Total Classes Conducted</t>
        </is>
      </c>
      <c r="G1" s="1" t="inlineStr">
        <is>
          <t>Classes Attended</t>
        </is>
      </c>
      <c r="H1" s="1" t="inlineStr">
        <is>
          <t>Attendance % (Auto)</t>
        </is>
      </c>
      <c r="I1" s="1" t="inlineStr">
        <is>
          <t>Assignment Marks (20)</t>
        </is>
      </c>
      <c r="J1" s="1" t="inlineStr">
        <is>
          <t>Unit Test Marks (30)</t>
        </is>
      </c>
      <c r="K1" s="1" t="inlineStr">
        <is>
          <t>Mid-Term Marks (50)</t>
        </is>
      </c>
      <c r="L1" s="1" t="inlineStr">
        <is>
          <t>Total (100) (Auto)</t>
        </is>
      </c>
      <c r="M1" s="1" t="inlineStr">
        <is>
          <t>Overall % (Auto)</t>
        </is>
      </c>
      <c r="N1" s="1" t="inlineStr">
        <is>
          <t>CO Attainment Level (0–3) (Auto)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F2" t="n">
        <v>40</v>
      </c>
      <c r="G2" t="n">
        <v>38</v>
      </c>
      <c r="H2" s="5">
        <f>IF(F2=0,"",IFERROR(G2/F2, ""))</f>
        <v/>
      </c>
      <c r="I2" t="n">
        <v>18</v>
      </c>
      <c r="J2" t="n">
        <v>24</v>
      </c>
      <c r="K2" t="n">
        <v>42</v>
      </c>
      <c r="L2">
        <f>IF(COUNTA(I2:K2)=3, I2+J2+K2, "")</f>
        <v/>
      </c>
      <c r="M2" s="5">
        <f>IF(L2="","",L2/100)</f>
        <v/>
      </c>
      <c r="N2">
        <f>IF(M2="","",IF(M2&gt;=0.7,3,IF(M2&gt;=0.6,2,IF(M2&gt;=0.5,1,0))))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F3" t="n">
        <v>40</v>
      </c>
      <c r="G3" t="n">
        <v>28</v>
      </c>
      <c r="H3" s="5">
        <f>IF(F3=0,"",IFERROR(G3/F3, ""))</f>
        <v/>
      </c>
      <c r="I3" t="n">
        <v>12</v>
      </c>
      <c r="J3" t="n">
        <v>18</v>
      </c>
      <c r="K3" t="n">
        <v>30</v>
      </c>
      <c r="L3">
        <f>IF(COUNTA(I3:K3)=3, I3+J3+K3, "")</f>
        <v/>
      </c>
      <c r="M3" s="5">
        <f>IF(L3="","",L3/100)</f>
        <v/>
      </c>
      <c r="N3">
        <f>IF(M3="","",IF(M3&gt;=0.7,3,IF(M3&gt;=0.6,2,IF(M3&gt;=0.5,1,0))))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F4" t="n">
        <v>40</v>
      </c>
      <c r="G4" t="n">
        <v>20</v>
      </c>
      <c r="H4" s="5">
        <f>IF(F4=0,"",IFERROR(G4/F4, ""))</f>
        <v/>
      </c>
      <c r="I4" t="n">
        <v>8</v>
      </c>
      <c r="J4" t="n">
        <v>12</v>
      </c>
      <c r="K4" t="n">
        <v>22</v>
      </c>
      <c r="L4">
        <f>IF(COUNTA(I4:K4)=3, I4+J4+K4, "")</f>
        <v/>
      </c>
      <c r="M4" s="5">
        <f>IF(L4="","",L4/100)</f>
        <v/>
      </c>
      <c r="N4">
        <f>IF(M4="","",IF(M4&gt;=0.7,3,IF(M4&gt;=0.6,2,IF(M4&gt;=0.5,1,0))))</f>
        <v/>
      </c>
    </row>
    <row r="5">
      <c r="H5" s="5">
        <f>IF(F5=0,"",IFERROR(G5/F5, ""))</f>
        <v/>
      </c>
      <c r="L5">
        <f>IF(COUNTA(I5:K5)=3, I5+J5+K5, "")</f>
        <v/>
      </c>
      <c r="M5" s="5">
        <f>IF(L5="","",L5/100)</f>
        <v/>
      </c>
      <c r="N5">
        <f>IF(M5="","",IF(M5&gt;=0.7,3,IF(M5&gt;=0.6,2,IF(M5&gt;=0.5,1,0))))</f>
        <v/>
      </c>
    </row>
    <row r="6">
      <c r="H6" s="5">
        <f>IF(F6=0,"",IFERROR(G6/F6, ""))</f>
        <v/>
      </c>
      <c r="L6">
        <f>IF(COUNTA(I6:K6)=3, I6+J6+K6, "")</f>
        <v/>
      </c>
      <c r="M6" s="5">
        <f>IF(L6="","",L6/100)</f>
        <v/>
      </c>
      <c r="N6">
        <f>IF(M6="","",IF(M6&gt;=0.7,3,IF(M6&gt;=0.6,2,IF(M6&gt;=0.5,1,0))))</f>
        <v/>
      </c>
    </row>
    <row r="7">
      <c r="H7" s="5">
        <f>IF(F7=0,"",IFERROR(G7/F7, ""))</f>
        <v/>
      </c>
      <c r="L7">
        <f>IF(COUNTA(I7:K7)=3, I7+J7+K7, "")</f>
        <v/>
      </c>
      <c r="M7" s="5">
        <f>IF(L7="","",L7/100)</f>
        <v/>
      </c>
      <c r="N7">
        <f>IF(M7="","",IF(M7&gt;=0.7,3,IF(M7&gt;=0.6,2,IF(M7&gt;=0.5,1,0))))</f>
        <v/>
      </c>
    </row>
    <row r="8">
      <c r="H8" s="5">
        <f>IF(F8=0,"",IFERROR(G8/F8, ""))</f>
        <v/>
      </c>
      <c r="L8">
        <f>IF(COUNTA(I8:K8)=3, I8+J8+K8, "")</f>
        <v/>
      </c>
      <c r="M8" s="5">
        <f>IF(L8="","",L8/100)</f>
        <v/>
      </c>
      <c r="N8">
        <f>IF(M8="","",IF(M8&gt;=0.7,3,IF(M8&gt;=0.6,2,IF(M8&gt;=0.5,1,0))))</f>
        <v/>
      </c>
    </row>
    <row r="9">
      <c r="H9" s="5">
        <f>IF(F9=0,"",IFERROR(G9/F9, ""))</f>
        <v/>
      </c>
      <c r="L9">
        <f>IF(COUNTA(I9:K9)=3, I9+J9+K9, "")</f>
        <v/>
      </c>
      <c r="M9" s="5">
        <f>IF(L9="","",L9/100)</f>
        <v/>
      </c>
      <c r="N9">
        <f>IF(M9="","",IF(M9&gt;=0.7,3,IF(M9&gt;=0.6,2,IF(M9&gt;=0.5,1,0))))</f>
        <v/>
      </c>
    </row>
    <row r="10">
      <c r="H10" s="5">
        <f>IF(F10=0,"",IFERROR(G10/F10, ""))</f>
        <v/>
      </c>
      <c r="L10">
        <f>IF(COUNTA(I10:K10)=3, I10+J10+K10, "")</f>
        <v/>
      </c>
      <c r="M10" s="5">
        <f>IF(L10="","",L10/100)</f>
        <v/>
      </c>
      <c r="N10">
        <f>IF(M10="","",IF(M10&gt;=0.7,3,IF(M10&gt;=0.6,2,IF(M10&gt;=0.5,1,0))))</f>
        <v/>
      </c>
    </row>
    <row r="11">
      <c r="H11" s="5">
        <f>IF(F11=0,"",IFERROR(G11/F11, ""))</f>
        <v/>
      </c>
      <c r="L11">
        <f>IF(COUNTA(I11:K11)=3, I11+J11+K11, "")</f>
        <v/>
      </c>
      <c r="M11" s="5">
        <f>IF(L11="","",L11/100)</f>
        <v/>
      </c>
      <c r="N11">
        <f>IF(M11="","",IF(M11&gt;=0.7,3,IF(M11&gt;=0.6,2,IF(M11&gt;=0.5,1,0))))</f>
        <v/>
      </c>
    </row>
    <row r="12">
      <c r="H12" s="5">
        <f>IF(F12=0,"",IFERROR(G12/F12, ""))</f>
        <v/>
      </c>
      <c r="L12">
        <f>IF(COUNTA(I12:K12)=3, I12+J12+K12, "")</f>
        <v/>
      </c>
      <c r="M12" s="5">
        <f>IF(L12="","",L12/100)</f>
        <v/>
      </c>
      <c r="N12">
        <f>IF(M12="","",IF(M12&gt;=0.7,3,IF(M12&gt;=0.6,2,IF(M12&gt;=0.5,1,0))))</f>
        <v/>
      </c>
    </row>
    <row r="13">
      <c r="H13" s="5">
        <f>IF(F13=0,"",IFERROR(G13/F13, ""))</f>
        <v/>
      </c>
      <c r="L13">
        <f>IF(COUNTA(I13:K13)=3, I13+J13+K13, "")</f>
        <v/>
      </c>
      <c r="M13" s="5">
        <f>IF(L13="","",L13/100)</f>
        <v/>
      </c>
      <c r="N13">
        <f>IF(M13="","",IF(M13&gt;=0.7,3,IF(M13&gt;=0.6,2,IF(M13&gt;=0.5,1,0))))</f>
        <v/>
      </c>
    </row>
    <row r="14">
      <c r="H14" s="5">
        <f>IF(F14=0,"",IFERROR(G14/F14, ""))</f>
        <v/>
      </c>
      <c r="L14">
        <f>IF(COUNTA(I14:K14)=3, I14+J14+K14, "")</f>
        <v/>
      </c>
      <c r="M14" s="5">
        <f>IF(L14="","",L14/100)</f>
        <v/>
      </c>
      <c r="N14">
        <f>IF(M14="","",IF(M14&gt;=0.7,3,IF(M14&gt;=0.6,2,IF(M14&gt;=0.5,1,0))))</f>
        <v/>
      </c>
    </row>
    <row r="15">
      <c r="H15" s="5">
        <f>IF(F15=0,"",IFERROR(G15/F15, ""))</f>
        <v/>
      </c>
      <c r="L15">
        <f>IF(COUNTA(I15:K15)=3, I15+J15+K15, "")</f>
        <v/>
      </c>
      <c r="M15" s="5">
        <f>IF(L15="","",L15/100)</f>
        <v/>
      </c>
      <c r="N15">
        <f>IF(M15="","",IF(M15&gt;=0.7,3,IF(M15&gt;=0.6,2,IF(M15&gt;=0.5,1,0))))</f>
        <v/>
      </c>
    </row>
    <row r="16">
      <c r="H16" s="5">
        <f>IF(F16=0,"",IFERROR(G16/F16, ""))</f>
        <v/>
      </c>
      <c r="L16">
        <f>IF(COUNTA(I16:K16)=3, I16+J16+K16, "")</f>
        <v/>
      </c>
      <c r="M16" s="5">
        <f>IF(L16="","",L16/100)</f>
        <v/>
      </c>
      <c r="N16">
        <f>IF(M16="","",IF(M16&gt;=0.7,3,IF(M16&gt;=0.6,2,IF(M16&gt;=0.5,1,0))))</f>
        <v/>
      </c>
    </row>
    <row r="17">
      <c r="H17" s="5">
        <f>IF(F17=0,"",IFERROR(G17/F17, ""))</f>
        <v/>
      </c>
      <c r="L17">
        <f>IF(COUNTA(I17:K17)=3, I17+J17+K17, "")</f>
        <v/>
      </c>
      <c r="M17" s="5">
        <f>IF(L17="","",L17/100)</f>
        <v/>
      </c>
      <c r="N17">
        <f>IF(M17="","",IF(M17&gt;=0.7,3,IF(M17&gt;=0.6,2,IF(M17&gt;=0.5,1,0))))</f>
        <v/>
      </c>
    </row>
    <row r="18">
      <c r="H18" s="5">
        <f>IF(F18=0,"",IFERROR(G18/F18, ""))</f>
        <v/>
      </c>
      <c r="L18">
        <f>IF(COUNTA(I18:K18)=3, I18+J18+K18, "")</f>
        <v/>
      </c>
      <c r="M18" s="5">
        <f>IF(L18="","",L18/100)</f>
        <v/>
      </c>
      <c r="N18">
        <f>IF(M18="","",IF(M18&gt;=0.7,3,IF(M18&gt;=0.6,2,IF(M18&gt;=0.5,1,0))))</f>
        <v/>
      </c>
    </row>
    <row r="19">
      <c r="H19" s="5">
        <f>IF(F19=0,"",IFERROR(G19/F19, ""))</f>
        <v/>
      </c>
      <c r="L19">
        <f>IF(COUNTA(I19:K19)=3, I19+J19+K19, "")</f>
        <v/>
      </c>
      <c r="M19" s="5">
        <f>IF(L19="","",L19/100)</f>
        <v/>
      </c>
      <c r="N19">
        <f>IF(M19="","",IF(M19&gt;=0.7,3,IF(M19&gt;=0.6,2,IF(M19&gt;=0.5,1,0))))</f>
        <v/>
      </c>
    </row>
    <row r="20">
      <c r="H20" s="5">
        <f>IF(F20=0,"",IFERROR(G20/F20, ""))</f>
        <v/>
      </c>
      <c r="L20">
        <f>IF(COUNTA(I20:K20)=3, I20+J20+K20, "")</f>
        <v/>
      </c>
      <c r="M20" s="5">
        <f>IF(L20="","",L20/100)</f>
        <v/>
      </c>
      <c r="N20">
        <f>IF(M20="","",IF(M20&gt;=0.7,3,IF(M20&gt;=0.6,2,IF(M20&gt;=0.5,1,0))))</f>
        <v/>
      </c>
    </row>
    <row r="21">
      <c r="H21" s="5">
        <f>IF(F21=0,"",IFERROR(G21/F21, ""))</f>
        <v/>
      </c>
      <c r="L21">
        <f>IF(COUNTA(I21:K21)=3, I21+J21+K21, "")</f>
        <v/>
      </c>
      <c r="M21" s="5">
        <f>IF(L21="","",L21/100)</f>
        <v/>
      </c>
      <c r="N21">
        <f>IF(M21="","",IF(M21&gt;=0.7,3,IF(M21&gt;=0.6,2,IF(M21&gt;=0.5,1,0))))</f>
        <v/>
      </c>
    </row>
    <row r="22">
      <c r="H22" s="5">
        <f>IF(F22=0,"",IFERROR(G22/F22, ""))</f>
        <v/>
      </c>
      <c r="L22">
        <f>IF(COUNTA(I22:K22)=3, I22+J22+K22, "")</f>
        <v/>
      </c>
      <c r="M22" s="5">
        <f>IF(L22="","",L22/100)</f>
        <v/>
      </c>
      <c r="N22">
        <f>IF(M22="","",IF(M22&gt;=0.7,3,IF(M22&gt;=0.6,2,IF(M22&gt;=0.5,1,0))))</f>
        <v/>
      </c>
    </row>
    <row r="23">
      <c r="H23" s="5">
        <f>IF(F23=0,"",IFERROR(G23/F23, ""))</f>
        <v/>
      </c>
      <c r="L23">
        <f>IF(COUNTA(I23:K23)=3, I23+J23+K23, "")</f>
        <v/>
      </c>
      <c r="M23" s="5">
        <f>IF(L23="","",L23/100)</f>
        <v/>
      </c>
      <c r="N23">
        <f>IF(M23="","",IF(M23&gt;=0.7,3,IF(M23&gt;=0.6,2,IF(M23&gt;=0.5,1,0))))</f>
        <v/>
      </c>
    </row>
    <row r="24">
      <c r="H24" s="5">
        <f>IF(F24=0,"",IFERROR(G24/F24, ""))</f>
        <v/>
      </c>
      <c r="L24">
        <f>IF(COUNTA(I24:K24)=3, I24+J24+K24, "")</f>
        <v/>
      </c>
      <c r="M24" s="5">
        <f>IF(L24="","",L24/100)</f>
        <v/>
      </c>
      <c r="N24">
        <f>IF(M24="","",IF(M24&gt;=0.7,3,IF(M24&gt;=0.6,2,IF(M24&gt;=0.5,1,0))))</f>
        <v/>
      </c>
    </row>
    <row r="25">
      <c r="H25" s="5">
        <f>IF(F25=0,"",IFERROR(G25/F25, ""))</f>
        <v/>
      </c>
      <c r="L25">
        <f>IF(COUNTA(I25:K25)=3, I25+J25+K25, "")</f>
        <v/>
      </c>
      <c r="M25" s="5">
        <f>IF(L25="","",L25/100)</f>
        <v/>
      </c>
      <c r="N25">
        <f>IF(M25="","",IF(M25&gt;=0.7,3,IF(M25&gt;=0.6,2,IF(M25&gt;=0.5,1,0))))</f>
        <v/>
      </c>
    </row>
    <row r="26">
      <c r="H26" s="5">
        <f>IF(F26=0,"",IFERROR(G26/F26, ""))</f>
        <v/>
      </c>
      <c r="L26">
        <f>IF(COUNTA(I26:K26)=3, I26+J26+K26, "")</f>
        <v/>
      </c>
      <c r="M26" s="5">
        <f>IF(L26="","",L26/100)</f>
        <v/>
      </c>
      <c r="N26">
        <f>IF(M26="","",IF(M26&gt;=0.7,3,IF(M26&gt;=0.6,2,IF(M26&gt;=0.5,1,0))))</f>
        <v/>
      </c>
    </row>
    <row r="27">
      <c r="H27" s="5">
        <f>IF(F27=0,"",IFERROR(G27/F27, ""))</f>
        <v/>
      </c>
      <c r="L27">
        <f>IF(COUNTA(I27:K27)=3, I27+J27+K27, "")</f>
        <v/>
      </c>
      <c r="M27" s="5">
        <f>IF(L27="","",L27/100)</f>
        <v/>
      </c>
      <c r="N27">
        <f>IF(M27="","",IF(M27&gt;=0.7,3,IF(M27&gt;=0.6,2,IF(M27&gt;=0.5,1,0))))</f>
        <v/>
      </c>
    </row>
    <row r="28">
      <c r="H28" s="5">
        <f>IF(F28=0,"",IFERROR(G28/F28, ""))</f>
        <v/>
      </c>
      <c r="L28">
        <f>IF(COUNTA(I28:K28)=3, I28+J28+K28, "")</f>
        <v/>
      </c>
      <c r="M28" s="5">
        <f>IF(L28="","",L28/100)</f>
        <v/>
      </c>
      <c r="N28">
        <f>IF(M28="","",IF(M28&gt;=0.7,3,IF(M28&gt;=0.6,2,IF(M28&gt;=0.5,1,0))))</f>
        <v/>
      </c>
    </row>
    <row r="29">
      <c r="H29" s="5">
        <f>IF(F29=0,"",IFERROR(G29/F29, ""))</f>
        <v/>
      </c>
      <c r="L29">
        <f>IF(COUNTA(I29:K29)=3, I29+J29+K29, "")</f>
        <v/>
      </c>
      <c r="M29" s="5">
        <f>IF(L29="","",L29/100)</f>
        <v/>
      </c>
      <c r="N29">
        <f>IF(M29="","",IF(M29&gt;=0.7,3,IF(M29&gt;=0.6,2,IF(M29&gt;=0.5,1,0))))</f>
        <v/>
      </c>
    </row>
    <row r="30">
      <c r="H30" s="5">
        <f>IF(F30=0,"",IFERROR(G30/F30, ""))</f>
        <v/>
      </c>
      <c r="L30">
        <f>IF(COUNTA(I30:K30)=3, I30+J30+K30, "")</f>
        <v/>
      </c>
      <c r="M30" s="5">
        <f>IF(L30="","",L30/100)</f>
        <v/>
      </c>
      <c r="N30">
        <f>IF(M30="","",IF(M30&gt;=0.7,3,IF(M30&gt;=0.6,2,IF(M30&gt;=0.5,1,0))))</f>
        <v/>
      </c>
    </row>
    <row r="31">
      <c r="H31" s="5">
        <f>IF(F31=0,"",IFERROR(G31/F31, ""))</f>
        <v/>
      </c>
      <c r="L31">
        <f>IF(COUNTA(I31:K31)=3, I31+J31+K31, "")</f>
        <v/>
      </c>
      <c r="M31" s="5">
        <f>IF(L31="","",L31/100)</f>
        <v/>
      </c>
      <c r="N31">
        <f>IF(M31="","",IF(M31&gt;=0.7,3,IF(M31&gt;=0.6,2,IF(M31&gt;=0.5,1,0))))</f>
        <v/>
      </c>
    </row>
    <row r="32">
      <c r="H32" s="5">
        <f>IF(F32=0,"",IFERROR(G32/F32, ""))</f>
        <v/>
      </c>
      <c r="L32">
        <f>IF(COUNTA(I32:K32)=3, I32+J32+K32, "")</f>
        <v/>
      </c>
      <c r="M32" s="5">
        <f>IF(L32="","",L32/100)</f>
        <v/>
      </c>
      <c r="N32">
        <f>IF(M32="","",IF(M32&gt;=0.7,3,IF(M32&gt;=0.6,2,IF(M32&gt;=0.5,1,0))))</f>
        <v/>
      </c>
    </row>
    <row r="33">
      <c r="H33" s="5">
        <f>IF(F33=0,"",IFERROR(G33/F33, ""))</f>
        <v/>
      </c>
      <c r="L33">
        <f>IF(COUNTA(I33:K33)=3, I33+J33+K33, "")</f>
        <v/>
      </c>
      <c r="M33" s="5">
        <f>IF(L33="","",L33/100)</f>
        <v/>
      </c>
      <c r="N33">
        <f>IF(M33="","",IF(M33&gt;=0.7,3,IF(M33&gt;=0.6,2,IF(M33&gt;=0.5,1,0))))</f>
        <v/>
      </c>
    </row>
    <row r="34">
      <c r="H34" s="5">
        <f>IF(F34=0,"",IFERROR(G34/F34, ""))</f>
        <v/>
      </c>
      <c r="L34">
        <f>IF(COUNTA(I34:K34)=3, I34+J34+K34, "")</f>
        <v/>
      </c>
      <c r="M34" s="5">
        <f>IF(L34="","",L34/100)</f>
        <v/>
      </c>
      <c r="N34">
        <f>IF(M34="","",IF(M34&gt;=0.7,3,IF(M34&gt;=0.6,2,IF(M34&gt;=0.5,1,0))))</f>
        <v/>
      </c>
    </row>
    <row r="35">
      <c r="H35" s="5">
        <f>IF(F35=0,"",IFERROR(G35/F35, ""))</f>
        <v/>
      </c>
      <c r="L35">
        <f>IF(COUNTA(I35:K35)=3, I35+J35+K35, "")</f>
        <v/>
      </c>
      <c r="M35" s="5">
        <f>IF(L35="","",L35/100)</f>
        <v/>
      </c>
      <c r="N35">
        <f>IF(M35="","",IF(M35&gt;=0.7,3,IF(M35&gt;=0.6,2,IF(M35&gt;=0.5,1,0))))</f>
        <v/>
      </c>
    </row>
    <row r="36">
      <c r="H36" s="5">
        <f>IF(F36=0,"",IFERROR(G36/F36, ""))</f>
        <v/>
      </c>
      <c r="L36">
        <f>IF(COUNTA(I36:K36)=3, I36+J36+K36, "")</f>
        <v/>
      </c>
      <c r="M36" s="5">
        <f>IF(L36="","",L36/100)</f>
        <v/>
      </c>
      <c r="N36">
        <f>IF(M36="","",IF(M36&gt;=0.7,3,IF(M36&gt;=0.6,2,IF(M36&gt;=0.5,1,0))))</f>
        <v/>
      </c>
    </row>
    <row r="37">
      <c r="H37" s="5">
        <f>IF(F37=0,"",IFERROR(G37/F37, ""))</f>
        <v/>
      </c>
      <c r="L37">
        <f>IF(COUNTA(I37:K37)=3, I37+J37+K37, "")</f>
        <v/>
      </c>
      <c r="M37" s="5">
        <f>IF(L37="","",L37/100)</f>
        <v/>
      </c>
      <c r="N37">
        <f>IF(M37="","",IF(M37&gt;=0.7,3,IF(M37&gt;=0.6,2,IF(M37&gt;=0.5,1,0))))</f>
        <v/>
      </c>
    </row>
    <row r="38">
      <c r="H38" s="5">
        <f>IF(F38=0,"",IFERROR(G38/F38, ""))</f>
        <v/>
      </c>
      <c r="L38">
        <f>IF(COUNTA(I38:K38)=3, I38+J38+K38, "")</f>
        <v/>
      </c>
      <c r="M38" s="5">
        <f>IF(L38="","",L38/100)</f>
        <v/>
      </c>
      <c r="N38">
        <f>IF(M38="","",IF(M38&gt;=0.7,3,IF(M38&gt;=0.6,2,IF(M38&gt;=0.5,1,0))))</f>
        <v/>
      </c>
    </row>
    <row r="39">
      <c r="H39" s="5">
        <f>IF(F39=0,"",IFERROR(G39/F39, ""))</f>
        <v/>
      </c>
      <c r="L39">
        <f>IF(COUNTA(I39:K39)=3, I39+J39+K39, "")</f>
        <v/>
      </c>
      <c r="M39" s="5">
        <f>IF(L39="","",L39/100)</f>
        <v/>
      </c>
      <c r="N39">
        <f>IF(M39="","",IF(M39&gt;=0.7,3,IF(M39&gt;=0.6,2,IF(M39&gt;=0.5,1,0))))</f>
        <v/>
      </c>
    </row>
    <row r="40">
      <c r="H40" s="5">
        <f>IF(F40=0,"",IFERROR(G40/F40, ""))</f>
        <v/>
      </c>
      <c r="L40">
        <f>IF(COUNTA(I40:K40)=3, I40+J40+K40, "")</f>
        <v/>
      </c>
      <c r="M40" s="5">
        <f>IF(L40="","",L40/100)</f>
        <v/>
      </c>
      <c r="N40">
        <f>IF(M40="","",IF(M40&gt;=0.7,3,IF(M40&gt;=0.6,2,IF(M40&gt;=0.5,1,0))))</f>
        <v/>
      </c>
    </row>
    <row r="41">
      <c r="H41" s="5">
        <f>IF(F41=0,"",IFERROR(G41/F41, ""))</f>
        <v/>
      </c>
      <c r="L41">
        <f>IF(COUNTA(I41:K41)=3, I41+J41+K41, "")</f>
        <v/>
      </c>
      <c r="M41" s="5">
        <f>IF(L41="","",L41/100)</f>
        <v/>
      </c>
      <c r="N41">
        <f>IF(M41="","",IF(M41&gt;=0.7,3,IF(M41&gt;=0.6,2,IF(M41&gt;=0.5,1,0))))</f>
        <v/>
      </c>
    </row>
    <row r="42">
      <c r="H42" s="5">
        <f>IF(F42=0,"",IFERROR(G42/F42, ""))</f>
        <v/>
      </c>
      <c r="L42">
        <f>IF(COUNTA(I42:K42)=3, I42+J42+K42, "")</f>
        <v/>
      </c>
      <c r="M42" s="5">
        <f>IF(L42="","",L42/100)</f>
        <v/>
      </c>
      <c r="N42">
        <f>IF(M42="","",IF(M42&gt;=0.7,3,IF(M42&gt;=0.6,2,IF(M42&gt;=0.5,1,0))))</f>
        <v/>
      </c>
    </row>
    <row r="43">
      <c r="H43" s="5">
        <f>IF(F43=0,"",IFERROR(G43/F43, ""))</f>
        <v/>
      </c>
      <c r="L43">
        <f>IF(COUNTA(I43:K43)=3, I43+J43+K43, "")</f>
        <v/>
      </c>
      <c r="M43" s="5">
        <f>IF(L43="","",L43/100)</f>
        <v/>
      </c>
      <c r="N43">
        <f>IF(M43="","",IF(M43&gt;=0.7,3,IF(M43&gt;=0.6,2,IF(M43&gt;=0.5,1,0))))</f>
        <v/>
      </c>
    </row>
    <row r="44">
      <c r="H44" s="5">
        <f>IF(F44=0,"",IFERROR(G44/F44, ""))</f>
        <v/>
      </c>
      <c r="L44">
        <f>IF(COUNTA(I44:K44)=3, I44+J44+K44, "")</f>
        <v/>
      </c>
      <c r="M44" s="5">
        <f>IF(L44="","",L44/100)</f>
        <v/>
      </c>
      <c r="N44">
        <f>IF(M44="","",IF(M44&gt;=0.7,3,IF(M44&gt;=0.6,2,IF(M44&gt;=0.5,1,0))))</f>
        <v/>
      </c>
    </row>
    <row r="45">
      <c r="H45" s="5">
        <f>IF(F45=0,"",IFERROR(G45/F45, ""))</f>
        <v/>
      </c>
      <c r="L45">
        <f>IF(COUNTA(I45:K45)=3, I45+J45+K45, "")</f>
        <v/>
      </c>
      <c r="M45" s="5">
        <f>IF(L45="","",L45/100)</f>
        <v/>
      </c>
      <c r="N45">
        <f>IF(M45="","",IF(M45&gt;=0.7,3,IF(M45&gt;=0.6,2,IF(M45&gt;=0.5,1,0))))</f>
        <v/>
      </c>
    </row>
    <row r="46">
      <c r="H46" s="5">
        <f>IF(F46=0,"",IFERROR(G46/F46, ""))</f>
        <v/>
      </c>
      <c r="L46">
        <f>IF(COUNTA(I46:K46)=3, I46+J46+K46, "")</f>
        <v/>
      </c>
      <c r="M46" s="5">
        <f>IF(L46="","",L46/100)</f>
        <v/>
      </c>
      <c r="N46">
        <f>IF(M46="","",IF(M46&gt;=0.7,3,IF(M46&gt;=0.6,2,IF(M46&gt;=0.5,1,0))))</f>
        <v/>
      </c>
    </row>
    <row r="47">
      <c r="H47" s="5">
        <f>IF(F47=0,"",IFERROR(G47/F47, ""))</f>
        <v/>
      </c>
      <c r="L47">
        <f>IF(COUNTA(I47:K47)=3, I47+J47+K47, "")</f>
        <v/>
      </c>
      <c r="M47" s="5">
        <f>IF(L47="","",L47/100)</f>
        <v/>
      </c>
      <c r="N47">
        <f>IF(M47="","",IF(M47&gt;=0.7,3,IF(M47&gt;=0.6,2,IF(M47&gt;=0.5,1,0))))</f>
        <v/>
      </c>
    </row>
    <row r="48">
      <c r="H48" s="5">
        <f>IF(F48=0,"",IFERROR(G48/F48, ""))</f>
        <v/>
      </c>
      <c r="L48">
        <f>IF(COUNTA(I48:K48)=3, I48+J48+K48, "")</f>
        <v/>
      </c>
      <c r="M48" s="5">
        <f>IF(L48="","",L48/100)</f>
        <v/>
      </c>
      <c r="N48">
        <f>IF(M48="","",IF(M48&gt;=0.7,3,IF(M48&gt;=0.6,2,IF(M48&gt;=0.5,1,0))))</f>
        <v/>
      </c>
    </row>
    <row r="49">
      <c r="H49" s="5">
        <f>IF(F49=0,"",IFERROR(G49/F49, ""))</f>
        <v/>
      </c>
      <c r="L49">
        <f>IF(COUNTA(I49:K49)=3, I49+J49+K49, "")</f>
        <v/>
      </c>
      <c r="M49" s="5">
        <f>IF(L49="","",L49/100)</f>
        <v/>
      </c>
      <c r="N49">
        <f>IF(M49="","",IF(M49&gt;=0.7,3,IF(M49&gt;=0.6,2,IF(M49&gt;=0.5,1,0))))</f>
        <v/>
      </c>
    </row>
    <row r="50">
      <c r="H50" s="5">
        <f>IF(F50=0,"",IFERROR(G50/F50, ""))</f>
        <v/>
      </c>
      <c r="L50">
        <f>IF(COUNTA(I50:K50)=3, I50+J50+K50, "")</f>
        <v/>
      </c>
      <c r="M50" s="5">
        <f>IF(L50="","",L50/100)</f>
        <v/>
      </c>
      <c r="N50">
        <f>IF(M50="","",IF(M50&gt;=0.7,3,IF(M50&gt;=0.6,2,IF(M50&gt;=0.5,1,0))))</f>
        <v/>
      </c>
    </row>
    <row r="51">
      <c r="H51" s="5">
        <f>IF(F51=0,"",IFERROR(G51/F51, ""))</f>
        <v/>
      </c>
      <c r="L51">
        <f>IF(COUNTA(I51:K51)=3, I51+J51+K51, "")</f>
        <v/>
      </c>
      <c r="M51" s="5">
        <f>IF(L51="","",L51/100)</f>
        <v/>
      </c>
      <c r="N51">
        <f>IF(M51="","",IF(M51&gt;=0.7,3,IF(M51&gt;=0.6,2,IF(M51&gt;=0.5,1,0))))</f>
        <v/>
      </c>
    </row>
    <row r="52">
      <c r="H52" s="5">
        <f>IF(F52=0,"",IFERROR(G52/F52, ""))</f>
        <v/>
      </c>
      <c r="L52">
        <f>IF(COUNTA(I52:K52)=3, I52+J52+K52, "")</f>
        <v/>
      </c>
      <c r="M52" s="5">
        <f>IF(L52="","",L52/100)</f>
        <v/>
      </c>
      <c r="N52">
        <f>IF(M52="","",IF(M52&gt;=0.7,3,IF(M52&gt;=0.6,2,IF(M52&gt;=0.5,1,0))))</f>
        <v/>
      </c>
    </row>
    <row r="53">
      <c r="H53" s="5">
        <f>IF(F53=0,"",IFERROR(G53/F53, ""))</f>
        <v/>
      </c>
      <c r="L53">
        <f>IF(COUNTA(I53:K53)=3, I53+J53+K53, "")</f>
        <v/>
      </c>
      <c r="M53" s="5">
        <f>IF(L53="","",L53/100)</f>
        <v/>
      </c>
      <c r="N53">
        <f>IF(M53="","",IF(M53&gt;=0.7,3,IF(M53&gt;=0.6,2,IF(M53&gt;=0.5,1,0))))</f>
        <v/>
      </c>
    </row>
    <row r="54">
      <c r="H54" s="5">
        <f>IF(F54=0,"",IFERROR(G54/F54, ""))</f>
        <v/>
      </c>
      <c r="L54">
        <f>IF(COUNTA(I54:K54)=3, I54+J54+K54, "")</f>
        <v/>
      </c>
      <c r="M54" s="5">
        <f>IF(L54="","",L54/100)</f>
        <v/>
      </c>
      <c r="N54">
        <f>IF(M54="","",IF(M54&gt;=0.7,3,IF(M54&gt;=0.6,2,IF(M54&gt;=0.5,1,0))))</f>
        <v/>
      </c>
    </row>
    <row r="55">
      <c r="H55" s="5">
        <f>IF(F55=0,"",IFERROR(G55/F55, ""))</f>
        <v/>
      </c>
      <c r="L55">
        <f>IF(COUNTA(I55:K55)=3, I55+J55+K55, "")</f>
        <v/>
      </c>
      <c r="M55" s="5">
        <f>IF(L55="","",L55/100)</f>
        <v/>
      </c>
      <c r="N55">
        <f>IF(M55="","",IF(M55&gt;=0.7,3,IF(M55&gt;=0.6,2,IF(M55&gt;=0.5,1,0))))</f>
        <v/>
      </c>
    </row>
    <row r="56">
      <c r="H56" s="5">
        <f>IF(F56=0,"",IFERROR(G56/F56, ""))</f>
        <v/>
      </c>
      <c r="L56">
        <f>IF(COUNTA(I56:K56)=3, I56+J56+K56, "")</f>
        <v/>
      </c>
      <c r="M56" s="5">
        <f>IF(L56="","",L56/100)</f>
        <v/>
      </c>
      <c r="N56">
        <f>IF(M56="","",IF(M56&gt;=0.7,3,IF(M56&gt;=0.6,2,IF(M56&gt;=0.5,1,0))))</f>
        <v/>
      </c>
    </row>
    <row r="57">
      <c r="H57" s="5">
        <f>IF(F57=0,"",IFERROR(G57/F57, ""))</f>
        <v/>
      </c>
      <c r="L57">
        <f>IF(COUNTA(I57:K57)=3, I57+J57+K57, "")</f>
        <v/>
      </c>
      <c r="M57" s="5">
        <f>IF(L57="","",L57/100)</f>
        <v/>
      </c>
      <c r="N57">
        <f>IF(M57="","",IF(M57&gt;=0.7,3,IF(M57&gt;=0.6,2,IF(M57&gt;=0.5,1,0))))</f>
        <v/>
      </c>
    </row>
    <row r="58">
      <c r="H58" s="5">
        <f>IF(F58=0,"",IFERROR(G58/F58, ""))</f>
        <v/>
      </c>
      <c r="L58">
        <f>IF(COUNTA(I58:K58)=3, I58+J58+K58, "")</f>
        <v/>
      </c>
      <c r="M58" s="5">
        <f>IF(L58="","",L58/100)</f>
        <v/>
      </c>
      <c r="N58">
        <f>IF(M58="","",IF(M58&gt;=0.7,3,IF(M58&gt;=0.6,2,IF(M58&gt;=0.5,1,0))))</f>
        <v/>
      </c>
    </row>
    <row r="59">
      <c r="H59" s="5">
        <f>IF(F59=0,"",IFERROR(G59/F59, ""))</f>
        <v/>
      </c>
      <c r="L59">
        <f>IF(COUNTA(I59:K59)=3, I59+J59+K59, "")</f>
        <v/>
      </c>
      <c r="M59" s="5">
        <f>IF(L59="","",L59/100)</f>
        <v/>
      </c>
      <c r="N59">
        <f>IF(M59="","",IF(M59&gt;=0.7,3,IF(M59&gt;=0.6,2,IF(M59&gt;=0.5,1,0))))</f>
        <v/>
      </c>
    </row>
    <row r="60">
      <c r="H60" s="5">
        <f>IF(F60=0,"",IFERROR(G60/F60, ""))</f>
        <v/>
      </c>
      <c r="L60">
        <f>IF(COUNTA(I60:K60)=3, I60+J60+K60, "")</f>
        <v/>
      </c>
      <c r="M60" s="5">
        <f>IF(L60="","",L60/100)</f>
        <v/>
      </c>
      <c r="N60">
        <f>IF(M60="","",IF(M60&gt;=0.7,3,IF(M60&gt;=0.6,2,IF(M60&gt;=0.5,1,0))))</f>
        <v/>
      </c>
    </row>
    <row r="61">
      <c r="H61" s="5">
        <f>IF(F61=0,"",IFERROR(G61/F61, ""))</f>
        <v/>
      </c>
      <c r="L61">
        <f>IF(COUNTA(I61:K61)=3, I61+J61+K61, "")</f>
        <v/>
      </c>
      <c r="M61" s="5">
        <f>IF(L61="","",L61/100)</f>
        <v/>
      </c>
      <c r="N61">
        <f>IF(M61="","",IF(M61&gt;=0.7,3,IF(M61&gt;=0.6,2,IF(M61&gt;=0.5,1,0))))</f>
        <v/>
      </c>
    </row>
    <row r="62">
      <c r="H62" s="5">
        <f>IF(F62=0,"",IFERROR(G62/F62, ""))</f>
        <v/>
      </c>
      <c r="L62">
        <f>IF(COUNTA(I62:K62)=3, I62+J62+K62, "")</f>
        <v/>
      </c>
      <c r="M62" s="5">
        <f>IF(L62="","",L62/100)</f>
        <v/>
      </c>
      <c r="N62">
        <f>IF(M62="","",IF(M62&gt;=0.7,3,IF(M62&gt;=0.6,2,IF(M62&gt;=0.5,1,0))))</f>
        <v/>
      </c>
    </row>
    <row r="63">
      <c r="H63" s="5">
        <f>IF(F63=0,"",IFERROR(G63/F63, ""))</f>
        <v/>
      </c>
      <c r="L63">
        <f>IF(COUNTA(I63:K63)=3, I63+J63+K63, "")</f>
        <v/>
      </c>
      <c r="M63" s="5">
        <f>IF(L63="","",L63/100)</f>
        <v/>
      </c>
      <c r="N63">
        <f>IF(M63="","",IF(M63&gt;=0.7,3,IF(M63&gt;=0.6,2,IF(M63&gt;=0.5,1,0))))</f>
        <v/>
      </c>
    </row>
    <row r="64">
      <c r="H64" s="5">
        <f>IF(F64=0,"",IFERROR(G64/F64, ""))</f>
        <v/>
      </c>
      <c r="L64">
        <f>IF(COUNTA(I64:K64)=3, I64+J64+K64, "")</f>
        <v/>
      </c>
      <c r="M64" s="5">
        <f>IF(L64="","",L64/100)</f>
        <v/>
      </c>
      <c r="N64">
        <f>IF(M64="","",IF(M64&gt;=0.7,3,IF(M64&gt;=0.6,2,IF(M64&gt;=0.5,1,0))))</f>
        <v/>
      </c>
    </row>
    <row r="65">
      <c r="H65" s="5">
        <f>IF(F65=0,"",IFERROR(G65/F65, ""))</f>
        <v/>
      </c>
      <c r="L65">
        <f>IF(COUNTA(I65:K65)=3, I65+J65+K65, "")</f>
        <v/>
      </c>
      <c r="M65" s="5">
        <f>IF(L65="","",L65/100)</f>
        <v/>
      </c>
      <c r="N65">
        <f>IF(M65="","",IF(M65&gt;=0.7,3,IF(M65&gt;=0.6,2,IF(M65&gt;=0.5,1,0))))</f>
        <v/>
      </c>
    </row>
    <row r="66">
      <c r="H66" s="5">
        <f>IF(F66=0,"",IFERROR(G66/F66, ""))</f>
        <v/>
      </c>
      <c r="L66">
        <f>IF(COUNTA(I66:K66)=3, I66+J66+K66, "")</f>
        <v/>
      </c>
      <c r="M66" s="5">
        <f>IF(L66="","",L66/100)</f>
        <v/>
      </c>
      <c r="N66">
        <f>IF(M66="","",IF(M66&gt;=0.7,3,IF(M66&gt;=0.6,2,IF(M66&gt;=0.5,1,0))))</f>
        <v/>
      </c>
    </row>
    <row r="67">
      <c r="H67" s="5">
        <f>IF(F67=0,"",IFERROR(G67/F67, ""))</f>
        <v/>
      </c>
      <c r="L67">
        <f>IF(COUNTA(I67:K67)=3, I67+J67+K67, "")</f>
        <v/>
      </c>
      <c r="M67" s="5">
        <f>IF(L67="","",L67/100)</f>
        <v/>
      </c>
      <c r="N67">
        <f>IF(M67="","",IF(M67&gt;=0.7,3,IF(M67&gt;=0.6,2,IF(M67&gt;=0.5,1,0))))</f>
        <v/>
      </c>
    </row>
    <row r="68">
      <c r="H68" s="5">
        <f>IF(F68=0,"",IFERROR(G68/F68, ""))</f>
        <v/>
      </c>
      <c r="L68">
        <f>IF(COUNTA(I68:K68)=3, I68+J68+K68, "")</f>
        <v/>
      </c>
      <c r="M68" s="5">
        <f>IF(L68="","",L68/100)</f>
        <v/>
      </c>
      <c r="N68">
        <f>IF(M68="","",IF(M68&gt;=0.7,3,IF(M68&gt;=0.6,2,IF(M68&gt;=0.5,1,0))))</f>
        <v/>
      </c>
    </row>
    <row r="69">
      <c r="H69" s="5">
        <f>IF(F69=0,"",IFERROR(G69/F69, ""))</f>
        <v/>
      </c>
      <c r="L69">
        <f>IF(COUNTA(I69:K69)=3, I69+J69+K69, "")</f>
        <v/>
      </c>
      <c r="M69" s="5">
        <f>IF(L69="","",L69/100)</f>
        <v/>
      </c>
      <c r="N69">
        <f>IF(M69="","",IF(M69&gt;=0.7,3,IF(M69&gt;=0.6,2,IF(M69&gt;=0.5,1,0))))</f>
        <v/>
      </c>
    </row>
    <row r="70">
      <c r="H70" s="5">
        <f>IF(F70=0,"",IFERROR(G70/F70, ""))</f>
        <v/>
      </c>
      <c r="L70">
        <f>IF(COUNTA(I70:K70)=3, I70+J70+K70, "")</f>
        <v/>
      </c>
      <c r="M70" s="5">
        <f>IF(L70="","",L70/100)</f>
        <v/>
      </c>
      <c r="N70">
        <f>IF(M70="","",IF(M70&gt;=0.7,3,IF(M70&gt;=0.6,2,IF(M70&gt;=0.5,1,0))))</f>
        <v/>
      </c>
    </row>
    <row r="71">
      <c r="H71" s="5">
        <f>IF(F71=0,"",IFERROR(G71/F71, ""))</f>
        <v/>
      </c>
      <c r="L71">
        <f>IF(COUNTA(I71:K71)=3, I71+J71+K71, "")</f>
        <v/>
      </c>
      <c r="M71" s="5">
        <f>IF(L71="","",L71/100)</f>
        <v/>
      </c>
      <c r="N71">
        <f>IF(M71="","",IF(M71&gt;=0.7,3,IF(M71&gt;=0.6,2,IF(M71&gt;=0.5,1,0))))</f>
        <v/>
      </c>
    </row>
    <row r="72">
      <c r="H72" s="5">
        <f>IF(F72=0,"",IFERROR(G72/F72, ""))</f>
        <v/>
      </c>
      <c r="L72">
        <f>IF(COUNTA(I72:K72)=3, I72+J72+K72, "")</f>
        <v/>
      </c>
      <c r="M72" s="5">
        <f>IF(L72="","",L72/100)</f>
        <v/>
      </c>
      <c r="N72">
        <f>IF(M72="","",IF(M72&gt;=0.7,3,IF(M72&gt;=0.6,2,IF(M72&gt;=0.5,1,0))))</f>
        <v/>
      </c>
    </row>
    <row r="73">
      <c r="H73" s="5">
        <f>IF(F73=0,"",IFERROR(G73/F73, ""))</f>
        <v/>
      </c>
      <c r="L73">
        <f>IF(COUNTA(I73:K73)=3, I73+J73+K73, "")</f>
        <v/>
      </c>
      <c r="M73" s="5">
        <f>IF(L73="","",L73/100)</f>
        <v/>
      </c>
      <c r="N73">
        <f>IF(M73="","",IF(M73&gt;=0.7,3,IF(M73&gt;=0.6,2,IF(M73&gt;=0.5,1,0))))</f>
        <v/>
      </c>
    </row>
    <row r="74">
      <c r="H74" s="5">
        <f>IF(F74=0,"",IFERROR(G74/F74, ""))</f>
        <v/>
      </c>
      <c r="L74">
        <f>IF(COUNTA(I74:K74)=3, I74+J74+K74, "")</f>
        <v/>
      </c>
      <c r="M74" s="5">
        <f>IF(L74="","",L74/100)</f>
        <v/>
      </c>
      <c r="N74">
        <f>IF(M74="","",IF(M74&gt;=0.7,3,IF(M74&gt;=0.6,2,IF(M74&gt;=0.5,1,0))))</f>
        <v/>
      </c>
    </row>
    <row r="75">
      <c r="H75" s="5">
        <f>IF(F75=0,"",IFERROR(G75/F75, ""))</f>
        <v/>
      </c>
      <c r="L75">
        <f>IF(COUNTA(I75:K75)=3, I75+J75+K75, "")</f>
        <v/>
      </c>
      <c r="M75" s="5">
        <f>IF(L75="","",L75/100)</f>
        <v/>
      </c>
      <c r="N75">
        <f>IF(M75="","",IF(M75&gt;=0.7,3,IF(M75&gt;=0.6,2,IF(M75&gt;=0.5,1,0))))</f>
        <v/>
      </c>
    </row>
    <row r="76">
      <c r="H76" s="5">
        <f>IF(F76=0,"",IFERROR(G76/F76, ""))</f>
        <v/>
      </c>
      <c r="L76">
        <f>IF(COUNTA(I76:K76)=3, I76+J76+K76, "")</f>
        <v/>
      </c>
      <c r="M76" s="5">
        <f>IF(L76="","",L76/100)</f>
        <v/>
      </c>
      <c r="N76">
        <f>IF(M76="","",IF(M76&gt;=0.7,3,IF(M76&gt;=0.6,2,IF(M76&gt;=0.5,1,0))))</f>
        <v/>
      </c>
    </row>
    <row r="77">
      <c r="H77" s="5">
        <f>IF(F77=0,"",IFERROR(G77/F77, ""))</f>
        <v/>
      </c>
      <c r="L77">
        <f>IF(COUNTA(I77:K77)=3, I77+J77+K77, "")</f>
        <v/>
      </c>
      <c r="M77" s="5">
        <f>IF(L77="","",L77/100)</f>
        <v/>
      </c>
      <c r="N77">
        <f>IF(M77="","",IF(M77&gt;=0.7,3,IF(M77&gt;=0.6,2,IF(M77&gt;=0.5,1,0))))</f>
        <v/>
      </c>
    </row>
    <row r="78">
      <c r="H78" s="5">
        <f>IF(F78=0,"",IFERROR(G78/F78, ""))</f>
        <v/>
      </c>
      <c r="L78">
        <f>IF(COUNTA(I78:K78)=3, I78+J78+K78, "")</f>
        <v/>
      </c>
      <c r="M78" s="5">
        <f>IF(L78="","",L78/100)</f>
        <v/>
      </c>
      <c r="N78">
        <f>IF(M78="","",IF(M78&gt;=0.7,3,IF(M78&gt;=0.6,2,IF(M78&gt;=0.5,1,0))))</f>
        <v/>
      </c>
    </row>
    <row r="79">
      <c r="H79" s="5">
        <f>IF(F79=0,"",IFERROR(G79/F79, ""))</f>
        <v/>
      </c>
      <c r="L79">
        <f>IF(COUNTA(I79:K79)=3, I79+J79+K79, "")</f>
        <v/>
      </c>
      <c r="M79" s="5">
        <f>IF(L79="","",L79/100)</f>
        <v/>
      </c>
      <c r="N79">
        <f>IF(M79="","",IF(M79&gt;=0.7,3,IF(M79&gt;=0.6,2,IF(M79&gt;=0.5,1,0))))</f>
        <v/>
      </c>
    </row>
    <row r="80">
      <c r="H80" s="5">
        <f>IF(F80=0,"",IFERROR(G80/F80, ""))</f>
        <v/>
      </c>
      <c r="L80">
        <f>IF(COUNTA(I80:K80)=3, I80+J80+K80, "")</f>
        <v/>
      </c>
      <c r="M80" s="5">
        <f>IF(L80="","",L80/100)</f>
        <v/>
      </c>
      <c r="N80">
        <f>IF(M80="","",IF(M80&gt;=0.7,3,IF(M80&gt;=0.6,2,IF(M80&gt;=0.5,1,0))))</f>
        <v/>
      </c>
    </row>
    <row r="81">
      <c r="H81" s="5">
        <f>IF(F81=0,"",IFERROR(G81/F81, ""))</f>
        <v/>
      </c>
      <c r="L81">
        <f>IF(COUNTA(I81:K81)=3, I81+J81+K81, "")</f>
        <v/>
      </c>
      <c r="M81" s="5">
        <f>IF(L81="","",L81/100)</f>
        <v/>
      </c>
      <c r="N81">
        <f>IF(M81="","",IF(M81&gt;=0.7,3,IF(M81&gt;=0.6,2,IF(M81&gt;=0.5,1,0))))</f>
        <v/>
      </c>
    </row>
    <row r="82">
      <c r="H82" s="5">
        <f>IF(F82=0,"",IFERROR(G82/F82, ""))</f>
        <v/>
      </c>
      <c r="L82">
        <f>IF(COUNTA(I82:K82)=3, I82+J82+K82, "")</f>
        <v/>
      </c>
      <c r="M82" s="5">
        <f>IF(L82="","",L82/100)</f>
        <v/>
      </c>
      <c r="N82">
        <f>IF(M82="","",IF(M82&gt;=0.7,3,IF(M82&gt;=0.6,2,IF(M82&gt;=0.5,1,0))))</f>
        <v/>
      </c>
    </row>
    <row r="83">
      <c r="H83" s="5">
        <f>IF(F83=0,"",IFERROR(G83/F83, ""))</f>
        <v/>
      </c>
      <c r="L83">
        <f>IF(COUNTA(I83:K83)=3, I83+J83+K83, "")</f>
        <v/>
      </c>
      <c r="M83" s="5">
        <f>IF(L83="","",L83/100)</f>
        <v/>
      </c>
      <c r="N83">
        <f>IF(M83="","",IF(M83&gt;=0.7,3,IF(M83&gt;=0.6,2,IF(M83&gt;=0.5,1,0))))</f>
        <v/>
      </c>
    </row>
    <row r="84">
      <c r="H84" s="5">
        <f>IF(F84=0,"",IFERROR(G84/F84, ""))</f>
        <v/>
      </c>
      <c r="L84">
        <f>IF(COUNTA(I84:K84)=3, I84+J84+K84, "")</f>
        <v/>
      </c>
      <c r="M84" s="5">
        <f>IF(L84="","",L84/100)</f>
        <v/>
      </c>
      <c r="N84">
        <f>IF(M84="","",IF(M84&gt;=0.7,3,IF(M84&gt;=0.6,2,IF(M84&gt;=0.5,1,0))))</f>
        <v/>
      </c>
    </row>
    <row r="85">
      <c r="H85" s="5">
        <f>IF(F85=0,"",IFERROR(G85/F85, ""))</f>
        <v/>
      </c>
      <c r="L85">
        <f>IF(COUNTA(I85:K85)=3, I85+J85+K85, "")</f>
        <v/>
      </c>
      <c r="M85" s="5">
        <f>IF(L85="","",L85/100)</f>
        <v/>
      </c>
      <c r="N85">
        <f>IF(M85="","",IF(M85&gt;=0.7,3,IF(M85&gt;=0.6,2,IF(M85&gt;=0.5,1,0))))</f>
        <v/>
      </c>
    </row>
    <row r="86">
      <c r="H86" s="5">
        <f>IF(F86=0,"",IFERROR(G86/F86, ""))</f>
        <v/>
      </c>
      <c r="L86">
        <f>IF(COUNTA(I86:K86)=3, I86+J86+K86, "")</f>
        <v/>
      </c>
      <c r="M86" s="5">
        <f>IF(L86="","",L86/100)</f>
        <v/>
      </c>
      <c r="N86">
        <f>IF(M86="","",IF(M86&gt;=0.7,3,IF(M86&gt;=0.6,2,IF(M86&gt;=0.5,1,0))))</f>
        <v/>
      </c>
    </row>
    <row r="87">
      <c r="H87" s="5">
        <f>IF(F87=0,"",IFERROR(G87/F87, ""))</f>
        <v/>
      </c>
      <c r="L87">
        <f>IF(COUNTA(I87:K87)=3, I87+J87+K87, "")</f>
        <v/>
      </c>
      <c r="M87" s="5">
        <f>IF(L87="","",L87/100)</f>
        <v/>
      </c>
      <c r="N87">
        <f>IF(M87="","",IF(M87&gt;=0.7,3,IF(M87&gt;=0.6,2,IF(M87&gt;=0.5,1,0))))</f>
        <v/>
      </c>
    </row>
    <row r="88">
      <c r="H88" s="5">
        <f>IF(F88=0,"",IFERROR(G88/F88, ""))</f>
        <v/>
      </c>
      <c r="L88">
        <f>IF(COUNTA(I88:K88)=3, I88+J88+K88, "")</f>
        <v/>
      </c>
      <c r="M88" s="5">
        <f>IF(L88="","",L88/100)</f>
        <v/>
      </c>
      <c r="N88">
        <f>IF(M88="","",IF(M88&gt;=0.7,3,IF(M88&gt;=0.6,2,IF(M88&gt;=0.5,1,0))))</f>
        <v/>
      </c>
    </row>
    <row r="89">
      <c r="H89" s="5">
        <f>IF(F89=0,"",IFERROR(G89/F89, ""))</f>
        <v/>
      </c>
      <c r="L89">
        <f>IF(COUNTA(I89:K89)=3, I89+J89+K89, "")</f>
        <v/>
      </c>
      <c r="M89" s="5">
        <f>IF(L89="","",L89/100)</f>
        <v/>
      </c>
      <c r="N89">
        <f>IF(M89="","",IF(M89&gt;=0.7,3,IF(M89&gt;=0.6,2,IF(M89&gt;=0.5,1,0))))</f>
        <v/>
      </c>
    </row>
    <row r="90">
      <c r="H90" s="5">
        <f>IF(F90=0,"",IFERROR(G90/F90, ""))</f>
        <v/>
      </c>
      <c r="L90">
        <f>IF(COUNTA(I90:K90)=3, I90+J90+K90, "")</f>
        <v/>
      </c>
      <c r="M90" s="5">
        <f>IF(L90="","",L90/100)</f>
        <v/>
      </c>
      <c r="N90">
        <f>IF(M90="","",IF(M90&gt;=0.7,3,IF(M90&gt;=0.6,2,IF(M90&gt;=0.5,1,0))))</f>
        <v/>
      </c>
    </row>
    <row r="91">
      <c r="H91" s="5">
        <f>IF(F91=0,"",IFERROR(G91/F91, ""))</f>
        <v/>
      </c>
      <c r="L91">
        <f>IF(COUNTA(I91:K91)=3, I91+J91+K91, "")</f>
        <v/>
      </c>
      <c r="M91" s="5">
        <f>IF(L91="","",L91/100)</f>
        <v/>
      </c>
      <c r="N91">
        <f>IF(M91="","",IF(M91&gt;=0.7,3,IF(M91&gt;=0.6,2,IF(M91&gt;=0.5,1,0))))</f>
        <v/>
      </c>
    </row>
    <row r="92">
      <c r="H92" s="5">
        <f>IF(F92=0,"",IFERROR(G92/F92, ""))</f>
        <v/>
      </c>
      <c r="L92">
        <f>IF(COUNTA(I92:K92)=3, I92+J92+K92, "")</f>
        <v/>
      </c>
      <c r="M92" s="5">
        <f>IF(L92="","",L92/100)</f>
        <v/>
      </c>
      <c r="N92">
        <f>IF(M92="","",IF(M92&gt;=0.7,3,IF(M92&gt;=0.6,2,IF(M92&gt;=0.5,1,0))))</f>
        <v/>
      </c>
    </row>
    <row r="93">
      <c r="H93" s="5">
        <f>IF(F93=0,"",IFERROR(G93/F93, ""))</f>
        <v/>
      </c>
      <c r="L93">
        <f>IF(COUNTA(I93:K93)=3, I93+J93+K93, "")</f>
        <v/>
      </c>
      <c r="M93" s="5">
        <f>IF(L93="","",L93/100)</f>
        <v/>
      </c>
      <c r="N93">
        <f>IF(M93="","",IF(M93&gt;=0.7,3,IF(M93&gt;=0.6,2,IF(M93&gt;=0.5,1,0))))</f>
        <v/>
      </c>
    </row>
    <row r="94">
      <c r="H94" s="5">
        <f>IF(F94=0,"",IFERROR(G94/F94, ""))</f>
        <v/>
      </c>
      <c r="L94">
        <f>IF(COUNTA(I94:K94)=3, I94+J94+K94, "")</f>
        <v/>
      </c>
      <c r="M94" s="5">
        <f>IF(L94="","",L94/100)</f>
        <v/>
      </c>
      <c r="N94">
        <f>IF(M94="","",IF(M94&gt;=0.7,3,IF(M94&gt;=0.6,2,IF(M94&gt;=0.5,1,0))))</f>
        <v/>
      </c>
    </row>
    <row r="95">
      <c r="H95" s="5">
        <f>IF(F95=0,"",IFERROR(G95/F95, ""))</f>
        <v/>
      </c>
      <c r="L95">
        <f>IF(COUNTA(I95:K95)=3, I95+J95+K95, "")</f>
        <v/>
      </c>
      <c r="M95" s="5">
        <f>IF(L95="","",L95/100)</f>
        <v/>
      </c>
      <c r="N95">
        <f>IF(M95="","",IF(M95&gt;=0.7,3,IF(M95&gt;=0.6,2,IF(M95&gt;=0.5,1,0))))</f>
        <v/>
      </c>
    </row>
    <row r="96">
      <c r="H96" s="5">
        <f>IF(F96=0,"",IFERROR(G96/F96, ""))</f>
        <v/>
      </c>
      <c r="L96">
        <f>IF(COUNTA(I96:K96)=3, I96+J96+K96, "")</f>
        <v/>
      </c>
      <c r="M96" s="5">
        <f>IF(L96="","",L96/100)</f>
        <v/>
      </c>
      <c r="N96">
        <f>IF(M96="","",IF(M96&gt;=0.7,3,IF(M96&gt;=0.6,2,IF(M96&gt;=0.5,1,0))))</f>
        <v/>
      </c>
    </row>
    <row r="97">
      <c r="H97" s="5">
        <f>IF(F97=0,"",IFERROR(G97/F97, ""))</f>
        <v/>
      </c>
      <c r="L97">
        <f>IF(COUNTA(I97:K97)=3, I97+J97+K97, "")</f>
        <v/>
      </c>
      <c r="M97" s="5">
        <f>IF(L97="","",L97/100)</f>
        <v/>
      </c>
      <c r="N97">
        <f>IF(M97="","",IF(M97&gt;=0.7,3,IF(M97&gt;=0.6,2,IF(M97&gt;=0.5,1,0))))</f>
        <v/>
      </c>
    </row>
    <row r="98">
      <c r="H98" s="5">
        <f>IF(F98=0,"",IFERROR(G98/F98, ""))</f>
        <v/>
      </c>
      <c r="L98">
        <f>IF(COUNTA(I98:K98)=3, I98+J98+K98, "")</f>
        <v/>
      </c>
      <c r="M98" s="5">
        <f>IF(L98="","",L98/100)</f>
        <v/>
      </c>
      <c r="N98">
        <f>IF(M98="","",IF(M98&gt;=0.7,3,IF(M98&gt;=0.6,2,IF(M98&gt;=0.5,1,0))))</f>
        <v/>
      </c>
    </row>
    <row r="99">
      <c r="H99" s="5">
        <f>IF(F99=0,"",IFERROR(G99/F99, ""))</f>
        <v/>
      </c>
      <c r="L99">
        <f>IF(COUNTA(I99:K99)=3, I99+J99+K99, "")</f>
        <v/>
      </c>
      <c r="M99" s="5">
        <f>IF(L99="","",L99/100)</f>
        <v/>
      </c>
      <c r="N99">
        <f>IF(M99="","",IF(M99&gt;=0.7,3,IF(M99&gt;=0.6,2,IF(M99&gt;=0.5,1,0))))</f>
        <v/>
      </c>
    </row>
    <row r="100">
      <c r="H100" s="5">
        <f>IF(F100=0,"",IFERROR(G100/F100, ""))</f>
        <v/>
      </c>
      <c r="L100">
        <f>IF(COUNTA(I100:K100)=3, I100+J100+K100, "")</f>
        <v/>
      </c>
      <c r="M100" s="5">
        <f>IF(L100="","",L100/100)</f>
        <v/>
      </c>
      <c r="N100">
        <f>IF(M100="","",IF(M100&gt;=0.7,3,IF(M100&gt;=0.6,2,IF(M100&gt;=0.5,1,0))))</f>
        <v/>
      </c>
    </row>
    <row r="101">
      <c r="H101" s="5">
        <f>IF(F101=0,"",IFERROR(G101/F101, ""))</f>
        <v/>
      </c>
      <c r="L101">
        <f>IF(COUNTA(I101:K101)=3, I101+J101+K101, "")</f>
        <v/>
      </c>
      <c r="M101" s="5">
        <f>IF(L101="","",L101/100)</f>
        <v/>
      </c>
      <c r="N101">
        <f>IF(M101="","",IF(M101&gt;=0.7,3,IF(M101&gt;=0.6,2,IF(M101&gt;=0.5,1,0))))</f>
        <v/>
      </c>
    </row>
    <row r="102">
      <c r="H102" s="5">
        <f>IF(F102=0,"",IFERROR(G102/F102, ""))</f>
        <v/>
      </c>
      <c r="L102">
        <f>IF(COUNTA(I102:K102)=3, I102+J102+K102, "")</f>
        <v/>
      </c>
      <c r="M102" s="5">
        <f>IF(L102="","",L102/100)</f>
        <v/>
      </c>
      <c r="N102">
        <f>IF(M102="","",IF(M102&gt;=0.7,3,IF(M102&gt;=0.6,2,IF(M102&gt;=0.5,1,0))))</f>
        <v/>
      </c>
    </row>
    <row r="103">
      <c r="H103" s="5">
        <f>IF(F103=0,"",IFERROR(G103/F103, ""))</f>
        <v/>
      </c>
      <c r="L103">
        <f>IF(COUNTA(I103:K103)=3, I103+J103+K103, "")</f>
        <v/>
      </c>
      <c r="M103" s="5">
        <f>IF(L103="","",L103/100)</f>
        <v/>
      </c>
      <c r="N103">
        <f>IF(M103="","",IF(M103&gt;=0.7,3,IF(M103&gt;=0.6,2,IF(M103&gt;=0.5,1,0))))</f>
        <v/>
      </c>
    </row>
    <row r="104">
      <c r="H104" s="5">
        <f>IF(F104=0,"",IFERROR(G104/F104, ""))</f>
        <v/>
      </c>
      <c r="L104">
        <f>IF(COUNTA(I104:K104)=3, I104+J104+K104, "")</f>
        <v/>
      </c>
      <c r="M104" s="5">
        <f>IF(L104="","",L104/100)</f>
        <v/>
      </c>
      <c r="N104">
        <f>IF(M104="","",IF(M104&gt;=0.7,3,IF(M104&gt;=0.6,2,IF(M104&gt;=0.5,1,0))))</f>
        <v/>
      </c>
    </row>
    <row r="105">
      <c r="H105" s="5">
        <f>IF(F105=0,"",IFERROR(G105/F105, ""))</f>
        <v/>
      </c>
      <c r="L105">
        <f>IF(COUNTA(I105:K105)=3, I105+J105+K105, "")</f>
        <v/>
      </c>
      <c r="M105" s="5">
        <f>IF(L105="","",L105/100)</f>
        <v/>
      </c>
      <c r="N105">
        <f>IF(M105="","",IF(M105&gt;=0.7,3,IF(M105&gt;=0.6,2,IF(M105&gt;=0.5,1,0))))</f>
        <v/>
      </c>
    </row>
    <row r="106">
      <c r="H106" s="5">
        <f>IF(F106=0,"",IFERROR(G106/F106, ""))</f>
        <v/>
      </c>
      <c r="L106">
        <f>IF(COUNTA(I106:K106)=3, I106+J106+K106, "")</f>
        <v/>
      </c>
      <c r="M106" s="5">
        <f>IF(L106="","",L106/100)</f>
        <v/>
      </c>
      <c r="N106">
        <f>IF(M106="","",IF(M106&gt;=0.7,3,IF(M106&gt;=0.6,2,IF(M106&gt;=0.5,1,0))))</f>
        <v/>
      </c>
    </row>
    <row r="107">
      <c r="H107" s="5">
        <f>IF(F107=0,"",IFERROR(G107/F107, ""))</f>
        <v/>
      </c>
      <c r="L107">
        <f>IF(COUNTA(I107:K107)=3, I107+J107+K107, "")</f>
        <v/>
      </c>
      <c r="M107" s="5">
        <f>IF(L107="","",L107/100)</f>
        <v/>
      </c>
      <c r="N107">
        <f>IF(M107="","",IF(M107&gt;=0.7,3,IF(M107&gt;=0.6,2,IF(M107&gt;=0.5,1,0))))</f>
        <v/>
      </c>
    </row>
    <row r="108">
      <c r="H108" s="5">
        <f>IF(F108=0,"",IFERROR(G108/F108, ""))</f>
        <v/>
      </c>
      <c r="L108">
        <f>IF(COUNTA(I108:K108)=3, I108+J108+K108, "")</f>
        <v/>
      </c>
      <c r="M108" s="5">
        <f>IF(L108="","",L108/100)</f>
        <v/>
      </c>
      <c r="N108">
        <f>IF(M108="","",IF(M108&gt;=0.7,3,IF(M108&gt;=0.6,2,IF(M108&gt;=0.5,1,0))))</f>
        <v/>
      </c>
    </row>
    <row r="109">
      <c r="H109" s="5">
        <f>IF(F109=0,"",IFERROR(G109/F109, ""))</f>
        <v/>
      </c>
      <c r="L109">
        <f>IF(COUNTA(I109:K109)=3, I109+J109+K109, "")</f>
        <v/>
      </c>
      <c r="M109" s="5">
        <f>IF(L109="","",L109/100)</f>
        <v/>
      </c>
      <c r="N109">
        <f>IF(M109="","",IF(M109&gt;=0.7,3,IF(M109&gt;=0.6,2,IF(M109&gt;=0.5,1,0))))</f>
        <v/>
      </c>
    </row>
    <row r="110">
      <c r="H110" s="5">
        <f>IF(F110=0,"",IFERROR(G110/F110, ""))</f>
        <v/>
      </c>
      <c r="L110">
        <f>IF(COUNTA(I110:K110)=3, I110+J110+K110, "")</f>
        <v/>
      </c>
      <c r="M110" s="5">
        <f>IF(L110="","",L110/100)</f>
        <v/>
      </c>
      <c r="N110">
        <f>IF(M110="","",IF(M110&gt;=0.7,3,IF(M110&gt;=0.6,2,IF(M110&gt;=0.5,1,0))))</f>
        <v/>
      </c>
    </row>
    <row r="111">
      <c r="H111" s="5">
        <f>IF(F111=0,"",IFERROR(G111/F111, ""))</f>
        <v/>
      </c>
      <c r="L111">
        <f>IF(COUNTA(I111:K111)=3, I111+J111+K111, "")</f>
        <v/>
      </c>
      <c r="M111" s="5">
        <f>IF(L111="","",L111/100)</f>
        <v/>
      </c>
      <c r="N111">
        <f>IF(M111="","",IF(M111&gt;=0.7,3,IF(M111&gt;=0.6,2,IF(M111&gt;=0.5,1,0))))</f>
        <v/>
      </c>
    </row>
    <row r="112">
      <c r="H112" s="5">
        <f>IF(F112=0,"",IFERROR(G112/F112, ""))</f>
        <v/>
      </c>
      <c r="L112">
        <f>IF(COUNTA(I112:K112)=3, I112+J112+K112, "")</f>
        <v/>
      </c>
      <c r="M112" s="5">
        <f>IF(L112="","",L112/100)</f>
        <v/>
      </c>
      <c r="N112">
        <f>IF(M112="","",IF(M112&gt;=0.7,3,IF(M112&gt;=0.6,2,IF(M112&gt;=0.5,1,0))))</f>
        <v/>
      </c>
    </row>
    <row r="113">
      <c r="H113" s="5">
        <f>IF(F113=0,"",IFERROR(G113/F113, ""))</f>
        <v/>
      </c>
      <c r="L113">
        <f>IF(COUNTA(I113:K113)=3, I113+J113+K113, "")</f>
        <v/>
      </c>
      <c r="M113" s="5">
        <f>IF(L113="","",L113/100)</f>
        <v/>
      </c>
      <c r="N113">
        <f>IF(M113="","",IF(M113&gt;=0.7,3,IF(M113&gt;=0.6,2,IF(M113&gt;=0.5,1,0))))</f>
        <v/>
      </c>
    </row>
    <row r="114">
      <c r="H114" s="5">
        <f>IF(F114=0,"",IFERROR(G114/F114, ""))</f>
        <v/>
      </c>
      <c r="L114">
        <f>IF(COUNTA(I114:K114)=3, I114+J114+K114, "")</f>
        <v/>
      </c>
      <c r="M114" s="5">
        <f>IF(L114="","",L114/100)</f>
        <v/>
      </c>
      <c r="N114">
        <f>IF(M114="","",IF(M114&gt;=0.7,3,IF(M114&gt;=0.6,2,IF(M114&gt;=0.5,1,0))))</f>
        <v/>
      </c>
    </row>
    <row r="115">
      <c r="H115" s="5">
        <f>IF(F115=0,"",IFERROR(G115/F115, ""))</f>
        <v/>
      </c>
      <c r="L115">
        <f>IF(COUNTA(I115:K115)=3, I115+J115+K115, "")</f>
        <v/>
      </c>
      <c r="M115" s="5">
        <f>IF(L115="","",L115/100)</f>
        <v/>
      </c>
      <c r="N115">
        <f>IF(M115="","",IF(M115&gt;=0.7,3,IF(M115&gt;=0.6,2,IF(M115&gt;=0.5,1,0))))</f>
        <v/>
      </c>
    </row>
    <row r="116">
      <c r="H116" s="5">
        <f>IF(F116=0,"",IFERROR(G116/F116, ""))</f>
        <v/>
      </c>
      <c r="L116">
        <f>IF(COUNTA(I116:K116)=3, I116+J116+K116, "")</f>
        <v/>
      </c>
      <c r="M116" s="5">
        <f>IF(L116="","",L116/100)</f>
        <v/>
      </c>
      <c r="N116">
        <f>IF(M116="","",IF(M116&gt;=0.7,3,IF(M116&gt;=0.6,2,IF(M116&gt;=0.5,1,0))))</f>
        <v/>
      </c>
    </row>
    <row r="117">
      <c r="H117" s="5">
        <f>IF(F117=0,"",IFERROR(G117/F117, ""))</f>
        <v/>
      </c>
      <c r="L117">
        <f>IF(COUNTA(I117:K117)=3, I117+J117+K117, "")</f>
        <v/>
      </c>
      <c r="M117" s="5">
        <f>IF(L117="","",L117/100)</f>
        <v/>
      </c>
      <c r="N117">
        <f>IF(M117="","",IF(M117&gt;=0.7,3,IF(M117&gt;=0.6,2,IF(M117&gt;=0.5,1,0))))</f>
        <v/>
      </c>
    </row>
    <row r="118">
      <c r="H118" s="5">
        <f>IF(F118=0,"",IFERROR(G118/F118, ""))</f>
        <v/>
      </c>
      <c r="L118">
        <f>IF(COUNTA(I118:K118)=3, I118+J118+K118, "")</f>
        <v/>
      </c>
      <c r="M118" s="5">
        <f>IF(L118="","",L118/100)</f>
        <v/>
      </c>
      <c r="N118">
        <f>IF(M118="","",IF(M118&gt;=0.7,3,IF(M118&gt;=0.6,2,IF(M118&gt;=0.5,1,0))))</f>
        <v/>
      </c>
    </row>
    <row r="119">
      <c r="H119" s="5">
        <f>IF(F119=0,"",IFERROR(G119/F119, ""))</f>
        <v/>
      </c>
      <c r="L119">
        <f>IF(COUNTA(I119:K119)=3, I119+J119+K119, "")</f>
        <v/>
      </c>
      <c r="M119" s="5">
        <f>IF(L119="","",L119/100)</f>
        <v/>
      </c>
      <c r="N119">
        <f>IF(M119="","",IF(M119&gt;=0.7,3,IF(M119&gt;=0.6,2,IF(M119&gt;=0.5,1,0))))</f>
        <v/>
      </c>
    </row>
    <row r="120">
      <c r="H120" s="5">
        <f>IF(F120=0,"",IFERROR(G120/F120, ""))</f>
        <v/>
      </c>
      <c r="L120">
        <f>IF(COUNTA(I120:K120)=3, I120+J120+K120, "")</f>
        <v/>
      </c>
      <c r="M120" s="5">
        <f>IF(L120="","",L120/100)</f>
        <v/>
      </c>
      <c r="N120">
        <f>IF(M120="","",IF(M120&gt;=0.7,3,IF(M120&gt;=0.6,2,IF(M120&gt;=0.5,1,0))))</f>
        <v/>
      </c>
    </row>
    <row r="121">
      <c r="H121" s="5">
        <f>IF(F121=0,"",IFERROR(G121/F121, ""))</f>
        <v/>
      </c>
      <c r="L121">
        <f>IF(COUNTA(I121:K121)=3, I121+J121+K121, "")</f>
        <v/>
      </c>
      <c r="M121" s="5">
        <f>IF(L121="","",L121/100)</f>
        <v/>
      </c>
      <c r="N121">
        <f>IF(M121="","",IF(M121&gt;=0.7,3,IF(M121&gt;=0.6,2,IF(M121&gt;=0.5,1,0))))</f>
        <v/>
      </c>
    </row>
    <row r="122">
      <c r="H122" s="5">
        <f>IF(F122=0,"",IFERROR(G122/F122, ""))</f>
        <v/>
      </c>
      <c r="L122">
        <f>IF(COUNTA(I122:K122)=3, I122+J122+K122, "")</f>
        <v/>
      </c>
      <c r="M122" s="5">
        <f>IF(L122="","",L122/100)</f>
        <v/>
      </c>
      <c r="N122">
        <f>IF(M122="","",IF(M122&gt;=0.7,3,IF(M122&gt;=0.6,2,IF(M122&gt;=0.5,1,0))))</f>
        <v/>
      </c>
    </row>
    <row r="123">
      <c r="H123" s="5">
        <f>IF(F123=0,"",IFERROR(G123/F123, ""))</f>
        <v/>
      </c>
      <c r="L123">
        <f>IF(COUNTA(I123:K123)=3, I123+J123+K123, "")</f>
        <v/>
      </c>
      <c r="M123" s="5">
        <f>IF(L123="","",L123/100)</f>
        <v/>
      </c>
      <c r="N123">
        <f>IF(M123="","",IF(M123&gt;=0.7,3,IF(M123&gt;=0.6,2,IF(M123&gt;=0.5,1,0))))</f>
        <v/>
      </c>
    </row>
    <row r="124">
      <c r="H124" s="5">
        <f>IF(F124=0,"",IFERROR(G124/F124, ""))</f>
        <v/>
      </c>
      <c r="L124">
        <f>IF(COUNTA(I124:K124)=3, I124+J124+K124, "")</f>
        <v/>
      </c>
      <c r="M124" s="5">
        <f>IF(L124="","",L124/100)</f>
        <v/>
      </c>
      <c r="N124">
        <f>IF(M124="","",IF(M124&gt;=0.7,3,IF(M124&gt;=0.6,2,IF(M124&gt;=0.5,1,0))))</f>
        <v/>
      </c>
    </row>
    <row r="125">
      <c r="H125" s="5">
        <f>IF(F125=0,"",IFERROR(G125/F125, ""))</f>
        <v/>
      </c>
      <c r="L125">
        <f>IF(COUNTA(I125:K125)=3, I125+J125+K125, "")</f>
        <v/>
      </c>
      <c r="M125" s="5">
        <f>IF(L125="","",L125/100)</f>
        <v/>
      </c>
      <c r="N125">
        <f>IF(M125="","",IF(M125&gt;=0.7,3,IF(M125&gt;=0.6,2,IF(M125&gt;=0.5,1,0))))</f>
        <v/>
      </c>
    </row>
    <row r="126">
      <c r="H126" s="5">
        <f>IF(F126=0,"",IFERROR(G126/F126, ""))</f>
        <v/>
      </c>
      <c r="L126">
        <f>IF(COUNTA(I126:K126)=3, I126+J126+K126, "")</f>
        <v/>
      </c>
      <c r="M126" s="5">
        <f>IF(L126="","",L126/100)</f>
        <v/>
      </c>
      <c r="N126">
        <f>IF(M126="","",IF(M126&gt;=0.7,3,IF(M126&gt;=0.6,2,IF(M126&gt;=0.5,1,0))))</f>
        <v/>
      </c>
    </row>
    <row r="127">
      <c r="H127" s="5">
        <f>IF(F127=0,"",IFERROR(G127/F127, ""))</f>
        <v/>
      </c>
      <c r="L127">
        <f>IF(COUNTA(I127:K127)=3, I127+J127+K127, "")</f>
        <v/>
      </c>
      <c r="M127" s="5">
        <f>IF(L127="","",L127/100)</f>
        <v/>
      </c>
      <c r="N127">
        <f>IF(M127="","",IF(M127&gt;=0.7,3,IF(M127&gt;=0.6,2,IF(M127&gt;=0.5,1,0))))</f>
        <v/>
      </c>
    </row>
    <row r="128">
      <c r="H128" s="5">
        <f>IF(F128=0,"",IFERROR(G128/F128, ""))</f>
        <v/>
      </c>
      <c r="L128">
        <f>IF(COUNTA(I128:K128)=3, I128+J128+K128, "")</f>
        <v/>
      </c>
      <c r="M128" s="5">
        <f>IF(L128="","",L128/100)</f>
        <v/>
      </c>
      <c r="N128">
        <f>IF(M128="","",IF(M128&gt;=0.7,3,IF(M128&gt;=0.6,2,IF(M128&gt;=0.5,1,0))))</f>
        <v/>
      </c>
    </row>
    <row r="129">
      <c r="H129" s="5">
        <f>IF(F129=0,"",IFERROR(G129/F129, ""))</f>
        <v/>
      </c>
      <c r="L129">
        <f>IF(COUNTA(I129:K129)=3, I129+J129+K129, "")</f>
        <v/>
      </c>
      <c r="M129" s="5">
        <f>IF(L129="","",L129/100)</f>
        <v/>
      </c>
      <c r="N129">
        <f>IF(M129="","",IF(M129&gt;=0.7,3,IF(M129&gt;=0.6,2,IF(M129&gt;=0.5,1,0))))</f>
        <v/>
      </c>
    </row>
    <row r="130">
      <c r="H130" s="5">
        <f>IF(F130=0,"",IFERROR(G130/F130, ""))</f>
        <v/>
      </c>
      <c r="L130">
        <f>IF(COUNTA(I130:K130)=3, I130+J130+K130, "")</f>
        <v/>
      </c>
      <c r="M130" s="5">
        <f>IF(L130="","",L130/100)</f>
        <v/>
      </c>
      <c r="N130">
        <f>IF(M130="","",IF(M130&gt;=0.7,3,IF(M130&gt;=0.6,2,IF(M130&gt;=0.5,1,0))))</f>
        <v/>
      </c>
    </row>
    <row r="131">
      <c r="H131" s="5">
        <f>IF(F131=0,"",IFERROR(G131/F131, ""))</f>
        <v/>
      </c>
      <c r="L131">
        <f>IF(COUNTA(I131:K131)=3, I131+J131+K131, "")</f>
        <v/>
      </c>
      <c r="M131" s="5">
        <f>IF(L131="","",L131/100)</f>
        <v/>
      </c>
      <c r="N131">
        <f>IF(M131="","",IF(M131&gt;=0.7,3,IF(M131&gt;=0.6,2,IF(M131&gt;=0.5,1,0))))</f>
        <v/>
      </c>
    </row>
    <row r="132">
      <c r="H132" s="5">
        <f>IF(F132=0,"",IFERROR(G132/F132, ""))</f>
        <v/>
      </c>
      <c r="L132">
        <f>IF(COUNTA(I132:K132)=3, I132+J132+K132, "")</f>
        <v/>
      </c>
      <c r="M132" s="5">
        <f>IF(L132="","",L132/100)</f>
        <v/>
      </c>
      <c r="N132">
        <f>IF(M132="","",IF(M132&gt;=0.7,3,IF(M132&gt;=0.6,2,IF(M132&gt;=0.5,1,0))))</f>
        <v/>
      </c>
    </row>
    <row r="133">
      <c r="H133" s="5">
        <f>IF(F133=0,"",IFERROR(G133/F133, ""))</f>
        <v/>
      </c>
      <c r="L133">
        <f>IF(COUNTA(I133:K133)=3, I133+J133+K133, "")</f>
        <v/>
      </c>
      <c r="M133" s="5">
        <f>IF(L133="","",L133/100)</f>
        <v/>
      </c>
      <c r="N133">
        <f>IF(M133="","",IF(M133&gt;=0.7,3,IF(M133&gt;=0.6,2,IF(M133&gt;=0.5,1,0))))</f>
        <v/>
      </c>
    </row>
    <row r="134">
      <c r="H134" s="5">
        <f>IF(F134=0,"",IFERROR(G134/F134, ""))</f>
        <v/>
      </c>
      <c r="L134">
        <f>IF(COUNTA(I134:K134)=3, I134+J134+K134, "")</f>
        <v/>
      </c>
      <c r="M134" s="5">
        <f>IF(L134="","",L134/100)</f>
        <v/>
      </c>
      <c r="N134">
        <f>IF(M134="","",IF(M134&gt;=0.7,3,IF(M134&gt;=0.6,2,IF(M134&gt;=0.5,1,0))))</f>
        <v/>
      </c>
    </row>
    <row r="135">
      <c r="H135" s="5">
        <f>IF(F135=0,"",IFERROR(G135/F135, ""))</f>
        <v/>
      </c>
      <c r="L135">
        <f>IF(COUNTA(I135:K135)=3, I135+J135+K135, "")</f>
        <v/>
      </c>
      <c r="M135" s="5">
        <f>IF(L135="","",L135/100)</f>
        <v/>
      </c>
      <c r="N135">
        <f>IF(M135="","",IF(M135&gt;=0.7,3,IF(M135&gt;=0.6,2,IF(M135&gt;=0.5,1,0))))</f>
        <v/>
      </c>
    </row>
    <row r="136">
      <c r="H136" s="5">
        <f>IF(F136=0,"",IFERROR(G136/F136, ""))</f>
        <v/>
      </c>
      <c r="L136">
        <f>IF(COUNTA(I136:K136)=3, I136+J136+K136, "")</f>
        <v/>
      </c>
      <c r="M136" s="5">
        <f>IF(L136="","",L136/100)</f>
        <v/>
      </c>
      <c r="N136">
        <f>IF(M136="","",IF(M136&gt;=0.7,3,IF(M136&gt;=0.6,2,IF(M136&gt;=0.5,1,0))))</f>
        <v/>
      </c>
    </row>
    <row r="137">
      <c r="H137" s="5">
        <f>IF(F137=0,"",IFERROR(G137/F137, ""))</f>
        <v/>
      </c>
      <c r="L137">
        <f>IF(COUNTA(I137:K137)=3, I137+J137+K137, "")</f>
        <v/>
      </c>
      <c r="M137" s="5">
        <f>IF(L137="","",L137/100)</f>
        <v/>
      </c>
      <c r="N137">
        <f>IF(M137="","",IF(M137&gt;=0.7,3,IF(M137&gt;=0.6,2,IF(M137&gt;=0.5,1,0))))</f>
        <v/>
      </c>
    </row>
    <row r="138">
      <c r="H138" s="5">
        <f>IF(F138=0,"",IFERROR(G138/F138, ""))</f>
        <v/>
      </c>
      <c r="L138">
        <f>IF(COUNTA(I138:K138)=3, I138+J138+K138, "")</f>
        <v/>
      </c>
      <c r="M138" s="5">
        <f>IF(L138="","",L138/100)</f>
        <v/>
      </c>
      <c r="N138">
        <f>IF(M138="","",IF(M138&gt;=0.7,3,IF(M138&gt;=0.6,2,IF(M138&gt;=0.5,1,0))))</f>
        <v/>
      </c>
    </row>
    <row r="139">
      <c r="H139" s="5">
        <f>IF(F139=0,"",IFERROR(G139/F139, ""))</f>
        <v/>
      </c>
      <c r="L139">
        <f>IF(COUNTA(I139:K139)=3, I139+J139+K139, "")</f>
        <v/>
      </c>
      <c r="M139" s="5">
        <f>IF(L139="","",L139/100)</f>
        <v/>
      </c>
      <c r="N139">
        <f>IF(M139="","",IF(M139&gt;=0.7,3,IF(M139&gt;=0.6,2,IF(M139&gt;=0.5,1,0))))</f>
        <v/>
      </c>
    </row>
    <row r="140">
      <c r="H140" s="5">
        <f>IF(F140=0,"",IFERROR(G140/F140, ""))</f>
        <v/>
      </c>
      <c r="L140">
        <f>IF(COUNTA(I140:K140)=3, I140+J140+K140, "")</f>
        <v/>
      </c>
      <c r="M140" s="5">
        <f>IF(L140="","",L140/100)</f>
        <v/>
      </c>
      <c r="N140">
        <f>IF(M140="","",IF(M140&gt;=0.7,3,IF(M140&gt;=0.6,2,IF(M140&gt;=0.5,1,0))))</f>
        <v/>
      </c>
    </row>
    <row r="141">
      <c r="H141" s="5">
        <f>IF(F141=0,"",IFERROR(G141/F141, ""))</f>
        <v/>
      </c>
      <c r="L141">
        <f>IF(COUNTA(I141:K141)=3, I141+J141+K141, "")</f>
        <v/>
      </c>
      <c r="M141" s="5">
        <f>IF(L141="","",L141/100)</f>
        <v/>
      </c>
      <c r="N141">
        <f>IF(M141="","",IF(M141&gt;=0.7,3,IF(M141&gt;=0.6,2,IF(M141&gt;=0.5,1,0))))</f>
        <v/>
      </c>
    </row>
    <row r="142">
      <c r="H142" s="5">
        <f>IF(F142=0,"",IFERROR(G142/F142, ""))</f>
        <v/>
      </c>
      <c r="L142">
        <f>IF(COUNTA(I142:K142)=3, I142+J142+K142, "")</f>
        <v/>
      </c>
      <c r="M142" s="5">
        <f>IF(L142="","",L142/100)</f>
        <v/>
      </c>
      <c r="N142">
        <f>IF(M142="","",IF(M142&gt;=0.7,3,IF(M142&gt;=0.6,2,IF(M142&gt;=0.5,1,0))))</f>
        <v/>
      </c>
    </row>
    <row r="143">
      <c r="H143" s="5">
        <f>IF(F143=0,"",IFERROR(G143/F143, ""))</f>
        <v/>
      </c>
      <c r="L143">
        <f>IF(COUNTA(I143:K143)=3, I143+J143+K143, "")</f>
        <v/>
      </c>
      <c r="M143" s="5">
        <f>IF(L143="","",L143/100)</f>
        <v/>
      </c>
      <c r="N143">
        <f>IF(M143="","",IF(M143&gt;=0.7,3,IF(M143&gt;=0.6,2,IF(M143&gt;=0.5,1,0))))</f>
        <v/>
      </c>
    </row>
    <row r="144">
      <c r="H144" s="5">
        <f>IF(F144=0,"",IFERROR(G144/F144, ""))</f>
        <v/>
      </c>
      <c r="L144">
        <f>IF(COUNTA(I144:K144)=3, I144+J144+K144, "")</f>
        <v/>
      </c>
      <c r="M144" s="5">
        <f>IF(L144="","",L144/100)</f>
        <v/>
      </c>
      <c r="N144">
        <f>IF(M144="","",IF(M144&gt;=0.7,3,IF(M144&gt;=0.6,2,IF(M144&gt;=0.5,1,0))))</f>
        <v/>
      </c>
    </row>
    <row r="145">
      <c r="H145" s="5">
        <f>IF(F145=0,"",IFERROR(G145/F145, ""))</f>
        <v/>
      </c>
      <c r="L145">
        <f>IF(COUNTA(I145:K145)=3, I145+J145+K145, "")</f>
        <v/>
      </c>
      <c r="M145" s="5">
        <f>IF(L145="","",L145/100)</f>
        <v/>
      </c>
      <c r="N145">
        <f>IF(M145="","",IF(M145&gt;=0.7,3,IF(M145&gt;=0.6,2,IF(M145&gt;=0.5,1,0))))</f>
        <v/>
      </c>
    </row>
    <row r="146">
      <c r="H146" s="5">
        <f>IF(F146=0,"",IFERROR(G146/F146, ""))</f>
        <v/>
      </c>
      <c r="L146">
        <f>IF(COUNTA(I146:K146)=3, I146+J146+K146, "")</f>
        <v/>
      </c>
      <c r="M146" s="5">
        <f>IF(L146="","",L146/100)</f>
        <v/>
      </c>
      <c r="N146">
        <f>IF(M146="","",IF(M146&gt;=0.7,3,IF(M146&gt;=0.6,2,IF(M146&gt;=0.5,1,0))))</f>
        <v/>
      </c>
    </row>
    <row r="147">
      <c r="H147" s="5">
        <f>IF(F147=0,"",IFERROR(G147/F147, ""))</f>
        <v/>
      </c>
      <c r="L147">
        <f>IF(COUNTA(I147:K147)=3, I147+J147+K147, "")</f>
        <v/>
      </c>
      <c r="M147" s="5">
        <f>IF(L147="","",L147/100)</f>
        <v/>
      </c>
      <c r="N147">
        <f>IF(M147="","",IF(M147&gt;=0.7,3,IF(M147&gt;=0.6,2,IF(M147&gt;=0.5,1,0))))</f>
        <v/>
      </c>
    </row>
    <row r="148">
      <c r="H148" s="5">
        <f>IF(F148=0,"",IFERROR(G148/F148, ""))</f>
        <v/>
      </c>
      <c r="L148">
        <f>IF(COUNTA(I148:K148)=3, I148+J148+K148, "")</f>
        <v/>
      </c>
      <c r="M148" s="5">
        <f>IF(L148="","",L148/100)</f>
        <v/>
      </c>
      <c r="N148">
        <f>IF(M148="","",IF(M148&gt;=0.7,3,IF(M148&gt;=0.6,2,IF(M148&gt;=0.5,1,0))))</f>
        <v/>
      </c>
    </row>
    <row r="149">
      <c r="H149" s="5">
        <f>IF(F149=0,"",IFERROR(G149/F149, ""))</f>
        <v/>
      </c>
      <c r="L149">
        <f>IF(COUNTA(I149:K149)=3, I149+J149+K149, "")</f>
        <v/>
      </c>
      <c r="M149" s="5">
        <f>IF(L149="","",L149/100)</f>
        <v/>
      </c>
      <c r="N149">
        <f>IF(M149="","",IF(M149&gt;=0.7,3,IF(M149&gt;=0.6,2,IF(M149&gt;=0.5,1,0))))</f>
        <v/>
      </c>
    </row>
    <row r="150">
      <c r="H150" s="5">
        <f>IF(F150=0,"",IFERROR(G150/F150, ""))</f>
        <v/>
      </c>
      <c r="L150">
        <f>IF(COUNTA(I150:K150)=3, I150+J150+K150, "")</f>
        <v/>
      </c>
      <c r="M150" s="5">
        <f>IF(L150="","",L150/100)</f>
        <v/>
      </c>
      <c r="N150">
        <f>IF(M150="","",IF(M150&gt;=0.7,3,IF(M150&gt;=0.6,2,IF(M150&gt;=0.5,1,0))))</f>
        <v/>
      </c>
    </row>
    <row r="151">
      <c r="H151" s="5">
        <f>IF(F151=0,"",IFERROR(G151/F151, ""))</f>
        <v/>
      </c>
      <c r="L151">
        <f>IF(COUNTA(I151:K151)=3, I151+J151+K151, "")</f>
        <v/>
      </c>
      <c r="M151" s="5">
        <f>IF(L151="","",L151/100)</f>
        <v/>
      </c>
      <c r="N151">
        <f>IF(M151="","",IF(M151&gt;=0.7,3,IF(M151&gt;=0.6,2,IF(M151&gt;=0.5,1,0))))</f>
        <v/>
      </c>
    </row>
    <row r="152">
      <c r="H152" s="5">
        <f>IF(F152=0,"",IFERROR(G152/F152, ""))</f>
        <v/>
      </c>
      <c r="L152">
        <f>IF(COUNTA(I152:K152)=3, I152+J152+K152, "")</f>
        <v/>
      </c>
      <c r="M152" s="5">
        <f>IF(L152="","",L152/100)</f>
        <v/>
      </c>
      <c r="N152">
        <f>IF(M152="","",IF(M152&gt;=0.7,3,IF(M152&gt;=0.6,2,IF(M152&gt;=0.5,1,0))))</f>
        <v/>
      </c>
    </row>
    <row r="153">
      <c r="H153" s="5">
        <f>IF(F153=0,"",IFERROR(G153/F153, ""))</f>
        <v/>
      </c>
      <c r="L153">
        <f>IF(COUNTA(I153:K153)=3, I153+J153+K153, "")</f>
        <v/>
      </c>
      <c r="M153" s="5">
        <f>IF(L153="","",L153/100)</f>
        <v/>
      </c>
      <c r="N153">
        <f>IF(M153="","",IF(M153&gt;=0.7,3,IF(M153&gt;=0.6,2,IF(M153&gt;=0.5,1,0))))</f>
        <v/>
      </c>
    </row>
    <row r="154">
      <c r="H154" s="5">
        <f>IF(F154=0,"",IFERROR(G154/F154, ""))</f>
        <v/>
      </c>
      <c r="L154">
        <f>IF(COUNTA(I154:K154)=3, I154+J154+K154, "")</f>
        <v/>
      </c>
      <c r="M154" s="5">
        <f>IF(L154="","",L154/100)</f>
        <v/>
      </c>
      <c r="N154">
        <f>IF(M154="","",IF(M154&gt;=0.7,3,IF(M154&gt;=0.6,2,IF(M154&gt;=0.5,1,0))))</f>
        <v/>
      </c>
    </row>
    <row r="155">
      <c r="H155" s="5">
        <f>IF(F155=0,"",IFERROR(G155/F155, ""))</f>
        <v/>
      </c>
      <c r="L155">
        <f>IF(COUNTA(I155:K155)=3, I155+J155+K155, "")</f>
        <v/>
      </c>
      <c r="M155" s="5">
        <f>IF(L155="","",L155/100)</f>
        <v/>
      </c>
      <c r="N155">
        <f>IF(M155="","",IF(M155&gt;=0.7,3,IF(M155&gt;=0.6,2,IF(M155&gt;=0.5,1,0))))</f>
        <v/>
      </c>
    </row>
    <row r="156">
      <c r="H156" s="5">
        <f>IF(F156=0,"",IFERROR(G156/F156, ""))</f>
        <v/>
      </c>
      <c r="L156">
        <f>IF(COUNTA(I156:K156)=3, I156+J156+K156, "")</f>
        <v/>
      </c>
      <c r="M156" s="5">
        <f>IF(L156="","",L156/100)</f>
        <v/>
      </c>
      <c r="N156">
        <f>IF(M156="","",IF(M156&gt;=0.7,3,IF(M156&gt;=0.6,2,IF(M156&gt;=0.5,1,0))))</f>
        <v/>
      </c>
    </row>
    <row r="157">
      <c r="H157" s="5">
        <f>IF(F157=0,"",IFERROR(G157/F157, ""))</f>
        <v/>
      </c>
      <c r="L157">
        <f>IF(COUNTA(I157:K157)=3, I157+J157+K157, "")</f>
        <v/>
      </c>
      <c r="M157" s="5">
        <f>IF(L157="","",L157/100)</f>
        <v/>
      </c>
      <c r="N157">
        <f>IF(M157="","",IF(M157&gt;=0.7,3,IF(M157&gt;=0.6,2,IF(M157&gt;=0.5,1,0))))</f>
        <v/>
      </c>
    </row>
    <row r="158">
      <c r="H158" s="5">
        <f>IF(F158=0,"",IFERROR(G158/F158, ""))</f>
        <v/>
      </c>
      <c r="L158">
        <f>IF(COUNTA(I158:K158)=3, I158+J158+K158, "")</f>
        <v/>
      </c>
      <c r="M158" s="5">
        <f>IF(L158="","",L158/100)</f>
        <v/>
      </c>
      <c r="N158">
        <f>IF(M158="","",IF(M158&gt;=0.7,3,IF(M158&gt;=0.6,2,IF(M158&gt;=0.5,1,0))))</f>
        <v/>
      </c>
    </row>
    <row r="159">
      <c r="H159" s="5">
        <f>IF(F159=0,"",IFERROR(G159/F159, ""))</f>
        <v/>
      </c>
      <c r="L159">
        <f>IF(COUNTA(I159:K159)=3, I159+J159+K159, "")</f>
        <v/>
      </c>
      <c r="M159" s="5">
        <f>IF(L159="","",L159/100)</f>
        <v/>
      </c>
      <c r="N159">
        <f>IF(M159="","",IF(M159&gt;=0.7,3,IF(M159&gt;=0.6,2,IF(M159&gt;=0.5,1,0))))</f>
        <v/>
      </c>
    </row>
    <row r="160">
      <c r="H160" s="5">
        <f>IF(F160=0,"",IFERROR(G160/F160, ""))</f>
        <v/>
      </c>
      <c r="L160">
        <f>IF(COUNTA(I160:K160)=3, I160+J160+K160, "")</f>
        <v/>
      </c>
      <c r="M160" s="5">
        <f>IF(L160="","",L160/100)</f>
        <v/>
      </c>
      <c r="N160">
        <f>IF(M160="","",IF(M160&gt;=0.7,3,IF(M160&gt;=0.6,2,IF(M160&gt;=0.5,1,0))))</f>
        <v/>
      </c>
    </row>
    <row r="161">
      <c r="H161" s="5">
        <f>IF(F161=0,"",IFERROR(G161/F161, ""))</f>
        <v/>
      </c>
      <c r="L161">
        <f>IF(COUNTA(I161:K161)=3, I161+J161+K161, "")</f>
        <v/>
      </c>
      <c r="M161" s="5">
        <f>IF(L161="","",L161/100)</f>
        <v/>
      </c>
      <c r="N161">
        <f>IF(M161="","",IF(M161&gt;=0.7,3,IF(M161&gt;=0.6,2,IF(M161&gt;=0.5,1,0))))</f>
        <v/>
      </c>
    </row>
    <row r="162">
      <c r="H162" s="5">
        <f>IF(F162=0,"",IFERROR(G162/F162, ""))</f>
        <v/>
      </c>
      <c r="L162">
        <f>IF(COUNTA(I162:K162)=3, I162+J162+K162, "")</f>
        <v/>
      </c>
      <c r="M162" s="5">
        <f>IF(L162="","",L162/100)</f>
        <v/>
      </c>
      <c r="N162">
        <f>IF(M162="","",IF(M162&gt;=0.7,3,IF(M162&gt;=0.6,2,IF(M162&gt;=0.5,1,0))))</f>
        <v/>
      </c>
    </row>
    <row r="163">
      <c r="H163" s="5">
        <f>IF(F163=0,"",IFERROR(G163/F163, ""))</f>
        <v/>
      </c>
      <c r="L163">
        <f>IF(COUNTA(I163:K163)=3, I163+J163+K163, "")</f>
        <v/>
      </c>
      <c r="M163" s="5">
        <f>IF(L163="","",L163/100)</f>
        <v/>
      </c>
      <c r="N163">
        <f>IF(M163="","",IF(M163&gt;=0.7,3,IF(M163&gt;=0.6,2,IF(M163&gt;=0.5,1,0))))</f>
        <v/>
      </c>
    </row>
    <row r="164">
      <c r="H164" s="5">
        <f>IF(F164=0,"",IFERROR(G164/F164, ""))</f>
        <v/>
      </c>
      <c r="L164">
        <f>IF(COUNTA(I164:K164)=3, I164+J164+K164, "")</f>
        <v/>
      </c>
      <c r="M164" s="5">
        <f>IF(L164="","",L164/100)</f>
        <v/>
      </c>
      <c r="N164">
        <f>IF(M164="","",IF(M164&gt;=0.7,3,IF(M164&gt;=0.6,2,IF(M164&gt;=0.5,1,0))))</f>
        <v/>
      </c>
    </row>
    <row r="165">
      <c r="H165" s="5">
        <f>IF(F165=0,"",IFERROR(G165/F165, ""))</f>
        <v/>
      </c>
      <c r="L165">
        <f>IF(COUNTA(I165:K165)=3, I165+J165+K165, "")</f>
        <v/>
      </c>
      <c r="M165" s="5">
        <f>IF(L165="","",L165/100)</f>
        <v/>
      </c>
      <c r="N165">
        <f>IF(M165="","",IF(M165&gt;=0.7,3,IF(M165&gt;=0.6,2,IF(M165&gt;=0.5,1,0))))</f>
        <v/>
      </c>
    </row>
    <row r="166">
      <c r="H166" s="5">
        <f>IF(F166=0,"",IFERROR(G166/F166, ""))</f>
        <v/>
      </c>
      <c r="L166">
        <f>IF(COUNTA(I166:K166)=3, I166+J166+K166, "")</f>
        <v/>
      </c>
      <c r="M166" s="5">
        <f>IF(L166="","",L166/100)</f>
        <v/>
      </c>
      <c r="N166">
        <f>IF(M166="","",IF(M166&gt;=0.7,3,IF(M166&gt;=0.6,2,IF(M166&gt;=0.5,1,0))))</f>
        <v/>
      </c>
    </row>
    <row r="167">
      <c r="H167" s="5">
        <f>IF(F167=0,"",IFERROR(G167/F167, ""))</f>
        <v/>
      </c>
      <c r="L167">
        <f>IF(COUNTA(I167:K167)=3, I167+J167+K167, "")</f>
        <v/>
      </c>
      <c r="M167" s="5">
        <f>IF(L167="","",L167/100)</f>
        <v/>
      </c>
      <c r="N167">
        <f>IF(M167="","",IF(M167&gt;=0.7,3,IF(M167&gt;=0.6,2,IF(M167&gt;=0.5,1,0))))</f>
        <v/>
      </c>
    </row>
    <row r="168">
      <c r="H168" s="5">
        <f>IF(F168=0,"",IFERROR(G168/F168, ""))</f>
        <v/>
      </c>
      <c r="L168">
        <f>IF(COUNTA(I168:K168)=3, I168+J168+K168, "")</f>
        <v/>
      </c>
      <c r="M168" s="5">
        <f>IF(L168="","",L168/100)</f>
        <v/>
      </c>
      <c r="N168">
        <f>IF(M168="","",IF(M168&gt;=0.7,3,IF(M168&gt;=0.6,2,IF(M168&gt;=0.5,1,0))))</f>
        <v/>
      </c>
    </row>
    <row r="169">
      <c r="H169" s="5">
        <f>IF(F169=0,"",IFERROR(G169/F169, ""))</f>
        <v/>
      </c>
      <c r="L169">
        <f>IF(COUNTA(I169:K169)=3, I169+J169+K169, "")</f>
        <v/>
      </c>
      <c r="M169" s="5">
        <f>IF(L169="","",L169/100)</f>
        <v/>
      </c>
      <c r="N169">
        <f>IF(M169="","",IF(M169&gt;=0.7,3,IF(M169&gt;=0.6,2,IF(M169&gt;=0.5,1,0))))</f>
        <v/>
      </c>
    </row>
    <row r="170">
      <c r="H170" s="5">
        <f>IF(F170=0,"",IFERROR(G170/F170, ""))</f>
        <v/>
      </c>
      <c r="L170">
        <f>IF(COUNTA(I170:K170)=3, I170+J170+K170, "")</f>
        <v/>
      </c>
      <c r="M170" s="5">
        <f>IF(L170="","",L170/100)</f>
        <v/>
      </c>
      <c r="N170">
        <f>IF(M170="","",IF(M170&gt;=0.7,3,IF(M170&gt;=0.6,2,IF(M170&gt;=0.5,1,0))))</f>
        <v/>
      </c>
    </row>
    <row r="171">
      <c r="H171" s="5">
        <f>IF(F171=0,"",IFERROR(G171/F171, ""))</f>
        <v/>
      </c>
      <c r="L171">
        <f>IF(COUNTA(I171:K171)=3, I171+J171+K171, "")</f>
        <v/>
      </c>
      <c r="M171" s="5">
        <f>IF(L171="","",L171/100)</f>
        <v/>
      </c>
      <c r="N171">
        <f>IF(M171="","",IF(M171&gt;=0.7,3,IF(M171&gt;=0.6,2,IF(M171&gt;=0.5,1,0))))</f>
        <v/>
      </c>
    </row>
    <row r="172">
      <c r="H172" s="5">
        <f>IF(F172=0,"",IFERROR(G172/F172, ""))</f>
        <v/>
      </c>
      <c r="L172">
        <f>IF(COUNTA(I172:K172)=3, I172+J172+K172, "")</f>
        <v/>
      </c>
      <c r="M172" s="5">
        <f>IF(L172="","",L172/100)</f>
        <v/>
      </c>
      <c r="N172">
        <f>IF(M172="","",IF(M172&gt;=0.7,3,IF(M172&gt;=0.6,2,IF(M172&gt;=0.5,1,0))))</f>
        <v/>
      </c>
    </row>
    <row r="173">
      <c r="H173" s="5">
        <f>IF(F173=0,"",IFERROR(G173/F173, ""))</f>
        <v/>
      </c>
      <c r="L173">
        <f>IF(COUNTA(I173:K173)=3, I173+J173+K173, "")</f>
        <v/>
      </c>
      <c r="M173" s="5">
        <f>IF(L173="","",L173/100)</f>
        <v/>
      </c>
      <c r="N173">
        <f>IF(M173="","",IF(M173&gt;=0.7,3,IF(M173&gt;=0.6,2,IF(M173&gt;=0.5,1,0))))</f>
        <v/>
      </c>
    </row>
    <row r="174">
      <c r="H174" s="5">
        <f>IF(F174=0,"",IFERROR(G174/F174, ""))</f>
        <v/>
      </c>
      <c r="L174">
        <f>IF(COUNTA(I174:K174)=3, I174+J174+K174, "")</f>
        <v/>
      </c>
      <c r="M174" s="5">
        <f>IF(L174="","",L174/100)</f>
        <v/>
      </c>
      <c r="N174">
        <f>IF(M174="","",IF(M174&gt;=0.7,3,IF(M174&gt;=0.6,2,IF(M174&gt;=0.5,1,0))))</f>
        <v/>
      </c>
    </row>
    <row r="175">
      <c r="H175" s="5">
        <f>IF(F175=0,"",IFERROR(G175/F175, ""))</f>
        <v/>
      </c>
      <c r="L175">
        <f>IF(COUNTA(I175:K175)=3, I175+J175+K175, "")</f>
        <v/>
      </c>
      <c r="M175" s="5">
        <f>IF(L175="","",L175/100)</f>
        <v/>
      </c>
      <c r="N175">
        <f>IF(M175="","",IF(M175&gt;=0.7,3,IF(M175&gt;=0.6,2,IF(M175&gt;=0.5,1,0))))</f>
        <v/>
      </c>
    </row>
    <row r="176">
      <c r="H176" s="5">
        <f>IF(F176=0,"",IFERROR(G176/F176, ""))</f>
        <v/>
      </c>
      <c r="L176">
        <f>IF(COUNTA(I176:K176)=3, I176+J176+K176, "")</f>
        <v/>
      </c>
      <c r="M176" s="5">
        <f>IF(L176="","",L176/100)</f>
        <v/>
      </c>
      <c r="N176">
        <f>IF(M176="","",IF(M176&gt;=0.7,3,IF(M176&gt;=0.6,2,IF(M176&gt;=0.5,1,0))))</f>
        <v/>
      </c>
    </row>
    <row r="177">
      <c r="H177" s="5">
        <f>IF(F177=0,"",IFERROR(G177/F177, ""))</f>
        <v/>
      </c>
      <c r="L177">
        <f>IF(COUNTA(I177:K177)=3, I177+J177+K177, "")</f>
        <v/>
      </c>
      <c r="M177" s="5">
        <f>IF(L177="","",L177/100)</f>
        <v/>
      </c>
      <c r="N177">
        <f>IF(M177="","",IF(M177&gt;=0.7,3,IF(M177&gt;=0.6,2,IF(M177&gt;=0.5,1,0))))</f>
        <v/>
      </c>
    </row>
    <row r="178">
      <c r="H178" s="5">
        <f>IF(F178=0,"",IFERROR(G178/F178, ""))</f>
        <v/>
      </c>
      <c r="L178">
        <f>IF(COUNTA(I178:K178)=3, I178+J178+K178, "")</f>
        <v/>
      </c>
      <c r="M178" s="5">
        <f>IF(L178="","",L178/100)</f>
        <v/>
      </c>
      <c r="N178">
        <f>IF(M178="","",IF(M178&gt;=0.7,3,IF(M178&gt;=0.6,2,IF(M178&gt;=0.5,1,0))))</f>
        <v/>
      </c>
    </row>
    <row r="179">
      <c r="H179" s="5">
        <f>IF(F179=0,"",IFERROR(G179/F179, ""))</f>
        <v/>
      </c>
      <c r="L179">
        <f>IF(COUNTA(I179:K179)=3, I179+J179+K179, "")</f>
        <v/>
      </c>
      <c r="M179" s="5">
        <f>IF(L179="","",L179/100)</f>
        <v/>
      </c>
      <c r="N179">
        <f>IF(M179="","",IF(M179&gt;=0.7,3,IF(M179&gt;=0.6,2,IF(M179&gt;=0.5,1,0))))</f>
        <v/>
      </c>
    </row>
    <row r="180">
      <c r="H180" s="5">
        <f>IF(F180=0,"",IFERROR(G180/F180, ""))</f>
        <v/>
      </c>
      <c r="L180">
        <f>IF(COUNTA(I180:K180)=3, I180+J180+K180, "")</f>
        <v/>
      </c>
      <c r="M180" s="5">
        <f>IF(L180="","",L180/100)</f>
        <v/>
      </c>
      <c r="N180">
        <f>IF(M180="","",IF(M180&gt;=0.7,3,IF(M180&gt;=0.6,2,IF(M180&gt;=0.5,1,0))))</f>
        <v/>
      </c>
    </row>
    <row r="181">
      <c r="H181" s="5">
        <f>IF(F181=0,"",IFERROR(G181/F181, ""))</f>
        <v/>
      </c>
      <c r="L181">
        <f>IF(COUNTA(I181:K181)=3, I181+J181+K181, "")</f>
        <v/>
      </c>
      <c r="M181" s="5">
        <f>IF(L181="","",L181/100)</f>
        <v/>
      </c>
      <c r="N181">
        <f>IF(M181="","",IF(M181&gt;=0.7,3,IF(M181&gt;=0.6,2,IF(M181&gt;=0.5,1,0))))</f>
        <v/>
      </c>
    </row>
    <row r="182">
      <c r="H182" s="5">
        <f>IF(F182=0,"",IFERROR(G182/F182, ""))</f>
        <v/>
      </c>
      <c r="L182">
        <f>IF(COUNTA(I182:K182)=3, I182+J182+K182, "")</f>
        <v/>
      </c>
      <c r="M182" s="5">
        <f>IF(L182="","",L182/100)</f>
        <v/>
      </c>
      <c r="N182">
        <f>IF(M182="","",IF(M182&gt;=0.7,3,IF(M182&gt;=0.6,2,IF(M182&gt;=0.5,1,0))))</f>
        <v/>
      </c>
    </row>
    <row r="183">
      <c r="H183" s="5">
        <f>IF(F183=0,"",IFERROR(G183/F183, ""))</f>
        <v/>
      </c>
      <c r="L183">
        <f>IF(COUNTA(I183:K183)=3, I183+J183+K183, "")</f>
        <v/>
      </c>
      <c r="M183" s="5">
        <f>IF(L183="","",L183/100)</f>
        <v/>
      </c>
      <c r="N183">
        <f>IF(M183="","",IF(M183&gt;=0.7,3,IF(M183&gt;=0.6,2,IF(M183&gt;=0.5,1,0))))</f>
        <v/>
      </c>
    </row>
    <row r="184">
      <c r="H184" s="5">
        <f>IF(F184=0,"",IFERROR(G184/F184, ""))</f>
        <v/>
      </c>
      <c r="L184">
        <f>IF(COUNTA(I184:K184)=3, I184+J184+K184, "")</f>
        <v/>
      </c>
      <c r="M184" s="5">
        <f>IF(L184="","",L184/100)</f>
        <v/>
      </c>
      <c r="N184">
        <f>IF(M184="","",IF(M184&gt;=0.7,3,IF(M184&gt;=0.6,2,IF(M184&gt;=0.5,1,0))))</f>
        <v/>
      </c>
    </row>
    <row r="185">
      <c r="H185" s="5">
        <f>IF(F185=0,"",IFERROR(G185/F185, ""))</f>
        <v/>
      </c>
      <c r="L185">
        <f>IF(COUNTA(I185:K185)=3, I185+J185+K185, "")</f>
        <v/>
      </c>
      <c r="M185" s="5">
        <f>IF(L185="","",L185/100)</f>
        <v/>
      </c>
      <c r="N185">
        <f>IF(M185="","",IF(M185&gt;=0.7,3,IF(M185&gt;=0.6,2,IF(M185&gt;=0.5,1,0))))</f>
        <v/>
      </c>
    </row>
    <row r="186">
      <c r="H186" s="5">
        <f>IF(F186=0,"",IFERROR(G186/F186, ""))</f>
        <v/>
      </c>
      <c r="L186">
        <f>IF(COUNTA(I186:K186)=3, I186+J186+K186, "")</f>
        <v/>
      </c>
      <c r="M186" s="5">
        <f>IF(L186="","",L186/100)</f>
        <v/>
      </c>
      <c r="N186">
        <f>IF(M186="","",IF(M186&gt;=0.7,3,IF(M186&gt;=0.6,2,IF(M186&gt;=0.5,1,0))))</f>
        <v/>
      </c>
    </row>
    <row r="187">
      <c r="H187" s="5">
        <f>IF(F187=0,"",IFERROR(G187/F187, ""))</f>
        <v/>
      </c>
      <c r="L187">
        <f>IF(COUNTA(I187:K187)=3, I187+J187+K187, "")</f>
        <v/>
      </c>
      <c r="M187" s="5">
        <f>IF(L187="","",L187/100)</f>
        <v/>
      </c>
      <c r="N187">
        <f>IF(M187="","",IF(M187&gt;=0.7,3,IF(M187&gt;=0.6,2,IF(M187&gt;=0.5,1,0))))</f>
        <v/>
      </c>
    </row>
    <row r="188">
      <c r="H188" s="5">
        <f>IF(F188=0,"",IFERROR(G188/F188, ""))</f>
        <v/>
      </c>
      <c r="L188">
        <f>IF(COUNTA(I188:K188)=3, I188+J188+K188, "")</f>
        <v/>
      </c>
      <c r="M188" s="5">
        <f>IF(L188="","",L188/100)</f>
        <v/>
      </c>
      <c r="N188">
        <f>IF(M188="","",IF(M188&gt;=0.7,3,IF(M188&gt;=0.6,2,IF(M188&gt;=0.5,1,0))))</f>
        <v/>
      </c>
    </row>
    <row r="189">
      <c r="H189" s="5">
        <f>IF(F189=0,"",IFERROR(G189/F189, ""))</f>
        <v/>
      </c>
      <c r="L189">
        <f>IF(COUNTA(I189:K189)=3, I189+J189+K189, "")</f>
        <v/>
      </c>
      <c r="M189" s="5">
        <f>IF(L189="","",L189/100)</f>
        <v/>
      </c>
      <c r="N189">
        <f>IF(M189="","",IF(M189&gt;=0.7,3,IF(M189&gt;=0.6,2,IF(M189&gt;=0.5,1,0))))</f>
        <v/>
      </c>
    </row>
    <row r="190">
      <c r="H190" s="5">
        <f>IF(F190=0,"",IFERROR(G190/F190, ""))</f>
        <v/>
      </c>
      <c r="L190">
        <f>IF(COUNTA(I190:K190)=3, I190+J190+K190, "")</f>
        <v/>
      </c>
      <c r="M190" s="5">
        <f>IF(L190="","",L190/100)</f>
        <v/>
      </c>
      <c r="N190">
        <f>IF(M190="","",IF(M190&gt;=0.7,3,IF(M190&gt;=0.6,2,IF(M190&gt;=0.5,1,0))))</f>
        <v/>
      </c>
    </row>
    <row r="191">
      <c r="H191" s="5">
        <f>IF(F191=0,"",IFERROR(G191/F191, ""))</f>
        <v/>
      </c>
      <c r="L191">
        <f>IF(COUNTA(I191:K191)=3, I191+J191+K191, "")</f>
        <v/>
      </c>
      <c r="M191" s="5">
        <f>IF(L191="","",L191/100)</f>
        <v/>
      </c>
      <c r="N191">
        <f>IF(M191="","",IF(M191&gt;=0.7,3,IF(M191&gt;=0.6,2,IF(M191&gt;=0.5,1,0))))</f>
        <v/>
      </c>
    </row>
    <row r="192">
      <c r="H192" s="5">
        <f>IF(F192=0,"",IFERROR(G192/F192, ""))</f>
        <v/>
      </c>
      <c r="L192">
        <f>IF(COUNTA(I192:K192)=3, I192+J192+K192, "")</f>
        <v/>
      </c>
      <c r="M192" s="5">
        <f>IF(L192="","",L192/100)</f>
        <v/>
      </c>
      <c r="N192">
        <f>IF(M192="","",IF(M192&gt;=0.7,3,IF(M192&gt;=0.6,2,IF(M192&gt;=0.5,1,0))))</f>
        <v/>
      </c>
    </row>
    <row r="193">
      <c r="H193" s="5">
        <f>IF(F193=0,"",IFERROR(G193/F193, ""))</f>
        <v/>
      </c>
      <c r="L193">
        <f>IF(COUNTA(I193:K193)=3, I193+J193+K193, "")</f>
        <v/>
      </c>
      <c r="M193" s="5">
        <f>IF(L193="","",L193/100)</f>
        <v/>
      </c>
      <c r="N193">
        <f>IF(M193="","",IF(M193&gt;=0.7,3,IF(M193&gt;=0.6,2,IF(M193&gt;=0.5,1,0))))</f>
        <v/>
      </c>
    </row>
    <row r="194">
      <c r="H194" s="5">
        <f>IF(F194=0,"",IFERROR(G194/F194, ""))</f>
        <v/>
      </c>
      <c r="L194">
        <f>IF(COUNTA(I194:K194)=3, I194+J194+K194, "")</f>
        <v/>
      </c>
      <c r="M194" s="5">
        <f>IF(L194="","",L194/100)</f>
        <v/>
      </c>
      <c r="N194">
        <f>IF(M194="","",IF(M194&gt;=0.7,3,IF(M194&gt;=0.6,2,IF(M194&gt;=0.5,1,0))))</f>
        <v/>
      </c>
    </row>
    <row r="195">
      <c r="H195" s="5">
        <f>IF(F195=0,"",IFERROR(G195/F195, ""))</f>
        <v/>
      </c>
      <c r="L195">
        <f>IF(COUNTA(I195:K195)=3, I195+J195+K195, "")</f>
        <v/>
      </c>
      <c r="M195" s="5">
        <f>IF(L195="","",L195/100)</f>
        <v/>
      </c>
      <c r="N195">
        <f>IF(M195="","",IF(M195&gt;=0.7,3,IF(M195&gt;=0.6,2,IF(M195&gt;=0.5,1,0))))</f>
        <v/>
      </c>
    </row>
    <row r="196">
      <c r="H196" s="5">
        <f>IF(F196=0,"",IFERROR(G196/F196, ""))</f>
        <v/>
      </c>
      <c r="L196">
        <f>IF(COUNTA(I196:K196)=3, I196+J196+K196, "")</f>
        <v/>
      </c>
      <c r="M196" s="5">
        <f>IF(L196="","",L196/100)</f>
        <v/>
      </c>
      <c r="N196">
        <f>IF(M196="","",IF(M196&gt;=0.7,3,IF(M196&gt;=0.6,2,IF(M196&gt;=0.5,1,0))))</f>
        <v/>
      </c>
    </row>
    <row r="197">
      <c r="H197" s="5">
        <f>IF(F197=0,"",IFERROR(G197/F197, ""))</f>
        <v/>
      </c>
      <c r="L197">
        <f>IF(COUNTA(I197:K197)=3, I197+J197+K197, "")</f>
        <v/>
      </c>
      <c r="M197" s="5">
        <f>IF(L197="","",L197/100)</f>
        <v/>
      </c>
      <c r="N197">
        <f>IF(M197="","",IF(M197&gt;=0.7,3,IF(M197&gt;=0.6,2,IF(M197&gt;=0.5,1,0))))</f>
        <v/>
      </c>
    </row>
    <row r="198">
      <c r="H198" s="5">
        <f>IF(F198=0,"",IFERROR(G198/F198, ""))</f>
        <v/>
      </c>
      <c r="L198">
        <f>IF(COUNTA(I198:K198)=3, I198+J198+K198, "")</f>
        <v/>
      </c>
      <c r="M198" s="5">
        <f>IF(L198="","",L198/100)</f>
        <v/>
      </c>
      <c r="N198">
        <f>IF(M198="","",IF(M198&gt;=0.7,3,IF(M198&gt;=0.6,2,IF(M198&gt;=0.5,1,0))))</f>
        <v/>
      </c>
    </row>
    <row r="199">
      <c r="H199" s="5">
        <f>IF(F199=0,"",IFERROR(G199/F199, ""))</f>
        <v/>
      </c>
      <c r="L199">
        <f>IF(COUNTA(I199:K199)=3, I199+J199+K199, "")</f>
        <v/>
      </c>
      <c r="M199" s="5">
        <f>IF(L199="","",L199/100)</f>
        <v/>
      </c>
      <c r="N199">
        <f>IF(M199="","",IF(M199&gt;=0.7,3,IF(M199&gt;=0.6,2,IF(M199&gt;=0.5,1,0))))</f>
        <v/>
      </c>
    </row>
    <row r="200">
      <c r="H200" s="5">
        <f>IF(F200=0,"",IFERROR(G200/F200, ""))</f>
        <v/>
      </c>
      <c r="L200">
        <f>IF(COUNTA(I200:K200)=3, I200+J200+K200, "")</f>
        <v/>
      </c>
      <c r="M200" s="5">
        <f>IF(L200="","",L200/100)</f>
        <v/>
      </c>
      <c r="N200">
        <f>IF(M200="","",IF(M200&gt;=0.7,3,IF(M200&gt;=0.6,2,IF(M200&gt;=0.5,1,0))))</f>
        <v/>
      </c>
    </row>
    <row r="201">
      <c r="H201" s="5">
        <f>IF(F201=0,"",IFERROR(G201/F201, ""))</f>
        <v/>
      </c>
      <c r="L201">
        <f>IF(COUNTA(I201:K201)=3, I201+J201+K201, "")</f>
        <v/>
      </c>
      <c r="M201" s="5">
        <f>IF(L201="","",L201/100)</f>
        <v/>
      </c>
      <c r="N201">
        <f>IF(M201="","",IF(M201&gt;=0.7,3,IF(M201&gt;=0.6,2,IF(M201&gt;=0.5,1,0))))</f>
        <v/>
      </c>
    </row>
    <row r="202">
      <c r="H202" s="5">
        <f>IF(F202=0,"",IFERROR(G202/F202, ""))</f>
        <v/>
      </c>
      <c r="L202">
        <f>IF(COUNTA(I202:K202)=3, I202+J202+K202, "")</f>
        <v/>
      </c>
      <c r="M202" s="5">
        <f>IF(L202="","",L202/100)</f>
        <v/>
      </c>
      <c r="N202">
        <f>IF(M202="","",IF(M202&gt;=0.7,3,IF(M202&gt;=0.6,2,IF(M202&gt;=0.5,1,0))))</f>
        <v/>
      </c>
    </row>
    <row r="205">
      <c r="A205" s="6" t="inlineStr">
        <is>
          <t>Notes</t>
        </is>
      </c>
    </row>
    <row r="206">
      <c r="A206" t="inlineStr">
        <is>
          <t>• Enter marks and attendance; % and attainment auto-calculate. Thresholds: ≥70%→Level 3, ≥60%→Level 2, ≥50%→Level 1, else Level 0.</t>
        </is>
      </c>
    </row>
  </sheetData>
  <conditionalFormatting sqref="H2:H202">
    <cfRule type="cellIs" priority="1" operator="lessThan" dxfId="0" stopIfTrue="1">
      <formula>0.75</formula>
    </cfRule>
  </conditionalFormatting>
  <conditionalFormatting sqref="M2:M202">
    <cfRule type="cellIs" priority="2" operator="greaterThanOrEqual" dxfId="1" stopIfTrue="1">
      <formula>0.7</formula>
    </cfRule>
    <cfRule type="expression" priority="3" dxfId="2" stopIfTrue="0">
      <formula>AND(M2&gt;=0.6,M2&lt;0.7)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12" customWidth="1" min="5" max="5"/>
    <col width="28" customWidth="1" min="6" max="6"/>
    <col width="12" customWidth="1" min="7" max="7"/>
    <col width="16" customWidth="1" min="8" max="8"/>
    <col width="22" customWidth="1" min="9" max="9"/>
    <col width="36" customWidth="1" min="10" max="10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(Assignment/UT/MT/Project)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Criteria</t>
        </is>
      </c>
      <c r="G1" s="1" t="inlineStr">
        <is>
          <t>Max Marks</t>
        </is>
      </c>
      <c r="H1" s="1" t="inlineStr">
        <is>
          <t>Marks Awarded</t>
        </is>
      </c>
      <c r="I1" s="1" t="inlineStr">
        <is>
          <t>Attainment Level (0–3)</t>
        </is>
      </c>
      <c r="J1" s="1" t="inlineStr">
        <is>
          <t>Evidence Link (Scanned Script/Folder)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Understanding &amp; Concepts</t>
        </is>
      </c>
      <c r="G2" t="n">
        <v>5</v>
      </c>
      <c r="H2" t="n">
        <v>4</v>
      </c>
      <c r="I2" t="n">
        <v>2</v>
      </c>
      <c r="J2" t="inlineStr">
        <is>
          <t>A1_Q1_Script_High.pdf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Assignment</t>
        </is>
      </c>
      <c r="D3" t="inlineStr">
        <is>
          <t>A1</t>
        </is>
      </c>
      <c r="E3" t="inlineStr">
        <is>
          <t>Q1</t>
        </is>
      </c>
      <c r="F3" t="inlineStr">
        <is>
          <t>Application of Knowledge</t>
        </is>
      </c>
      <c r="G3" t="n">
        <v>5</v>
      </c>
      <c r="H3" t="n">
        <v>3</v>
      </c>
      <c r="I3" t="n">
        <v>2</v>
      </c>
      <c r="J3" t="inlineStr">
        <is>
          <t>A1_Q1_Script_High.pdf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Unit Test</t>
        </is>
      </c>
      <c r="D4" t="inlineStr">
        <is>
          <t>UT1</t>
        </is>
      </c>
      <c r="E4" t="inlineStr">
        <is>
          <t>Q2</t>
        </is>
      </c>
      <c r="F4" t="inlineStr">
        <is>
          <t>Analysis &amp; Problem Solving</t>
        </is>
      </c>
      <c r="G4" t="n">
        <v>10</v>
      </c>
      <c r="H4" t="n">
        <v>7</v>
      </c>
      <c r="I4" t="n">
        <v>2</v>
      </c>
      <c r="J4" t="inlineStr">
        <is>
          <t>UT1_Q2_Script_Medium.pdf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Mid-Term</t>
        </is>
      </c>
      <c r="D5" t="inlineStr">
        <is>
          <t>MT1</t>
        </is>
      </c>
      <c r="E5" t="inlineStr">
        <is>
          <t>Q3</t>
        </is>
      </c>
      <c r="F5" t="inlineStr">
        <is>
          <t>Design &amp; Innovation</t>
        </is>
      </c>
      <c r="G5" t="n">
        <v>15</v>
      </c>
      <c r="H5" t="n">
        <v>10</v>
      </c>
      <c r="I5" t="n">
        <v>2</v>
      </c>
      <c r="J5" t="inlineStr">
        <is>
          <t>MT1_Q3_Script_Low.pdf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22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CO1 % (Auto)</t>
        </is>
      </c>
      <c r="G1" s="1" t="inlineStr">
        <is>
          <t>CO2 % (Auto)</t>
        </is>
      </c>
      <c r="H1" s="1" t="inlineStr">
        <is>
          <t>CO3 % (Auto)</t>
        </is>
      </c>
      <c r="I1" s="1" t="inlineStr">
        <is>
          <t>CO4 % (Auto)</t>
        </is>
      </c>
      <c r="J1" s="1" t="inlineStr">
        <is>
          <t>Average % (Auto)</t>
        </is>
      </c>
      <c r="K1" s="1" t="inlineStr">
        <is>
          <t>Attainment Level (0–3)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J2">
        <f>IF(COUNTA(F2:I2)=0,"",AVERAGE(F2:I2))</f>
        <v/>
      </c>
      <c r="K2">
        <f>IF(J2="","",IF(J2&gt;=70,3,IF(J2&gt;=60,2,IF(J2&gt;=50,1,0))))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J3">
        <f>IF(COUNTA(F3:I3)=0,"",AVERAGE(F3:I3))</f>
        <v/>
      </c>
      <c r="K3">
        <f>IF(J3="","",IF(J3&gt;=70,3,IF(J3&gt;=60,2,IF(J3&gt;=50,1,0))))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J4">
        <f>IF(COUNTA(F4:I4)=0,"",AVERAGE(F4:I4))</f>
        <v/>
      </c>
      <c r="K4">
        <f>IF(J4="","",IF(J4&gt;=70,3,IF(J4&gt;=60,2,IF(J4&gt;=50,1,0))))</f>
        <v/>
      </c>
    </row>
    <row r="5">
      <c r="J5">
        <f>IF(COUNTA(F5:I5)=0,"",AVERAGE(F5:I5))</f>
        <v/>
      </c>
      <c r="K5">
        <f>IF(J5="","",IF(J5&gt;=70,3,IF(J5&gt;=60,2,IF(J5&gt;=50,1,0))))</f>
        <v/>
      </c>
    </row>
    <row r="6">
      <c r="J6">
        <f>IF(COUNTA(F6:I6)=0,"",AVERAGE(F6:I6))</f>
        <v/>
      </c>
      <c r="K6">
        <f>IF(J6="","",IF(J6&gt;=70,3,IF(J6&gt;=60,2,IF(J6&gt;=50,1,0))))</f>
        <v/>
      </c>
    </row>
    <row r="7">
      <c r="J7">
        <f>IF(COUNTA(F7:I7)=0,"",AVERAGE(F7:I7))</f>
        <v/>
      </c>
      <c r="K7">
        <f>IF(J7="","",IF(J7&gt;=70,3,IF(J7&gt;=60,2,IF(J7&gt;=50,1,0))))</f>
        <v/>
      </c>
    </row>
    <row r="8">
      <c r="J8">
        <f>IF(COUNTA(F8:I8)=0,"",AVERAGE(F8:I8))</f>
        <v/>
      </c>
      <c r="K8">
        <f>IF(J8="","",IF(J8&gt;=70,3,IF(J8&gt;=60,2,IF(J8&gt;=50,1,0))))</f>
        <v/>
      </c>
    </row>
    <row r="9">
      <c r="J9">
        <f>IF(COUNTA(F9:I9)=0,"",AVERAGE(F9:I9))</f>
        <v/>
      </c>
      <c r="K9">
        <f>IF(J9="","",IF(J9&gt;=70,3,IF(J9&gt;=60,2,IF(J9&gt;=50,1,0))))</f>
        <v/>
      </c>
    </row>
    <row r="10">
      <c r="J10">
        <f>IF(COUNTA(F10:I10)=0,"",AVERAGE(F10:I10))</f>
        <v/>
      </c>
      <c r="K10">
        <f>IF(J10="","",IF(J10&gt;=70,3,IF(J10&gt;=60,2,IF(J10&gt;=50,1,0))))</f>
        <v/>
      </c>
    </row>
    <row r="11">
      <c r="J11">
        <f>IF(COUNTA(F11:I11)=0,"",AVERAGE(F11:I11))</f>
        <v/>
      </c>
      <c r="K11">
        <f>IF(J11="","",IF(J11&gt;=70,3,IF(J11&gt;=60,2,IF(J11&gt;=50,1,0))))</f>
        <v/>
      </c>
    </row>
    <row r="12">
      <c r="J12">
        <f>IF(COUNTA(F12:I12)=0,"",AVERAGE(F12:I12))</f>
        <v/>
      </c>
      <c r="K12">
        <f>IF(J12="","",IF(J12&gt;=70,3,IF(J12&gt;=60,2,IF(J12&gt;=50,1,0))))</f>
        <v/>
      </c>
    </row>
    <row r="13">
      <c r="J13">
        <f>IF(COUNTA(F13:I13)=0,"",AVERAGE(F13:I13))</f>
        <v/>
      </c>
      <c r="K13">
        <f>IF(J13="","",IF(J13&gt;=70,3,IF(J13&gt;=60,2,IF(J13&gt;=50,1,0))))</f>
        <v/>
      </c>
    </row>
    <row r="14">
      <c r="J14">
        <f>IF(COUNTA(F14:I14)=0,"",AVERAGE(F14:I14))</f>
        <v/>
      </c>
      <c r="K14">
        <f>IF(J14="","",IF(J14&gt;=70,3,IF(J14&gt;=60,2,IF(J14&gt;=50,1,0))))</f>
        <v/>
      </c>
    </row>
    <row r="15">
      <c r="J15">
        <f>IF(COUNTA(F15:I15)=0,"",AVERAGE(F15:I15))</f>
        <v/>
      </c>
      <c r="K15">
        <f>IF(J15="","",IF(J15&gt;=70,3,IF(J15&gt;=60,2,IF(J15&gt;=50,1,0))))</f>
        <v/>
      </c>
    </row>
    <row r="16">
      <c r="J16">
        <f>IF(COUNTA(F16:I16)=0,"",AVERAGE(F16:I16))</f>
        <v/>
      </c>
      <c r="K16">
        <f>IF(J16="","",IF(J16&gt;=70,3,IF(J16&gt;=60,2,IF(J16&gt;=50,1,0))))</f>
        <v/>
      </c>
    </row>
    <row r="17">
      <c r="J17">
        <f>IF(COUNTA(F17:I17)=0,"",AVERAGE(F17:I17))</f>
        <v/>
      </c>
      <c r="K17">
        <f>IF(J17="","",IF(J17&gt;=70,3,IF(J17&gt;=60,2,IF(J17&gt;=50,1,0))))</f>
        <v/>
      </c>
    </row>
    <row r="18">
      <c r="J18">
        <f>IF(COUNTA(F18:I18)=0,"",AVERAGE(F18:I18))</f>
        <v/>
      </c>
      <c r="K18">
        <f>IF(J18="","",IF(J18&gt;=70,3,IF(J18&gt;=60,2,IF(J18&gt;=50,1,0))))</f>
        <v/>
      </c>
    </row>
    <row r="19">
      <c r="J19">
        <f>IF(COUNTA(F19:I19)=0,"",AVERAGE(F19:I19))</f>
        <v/>
      </c>
      <c r="K19">
        <f>IF(J19="","",IF(J19&gt;=70,3,IF(J19&gt;=60,2,IF(J19&gt;=50,1,0))))</f>
        <v/>
      </c>
    </row>
    <row r="20">
      <c r="J20">
        <f>IF(COUNTA(F20:I20)=0,"",AVERAGE(F20:I20))</f>
        <v/>
      </c>
      <c r="K20">
        <f>IF(J20="","",IF(J20&gt;=70,3,IF(J20&gt;=60,2,IF(J20&gt;=50,1,0))))</f>
        <v/>
      </c>
    </row>
    <row r="21">
      <c r="J21">
        <f>IF(COUNTA(F21:I21)=0,"",AVERAGE(F21:I21))</f>
        <v/>
      </c>
      <c r="K21">
        <f>IF(J21="","",IF(J21&gt;=70,3,IF(J21&gt;=60,2,IF(J21&gt;=50,1,0))))</f>
        <v/>
      </c>
    </row>
    <row r="22">
      <c r="J22">
        <f>IF(COUNTA(F22:I22)=0,"",AVERAGE(F22:I22))</f>
        <v/>
      </c>
      <c r="K22">
        <f>IF(J22="","",IF(J22&gt;=70,3,IF(J22&gt;=60,2,IF(J22&gt;=50,1,0))))</f>
        <v/>
      </c>
    </row>
    <row r="23">
      <c r="J23">
        <f>IF(COUNTA(F23:I23)=0,"",AVERAGE(F23:I23))</f>
        <v/>
      </c>
      <c r="K23">
        <f>IF(J23="","",IF(J23&gt;=70,3,IF(J23&gt;=60,2,IF(J23&gt;=50,1,0))))</f>
        <v/>
      </c>
    </row>
    <row r="24">
      <c r="J24">
        <f>IF(COUNTA(F24:I24)=0,"",AVERAGE(F24:I24))</f>
        <v/>
      </c>
      <c r="K24">
        <f>IF(J24="","",IF(J24&gt;=70,3,IF(J24&gt;=60,2,IF(J24&gt;=50,1,0))))</f>
        <v/>
      </c>
    </row>
    <row r="25">
      <c r="J25">
        <f>IF(COUNTA(F25:I25)=0,"",AVERAGE(F25:I25))</f>
        <v/>
      </c>
      <c r="K25">
        <f>IF(J25="","",IF(J25&gt;=70,3,IF(J25&gt;=60,2,IF(J25&gt;=50,1,0))))</f>
        <v/>
      </c>
    </row>
    <row r="26">
      <c r="J26">
        <f>IF(COUNTA(F26:I26)=0,"",AVERAGE(F26:I26))</f>
        <v/>
      </c>
      <c r="K26">
        <f>IF(J26="","",IF(J26&gt;=70,3,IF(J26&gt;=60,2,IF(J26&gt;=50,1,0))))</f>
        <v/>
      </c>
    </row>
    <row r="27">
      <c r="J27">
        <f>IF(COUNTA(F27:I27)=0,"",AVERAGE(F27:I27))</f>
        <v/>
      </c>
      <c r="K27">
        <f>IF(J27="","",IF(J27&gt;=70,3,IF(J27&gt;=60,2,IF(J27&gt;=50,1,0))))</f>
        <v/>
      </c>
    </row>
    <row r="28">
      <c r="J28">
        <f>IF(COUNTA(F28:I28)=0,"",AVERAGE(F28:I28))</f>
        <v/>
      </c>
      <c r="K28">
        <f>IF(J28="","",IF(J28&gt;=70,3,IF(J28&gt;=60,2,IF(J28&gt;=50,1,0))))</f>
        <v/>
      </c>
    </row>
    <row r="29">
      <c r="J29">
        <f>IF(COUNTA(F29:I29)=0,"",AVERAGE(F29:I29))</f>
        <v/>
      </c>
      <c r="K29">
        <f>IF(J29="","",IF(J29&gt;=70,3,IF(J29&gt;=60,2,IF(J29&gt;=50,1,0))))</f>
        <v/>
      </c>
    </row>
    <row r="30">
      <c r="J30">
        <f>IF(COUNTA(F30:I30)=0,"",AVERAGE(F30:I30))</f>
        <v/>
      </c>
      <c r="K30">
        <f>IF(J30="","",IF(J30&gt;=70,3,IF(J30&gt;=60,2,IF(J30&gt;=50,1,0))))</f>
        <v/>
      </c>
    </row>
    <row r="31">
      <c r="J31">
        <f>IF(COUNTA(F31:I31)=0,"",AVERAGE(F31:I31))</f>
        <v/>
      </c>
      <c r="K31">
        <f>IF(J31="","",IF(J31&gt;=70,3,IF(J31&gt;=60,2,IF(J31&gt;=50,1,0))))</f>
        <v/>
      </c>
    </row>
    <row r="32">
      <c r="J32">
        <f>IF(COUNTA(F32:I32)=0,"",AVERAGE(F32:I32))</f>
        <v/>
      </c>
      <c r="K32">
        <f>IF(J32="","",IF(J32&gt;=70,3,IF(J32&gt;=60,2,IF(J32&gt;=50,1,0))))</f>
        <v/>
      </c>
    </row>
    <row r="33">
      <c r="J33">
        <f>IF(COUNTA(F33:I33)=0,"",AVERAGE(F33:I33))</f>
        <v/>
      </c>
      <c r="K33">
        <f>IF(J33="","",IF(J33&gt;=70,3,IF(J33&gt;=60,2,IF(J33&gt;=50,1,0))))</f>
        <v/>
      </c>
    </row>
    <row r="34">
      <c r="J34">
        <f>IF(COUNTA(F34:I34)=0,"",AVERAGE(F34:I34))</f>
        <v/>
      </c>
      <c r="K34">
        <f>IF(J34="","",IF(J34&gt;=70,3,IF(J34&gt;=60,2,IF(J34&gt;=50,1,0))))</f>
        <v/>
      </c>
    </row>
    <row r="35">
      <c r="J35">
        <f>IF(COUNTA(F35:I35)=0,"",AVERAGE(F35:I35))</f>
        <v/>
      </c>
      <c r="K35">
        <f>IF(J35="","",IF(J35&gt;=70,3,IF(J35&gt;=60,2,IF(J35&gt;=50,1,0))))</f>
        <v/>
      </c>
    </row>
    <row r="36">
      <c r="J36">
        <f>IF(COUNTA(F36:I36)=0,"",AVERAGE(F36:I36))</f>
        <v/>
      </c>
      <c r="K36">
        <f>IF(J36="","",IF(J36&gt;=70,3,IF(J36&gt;=60,2,IF(J36&gt;=50,1,0))))</f>
        <v/>
      </c>
    </row>
    <row r="37">
      <c r="J37">
        <f>IF(COUNTA(F37:I37)=0,"",AVERAGE(F37:I37))</f>
        <v/>
      </c>
      <c r="K37">
        <f>IF(J37="","",IF(J37&gt;=70,3,IF(J37&gt;=60,2,IF(J37&gt;=50,1,0))))</f>
        <v/>
      </c>
    </row>
    <row r="38">
      <c r="J38">
        <f>IF(COUNTA(F38:I38)=0,"",AVERAGE(F38:I38))</f>
        <v/>
      </c>
      <c r="K38">
        <f>IF(J38="","",IF(J38&gt;=70,3,IF(J38&gt;=60,2,IF(J38&gt;=50,1,0))))</f>
        <v/>
      </c>
    </row>
    <row r="39">
      <c r="J39">
        <f>IF(COUNTA(F39:I39)=0,"",AVERAGE(F39:I39))</f>
        <v/>
      </c>
      <c r="K39">
        <f>IF(J39="","",IF(J39&gt;=70,3,IF(J39&gt;=60,2,IF(J39&gt;=50,1,0))))</f>
        <v/>
      </c>
    </row>
    <row r="40">
      <c r="J40">
        <f>IF(COUNTA(F40:I40)=0,"",AVERAGE(F40:I40))</f>
        <v/>
      </c>
      <c r="K40">
        <f>IF(J40="","",IF(J40&gt;=70,3,IF(J40&gt;=60,2,IF(J40&gt;=50,1,0))))</f>
        <v/>
      </c>
    </row>
    <row r="41">
      <c r="J41">
        <f>IF(COUNTA(F41:I41)=0,"",AVERAGE(F41:I41))</f>
        <v/>
      </c>
      <c r="K41">
        <f>IF(J41="","",IF(J41&gt;=70,3,IF(J41&gt;=60,2,IF(J41&gt;=50,1,0))))</f>
        <v/>
      </c>
    </row>
    <row r="42">
      <c r="J42">
        <f>IF(COUNTA(F42:I42)=0,"",AVERAGE(F42:I42))</f>
        <v/>
      </c>
      <c r="K42">
        <f>IF(J42="","",IF(J42&gt;=70,3,IF(J42&gt;=60,2,IF(J42&gt;=50,1,0))))</f>
        <v/>
      </c>
    </row>
    <row r="43">
      <c r="J43">
        <f>IF(COUNTA(F43:I43)=0,"",AVERAGE(F43:I43))</f>
        <v/>
      </c>
      <c r="K43">
        <f>IF(J43="","",IF(J43&gt;=70,3,IF(J43&gt;=60,2,IF(J43&gt;=50,1,0))))</f>
        <v/>
      </c>
    </row>
    <row r="44">
      <c r="J44">
        <f>IF(COUNTA(F44:I44)=0,"",AVERAGE(F44:I44))</f>
        <v/>
      </c>
      <c r="K44">
        <f>IF(J44="","",IF(J44&gt;=70,3,IF(J44&gt;=60,2,IF(J44&gt;=50,1,0))))</f>
        <v/>
      </c>
    </row>
    <row r="45">
      <c r="J45">
        <f>IF(COUNTA(F45:I45)=0,"",AVERAGE(F45:I45))</f>
        <v/>
      </c>
      <c r="K45">
        <f>IF(J45="","",IF(J45&gt;=70,3,IF(J45&gt;=60,2,IF(J45&gt;=50,1,0))))</f>
        <v/>
      </c>
    </row>
    <row r="46">
      <c r="J46">
        <f>IF(COUNTA(F46:I46)=0,"",AVERAGE(F46:I46))</f>
        <v/>
      </c>
      <c r="K46">
        <f>IF(J46="","",IF(J46&gt;=70,3,IF(J46&gt;=60,2,IF(J46&gt;=50,1,0))))</f>
        <v/>
      </c>
    </row>
    <row r="47">
      <c r="J47">
        <f>IF(COUNTA(F47:I47)=0,"",AVERAGE(F47:I47))</f>
        <v/>
      </c>
      <c r="K47">
        <f>IF(J47="","",IF(J47&gt;=70,3,IF(J47&gt;=60,2,IF(J47&gt;=50,1,0))))</f>
        <v/>
      </c>
    </row>
    <row r="48">
      <c r="J48">
        <f>IF(COUNTA(F48:I48)=0,"",AVERAGE(F48:I48))</f>
        <v/>
      </c>
      <c r="K48">
        <f>IF(J48="","",IF(J48&gt;=70,3,IF(J48&gt;=60,2,IF(J48&gt;=50,1,0))))</f>
        <v/>
      </c>
    </row>
    <row r="49">
      <c r="J49">
        <f>IF(COUNTA(F49:I49)=0,"",AVERAGE(F49:I49))</f>
        <v/>
      </c>
      <c r="K49">
        <f>IF(J49="","",IF(J49&gt;=70,3,IF(J49&gt;=60,2,IF(J49&gt;=50,1,0))))</f>
        <v/>
      </c>
    </row>
    <row r="50">
      <c r="J50">
        <f>IF(COUNTA(F50:I50)=0,"",AVERAGE(F50:I50))</f>
        <v/>
      </c>
      <c r="K50">
        <f>IF(J50="","",IF(J50&gt;=70,3,IF(J50&gt;=60,2,IF(J50&gt;=50,1,0))))</f>
        <v/>
      </c>
    </row>
    <row r="51">
      <c r="J51">
        <f>IF(COUNTA(F51:I51)=0,"",AVERAGE(F51:I51))</f>
        <v/>
      </c>
      <c r="K51">
        <f>IF(J51="","",IF(J51&gt;=70,3,IF(J51&gt;=60,2,IF(J51&gt;=50,1,0))))</f>
        <v/>
      </c>
    </row>
    <row r="52">
      <c r="J52">
        <f>IF(COUNTA(F52:I52)=0,"",AVERAGE(F52:I52))</f>
        <v/>
      </c>
      <c r="K52">
        <f>IF(J52="","",IF(J52&gt;=70,3,IF(J52&gt;=60,2,IF(J52&gt;=50,1,0))))</f>
        <v/>
      </c>
    </row>
    <row r="53">
      <c r="J53">
        <f>IF(COUNTA(F53:I53)=0,"",AVERAGE(F53:I53))</f>
        <v/>
      </c>
      <c r="K53">
        <f>IF(J53="","",IF(J53&gt;=70,3,IF(J53&gt;=60,2,IF(J53&gt;=50,1,0))))</f>
        <v/>
      </c>
    </row>
    <row r="54">
      <c r="J54">
        <f>IF(COUNTA(F54:I54)=0,"",AVERAGE(F54:I54))</f>
        <v/>
      </c>
      <c r="K54">
        <f>IF(J54="","",IF(J54&gt;=70,3,IF(J54&gt;=60,2,IF(J54&gt;=50,1,0))))</f>
        <v/>
      </c>
    </row>
    <row r="55">
      <c r="J55">
        <f>IF(COUNTA(F55:I55)=0,"",AVERAGE(F55:I55))</f>
        <v/>
      </c>
      <c r="K55">
        <f>IF(J55="","",IF(J55&gt;=70,3,IF(J55&gt;=60,2,IF(J55&gt;=50,1,0))))</f>
        <v/>
      </c>
    </row>
    <row r="56">
      <c r="J56">
        <f>IF(COUNTA(F56:I56)=0,"",AVERAGE(F56:I56))</f>
        <v/>
      </c>
      <c r="K56">
        <f>IF(J56="","",IF(J56&gt;=70,3,IF(J56&gt;=60,2,IF(J56&gt;=50,1,0))))</f>
        <v/>
      </c>
    </row>
    <row r="57">
      <c r="J57">
        <f>IF(COUNTA(F57:I57)=0,"",AVERAGE(F57:I57))</f>
        <v/>
      </c>
      <c r="K57">
        <f>IF(J57="","",IF(J57&gt;=70,3,IF(J57&gt;=60,2,IF(J57&gt;=50,1,0))))</f>
        <v/>
      </c>
    </row>
    <row r="58">
      <c r="J58">
        <f>IF(COUNTA(F58:I58)=0,"",AVERAGE(F58:I58))</f>
        <v/>
      </c>
      <c r="K58">
        <f>IF(J58="","",IF(J58&gt;=70,3,IF(J58&gt;=60,2,IF(J58&gt;=50,1,0))))</f>
        <v/>
      </c>
    </row>
    <row r="59">
      <c r="J59">
        <f>IF(COUNTA(F59:I59)=0,"",AVERAGE(F59:I59))</f>
        <v/>
      </c>
      <c r="K59">
        <f>IF(J59="","",IF(J59&gt;=70,3,IF(J59&gt;=60,2,IF(J59&gt;=50,1,0))))</f>
        <v/>
      </c>
    </row>
    <row r="60">
      <c r="J60">
        <f>IF(COUNTA(F60:I60)=0,"",AVERAGE(F60:I60))</f>
        <v/>
      </c>
      <c r="K60">
        <f>IF(J60="","",IF(J60&gt;=70,3,IF(J60&gt;=60,2,IF(J60&gt;=50,1,0))))</f>
        <v/>
      </c>
    </row>
    <row r="61">
      <c r="J61">
        <f>IF(COUNTA(F61:I61)=0,"",AVERAGE(F61:I61))</f>
        <v/>
      </c>
      <c r="K61">
        <f>IF(J61="","",IF(J61&gt;=70,3,IF(J61&gt;=60,2,IF(J61&gt;=50,1,0))))</f>
        <v/>
      </c>
    </row>
    <row r="62">
      <c r="J62">
        <f>IF(COUNTA(F62:I62)=0,"",AVERAGE(F62:I62))</f>
        <v/>
      </c>
      <c r="K62">
        <f>IF(J62="","",IF(J62&gt;=70,3,IF(J62&gt;=60,2,IF(J62&gt;=50,1,0))))</f>
        <v/>
      </c>
    </row>
    <row r="63">
      <c r="J63">
        <f>IF(COUNTA(F63:I63)=0,"",AVERAGE(F63:I63))</f>
        <v/>
      </c>
      <c r="K63">
        <f>IF(J63="","",IF(J63&gt;=70,3,IF(J63&gt;=60,2,IF(J63&gt;=50,1,0))))</f>
        <v/>
      </c>
    </row>
    <row r="64">
      <c r="J64">
        <f>IF(COUNTA(F64:I64)=0,"",AVERAGE(F64:I64))</f>
        <v/>
      </c>
      <c r="K64">
        <f>IF(J64="","",IF(J64&gt;=70,3,IF(J64&gt;=60,2,IF(J64&gt;=50,1,0))))</f>
        <v/>
      </c>
    </row>
    <row r="65">
      <c r="J65">
        <f>IF(COUNTA(F65:I65)=0,"",AVERAGE(F65:I65))</f>
        <v/>
      </c>
      <c r="K65">
        <f>IF(J65="","",IF(J65&gt;=70,3,IF(J65&gt;=60,2,IF(J65&gt;=50,1,0))))</f>
        <v/>
      </c>
    </row>
    <row r="66">
      <c r="J66">
        <f>IF(COUNTA(F66:I66)=0,"",AVERAGE(F66:I66))</f>
        <v/>
      </c>
      <c r="K66">
        <f>IF(J66="","",IF(J66&gt;=70,3,IF(J66&gt;=60,2,IF(J66&gt;=50,1,0))))</f>
        <v/>
      </c>
    </row>
    <row r="67">
      <c r="J67">
        <f>IF(COUNTA(F67:I67)=0,"",AVERAGE(F67:I67))</f>
        <v/>
      </c>
      <c r="K67">
        <f>IF(J67="","",IF(J67&gt;=70,3,IF(J67&gt;=60,2,IF(J67&gt;=50,1,0))))</f>
        <v/>
      </c>
    </row>
    <row r="68">
      <c r="J68">
        <f>IF(COUNTA(F68:I68)=0,"",AVERAGE(F68:I68))</f>
        <v/>
      </c>
      <c r="K68">
        <f>IF(J68="","",IF(J68&gt;=70,3,IF(J68&gt;=60,2,IF(J68&gt;=50,1,0))))</f>
        <v/>
      </c>
    </row>
    <row r="69">
      <c r="J69">
        <f>IF(COUNTA(F69:I69)=0,"",AVERAGE(F69:I69))</f>
        <v/>
      </c>
      <c r="K69">
        <f>IF(J69="","",IF(J69&gt;=70,3,IF(J69&gt;=60,2,IF(J69&gt;=50,1,0))))</f>
        <v/>
      </c>
    </row>
    <row r="70">
      <c r="J70">
        <f>IF(COUNTA(F70:I70)=0,"",AVERAGE(F70:I70))</f>
        <v/>
      </c>
      <c r="K70">
        <f>IF(J70="","",IF(J70&gt;=70,3,IF(J70&gt;=60,2,IF(J70&gt;=50,1,0))))</f>
        <v/>
      </c>
    </row>
    <row r="71">
      <c r="J71">
        <f>IF(COUNTA(F71:I71)=0,"",AVERAGE(F71:I71))</f>
        <v/>
      </c>
      <c r="K71">
        <f>IF(J71="","",IF(J71&gt;=70,3,IF(J71&gt;=60,2,IF(J71&gt;=50,1,0))))</f>
        <v/>
      </c>
    </row>
    <row r="72">
      <c r="J72">
        <f>IF(COUNTA(F72:I72)=0,"",AVERAGE(F72:I72))</f>
        <v/>
      </c>
      <c r="K72">
        <f>IF(J72="","",IF(J72&gt;=70,3,IF(J72&gt;=60,2,IF(J72&gt;=50,1,0))))</f>
        <v/>
      </c>
    </row>
    <row r="73">
      <c r="J73">
        <f>IF(COUNTA(F73:I73)=0,"",AVERAGE(F73:I73))</f>
        <v/>
      </c>
      <c r="K73">
        <f>IF(J73="","",IF(J73&gt;=70,3,IF(J73&gt;=60,2,IF(J73&gt;=50,1,0))))</f>
        <v/>
      </c>
    </row>
    <row r="74">
      <c r="J74">
        <f>IF(COUNTA(F74:I74)=0,"",AVERAGE(F74:I74))</f>
        <v/>
      </c>
      <c r="K74">
        <f>IF(J74="","",IF(J74&gt;=70,3,IF(J74&gt;=60,2,IF(J74&gt;=50,1,0))))</f>
        <v/>
      </c>
    </row>
    <row r="75">
      <c r="J75">
        <f>IF(COUNTA(F75:I75)=0,"",AVERAGE(F75:I75))</f>
        <v/>
      </c>
      <c r="K75">
        <f>IF(J75="","",IF(J75&gt;=70,3,IF(J75&gt;=60,2,IF(J75&gt;=50,1,0))))</f>
        <v/>
      </c>
    </row>
    <row r="76">
      <c r="J76">
        <f>IF(COUNTA(F76:I76)=0,"",AVERAGE(F76:I76))</f>
        <v/>
      </c>
      <c r="K76">
        <f>IF(J76="","",IF(J76&gt;=70,3,IF(J76&gt;=60,2,IF(J76&gt;=50,1,0))))</f>
        <v/>
      </c>
    </row>
    <row r="77">
      <c r="J77">
        <f>IF(COUNTA(F77:I77)=0,"",AVERAGE(F77:I77))</f>
        <v/>
      </c>
      <c r="K77">
        <f>IF(J77="","",IF(J77&gt;=70,3,IF(J77&gt;=60,2,IF(J77&gt;=50,1,0))))</f>
        <v/>
      </c>
    </row>
    <row r="78">
      <c r="J78">
        <f>IF(COUNTA(F78:I78)=0,"",AVERAGE(F78:I78))</f>
        <v/>
      </c>
      <c r="K78">
        <f>IF(J78="","",IF(J78&gt;=70,3,IF(J78&gt;=60,2,IF(J78&gt;=50,1,0))))</f>
        <v/>
      </c>
    </row>
    <row r="79">
      <c r="J79">
        <f>IF(COUNTA(F79:I79)=0,"",AVERAGE(F79:I79))</f>
        <v/>
      </c>
      <c r="K79">
        <f>IF(J79="","",IF(J79&gt;=70,3,IF(J79&gt;=60,2,IF(J79&gt;=50,1,0))))</f>
        <v/>
      </c>
    </row>
    <row r="80">
      <c r="J80">
        <f>IF(COUNTA(F80:I80)=0,"",AVERAGE(F80:I80))</f>
        <v/>
      </c>
      <c r="K80">
        <f>IF(J80="","",IF(J80&gt;=70,3,IF(J80&gt;=60,2,IF(J80&gt;=50,1,0))))</f>
        <v/>
      </c>
    </row>
    <row r="81">
      <c r="J81">
        <f>IF(COUNTA(F81:I81)=0,"",AVERAGE(F81:I81))</f>
        <v/>
      </c>
      <c r="K81">
        <f>IF(J81="","",IF(J81&gt;=70,3,IF(J81&gt;=60,2,IF(J81&gt;=50,1,0))))</f>
        <v/>
      </c>
    </row>
    <row r="82">
      <c r="J82">
        <f>IF(COUNTA(F82:I82)=0,"",AVERAGE(F82:I82))</f>
        <v/>
      </c>
      <c r="K82">
        <f>IF(J82="","",IF(J82&gt;=70,3,IF(J82&gt;=60,2,IF(J82&gt;=50,1,0))))</f>
        <v/>
      </c>
    </row>
    <row r="83">
      <c r="J83">
        <f>IF(COUNTA(F83:I83)=0,"",AVERAGE(F83:I83))</f>
        <v/>
      </c>
      <c r="K83">
        <f>IF(J83="","",IF(J83&gt;=70,3,IF(J83&gt;=60,2,IF(J83&gt;=50,1,0))))</f>
        <v/>
      </c>
    </row>
    <row r="84">
      <c r="J84">
        <f>IF(COUNTA(F84:I84)=0,"",AVERAGE(F84:I84))</f>
        <v/>
      </c>
      <c r="K84">
        <f>IF(J84="","",IF(J84&gt;=70,3,IF(J84&gt;=60,2,IF(J84&gt;=50,1,0))))</f>
        <v/>
      </c>
    </row>
    <row r="85">
      <c r="J85">
        <f>IF(COUNTA(F85:I85)=0,"",AVERAGE(F85:I85))</f>
        <v/>
      </c>
      <c r="K85">
        <f>IF(J85="","",IF(J85&gt;=70,3,IF(J85&gt;=60,2,IF(J85&gt;=50,1,0))))</f>
        <v/>
      </c>
    </row>
    <row r="86">
      <c r="J86">
        <f>IF(COUNTA(F86:I86)=0,"",AVERAGE(F86:I86))</f>
        <v/>
      </c>
      <c r="K86">
        <f>IF(J86="","",IF(J86&gt;=70,3,IF(J86&gt;=60,2,IF(J86&gt;=50,1,0))))</f>
        <v/>
      </c>
    </row>
    <row r="87">
      <c r="J87">
        <f>IF(COUNTA(F87:I87)=0,"",AVERAGE(F87:I87))</f>
        <v/>
      </c>
      <c r="K87">
        <f>IF(J87="","",IF(J87&gt;=70,3,IF(J87&gt;=60,2,IF(J87&gt;=50,1,0))))</f>
        <v/>
      </c>
    </row>
    <row r="88">
      <c r="J88">
        <f>IF(COUNTA(F88:I88)=0,"",AVERAGE(F88:I88))</f>
        <v/>
      </c>
      <c r="K88">
        <f>IF(J88="","",IF(J88&gt;=70,3,IF(J88&gt;=60,2,IF(J88&gt;=50,1,0))))</f>
        <v/>
      </c>
    </row>
    <row r="89">
      <c r="J89">
        <f>IF(COUNTA(F89:I89)=0,"",AVERAGE(F89:I89))</f>
        <v/>
      </c>
      <c r="K89">
        <f>IF(J89="","",IF(J89&gt;=70,3,IF(J89&gt;=60,2,IF(J89&gt;=50,1,0))))</f>
        <v/>
      </c>
    </row>
    <row r="90">
      <c r="J90">
        <f>IF(COUNTA(F90:I90)=0,"",AVERAGE(F90:I90))</f>
        <v/>
      </c>
      <c r="K90">
        <f>IF(J90="","",IF(J90&gt;=70,3,IF(J90&gt;=60,2,IF(J90&gt;=50,1,0))))</f>
        <v/>
      </c>
    </row>
    <row r="91">
      <c r="J91">
        <f>IF(COUNTA(F91:I91)=0,"",AVERAGE(F91:I91))</f>
        <v/>
      </c>
      <c r="K91">
        <f>IF(J91="","",IF(J91&gt;=70,3,IF(J91&gt;=60,2,IF(J91&gt;=50,1,0))))</f>
        <v/>
      </c>
    </row>
    <row r="92">
      <c r="J92">
        <f>IF(COUNTA(F92:I92)=0,"",AVERAGE(F92:I92))</f>
        <v/>
      </c>
      <c r="K92">
        <f>IF(J92="","",IF(J92&gt;=70,3,IF(J92&gt;=60,2,IF(J92&gt;=50,1,0))))</f>
        <v/>
      </c>
    </row>
    <row r="93">
      <c r="J93">
        <f>IF(COUNTA(F93:I93)=0,"",AVERAGE(F93:I93))</f>
        <v/>
      </c>
      <c r="K93">
        <f>IF(J93="","",IF(J93&gt;=70,3,IF(J93&gt;=60,2,IF(J93&gt;=50,1,0))))</f>
        <v/>
      </c>
    </row>
    <row r="94">
      <c r="J94">
        <f>IF(COUNTA(F94:I94)=0,"",AVERAGE(F94:I94))</f>
        <v/>
      </c>
      <c r="K94">
        <f>IF(J94="","",IF(J94&gt;=70,3,IF(J94&gt;=60,2,IF(J94&gt;=50,1,0))))</f>
        <v/>
      </c>
    </row>
    <row r="95">
      <c r="J95">
        <f>IF(COUNTA(F95:I95)=0,"",AVERAGE(F95:I95))</f>
        <v/>
      </c>
      <c r="K95">
        <f>IF(J95="","",IF(J95&gt;=70,3,IF(J95&gt;=60,2,IF(J95&gt;=50,1,0))))</f>
        <v/>
      </c>
    </row>
    <row r="96">
      <c r="J96">
        <f>IF(COUNTA(F96:I96)=0,"",AVERAGE(F96:I96))</f>
        <v/>
      </c>
      <c r="K96">
        <f>IF(J96="","",IF(J96&gt;=70,3,IF(J96&gt;=60,2,IF(J96&gt;=50,1,0))))</f>
        <v/>
      </c>
    </row>
    <row r="97">
      <c r="J97">
        <f>IF(COUNTA(F97:I97)=0,"",AVERAGE(F97:I97))</f>
        <v/>
      </c>
      <c r="K97">
        <f>IF(J97="","",IF(J97&gt;=70,3,IF(J97&gt;=60,2,IF(J97&gt;=50,1,0))))</f>
        <v/>
      </c>
    </row>
    <row r="98">
      <c r="J98">
        <f>IF(COUNTA(F98:I98)=0,"",AVERAGE(F98:I98))</f>
        <v/>
      </c>
      <c r="K98">
        <f>IF(J98="","",IF(J98&gt;=70,3,IF(J98&gt;=60,2,IF(J98&gt;=50,1,0))))</f>
        <v/>
      </c>
    </row>
    <row r="99">
      <c r="J99">
        <f>IF(COUNTA(F99:I99)=0,"",AVERAGE(F99:I99))</f>
        <v/>
      </c>
      <c r="K99">
        <f>IF(J99="","",IF(J99&gt;=70,3,IF(J99&gt;=60,2,IF(J99&gt;=50,1,0))))</f>
        <v/>
      </c>
    </row>
    <row r="100">
      <c r="J100">
        <f>IF(COUNTA(F100:I100)=0,"",AVERAGE(F100:I100))</f>
        <v/>
      </c>
      <c r="K100">
        <f>IF(J100="","",IF(J100&gt;=70,3,IF(J100&gt;=60,2,IF(J100&gt;=50,1,0))))</f>
        <v/>
      </c>
    </row>
    <row r="101">
      <c r="J101">
        <f>IF(COUNTA(F101:I101)=0,"",AVERAGE(F101:I101))</f>
        <v/>
      </c>
      <c r="K101">
        <f>IF(J101="","",IF(J101&gt;=70,3,IF(J101&gt;=60,2,IF(J101&gt;=50,1,0))))</f>
        <v/>
      </c>
    </row>
    <row r="102">
      <c r="J102">
        <f>IF(COUNTA(F102:I102)=0,"",AVERAGE(F102:I102))</f>
        <v/>
      </c>
      <c r="K102">
        <f>IF(J102="","",IF(J102&gt;=70,3,IF(J102&gt;=60,2,IF(J102&gt;=50,1,0))))</f>
        <v/>
      </c>
    </row>
    <row r="103">
      <c r="J103">
        <f>IF(COUNTA(F103:I103)=0,"",AVERAGE(F103:I103))</f>
        <v/>
      </c>
      <c r="K103">
        <f>IF(J103="","",IF(J103&gt;=70,3,IF(J103&gt;=60,2,IF(J103&gt;=50,1,0))))</f>
        <v/>
      </c>
    </row>
    <row r="104">
      <c r="J104">
        <f>IF(COUNTA(F104:I104)=0,"",AVERAGE(F104:I104))</f>
        <v/>
      </c>
      <c r="K104">
        <f>IF(J104="","",IF(J104&gt;=70,3,IF(J104&gt;=60,2,IF(J104&gt;=50,1,0))))</f>
        <v/>
      </c>
    </row>
    <row r="105">
      <c r="J105">
        <f>IF(COUNTA(F105:I105)=0,"",AVERAGE(F105:I105))</f>
        <v/>
      </c>
      <c r="K105">
        <f>IF(J105="","",IF(J105&gt;=70,3,IF(J105&gt;=60,2,IF(J105&gt;=50,1,0))))</f>
        <v/>
      </c>
    </row>
    <row r="106">
      <c r="J106">
        <f>IF(COUNTA(F106:I106)=0,"",AVERAGE(F106:I106))</f>
        <v/>
      </c>
      <c r="K106">
        <f>IF(J106="","",IF(J106&gt;=70,3,IF(J106&gt;=60,2,IF(J106&gt;=50,1,0))))</f>
        <v/>
      </c>
    </row>
    <row r="107">
      <c r="J107">
        <f>IF(COUNTA(F107:I107)=0,"",AVERAGE(F107:I107))</f>
        <v/>
      </c>
      <c r="K107">
        <f>IF(J107="","",IF(J107&gt;=70,3,IF(J107&gt;=60,2,IF(J107&gt;=50,1,0))))</f>
        <v/>
      </c>
    </row>
    <row r="108">
      <c r="J108">
        <f>IF(COUNTA(F108:I108)=0,"",AVERAGE(F108:I108))</f>
        <v/>
      </c>
      <c r="K108">
        <f>IF(J108="","",IF(J108&gt;=70,3,IF(J108&gt;=60,2,IF(J108&gt;=50,1,0))))</f>
        <v/>
      </c>
    </row>
    <row r="109">
      <c r="J109">
        <f>IF(COUNTA(F109:I109)=0,"",AVERAGE(F109:I109))</f>
        <v/>
      </c>
      <c r="K109">
        <f>IF(J109="","",IF(J109&gt;=70,3,IF(J109&gt;=60,2,IF(J109&gt;=50,1,0))))</f>
        <v/>
      </c>
    </row>
    <row r="110">
      <c r="J110">
        <f>IF(COUNTA(F110:I110)=0,"",AVERAGE(F110:I110))</f>
        <v/>
      </c>
      <c r="K110">
        <f>IF(J110="","",IF(J110&gt;=70,3,IF(J110&gt;=60,2,IF(J110&gt;=50,1,0))))</f>
        <v/>
      </c>
    </row>
    <row r="111">
      <c r="J111">
        <f>IF(COUNTA(F111:I111)=0,"",AVERAGE(F111:I111))</f>
        <v/>
      </c>
      <c r="K111">
        <f>IF(J111="","",IF(J111&gt;=70,3,IF(J111&gt;=60,2,IF(J111&gt;=50,1,0))))</f>
        <v/>
      </c>
    </row>
    <row r="112">
      <c r="J112">
        <f>IF(COUNTA(F112:I112)=0,"",AVERAGE(F112:I112))</f>
        <v/>
      </c>
      <c r="K112">
        <f>IF(J112="","",IF(J112&gt;=70,3,IF(J112&gt;=60,2,IF(J112&gt;=50,1,0))))</f>
        <v/>
      </c>
    </row>
    <row r="113">
      <c r="J113">
        <f>IF(COUNTA(F113:I113)=0,"",AVERAGE(F113:I113))</f>
        <v/>
      </c>
      <c r="K113">
        <f>IF(J113="","",IF(J113&gt;=70,3,IF(J113&gt;=60,2,IF(J113&gt;=50,1,0))))</f>
        <v/>
      </c>
    </row>
    <row r="114">
      <c r="J114">
        <f>IF(COUNTA(F114:I114)=0,"",AVERAGE(F114:I114))</f>
        <v/>
      </c>
      <c r="K114">
        <f>IF(J114="","",IF(J114&gt;=70,3,IF(J114&gt;=60,2,IF(J114&gt;=50,1,0))))</f>
        <v/>
      </c>
    </row>
    <row r="115">
      <c r="J115">
        <f>IF(COUNTA(F115:I115)=0,"",AVERAGE(F115:I115))</f>
        <v/>
      </c>
      <c r="K115">
        <f>IF(J115="","",IF(J115&gt;=70,3,IF(J115&gt;=60,2,IF(J115&gt;=50,1,0))))</f>
        <v/>
      </c>
    </row>
    <row r="116">
      <c r="J116">
        <f>IF(COUNTA(F116:I116)=0,"",AVERAGE(F116:I116))</f>
        <v/>
      </c>
      <c r="K116">
        <f>IF(J116="","",IF(J116&gt;=70,3,IF(J116&gt;=60,2,IF(J116&gt;=50,1,0))))</f>
        <v/>
      </c>
    </row>
    <row r="117">
      <c r="J117">
        <f>IF(COUNTA(F117:I117)=0,"",AVERAGE(F117:I117))</f>
        <v/>
      </c>
      <c r="K117">
        <f>IF(J117="","",IF(J117&gt;=70,3,IF(J117&gt;=60,2,IF(J117&gt;=50,1,0))))</f>
        <v/>
      </c>
    </row>
    <row r="118">
      <c r="J118">
        <f>IF(COUNTA(F118:I118)=0,"",AVERAGE(F118:I118))</f>
        <v/>
      </c>
      <c r="K118">
        <f>IF(J118="","",IF(J118&gt;=70,3,IF(J118&gt;=60,2,IF(J118&gt;=50,1,0))))</f>
        <v/>
      </c>
    </row>
    <row r="119">
      <c r="J119">
        <f>IF(COUNTA(F119:I119)=0,"",AVERAGE(F119:I119))</f>
        <v/>
      </c>
      <c r="K119">
        <f>IF(J119="","",IF(J119&gt;=70,3,IF(J119&gt;=60,2,IF(J119&gt;=50,1,0))))</f>
        <v/>
      </c>
    </row>
    <row r="120">
      <c r="J120">
        <f>IF(COUNTA(F120:I120)=0,"",AVERAGE(F120:I120))</f>
        <v/>
      </c>
      <c r="K120">
        <f>IF(J120="","",IF(J120&gt;=70,3,IF(J120&gt;=60,2,IF(J120&gt;=50,1,0))))</f>
        <v/>
      </c>
    </row>
    <row r="121">
      <c r="J121">
        <f>IF(COUNTA(F121:I121)=0,"",AVERAGE(F121:I121))</f>
        <v/>
      </c>
      <c r="K121">
        <f>IF(J121="","",IF(J121&gt;=70,3,IF(J121&gt;=60,2,IF(J121&gt;=50,1,0))))</f>
        <v/>
      </c>
    </row>
    <row r="122">
      <c r="J122">
        <f>IF(COUNTA(F122:I122)=0,"",AVERAGE(F122:I122))</f>
        <v/>
      </c>
      <c r="K122">
        <f>IF(J122="","",IF(J122&gt;=70,3,IF(J122&gt;=60,2,IF(J122&gt;=50,1,0))))</f>
        <v/>
      </c>
    </row>
    <row r="123">
      <c r="J123">
        <f>IF(COUNTA(F123:I123)=0,"",AVERAGE(F123:I123))</f>
        <v/>
      </c>
      <c r="K123">
        <f>IF(J123="","",IF(J123&gt;=70,3,IF(J123&gt;=60,2,IF(J123&gt;=50,1,0))))</f>
        <v/>
      </c>
    </row>
    <row r="124">
      <c r="J124">
        <f>IF(COUNTA(F124:I124)=0,"",AVERAGE(F124:I124))</f>
        <v/>
      </c>
      <c r="K124">
        <f>IF(J124="","",IF(J124&gt;=70,3,IF(J124&gt;=60,2,IF(J124&gt;=50,1,0))))</f>
        <v/>
      </c>
    </row>
    <row r="125">
      <c r="J125">
        <f>IF(COUNTA(F125:I125)=0,"",AVERAGE(F125:I125))</f>
        <v/>
      </c>
      <c r="K125">
        <f>IF(J125="","",IF(J125&gt;=70,3,IF(J125&gt;=60,2,IF(J125&gt;=50,1,0))))</f>
        <v/>
      </c>
    </row>
    <row r="126">
      <c r="J126">
        <f>IF(COUNTA(F126:I126)=0,"",AVERAGE(F126:I126))</f>
        <v/>
      </c>
      <c r="K126">
        <f>IF(J126="","",IF(J126&gt;=70,3,IF(J126&gt;=60,2,IF(J126&gt;=50,1,0))))</f>
        <v/>
      </c>
    </row>
    <row r="127">
      <c r="J127">
        <f>IF(COUNTA(F127:I127)=0,"",AVERAGE(F127:I127))</f>
        <v/>
      </c>
      <c r="K127">
        <f>IF(J127="","",IF(J127&gt;=70,3,IF(J127&gt;=60,2,IF(J127&gt;=50,1,0))))</f>
        <v/>
      </c>
    </row>
    <row r="128">
      <c r="J128">
        <f>IF(COUNTA(F128:I128)=0,"",AVERAGE(F128:I128))</f>
        <v/>
      </c>
      <c r="K128">
        <f>IF(J128="","",IF(J128&gt;=70,3,IF(J128&gt;=60,2,IF(J128&gt;=50,1,0))))</f>
        <v/>
      </c>
    </row>
    <row r="129">
      <c r="J129">
        <f>IF(COUNTA(F129:I129)=0,"",AVERAGE(F129:I129))</f>
        <v/>
      </c>
      <c r="K129">
        <f>IF(J129="","",IF(J129&gt;=70,3,IF(J129&gt;=60,2,IF(J129&gt;=50,1,0))))</f>
        <v/>
      </c>
    </row>
    <row r="130">
      <c r="J130">
        <f>IF(COUNTA(F130:I130)=0,"",AVERAGE(F130:I130))</f>
        <v/>
      </c>
      <c r="K130">
        <f>IF(J130="","",IF(J130&gt;=70,3,IF(J130&gt;=60,2,IF(J130&gt;=50,1,0))))</f>
        <v/>
      </c>
    </row>
    <row r="131">
      <c r="J131">
        <f>IF(COUNTA(F131:I131)=0,"",AVERAGE(F131:I131))</f>
        <v/>
      </c>
      <c r="K131">
        <f>IF(J131="","",IF(J131&gt;=70,3,IF(J131&gt;=60,2,IF(J131&gt;=50,1,0))))</f>
        <v/>
      </c>
    </row>
    <row r="132">
      <c r="J132">
        <f>IF(COUNTA(F132:I132)=0,"",AVERAGE(F132:I132))</f>
        <v/>
      </c>
      <c r="K132">
        <f>IF(J132="","",IF(J132&gt;=70,3,IF(J132&gt;=60,2,IF(J132&gt;=50,1,0))))</f>
        <v/>
      </c>
    </row>
    <row r="133">
      <c r="J133">
        <f>IF(COUNTA(F133:I133)=0,"",AVERAGE(F133:I133))</f>
        <v/>
      </c>
      <c r="K133">
        <f>IF(J133="","",IF(J133&gt;=70,3,IF(J133&gt;=60,2,IF(J133&gt;=50,1,0))))</f>
        <v/>
      </c>
    </row>
    <row r="134">
      <c r="J134">
        <f>IF(COUNTA(F134:I134)=0,"",AVERAGE(F134:I134))</f>
        <v/>
      </c>
      <c r="K134">
        <f>IF(J134="","",IF(J134&gt;=70,3,IF(J134&gt;=60,2,IF(J134&gt;=50,1,0))))</f>
        <v/>
      </c>
    </row>
    <row r="135">
      <c r="J135">
        <f>IF(COUNTA(F135:I135)=0,"",AVERAGE(F135:I135))</f>
        <v/>
      </c>
      <c r="K135">
        <f>IF(J135="","",IF(J135&gt;=70,3,IF(J135&gt;=60,2,IF(J135&gt;=50,1,0))))</f>
        <v/>
      </c>
    </row>
    <row r="136">
      <c r="J136">
        <f>IF(COUNTA(F136:I136)=0,"",AVERAGE(F136:I136))</f>
        <v/>
      </c>
      <c r="K136">
        <f>IF(J136="","",IF(J136&gt;=70,3,IF(J136&gt;=60,2,IF(J136&gt;=50,1,0))))</f>
        <v/>
      </c>
    </row>
    <row r="137">
      <c r="J137">
        <f>IF(COUNTA(F137:I137)=0,"",AVERAGE(F137:I137))</f>
        <v/>
      </c>
      <c r="K137">
        <f>IF(J137="","",IF(J137&gt;=70,3,IF(J137&gt;=60,2,IF(J137&gt;=50,1,0))))</f>
        <v/>
      </c>
    </row>
    <row r="138">
      <c r="J138">
        <f>IF(COUNTA(F138:I138)=0,"",AVERAGE(F138:I138))</f>
        <v/>
      </c>
      <c r="K138">
        <f>IF(J138="","",IF(J138&gt;=70,3,IF(J138&gt;=60,2,IF(J138&gt;=50,1,0))))</f>
        <v/>
      </c>
    </row>
    <row r="139">
      <c r="J139">
        <f>IF(COUNTA(F139:I139)=0,"",AVERAGE(F139:I139))</f>
        <v/>
      </c>
      <c r="K139">
        <f>IF(J139="","",IF(J139&gt;=70,3,IF(J139&gt;=60,2,IF(J139&gt;=50,1,0))))</f>
        <v/>
      </c>
    </row>
    <row r="140">
      <c r="J140">
        <f>IF(COUNTA(F140:I140)=0,"",AVERAGE(F140:I140))</f>
        <v/>
      </c>
      <c r="K140">
        <f>IF(J140="","",IF(J140&gt;=70,3,IF(J140&gt;=60,2,IF(J140&gt;=50,1,0))))</f>
        <v/>
      </c>
    </row>
    <row r="141">
      <c r="J141">
        <f>IF(COUNTA(F141:I141)=0,"",AVERAGE(F141:I141))</f>
        <v/>
      </c>
      <c r="K141">
        <f>IF(J141="","",IF(J141&gt;=70,3,IF(J141&gt;=60,2,IF(J141&gt;=50,1,0))))</f>
        <v/>
      </c>
    </row>
    <row r="142">
      <c r="J142">
        <f>IF(COUNTA(F142:I142)=0,"",AVERAGE(F142:I142))</f>
        <v/>
      </c>
      <c r="K142">
        <f>IF(J142="","",IF(J142&gt;=70,3,IF(J142&gt;=60,2,IF(J142&gt;=50,1,0))))</f>
        <v/>
      </c>
    </row>
    <row r="143">
      <c r="J143">
        <f>IF(COUNTA(F143:I143)=0,"",AVERAGE(F143:I143))</f>
        <v/>
      </c>
      <c r="K143">
        <f>IF(J143="","",IF(J143&gt;=70,3,IF(J143&gt;=60,2,IF(J143&gt;=50,1,0))))</f>
        <v/>
      </c>
    </row>
    <row r="144">
      <c r="J144">
        <f>IF(COUNTA(F144:I144)=0,"",AVERAGE(F144:I144))</f>
        <v/>
      </c>
      <c r="K144">
        <f>IF(J144="","",IF(J144&gt;=70,3,IF(J144&gt;=60,2,IF(J144&gt;=50,1,0))))</f>
        <v/>
      </c>
    </row>
    <row r="145">
      <c r="J145">
        <f>IF(COUNTA(F145:I145)=0,"",AVERAGE(F145:I145))</f>
        <v/>
      </c>
      <c r="K145">
        <f>IF(J145="","",IF(J145&gt;=70,3,IF(J145&gt;=60,2,IF(J145&gt;=50,1,0))))</f>
        <v/>
      </c>
    </row>
    <row r="146">
      <c r="J146">
        <f>IF(COUNTA(F146:I146)=0,"",AVERAGE(F146:I146))</f>
        <v/>
      </c>
      <c r="K146">
        <f>IF(J146="","",IF(J146&gt;=70,3,IF(J146&gt;=60,2,IF(J146&gt;=50,1,0))))</f>
        <v/>
      </c>
    </row>
    <row r="147">
      <c r="J147">
        <f>IF(COUNTA(F147:I147)=0,"",AVERAGE(F147:I147))</f>
        <v/>
      </c>
      <c r="K147">
        <f>IF(J147="","",IF(J147&gt;=70,3,IF(J147&gt;=60,2,IF(J147&gt;=50,1,0))))</f>
        <v/>
      </c>
    </row>
    <row r="148">
      <c r="J148">
        <f>IF(COUNTA(F148:I148)=0,"",AVERAGE(F148:I148))</f>
        <v/>
      </c>
      <c r="K148">
        <f>IF(J148="","",IF(J148&gt;=70,3,IF(J148&gt;=60,2,IF(J148&gt;=50,1,0))))</f>
        <v/>
      </c>
    </row>
    <row r="149">
      <c r="J149">
        <f>IF(COUNTA(F149:I149)=0,"",AVERAGE(F149:I149))</f>
        <v/>
      </c>
      <c r="K149">
        <f>IF(J149="","",IF(J149&gt;=70,3,IF(J149&gt;=60,2,IF(J149&gt;=50,1,0))))</f>
        <v/>
      </c>
    </row>
    <row r="150">
      <c r="J150">
        <f>IF(COUNTA(F150:I150)=0,"",AVERAGE(F150:I150))</f>
        <v/>
      </c>
      <c r="K150">
        <f>IF(J150="","",IF(J150&gt;=70,3,IF(J150&gt;=60,2,IF(J150&gt;=50,1,0))))</f>
        <v/>
      </c>
    </row>
    <row r="151">
      <c r="J151">
        <f>IF(COUNTA(F151:I151)=0,"",AVERAGE(F151:I151))</f>
        <v/>
      </c>
      <c r="K151">
        <f>IF(J151="","",IF(J151&gt;=70,3,IF(J151&gt;=60,2,IF(J151&gt;=50,1,0))))</f>
        <v/>
      </c>
    </row>
    <row r="152">
      <c r="J152">
        <f>IF(COUNTA(F152:I152)=0,"",AVERAGE(F152:I152))</f>
        <v/>
      </c>
      <c r="K152">
        <f>IF(J152="","",IF(J152&gt;=70,3,IF(J152&gt;=60,2,IF(J152&gt;=50,1,0))))</f>
        <v/>
      </c>
    </row>
    <row r="153">
      <c r="J153">
        <f>IF(COUNTA(F153:I153)=0,"",AVERAGE(F153:I153))</f>
        <v/>
      </c>
      <c r="K153">
        <f>IF(J153="","",IF(J153&gt;=70,3,IF(J153&gt;=60,2,IF(J153&gt;=50,1,0))))</f>
        <v/>
      </c>
    </row>
    <row r="154">
      <c r="J154">
        <f>IF(COUNTA(F154:I154)=0,"",AVERAGE(F154:I154))</f>
        <v/>
      </c>
      <c r="K154">
        <f>IF(J154="","",IF(J154&gt;=70,3,IF(J154&gt;=60,2,IF(J154&gt;=50,1,0))))</f>
        <v/>
      </c>
    </row>
    <row r="155">
      <c r="J155">
        <f>IF(COUNTA(F155:I155)=0,"",AVERAGE(F155:I155))</f>
        <v/>
      </c>
      <c r="K155">
        <f>IF(J155="","",IF(J155&gt;=70,3,IF(J155&gt;=60,2,IF(J155&gt;=50,1,0))))</f>
        <v/>
      </c>
    </row>
    <row r="156">
      <c r="J156">
        <f>IF(COUNTA(F156:I156)=0,"",AVERAGE(F156:I156))</f>
        <v/>
      </c>
      <c r="K156">
        <f>IF(J156="","",IF(J156&gt;=70,3,IF(J156&gt;=60,2,IF(J156&gt;=50,1,0))))</f>
        <v/>
      </c>
    </row>
    <row r="157">
      <c r="J157">
        <f>IF(COUNTA(F157:I157)=0,"",AVERAGE(F157:I157))</f>
        <v/>
      </c>
      <c r="K157">
        <f>IF(J157="","",IF(J157&gt;=70,3,IF(J157&gt;=60,2,IF(J157&gt;=50,1,0))))</f>
        <v/>
      </c>
    </row>
    <row r="158">
      <c r="J158">
        <f>IF(COUNTA(F158:I158)=0,"",AVERAGE(F158:I158))</f>
        <v/>
      </c>
      <c r="K158">
        <f>IF(J158="","",IF(J158&gt;=70,3,IF(J158&gt;=60,2,IF(J158&gt;=50,1,0))))</f>
        <v/>
      </c>
    </row>
    <row r="159">
      <c r="J159">
        <f>IF(COUNTA(F159:I159)=0,"",AVERAGE(F159:I159))</f>
        <v/>
      </c>
      <c r="K159">
        <f>IF(J159="","",IF(J159&gt;=70,3,IF(J159&gt;=60,2,IF(J159&gt;=50,1,0))))</f>
        <v/>
      </c>
    </row>
    <row r="160">
      <c r="J160">
        <f>IF(COUNTA(F160:I160)=0,"",AVERAGE(F160:I160))</f>
        <v/>
      </c>
      <c r="K160">
        <f>IF(J160="","",IF(J160&gt;=70,3,IF(J160&gt;=60,2,IF(J160&gt;=50,1,0))))</f>
        <v/>
      </c>
    </row>
    <row r="161">
      <c r="J161">
        <f>IF(COUNTA(F161:I161)=0,"",AVERAGE(F161:I161))</f>
        <v/>
      </c>
      <c r="K161">
        <f>IF(J161="","",IF(J161&gt;=70,3,IF(J161&gt;=60,2,IF(J161&gt;=50,1,0))))</f>
        <v/>
      </c>
    </row>
    <row r="162">
      <c r="J162">
        <f>IF(COUNTA(F162:I162)=0,"",AVERAGE(F162:I162))</f>
        <v/>
      </c>
      <c r="K162">
        <f>IF(J162="","",IF(J162&gt;=70,3,IF(J162&gt;=60,2,IF(J162&gt;=50,1,0))))</f>
        <v/>
      </c>
    </row>
    <row r="163">
      <c r="J163">
        <f>IF(COUNTA(F163:I163)=0,"",AVERAGE(F163:I163))</f>
        <v/>
      </c>
      <c r="K163">
        <f>IF(J163="","",IF(J163&gt;=70,3,IF(J163&gt;=60,2,IF(J163&gt;=50,1,0))))</f>
        <v/>
      </c>
    </row>
    <row r="164">
      <c r="J164">
        <f>IF(COUNTA(F164:I164)=0,"",AVERAGE(F164:I164))</f>
        <v/>
      </c>
      <c r="K164">
        <f>IF(J164="","",IF(J164&gt;=70,3,IF(J164&gt;=60,2,IF(J164&gt;=50,1,0))))</f>
        <v/>
      </c>
    </row>
    <row r="165">
      <c r="J165">
        <f>IF(COUNTA(F165:I165)=0,"",AVERAGE(F165:I165))</f>
        <v/>
      </c>
      <c r="K165">
        <f>IF(J165="","",IF(J165&gt;=70,3,IF(J165&gt;=60,2,IF(J165&gt;=50,1,0))))</f>
        <v/>
      </c>
    </row>
    <row r="166">
      <c r="J166">
        <f>IF(COUNTA(F166:I166)=0,"",AVERAGE(F166:I166))</f>
        <v/>
      </c>
      <c r="K166">
        <f>IF(J166="","",IF(J166&gt;=70,3,IF(J166&gt;=60,2,IF(J166&gt;=50,1,0))))</f>
        <v/>
      </c>
    </row>
    <row r="167">
      <c r="J167">
        <f>IF(COUNTA(F167:I167)=0,"",AVERAGE(F167:I167))</f>
        <v/>
      </c>
      <c r="K167">
        <f>IF(J167="","",IF(J167&gt;=70,3,IF(J167&gt;=60,2,IF(J167&gt;=50,1,0))))</f>
        <v/>
      </c>
    </row>
    <row r="168">
      <c r="J168">
        <f>IF(COUNTA(F168:I168)=0,"",AVERAGE(F168:I168))</f>
        <v/>
      </c>
      <c r="K168">
        <f>IF(J168="","",IF(J168&gt;=70,3,IF(J168&gt;=60,2,IF(J168&gt;=50,1,0))))</f>
        <v/>
      </c>
    </row>
    <row r="169">
      <c r="J169">
        <f>IF(COUNTA(F169:I169)=0,"",AVERAGE(F169:I169))</f>
        <v/>
      </c>
      <c r="K169">
        <f>IF(J169="","",IF(J169&gt;=70,3,IF(J169&gt;=60,2,IF(J169&gt;=50,1,0))))</f>
        <v/>
      </c>
    </row>
    <row r="170">
      <c r="J170">
        <f>IF(COUNTA(F170:I170)=0,"",AVERAGE(F170:I170))</f>
        <v/>
      </c>
      <c r="K170">
        <f>IF(J170="","",IF(J170&gt;=70,3,IF(J170&gt;=60,2,IF(J170&gt;=50,1,0))))</f>
        <v/>
      </c>
    </row>
    <row r="171">
      <c r="J171">
        <f>IF(COUNTA(F171:I171)=0,"",AVERAGE(F171:I171))</f>
        <v/>
      </c>
      <c r="K171">
        <f>IF(J171="","",IF(J171&gt;=70,3,IF(J171&gt;=60,2,IF(J171&gt;=50,1,0))))</f>
        <v/>
      </c>
    </row>
    <row r="172">
      <c r="J172">
        <f>IF(COUNTA(F172:I172)=0,"",AVERAGE(F172:I172))</f>
        <v/>
      </c>
      <c r="K172">
        <f>IF(J172="","",IF(J172&gt;=70,3,IF(J172&gt;=60,2,IF(J172&gt;=50,1,0))))</f>
        <v/>
      </c>
    </row>
    <row r="173">
      <c r="J173">
        <f>IF(COUNTA(F173:I173)=0,"",AVERAGE(F173:I173))</f>
        <v/>
      </c>
      <c r="K173">
        <f>IF(J173="","",IF(J173&gt;=70,3,IF(J173&gt;=60,2,IF(J173&gt;=50,1,0))))</f>
        <v/>
      </c>
    </row>
    <row r="174">
      <c r="J174">
        <f>IF(COUNTA(F174:I174)=0,"",AVERAGE(F174:I174))</f>
        <v/>
      </c>
      <c r="K174">
        <f>IF(J174="","",IF(J174&gt;=70,3,IF(J174&gt;=60,2,IF(J174&gt;=50,1,0))))</f>
        <v/>
      </c>
    </row>
    <row r="175">
      <c r="J175">
        <f>IF(COUNTA(F175:I175)=0,"",AVERAGE(F175:I175))</f>
        <v/>
      </c>
      <c r="K175">
        <f>IF(J175="","",IF(J175&gt;=70,3,IF(J175&gt;=60,2,IF(J175&gt;=50,1,0))))</f>
        <v/>
      </c>
    </row>
    <row r="176">
      <c r="J176">
        <f>IF(COUNTA(F176:I176)=0,"",AVERAGE(F176:I176))</f>
        <v/>
      </c>
      <c r="K176">
        <f>IF(J176="","",IF(J176&gt;=70,3,IF(J176&gt;=60,2,IF(J176&gt;=50,1,0))))</f>
        <v/>
      </c>
    </row>
    <row r="177">
      <c r="J177">
        <f>IF(COUNTA(F177:I177)=0,"",AVERAGE(F177:I177))</f>
        <v/>
      </c>
      <c r="K177">
        <f>IF(J177="","",IF(J177&gt;=70,3,IF(J177&gt;=60,2,IF(J177&gt;=50,1,0))))</f>
        <v/>
      </c>
    </row>
    <row r="178">
      <c r="J178">
        <f>IF(COUNTA(F178:I178)=0,"",AVERAGE(F178:I178))</f>
        <v/>
      </c>
      <c r="K178">
        <f>IF(J178="","",IF(J178&gt;=70,3,IF(J178&gt;=60,2,IF(J178&gt;=50,1,0))))</f>
        <v/>
      </c>
    </row>
    <row r="179">
      <c r="J179">
        <f>IF(COUNTA(F179:I179)=0,"",AVERAGE(F179:I179))</f>
        <v/>
      </c>
      <c r="K179">
        <f>IF(J179="","",IF(J179&gt;=70,3,IF(J179&gt;=60,2,IF(J179&gt;=50,1,0))))</f>
        <v/>
      </c>
    </row>
    <row r="180">
      <c r="J180">
        <f>IF(COUNTA(F180:I180)=0,"",AVERAGE(F180:I180))</f>
        <v/>
      </c>
      <c r="K180">
        <f>IF(J180="","",IF(J180&gt;=70,3,IF(J180&gt;=60,2,IF(J180&gt;=50,1,0))))</f>
        <v/>
      </c>
    </row>
    <row r="181">
      <c r="J181">
        <f>IF(COUNTA(F181:I181)=0,"",AVERAGE(F181:I181))</f>
        <v/>
      </c>
      <c r="K181">
        <f>IF(J181="","",IF(J181&gt;=70,3,IF(J181&gt;=60,2,IF(J181&gt;=50,1,0))))</f>
        <v/>
      </c>
    </row>
    <row r="182">
      <c r="J182">
        <f>IF(COUNTA(F182:I182)=0,"",AVERAGE(F182:I182))</f>
        <v/>
      </c>
      <c r="K182">
        <f>IF(J182="","",IF(J182&gt;=70,3,IF(J182&gt;=60,2,IF(J182&gt;=50,1,0))))</f>
        <v/>
      </c>
    </row>
    <row r="183">
      <c r="J183">
        <f>IF(COUNTA(F183:I183)=0,"",AVERAGE(F183:I183))</f>
        <v/>
      </c>
      <c r="K183">
        <f>IF(J183="","",IF(J183&gt;=70,3,IF(J183&gt;=60,2,IF(J183&gt;=50,1,0))))</f>
        <v/>
      </c>
    </row>
    <row r="184">
      <c r="J184">
        <f>IF(COUNTA(F184:I184)=0,"",AVERAGE(F184:I184))</f>
        <v/>
      </c>
      <c r="K184">
        <f>IF(J184="","",IF(J184&gt;=70,3,IF(J184&gt;=60,2,IF(J184&gt;=50,1,0))))</f>
        <v/>
      </c>
    </row>
    <row r="185">
      <c r="J185">
        <f>IF(COUNTA(F185:I185)=0,"",AVERAGE(F185:I185))</f>
        <v/>
      </c>
      <c r="K185">
        <f>IF(J185="","",IF(J185&gt;=70,3,IF(J185&gt;=60,2,IF(J185&gt;=50,1,0))))</f>
        <v/>
      </c>
    </row>
    <row r="186">
      <c r="J186">
        <f>IF(COUNTA(F186:I186)=0,"",AVERAGE(F186:I186))</f>
        <v/>
      </c>
      <c r="K186">
        <f>IF(J186="","",IF(J186&gt;=70,3,IF(J186&gt;=60,2,IF(J186&gt;=50,1,0))))</f>
        <v/>
      </c>
    </row>
    <row r="187">
      <c r="J187">
        <f>IF(COUNTA(F187:I187)=0,"",AVERAGE(F187:I187))</f>
        <v/>
      </c>
      <c r="K187">
        <f>IF(J187="","",IF(J187&gt;=70,3,IF(J187&gt;=60,2,IF(J187&gt;=50,1,0))))</f>
        <v/>
      </c>
    </row>
    <row r="188">
      <c r="J188">
        <f>IF(COUNTA(F188:I188)=0,"",AVERAGE(F188:I188))</f>
        <v/>
      </c>
      <c r="K188">
        <f>IF(J188="","",IF(J188&gt;=70,3,IF(J188&gt;=60,2,IF(J188&gt;=50,1,0))))</f>
        <v/>
      </c>
    </row>
    <row r="189">
      <c r="J189">
        <f>IF(COUNTA(F189:I189)=0,"",AVERAGE(F189:I189))</f>
        <v/>
      </c>
      <c r="K189">
        <f>IF(J189="","",IF(J189&gt;=70,3,IF(J189&gt;=60,2,IF(J189&gt;=50,1,0))))</f>
        <v/>
      </c>
    </row>
    <row r="190">
      <c r="J190">
        <f>IF(COUNTA(F190:I190)=0,"",AVERAGE(F190:I190))</f>
        <v/>
      </c>
      <c r="K190">
        <f>IF(J190="","",IF(J190&gt;=70,3,IF(J190&gt;=60,2,IF(J190&gt;=50,1,0))))</f>
        <v/>
      </c>
    </row>
    <row r="191">
      <c r="J191">
        <f>IF(COUNTA(F191:I191)=0,"",AVERAGE(F191:I191))</f>
        <v/>
      </c>
      <c r="K191">
        <f>IF(J191="","",IF(J191&gt;=70,3,IF(J191&gt;=60,2,IF(J191&gt;=50,1,0))))</f>
        <v/>
      </c>
    </row>
    <row r="192">
      <c r="J192">
        <f>IF(COUNTA(F192:I192)=0,"",AVERAGE(F192:I192))</f>
        <v/>
      </c>
      <c r="K192">
        <f>IF(J192="","",IF(J192&gt;=70,3,IF(J192&gt;=60,2,IF(J192&gt;=50,1,0))))</f>
        <v/>
      </c>
    </row>
    <row r="193">
      <c r="J193">
        <f>IF(COUNTA(F193:I193)=0,"",AVERAGE(F193:I193))</f>
        <v/>
      </c>
      <c r="K193">
        <f>IF(J193="","",IF(J193&gt;=70,3,IF(J193&gt;=60,2,IF(J193&gt;=50,1,0))))</f>
        <v/>
      </c>
    </row>
    <row r="194">
      <c r="J194">
        <f>IF(COUNTA(F194:I194)=0,"",AVERAGE(F194:I194))</f>
        <v/>
      </c>
      <c r="K194">
        <f>IF(J194="","",IF(J194&gt;=70,3,IF(J194&gt;=60,2,IF(J194&gt;=50,1,0))))</f>
        <v/>
      </c>
    </row>
    <row r="195">
      <c r="J195">
        <f>IF(COUNTA(F195:I195)=0,"",AVERAGE(F195:I195))</f>
        <v/>
      </c>
      <c r="K195">
        <f>IF(J195="","",IF(J195&gt;=70,3,IF(J195&gt;=60,2,IF(J195&gt;=50,1,0))))</f>
        <v/>
      </c>
    </row>
    <row r="196">
      <c r="J196">
        <f>IF(COUNTA(F196:I196)=0,"",AVERAGE(F196:I196))</f>
        <v/>
      </c>
      <c r="K196">
        <f>IF(J196="","",IF(J196&gt;=70,3,IF(J196&gt;=60,2,IF(J196&gt;=50,1,0))))</f>
        <v/>
      </c>
    </row>
    <row r="197">
      <c r="J197">
        <f>IF(COUNTA(F197:I197)=0,"",AVERAGE(F197:I197))</f>
        <v/>
      </c>
      <c r="K197">
        <f>IF(J197="","",IF(J197&gt;=70,3,IF(J197&gt;=60,2,IF(J197&gt;=50,1,0))))</f>
        <v/>
      </c>
    </row>
    <row r="198">
      <c r="J198">
        <f>IF(COUNTA(F198:I198)=0,"",AVERAGE(F198:I198))</f>
        <v/>
      </c>
      <c r="K198">
        <f>IF(J198="","",IF(J198&gt;=70,3,IF(J198&gt;=60,2,IF(J198&gt;=50,1,0))))</f>
        <v/>
      </c>
    </row>
    <row r="199">
      <c r="J199">
        <f>IF(COUNTA(F199:I199)=0,"",AVERAGE(F199:I199))</f>
        <v/>
      </c>
      <c r="K199">
        <f>IF(J199="","",IF(J199&gt;=70,3,IF(J199&gt;=60,2,IF(J199&gt;=50,1,0))))</f>
        <v/>
      </c>
    </row>
    <row r="200">
      <c r="J200">
        <f>IF(COUNTA(F200:I200)=0,"",AVERAGE(F200:I200))</f>
        <v/>
      </c>
      <c r="K200">
        <f>IF(J200="","",IF(J200&gt;=70,3,IF(J200&gt;=60,2,IF(J200&gt;=50,1,0))))</f>
        <v/>
      </c>
    </row>
    <row r="201">
      <c r="J201">
        <f>IF(COUNTA(F201:I201)=0,"",AVERAGE(F201:I201))</f>
        <v/>
      </c>
      <c r="K201">
        <f>IF(J201="","",IF(J201&gt;=70,3,IF(J201&gt;=60,2,IF(J201&gt;=50,1,0))))</f>
        <v/>
      </c>
    </row>
    <row r="202">
      <c r="J202">
        <f>IF(COUNTA(F202:I202)=0,"",AVERAGE(F202:I202))</f>
        <v/>
      </c>
      <c r="K202">
        <f>IF(J202="","",IF(J202&gt;=70,3,IF(J202&gt;=60,2,IF(J202&gt;=50,1,0))))</f>
        <v/>
      </c>
    </row>
    <row r="205">
      <c r="D205" s="6" t="inlineStr">
        <is>
          <t>Class Average</t>
        </is>
      </c>
      <c r="F205">
        <f>IF(COUNTA(F2:F200)=0,"",AVERAGE(F2:F200))</f>
        <v/>
      </c>
      <c r="G205">
        <f>IF(COUNTA(G2:G200)=0,"",AVERAGE(G2:G200))</f>
        <v/>
      </c>
      <c r="H205">
        <f>IF(COUNTA(H2:H200)=0,"",AVERAGE(H2:H200))</f>
        <v/>
      </c>
      <c r="I205">
        <f>IF(COUNTA(I2:I200)=0,"",AVERAGE(I2:I200))</f>
        <v/>
      </c>
      <c r="J205">
        <f>IF(COUNTA(J2:J200)=0,"",AVERAGE(J2:J200))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28" customWidth="1" min="14" max="14"/>
    <col width="28" customWidth="1" min="15" max="15"/>
    <col width="36" customWidth="1" min="16" max="16"/>
  </cols>
  <sheetData>
    <row r="1">
      <c r="A1" s="6" t="inlineStr">
        <is>
          <t>CO–PO Mapping Matrix (Strength Values: 3=Strong, 2=Moderate, 1=Slight, Blank=None)</t>
        </is>
      </c>
    </row>
    <row r="2">
      <c r="A2" s="7" t="inlineStr">
        <is>
          <t>CO</t>
        </is>
      </c>
      <c r="B2" s="7" t="inlineStr">
        <is>
          <t>PO1</t>
        </is>
      </c>
      <c r="C2" s="7" t="inlineStr">
        <is>
          <t>PO2</t>
        </is>
      </c>
      <c r="D2" s="7" t="inlineStr">
        <is>
          <t>PO3</t>
        </is>
      </c>
      <c r="E2" s="7" t="inlineStr">
        <is>
          <t>PO4</t>
        </is>
      </c>
      <c r="F2" s="7" t="inlineStr">
        <is>
          <t>PO5</t>
        </is>
      </c>
      <c r="G2" s="7" t="inlineStr">
        <is>
          <t>PO6</t>
        </is>
      </c>
      <c r="H2" s="7" t="inlineStr">
        <is>
          <t>PO7</t>
        </is>
      </c>
      <c r="I2" s="7" t="inlineStr">
        <is>
          <t>PO8</t>
        </is>
      </c>
      <c r="J2" s="7" t="inlineStr">
        <is>
          <t>PO9</t>
        </is>
      </c>
      <c r="K2" s="7" t="inlineStr">
        <is>
          <t>PO10</t>
        </is>
      </c>
      <c r="L2" s="7" t="inlineStr">
        <is>
          <t>PO11</t>
        </is>
      </c>
      <c r="M2" s="7" t="inlineStr">
        <is>
          <t>PO12</t>
        </is>
      </c>
    </row>
    <row r="3">
      <c r="A3" t="inlineStr">
        <is>
          <t>CO1</t>
        </is>
      </c>
    </row>
    <row r="4">
      <c r="A4" t="inlineStr">
        <is>
          <t>CO2</t>
        </is>
      </c>
    </row>
    <row r="5">
      <c r="A5" t="inlineStr">
        <is>
          <t>CO3</t>
        </is>
      </c>
    </row>
    <row r="6">
      <c r="A6" t="inlineStr">
        <is>
          <t>CO4</t>
        </is>
      </c>
    </row>
    <row r="8">
      <c r="A8" s="6" t="inlineStr">
        <is>
          <t>CO Attainment Levels (Auto from CO Attainment Analysis)</t>
        </is>
      </c>
    </row>
    <row r="9">
      <c r="A9" s="6" t="inlineStr">
        <is>
          <t>CO</t>
        </is>
      </c>
      <c r="B9" s="6" t="inlineStr">
        <is>
          <t>Direct Attainment Level (Auto)</t>
        </is>
      </c>
      <c r="C9" s="6" t="inlineStr">
        <is>
          <t>Final Attainment Level (Auto)</t>
        </is>
      </c>
    </row>
    <row r="10">
      <c r="A10" t="inlineStr">
        <is>
          <t>CO1</t>
        </is>
      </c>
      <c r="B10">
        <f>INDEX('CO Attainment Analysis'!M:M, MATCH(A10, 'CO Attainment Analysis'!B:B, 0))</f>
        <v/>
      </c>
      <c r="C10">
        <f>INDEX('CO Attainment Analysis'!O:O, MATCH(A10, 'CO Attainment Analysis'!B:B, 0))</f>
        <v/>
      </c>
    </row>
    <row r="11">
      <c r="A11" t="inlineStr">
        <is>
          <t>CO2</t>
        </is>
      </c>
      <c r="B11">
        <f>INDEX('CO Attainment Analysis'!M:M, MATCH(A11, 'CO Attainment Analysis'!B:B, 0))</f>
        <v/>
      </c>
      <c r="C11">
        <f>INDEX('CO Attainment Analysis'!O:O, MATCH(A11, 'CO Attainment Analysis'!B:B, 0))</f>
        <v/>
      </c>
    </row>
    <row r="12">
      <c r="A12" t="inlineStr">
        <is>
          <t>CO3</t>
        </is>
      </c>
      <c r="B12">
        <f>INDEX('CO Attainment Analysis'!M:M, MATCH(A12, 'CO Attainment Analysis'!B:B, 0))</f>
        <v/>
      </c>
      <c r="C12">
        <f>INDEX('CO Attainment Analysis'!O:O, MATCH(A12, 'CO Attainment Analysis'!B:B, 0))</f>
        <v/>
      </c>
    </row>
    <row r="13">
      <c r="A13" t="inlineStr">
        <is>
          <t>CO4</t>
        </is>
      </c>
      <c r="B13">
        <f>INDEX('CO Attainment Analysis'!M:M, MATCH(A13, 'CO Attainment Analysis'!B:B, 0))</f>
        <v/>
      </c>
      <c r="C13">
        <f>INDEX('CO Attainment Analysis'!O:O, MATCH(A13, 'CO Attainment Analysis'!B:B, 0))</f>
        <v/>
      </c>
    </row>
    <row r="16">
      <c r="A16" s="6" t="inlineStr">
        <is>
          <t>Aggregated PO Attainment (Weighted Average using Mapping Strengths)</t>
        </is>
      </c>
    </row>
    <row r="17">
      <c r="A17" s="6" t="inlineStr">
        <is>
          <t>PO</t>
        </is>
      </c>
      <c r="B17" s="6" t="inlineStr">
        <is>
          <t>Contributing COs</t>
        </is>
      </c>
      <c r="C17" s="6" t="inlineStr">
        <is>
          <t>Aggregated PO Attainment (0–3 Auto)</t>
        </is>
      </c>
    </row>
    <row r="18">
      <c r="A18" t="inlineStr">
        <is>
          <t>PO1</t>
        </is>
      </c>
      <c r="B18">
        <f>TEXTJOIN(", ",TRUE,IF(B$3:B$6&lt;&gt;"",$A$3:$A$6,""))</f>
        <v/>
      </c>
      <c r="C18">
        <f>IF(SUM(B$3:B$6)=0,"",SUMPRODUCT($C$10:$C$13,B$3:B$6)/SUM(B$3:B$6))</f>
        <v/>
      </c>
    </row>
    <row r="19">
      <c r="A19" t="inlineStr">
        <is>
          <t>PO2</t>
        </is>
      </c>
      <c r="B19">
        <f>TEXTJOIN(", ",TRUE,IF(B$3:B$6&lt;&gt;"",$A$3:$A$6,""))</f>
        <v/>
      </c>
      <c r="C19">
        <f>IF(SUM(B$3:B$6)=0,"",SUMPRODUCT($C$10:$C$13,B$3:B$6)/SUM(B$3:B$6))</f>
        <v/>
      </c>
    </row>
    <row r="20">
      <c r="A20" t="inlineStr">
        <is>
          <t>PO3</t>
        </is>
      </c>
      <c r="B20">
        <f>TEXTJOIN(", ",TRUE,IF(B$3:B$6&lt;&gt;"",$A$3:$A$6,""))</f>
        <v/>
      </c>
      <c r="C20">
        <f>IF(SUM(B$3:B$6)=0,"",SUMPRODUCT($C$10:$C$13,B$3:B$6)/SUM(B$3:B$6))</f>
        <v/>
      </c>
    </row>
    <row r="21">
      <c r="A21" t="inlineStr">
        <is>
          <t>PO4</t>
        </is>
      </c>
      <c r="B21">
        <f>TEXTJOIN(", ",TRUE,IF(B$3:B$6&lt;&gt;"",$A$3:$A$6,""))</f>
        <v/>
      </c>
      <c r="C21">
        <f>IF(SUM(B$3:B$6)=0,"",SUMPRODUCT($C$10:$C$13,B$3:B$6)/SUM(B$3:B$6))</f>
        <v/>
      </c>
    </row>
    <row r="22">
      <c r="A22" s="3" t="inlineStr">
        <is>
          <t>Note: Fill CO–PO mapping matrix (cells B3:M6) with strengths (3/2/1). PO attainment auto-calculates using CO Final Attainment.</t>
        </is>
      </c>
      <c r="B22">
        <f>TEXTJOIN(", ",TRUE,IF(B$3:B$6&lt;&gt;"",$A$3:$A$6,""))</f>
        <v/>
      </c>
      <c r="C22">
        <f>IF(SUM(B$3:B$6)=0,"",SUMPRODUCT($C$10:$C$13,B$3:B$6)/SUM(B$3:B$6))</f>
        <v/>
      </c>
    </row>
    <row r="23">
      <c r="A23" t="inlineStr">
        <is>
          <t>PO6</t>
        </is>
      </c>
      <c r="B23">
        <f>TEXTJOIN(", ",TRUE,IF(B$3:B$6&lt;&gt;"",$A$3:$A$6,""))</f>
        <v/>
      </c>
      <c r="C23">
        <f>IF(SUM(B$3:B$6)=0,"",SUMPRODUCT($C$10:$C$13,B$3:B$6)/SUM(B$3:B$6))</f>
        <v/>
      </c>
    </row>
    <row r="24">
      <c r="A24" t="inlineStr">
        <is>
          <t>PO7</t>
        </is>
      </c>
      <c r="B24">
        <f>TEXTJOIN(", ",TRUE,IF(B$3:B$6&lt;&gt;"",$A$3:$A$6,""))</f>
        <v/>
      </c>
      <c r="C24">
        <f>IF(SUM(B$3:B$6)=0,"",SUMPRODUCT($C$10:$C$13,B$3:B$6)/SUM(B$3:B$6))</f>
        <v/>
      </c>
    </row>
    <row r="25">
      <c r="A25" t="inlineStr">
        <is>
          <t>PO8</t>
        </is>
      </c>
      <c r="B25">
        <f>TEXTJOIN(", ",TRUE,IF(B$3:B$6&lt;&gt;"",$A$3:$A$6,""))</f>
        <v/>
      </c>
      <c r="C25">
        <f>IF(SUM(B$3:B$6)=0,"",SUMPRODUCT($C$10:$C$13,B$3:B$6)/SUM(B$3:B$6))</f>
        <v/>
      </c>
    </row>
    <row r="26">
      <c r="A26" t="inlineStr">
        <is>
          <t>PO9</t>
        </is>
      </c>
      <c r="B26">
        <f>TEXTJOIN(", ",TRUE,IF(B$3:B$6&lt;&gt;"",$A$3:$A$6,""))</f>
        <v/>
      </c>
      <c r="C26">
        <f>IF(SUM(B$3:B$6)=0,"",SUMPRODUCT($C$10:$C$13,B$3:B$6)/SUM(B$3:B$6))</f>
        <v/>
      </c>
    </row>
    <row r="27">
      <c r="A27" t="inlineStr">
        <is>
          <t>PO10</t>
        </is>
      </c>
      <c r="B27">
        <f>TEXTJOIN(", ",TRUE,IF(B$3:B$6&lt;&gt;"",$A$3:$A$6,""))</f>
        <v/>
      </c>
      <c r="C27">
        <f>IF(SUM(B$3:B$6)=0,"",SUMPRODUCT($C$10:$C$13,B$3:B$6)/SUM(B$3:B$6))</f>
        <v/>
      </c>
    </row>
    <row r="28">
      <c r="A28" t="inlineStr">
        <is>
          <t>PO11</t>
        </is>
      </c>
      <c r="B28">
        <f>TEXTJOIN(", ",TRUE,IF(B$3:B$6&lt;&gt;"",$A$3:$A$6,""))</f>
        <v/>
      </c>
      <c r="C28">
        <f>IF(SUM(B$3:B$6)=0,"",SUMPRODUCT($C$10:$C$13,B$3:B$6)/SUM(B$3:B$6))</f>
        <v/>
      </c>
    </row>
    <row r="29">
      <c r="A29" t="inlineStr">
        <is>
          <t>PO12</t>
        </is>
      </c>
      <c r="B29">
        <f>TEXTJOIN(", ",TRUE,IF(B$3:B$6&lt;&gt;"",$A$3:$A$6,""))</f>
        <v/>
      </c>
      <c r="C29">
        <f>IF(SUM(B$3:B$6)=0,"",SUMPRODUCT($C$10:$C$13,B$3:B$6)/SUM(B$3:B$6))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18" customWidth="1" min="5" max="5"/>
    <col width="20" customWidth="1" min="6" max="6"/>
    <col width="24" customWidth="1" min="7" max="7"/>
  </cols>
  <sheetData>
    <row r="1">
      <c r="A1" s="6" t="inlineStr">
        <is>
          <t>Section A: Student-wise Attainment per CO (Raw to Levels)</t>
        </is>
      </c>
    </row>
    <row r="2">
      <c r="A2" s="7" t="inlineStr">
        <is>
          <t>Roll No.</t>
        </is>
      </c>
      <c r="B2" s="7" t="inlineStr">
        <is>
          <t>Student Name</t>
        </is>
      </c>
      <c r="C2" s="7" t="inlineStr">
        <is>
          <t>CO</t>
        </is>
      </c>
      <c r="D2" s="7" t="inlineStr">
        <is>
          <t>Max Marks</t>
        </is>
      </c>
      <c r="E2" s="7" t="inlineStr">
        <is>
          <t>Marks Obtained</t>
        </is>
      </c>
      <c r="F2" s="7" t="inlineStr">
        <is>
          <t>% Score (Auto)</t>
        </is>
      </c>
      <c r="G2" s="7" t="inlineStr">
        <is>
          <t>Attainment Level (0–3)</t>
        </is>
      </c>
    </row>
    <row r="3">
      <c r="A3" t="inlineStr">
        <is>
          <t>101</t>
        </is>
      </c>
      <c r="B3" t="inlineStr">
        <is>
          <t>A. Kumar</t>
        </is>
      </c>
      <c r="C3" t="inlineStr">
        <is>
          <t>CO1</t>
        </is>
      </c>
      <c r="D3" t="n">
        <v>10</v>
      </c>
      <c r="E3" t="n">
        <v>8</v>
      </c>
      <c r="F3" s="5">
        <f>IF(D3=0,"",E3/D3)</f>
        <v/>
      </c>
      <c r="G3">
        <f>IF(F3="","",IF(F3&gt;=0.7,3,IF(F3&gt;=0.6,2,IF(F3&gt;=0.5,1,0))))</f>
        <v/>
      </c>
    </row>
    <row r="4">
      <c r="A4" t="inlineStr">
        <is>
          <t>102</t>
        </is>
      </c>
      <c r="B4" t="inlineStr">
        <is>
          <t>B. Singh</t>
        </is>
      </c>
      <c r="C4" t="inlineStr">
        <is>
          <t>CO1</t>
        </is>
      </c>
      <c r="D4" t="n">
        <v>10</v>
      </c>
      <c r="E4" t="n">
        <v>6</v>
      </c>
      <c r="F4" s="5">
        <f>IF(D4=0,"",E4/D4)</f>
        <v/>
      </c>
      <c r="G4">
        <f>IF(F4="","",IF(F4&gt;=0.7,3,IF(F4&gt;=0.6,2,IF(F4&gt;=0.5,1,0))))</f>
        <v/>
      </c>
    </row>
    <row r="5">
      <c r="A5" t="inlineStr">
        <is>
          <t>103</t>
        </is>
      </c>
      <c r="B5" t="inlineStr">
        <is>
          <t>C. Rao</t>
        </is>
      </c>
      <c r="C5" t="inlineStr">
        <is>
          <t>CO1</t>
        </is>
      </c>
      <c r="D5" t="n">
        <v>10</v>
      </c>
      <c r="E5" t="n">
        <v>5</v>
      </c>
      <c r="F5" s="5">
        <f>IF(D5=0,"",E5/D5)</f>
        <v/>
      </c>
      <c r="G5">
        <f>IF(F5="","",IF(F5&gt;=0.7,3,IF(F5&gt;=0.6,2,IF(F5&gt;=0.5,1,0))))</f>
        <v/>
      </c>
    </row>
    <row r="6">
      <c r="F6" s="5">
        <f>IF(D6=0,"",E6/D6)</f>
        <v/>
      </c>
      <c r="G6">
        <f>IF(F6="","",IF(F6&gt;=0.7,3,IF(F6&gt;=0.6,2,IF(F6&gt;=0.5,1,0))))</f>
        <v/>
      </c>
    </row>
    <row r="7">
      <c r="F7" s="5">
        <f>IF(D7=0,"",E7/D7)</f>
        <v/>
      </c>
      <c r="G7">
        <f>IF(F7="","",IF(F7&gt;=0.7,3,IF(F7&gt;=0.6,2,IF(F7&gt;=0.5,1,0))))</f>
        <v/>
      </c>
    </row>
    <row r="8">
      <c r="F8" s="5">
        <f>IF(D8=0,"",E8/D8)</f>
        <v/>
      </c>
      <c r="G8">
        <f>IF(F8="","",IF(F8&gt;=0.7,3,IF(F8&gt;=0.6,2,IF(F8&gt;=0.5,1,0))))</f>
        <v/>
      </c>
    </row>
    <row r="9">
      <c r="F9" s="5">
        <f>IF(D9=0,"",E9/D9)</f>
        <v/>
      </c>
      <c r="G9">
        <f>IF(F9="","",IF(F9&gt;=0.7,3,IF(F9&gt;=0.6,2,IF(F9&gt;=0.5,1,0))))</f>
        <v/>
      </c>
    </row>
    <row r="10">
      <c r="F10" s="5">
        <f>IF(D10=0,"",E10/D10)</f>
        <v/>
      </c>
      <c r="G10">
        <f>IF(F10="","",IF(F10&gt;=0.7,3,IF(F10&gt;=0.6,2,IF(F10&gt;=0.5,1,0))))</f>
        <v/>
      </c>
    </row>
    <row r="11">
      <c r="F11" s="5">
        <f>IF(D11=0,"",E11/D11)</f>
        <v/>
      </c>
      <c r="G11">
        <f>IF(F11="","",IF(F11&gt;=0.7,3,IF(F11&gt;=0.6,2,IF(F11&gt;=0.5,1,0))))</f>
        <v/>
      </c>
    </row>
    <row r="12">
      <c r="F12" s="5">
        <f>IF(D12=0,"",E12/D12)</f>
        <v/>
      </c>
      <c r="G12">
        <f>IF(F12="","",IF(F12&gt;=0.7,3,IF(F12&gt;=0.6,2,IF(F12&gt;=0.5,1,0))))</f>
        <v/>
      </c>
    </row>
    <row r="13">
      <c r="F13" s="5">
        <f>IF(D13=0,"",E13/D13)</f>
        <v/>
      </c>
      <c r="G13">
        <f>IF(F13="","",IF(F13&gt;=0.7,3,IF(F13&gt;=0.6,2,IF(F13&gt;=0.5,1,0))))</f>
        <v/>
      </c>
    </row>
    <row r="14">
      <c r="F14" s="5">
        <f>IF(D14=0,"",E14/D14)</f>
        <v/>
      </c>
      <c r="G14">
        <f>IF(F14="","",IF(F14&gt;=0.7,3,IF(F14&gt;=0.6,2,IF(F14&gt;=0.5,1,0))))</f>
        <v/>
      </c>
    </row>
    <row r="15">
      <c r="F15" s="5">
        <f>IF(D15=0,"",E15/D15)</f>
        <v/>
      </c>
      <c r="G15">
        <f>IF(F15="","",IF(F15&gt;=0.7,3,IF(F15&gt;=0.6,2,IF(F15&gt;=0.5,1,0))))</f>
        <v/>
      </c>
    </row>
    <row r="16">
      <c r="F16" s="5">
        <f>IF(D16=0,"",E16/D16)</f>
        <v/>
      </c>
      <c r="G16">
        <f>IF(F16="","",IF(F16&gt;=0.7,3,IF(F16&gt;=0.6,2,IF(F16&gt;=0.5,1,0))))</f>
        <v/>
      </c>
    </row>
    <row r="17">
      <c r="F17" s="5">
        <f>IF(D17=0,"",E17/D17)</f>
        <v/>
      </c>
      <c r="G17">
        <f>IF(F17="","",IF(F17&gt;=0.7,3,IF(F17&gt;=0.6,2,IF(F17&gt;=0.5,1,0))))</f>
        <v/>
      </c>
    </row>
    <row r="18">
      <c r="F18" s="5">
        <f>IF(D18=0,"",E18/D18)</f>
        <v/>
      </c>
      <c r="G18">
        <f>IF(F18="","",IF(F18&gt;=0.7,3,IF(F18&gt;=0.6,2,IF(F18&gt;=0.5,1,0))))</f>
        <v/>
      </c>
    </row>
    <row r="19">
      <c r="F19" s="5">
        <f>IF(D19=0,"",E19/D19)</f>
        <v/>
      </c>
      <c r="G19">
        <f>IF(F19="","",IF(F19&gt;=0.7,3,IF(F19&gt;=0.6,2,IF(F19&gt;=0.5,1,0))))</f>
        <v/>
      </c>
    </row>
    <row r="20">
      <c r="F20" s="5">
        <f>IF(D20=0,"",E20/D20)</f>
        <v/>
      </c>
      <c r="G20">
        <f>IF(F20="","",IF(F20&gt;=0.7,3,IF(F20&gt;=0.6,2,IF(F20&gt;=0.5,1,0))))</f>
        <v/>
      </c>
    </row>
    <row r="21">
      <c r="F21" s="5">
        <f>IF(D21=0,"",E21/D21)</f>
        <v/>
      </c>
      <c r="G21">
        <f>IF(F21="","",IF(F21&gt;=0.7,3,IF(F21&gt;=0.6,2,IF(F21&gt;=0.5,1,0))))</f>
        <v/>
      </c>
    </row>
    <row r="22">
      <c r="F22" s="5">
        <f>IF(D22=0,"",E22/D22)</f>
        <v/>
      </c>
      <c r="G22">
        <f>IF(F22="","",IF(F22&gt;=0.7,3,IF(F22&gt;=0.6,2,IF(F22&gt;=0.5,1,0))))</f>
        <v/>
      </c>
    </row>
    <row r="23">
      <c r="F23" s="5">
        <f>IF(D23=0,"",E23/D23)</f>
        <v/>
      </c>
      <c r="G23">
        <f>IF(F23="","",IF(F23&gt;=0.7,3,IF(F23&gt;=0.6,2,IF(F23&gt;=0.5,1,0))))</f>
        <v/>
      </c>
    </row>
    <row r="24">
      <c r="F24" s="5">
        <f>IF(D24=0,"",E24/D24)</f>
        <v/>
      </c>
      <c r="G24">
        <f>IF(F24="","",IF(F24&gt;=0.7,3,IF(F24&gt;=0.6,2,IF(F24&gt;=0.5,1,0))))</f>
        <v/>
      </c>
    </row>
    <row r="25">
      <c r="F25" s="5">
        <f>IF(D25=0,"",E25/D25)</f>
        <v/>
      </c>
      <c r="G25">
        <f>IF(F25="","",IF(F25&gt;=0.7,3,IF(F25&gt;=0.6,2,IF(F25&gt;=0.5,1,0))))</f>
        <v/>
      </c>
    </row>
    <row r="26">
      <c r="F26" s="5">
        <f>IF(D26=0,"",E26/D26)</f>
        <v/>
      </c>
      <c r="G26">
        <f>IF(F26="","",IF(F26&gt;=0.7,3,IF(F26&gt;=0.6,2,IF(F26&gt;=0.5,1,0))))</f>
        <v/>
      </c>
    </row>
    <row r="27">
      <c r="F27" s="5">
        <f>IF(D27=0,"",E27/D27)</f>
        <v/>
      </c>
      <c r="G27">
        <f>IF(F27="","",IF(F27&gt;=0.7,3,IF(F27&gt;=0.6,2,IF(F27&gt;=0.5,1,0))))</f>
        <v/>
      </c>
    </row>
    <row r="28">
      <c r="F28" s="5">
        <f>IF(D28=0,"",E28/D28)</f>
        <v/>
      </c>
      <c r="G28">
        <f>IF(F28="","",IF(F28&gt;=0.7,3,IF(F28&gt;=0.6,2,IF(F28&gt;=0.5,1,0))))</f>
        <v/>
      </c>
    </row>
    <row r="29">
      <c r="F29" s="5">
        <f>IF(D29=0,"",E29/D29)</f>
        <v/>
      </c>
      <c r="G29">
        <f>IF(F29="","",IF(F29&gt;=0.7,3,IF(F29&gt;=0.6,2,IF(F29&gt;=0.5,1,0))))</f>
        <v/>
      </c>
    </row>
    <row r="30">
      <c r="F30" s="5">
        <f>IF(D30=0,"",E30/D30)</f>
        <v/>
      </c>
      <c r="G30">
        <f>IF(F30="","",IF(F30&gt;=0.7,3,IF(F30&gt;=0.6,2,IF(F30&gt;=0.5,1,0))))</f>
        <v/>
      </c>
    </row>
    <row r="31">
      <c r="F31" s="5">
        <f>IF(D31=0,"",E31/D31)</f>
        <v/>
      </c>
      <c r="G31">
        <f>IF(F31="","",IF(F31&gt;=0.7,3,IF(F31&gt;=0.6,2,IF(F31&gt;=0.5,1,0))))</f>
        <v/>
      </c>
    </row>
    <row r="32">
      <c r="F32" s="5">
        <f>IF(D32=0,"",E32/D32)</f>
        <v/>
      </c>
      <c r="G32">
        <f>IF(F32="","",IF(F32&gt;=0.7,3,IF(F32&gt;=0.6,2,IF(F32&gt;=0.5,1,0))))</f>
        <v/>
      </c>
    </row>
    <row r="33">
      <c r="F33" s="5">
        <f>IF(D33=0,"",E33/D33)</f>
        <v/>
      </c>
      <c r="G33">
        <f>IF(F33="","",IF(F33&gt;=0.7,3,IF(F33&gt;=0.6,2,IF(F33&gt;=0.5,1,0))))</f>
        <v/>
      </c>
    </row>
    <row r="34">
      <c r="F34" s="5">
        <f>IF(D34=0,"",E34/D34)</f>
        <v/>
      </c>
      <c r="G34">
        <f>IF(F34="","",IF(F34&gt;=0.7,3,IF(F34&gt;=0.6,2,IF(F34&gt;=0.5,1,0))))</f>
        <v/>
      </c>
    </row>
    <row r="35">
      <c r="F35" s="5">
        <f>IF(D35=0,"",E35/D35)</f>
        <v/>
      </c>
      <c r="G35">
        <f>IF(F35="","",IF(F35&gt;=0.7,3,IF(F35&gt;=0.6,2,IF(F35&gt;=0.5,1,0))))</f>
        <v/>
      </c>
    </row>
    <row r="36">
      <c r="F36" s="5">
        <f>IF(D36=0,"",E36/D36)</f>
        <v/>
      </c>
      <c r="G36">
        <f>IF(F36="","",IF(F36&gt;=0.7,3,IF(F36&gt;=0.6,2,IF(F36&gt;=0.5,1,0))))</f>
        <v/>
      </c>
    </row>
    <row r="37">
      <c r="F37" s="5">
        <f>IF(D37=0,"",E37/D37)</f>
        <v/>
      </c>
      <c r="G37">
        <f>IF(F37="","",IF(F37&gt;=0.7,3,IF(F37&gt;=0.6,2,IF(F37&gt;=0.5,1,0))))</f>
        <v/>
      </c>
    </row>
    <row r="38">
      <c r="F38" s="5">
        <f>IF(D38=0,"",E38/D38)</f>
        <v/>
      </c>
      <c r="G38">
        <f>IF(F38="","",IF(F38&gt;=0.7,3,IF(F38&gt;=0.6,2,IF(F38&gt;=0.5,1,0))))</f>
        <v/>
      </c>
    </row>
    <row r="39">
      <c r="F39" s="5">
        <f>IF(D39=0,"",E39/D39)</f>
        <v/>
      </c>
      <c r="G39">
        <f>IF(F39="","",IF(F39&gt;=0.7,3,IF(F39&gt;=0.6,2,IF(F39&gt;=0.5,1,0))))</f>
        <v/>
      </c>
    </row>
    <row r="40">
      <c r="F40" s="5">
        <f>IF(D40=0,"",E40/D40)</f>
        <v/>
      </c>
      <c r="G40">
        <f>IF(F40="","",IF(F40&gt;=0.7,3,IF(F40&gt;=0.6,2,IF(F40&gt;=0.5,1,0))))</f>
        <v/>
      </c>
    </row>
    <row r="41">
      <c r="F41" s="5">
        <f>IF(D41=0,"",E41/D41)</f>
        <v/>
      </c>
      <c r="G41">
        <f>IF(F41="","",IF(F41&gt;=0.7,3,IF(F41&gt;=0.6,2,IF(F41&gt;=0.5,1,0))))</f>
        <v/>
      </c>
    </row>
    <row r="42">
      <c r="F42" s="5">
        <f>IF(D42=0,"",E42/D42)</f>
        <v/>
      </c>
      <c r="G42">
        <f>IF(F42="","",IF(F42&gt;=0.7,3,IF(F42&gt;=0.6,2,IF(F42&gt;=0.5,1,0))))</f>
        <v/>
      </c>
    </row>
    <row r="43">
      <c r="F43" s="5">
        <f>IF(D43=0,"",E43/D43)</f>
        <v/>
      </c>
      <c r="G43">
        <f>IF(F43="","",IF(F43&gt;=0.7,3,IF(F43&gt;=0.6,2,IF(F43&gt;=0.5,1,0))))</f>
        <v/>
      </c>
    </row>
    <row r="44">
      <c r="F44" s="5">
        <f>IF(D44=0,"",E44/D44)</f>
        <v/>
      </c>
      <c r="G44">
        <f>IF(F44="","",IF(F44&gt;=0.7,3,IF(F44&gt;=0.6,2,IF(F44&gt;=0.5,1,0))))</f>
        <v/>
      </c>
    </row>
    <row r="45">
      <c r="F45" s="5">
        <f>IF(D45=0,"",E45/D45)</f>
        <v/>
      </c>
      <c r="G45">
        <f>IF(F45="","",IF(F45&gt;=0.7,3,IF(F45&gt;=0.6,2,IF(F45&gt;=0.5,1,0))))</f>
        <v/>
      </c>
    </row>
    <row r="46">
      <c r="F46" s="5">
        <f>IF(D46=0,"",E46/D46)</f>
        <v/>
      </c>
      <c r="G46">
        <f>IF(F46="","",IF(F46&gt;=0.7,3,IF(F46&gt;=0.6,2,IF(F46&gt;=0.5,1,0))))</f>
        <v/>
      </c>
    </row>
    <row r="47">
      <c r="F47" s="5">
        <f>IF(D47=0,"",E47/D47)</f>
        <v/>
      </c>
      <c r="G47">
        <f>IF(F47="","",IF(F47&gt;=0.7,3,IF(F47&gt;=0.6,2,IF(F47&gt;=0.5,1,0))))</f>
        <v/>
      </c>
    </row>
    <row r="48">
      <c r="F48" s="5">
        <f>IF(D48=0,"",E48/D48)</f>
        <v/>
      </c>
      <c r="G48">
        <f>IF(F48="","",IF(F48&gt;=0.7,3,IF(F48&gt;=0.6,2,IF(F48&gt;=0.5,1,0))))</f>
        <v/>
      </c>
    </row>
    <row r="49">
      <c r="F49" s="5">
        <f>IF(D49=0,"",E49/D49)</f>
        <v/>
      </c>
      <c r="G49">
        <f>IF(F49="","",IF(F49&gt;=0.7,3,IF(F49&gt;=0.6,2,IF(F49&gt;=0.5,1,0))))</f>
        <v/>
      </c>
    </row>
    <row r="50">
      <c r="F50" s="5">
        <f>IF(D50=0,"",E50/D50)</f>
        <v/>
      </c>
      <c r="G50">
        <f>IF(F50="","",IF(F50&gt;=0.7,3,IF(F50&gt;=0.6,2,IF(F50&gt;=0.5,1,0))))</f>
        <v/>
      </c>
    </row>
    <row r="51">
      <c r="F51" s="5">
        <f>IF(D51=0,"",E51/D51)</f>
        <v/>
      </c>
      <c r="G51">
        <f>IF(F51="","",IF(F51&gt;=0.7,3,IF(F51&gt;=0.6,2,IF(F51&gt;=0.5,1,0))))</f>
        <v/>
      </c>
    </row>
    <row r="52">
      <c r="F52" s="5">
        <f>IF(D52=0,"",E52/D52)</f>
        <v/>
      </c>
      <c r="G52">
        <f>IF(F52="","",IF(F52&gt;=0.7,3,IF(F52&gt;=0.6,2,IF(F52&gt;=0.5,1,0))))</f>
        <v/>
      </c>
    </row>
    <row r="53">
      <c r="F53" s="5">
        <f>IF(D53=0,"",E53/D53)</f>
        <v/>
      </c>
      <c r="G53">
        <f>IF(F53="","",IF(F53&gt;=0.7,3,IF(F53&gt;=0.6,2,IF(F53&gt;=0.5,1,0))))</f>
        <v/>
      </c>
    </row>
    <row r="54">
      <c r="F54" s="5">
        <f>IF(D54=0,"",E54/D54)</f>
        <v/>
      </c>
      <c r="G54">
        <f>IF(F54="","",IF(F54&gt;=0.7,3,IF(F54&gt;=0.6,2,IF(F54&gt;=0.5,1,0))))</f>
        <v/>
      </c>
    </row>
    <row r="55">
      <c r="F55" s="5">
        <f>IF(D55=0,"",E55/D55)</f>
        <v/>
      </c>
      <c r="G55">
        <f>IF(F55="","",IF(F55&gt;=0.7,3,IF(F55&gt;=0.6,2,IF(F55&gt;=0.5,1,0))))</f>
        <v/>
      </c>
    </row>
    <row r="56">
      <c r="F56" s="5">
        <f>IF(D56=0,"",E56/D56)</f>
        <v/>
      </c>
      <c r="G56">
        <f>IF(F56="","",IF(F56&gt;=0.7,3,IF(F56&gt;=0.6,2,IF(F56&gt;=0.5,1,0))))</f>
        <v/>
      </c>
    </row>
    <row r="57">
      <c r="F57" s="5">
        <f>IF(D57=0,"",E57/D57)</f>
        <v/>
      </c>
      <c r="G57">
        <f>IF(F57="","",IF(F57&gt;=0.7,3,IF(F57&gt;=0.6,2,IF(F57&gt;=0.5,1,0))))</f>
        <v/>
      </c>
    </row>
    <row r="58">
      <c r="F58" s="5">
        <f>IF(D58=0,"",E58/D58)</f>
        <v/>
      </c>
      <c r="G58">
        <f>IF(F58="","",IF(F58&gt;=0.7,3,IF(F58&gt;=0.6,2,IF(F58&gt;=0.5,1,0))))</f>
        <v/>
      </c>
    </row>
    <row r="59">
      <c r="F59" s="5">
        <f>IF(D59=0,"",E59/D59)</f>
        <v/>
      </c>
      <c r="G59">
        <f>IF(F59="","",IF(F59&gt;=0.7,3,IF(F59&gt;=0.6,2,IF(F59&gt;=0.5,1,0))))</f>
        <v/>
      </c>
    </row>
    <row r="60">
      <c r="F60" s="5">
        <f>IF(D60=0,"",E60/D60)</f>
        <v/>
      </c>
      <c r="G60">
        <f>IF(F60="","",IF(F60&gt;=0.7,3,IF(F60&gt;=0.6,2,IF(F60&gt;=0.5,1,0))))</f>
        <v/>
      </c>
    </row>
    <row r="61">
      <c r="F61" s="5">
        <f>IF(D61=0,"",E61/D61)</f>
        <v/>
      </c>
      <c r="G61">
        <f>IF(F61="","",IF(F61&gt;=0.7,3,IF(F61&gt;=0.6,2,IF(F61&gt;=0.5,1,0))))</f>
        <v/>
      </c>
    </row>
    <row r="62">
      <c r="F62" s="5">
        <f>IF(D62=0,"",E62/D62)</f>
        <v/>
      </c>
      <c r="G62">
        <f>IF(F62="","",IF(F62&gt;=0.7,3,IF(F62&gt;=0.6,2,IF(F62&gt;=0.5,1,0))))</f>
        <v/>
      </c>
    </row>
    <row r="63">
      <c r="F63" s="5">
        <f>IF(D63=0,"",E63/D63)</f>
        <v/>
      </c>
      <c r="G63">
        <f>IF(F63="","",IF(F63&gt;=0.7,3,IF(F63&gt;=0.6,2,IF(F63&gt;=0.5,1,0))))</f>
        <v/>
      </c>
    </row>
    <row r="64">
      <c r="F64" s="5">
        <f>IF(D64=0,"",E64/D64)</f>
        <v/>
      </c>
      <c r="G64">
        <f>IF(F64="","",IF(F64&gt;=0.7,3,IF(F64&gt;=0.6,2,IF(F64&gt;=0.5,1,0))))</f>
        <v/>
      </c>
    </row>
    <row r="65">
      <c r="F65" s="5">
        <f>IF(D65=0,"",E65/D65)</f>
        <v/>
      </c>
      <c r="G65">
        <f>IF(F65="","",IF(F65&gt;=0.7,3,IF(F65&gt;=0.6,2,IF(F65&gt;=0.5,1,0))))</f>
        <v/>
      </c>
    </row>
    <row r="66">
      <c r="F66" s="5">
        <f>IF(D66=0,"",E66/D66)</f>
        <v/>
      </c>
      <c r="G66">
        <f>IF(F66="","",IF(F66&gt;=0.7,3,IF(F66&gt;=0.6,2,IF(F66&gt;=0.5,1,0))))</f>
        <v/>
      </c>
    </row>
    <row r="67">
      <c r="F67" s="5">
        <f>IF(D67=0,"",E67/D67)</f>
        <v/>
      </c>
      <c r="G67">
        <f>IF(F67="","",IF(F67&gt;=0.7,3,IF(F67&gt;=0.6,2,IF(F67&gt;=0.5,1,0))))</f>
        <v/>
      </c>
    </row>
    <row r="68">
      <c r="F68" s="5">
        <f>IF(D68=0,"",E68/D68)</f>
        <v/>
      </c>
      <c r="G68">
        <f>IF(F68="","",IF(F68&gt;=0.7,3,IF(F68&gt;=0.6,2,IF(F68&gt;=0.5,1,0))))</f>
        <v/>
      </c>
    </row>
    <row r="69">
      <c r="F69" s="5">
        <f>IF(D69=0,"",E69/D69)</f>
        <v/>
      </c>
      <c r="G69">
        <f>IF(F69="","",IF(F69&gt;=0.7,3,IF(F69&gt;=0.6,2,IF(F69&gt;=0.5,1,0))))</f>
        <v/>
      </c>
    </row>
    <row r="70">
      <c r="F70" s="5">
        <f>IF(D70=0,"",E70/D70)</f>
        <v/>
      </c>
      <c r="G70">
        <f>IF(F70="","",IF(F70&gt;=0.7,3,IF(F70&gt;=0.6,2,IF(F70&gt;=0.5,1,0))))</f>
        <v/>
      </c>
    </row>
    <row r="71">
      <c r="F71" s="5">
        <f>IF(D71=0,"",E71/D71)</f>
        <v/>
      </c>
      <c r="G71">
        <f>IF(F71="","",IF(F71&gt;=0.7,3,IF(F71&gt;=0.6,2,IF(F71&gt;=0.5,1,0))))</f>
        <v/>
      </c>
    </row>
    <row r="72">
      <c r="F72" s="5">
        <f>IF(D72=0,"",E72/D72)</f>
        <v/>
      </c>
      <c r="G72">
        <f>IF(F72="","",IF(F72&gt;=0.7,3,IF(F72&gt;=0.6,2,IF(F72&gt;=0.5,1,0))))</f>
        <v/>
      </c>
    </row>
    <row r="73">
      <c r="F73" s="5">
        <f>IF(D73=0,"",E73/D73)</f>
        <v/>
      </c>
      <c r="G73">
        <f>IF(F73="","",IF(F73&gt;=0.7,3,IF(F73&gt;=0.6,2,IF(F73&gt;=0.5,1,0))))</f>
        <v/>
      </c>
    </row>
    <row r="74">
      <c r="F74" s="5">
        <f>IF(D74=0,"",E74/D74)</f>
        <v/>
      </c>
      <c r="G74">
        <f>IF(F74="","",IF(F74&gt;=0.7,3,IF(F74&gt;=0.6,2,IF(F74&gt;=0.5,1,0))))</f>
        <v/>
      </c>
    </row>
    <row r="75">
      <c r="F75" s="5">
        <f>IF(D75=0,"",E75/D75)</f>
        <v/>
      </c>
      <c r="G75">
        <f>IF(F75="","",IF(F75&gt;=0.7,3,IF(F75&gt;=0.6,2,IF(F75&gt;=0.5,1,0))))</f>
        <v/>
      </c>
    </row>
    <row r="76">
      <c r="F76" s="5">
        <f>IF(D76=0,"",E76/D76)</f>
        <v/>
      </c>
      <c r="G76">
        <f>IF(F76="","",IF(F76&gt;=0.7,3,IF(F76&gt;=0.6,2,IF(F76&gt;=0.5,1,0))))</f>
        <v/>
      </c>
    </row>
    <row r="77">
      <c r="F77" s="5">
        <f>IF(D77=0,"",E77/D77)</f>
        <v/>
      </c>
      <c r="G77">
        <f>IF(F77="","",IF(F77&gt;=0.7,3,IF(F77&gt;=0.6,2,IF(F77&gt;=0.5,1,0))))</f>
        <v/>
      </c>
    </row>
    <row r="78">
      <c r="F78" s="5">
        <f>IF(D78=0,"",E78/D78)</f>
        <v/>
      </c>
      <c r="G78">
        <f>IF(F78="","",IF(F78&gt;=0.7,3,IF(F78&gt;=0.6,2,IF(F78&gt;=0.5,1,0))))</f>
        <v/>
      </c>
    </row>
    <row r="79">
      <c r="F79" s="5">
        <f>IF(D79=0,"",E79/D79)</f>
        <v/>
      </c>
      <c r="G79">
        <f>IF(F79="","",IF(F79&gt;=0.7,3,IF(F79&gt;=0.6,2,IF(F79&gt;=0.5,1,0))))</f>
        <v/>
      </c>
    </row>
    <row r="80">
      <c r="F80" s="5">
        <f>IF(D80=0,"",E80/D80)</f>
        <v/>
      </c>
      <c r="G80">
        <f>IF(F80="","",IF(F80&gt;=0.7,3,IF(F80&gt;=0.6,2,IF(F80&gt;=0.5,1,0))))</f>
        <v/>
      </c>
    </row>
    <row r="81">
      <c r="F81" s="5">
        <f>IF(D81=0,"",E81/D81)</f>
        <v/>
      </c>
      <c r="G81">
        <f>IF(F81="","",IF(F81&gt;=0.7,3,IF(F81&gt;=0.6,2,IF(F81&gt;=0.5,1,0))))</f>
        <v/>
      </c>
    </row>
    <row r="82">
      <c r="F82" s="5">
        <f>IF(D82=0,"",E82/D82)</f>
        <v/>
      </c>
      <c r="G82">
        <f>IF(F82="","",IF(F82&gt;=0.7,3,IF(F82&gt;=0.6,2,IF(F82&gt;=0.5,1,0))))</f>
        <v/>
      </c>
    </row>
    <row r="83">
      <c r="F83" s="5">
        <f>IF(D83=0,"",E83/D83)</f>
        <v/>
      </c>
      <c r="G83">
        <f>IF(F83="","",IF(F83&gt;=0.7,3,IF(F83&gt;=0.6,2,IF(F83&gt;=0.5,1,0))))</f>
        <v/>
      </c>
    </row>
    <row r="84">
      <c r="F84" s="5">
        <f>IF(D84=0,"",E84/D84)</f>
        <v/>
      </c>
      <c r="G84">
        <f>IF(F84="","",IF(F84&gt;=0.7,3,IF(F84&gt;=0.6,2,IF(F84&gt;=0.5,1,0))))</f>
        <v/>
      </c>
    </row>
    <row r="85">
      <c r="F85" s="5">
        <f>IF(D85=0,"",E85/D85)</f>
        <v/>
      </c>
      <c r="G85">
        <f>IF(F85="","",IF(F85&gt;=0.7,3,IF(F85&gt;=0.6,2,IF(F85&gt;=0.5,1,0))))</f>
        <v/>
      </c>
    </row>
    <row r="86">
      <c r="F86" s="5">
        <f>IF(D86=0,"",E86/D86)</f>
        <v/>
      </c>
      <c r="G86">
        <f>IF(F86="","",IF(F86&gt;=0.7,3,IF(F86&gt;=0.6,2,IF(F86&gt;=0.5,1,0))))</f>
        <v/>
      </c>
    </row>
    <row r="87">
      <c r="F87" s="5">
        <f>IF(D87=0,"",E87/D87)</f>
        <v/>
      </c>
      <c r="G87">
        <f>IF(F87="","",IF(F87&gt;=0.7,3,IF(F87&gt;=0.6,2,IF(F87&gt;=0.5,1,0))))</f>
        <v/>
      </c>
    </row>
    <row r="88">
      <c r="F88" s="5">
        <f>IF(D88=0,"",E88/D88)</f>
        <v/>
      </c>
      <c r="G88">
        <f>IF(F88="","",IF(F88&gt;=0.7,3,IF(F88&gt;=0.6,2,IF(F88&gt;=0.5,1,0))))</f>
        <v/>
      </c>
    </row>
    <row r="89">
      <c r="F89" s="5">
        <f>IF(D89=0,"",E89/D89)</f>
        <v/>
      </c>
      <c r="G89">
        <f>IF(F89="","",IF(F89&gt;=0.7,3,IF(F89&gt;=0.6,2,IF(F89&gt;=0.5,1,0))))</f>
        <v/>
      </c>
    </row>
    <row r="90">
      <c r="F90" s="5">
        <f>IF(D90=0,"",E90/D90)</f>
        <v/>
      </c>
      <c r="G90">
        <f>IF(F90="","",IF(F90&gt;=0.7,3,IF(F90&gt;=0.6,2,IF(F90&gt;=0.5,1,0))))</f>
        <v/>
      </c>
    </row>
    <row r="91">
      <c r="F91" s="5">
        <f>IF(D91=0,"",E91/D91)</f>
        <v/>
      </c>
      <c r="G91">
        <f>IF(F91="","",IF(F91&gt;=0.7,3,IF(F91&gt;=0.6,2,IF(F91&gt;=0.5,1,0))))</f>
        <v/>
      </c>
    </row>
    <row r="92">
      <c r="F92" s="5">
        <f>IF(D92=0,"",E92/D92)</f>
        <v/>
      </c>
      <c r="G92">
        <f>IF(F92="","",IF(F92&gt;=0.7,3,IF(F92&gt;=0.6,2,IF(F92&gt;=0.5,1,0))))</f>
        <v/>
      </c>
    </row>
    <row r="93">
      <c r="F93" s="5">
        <f>IF(D93=0,"",E93/D93)</f>
        <v/>
      </c>
      <c r="G93">
        <f>IF(F93="","",IF(F93&gt;=0.7,3,IF(F93&gt;=0.6,2,IF(F93&gt;=0.5,1,0))))</f>
        <v/>
      </c>
    </row>
    <row r="94">
      <c r="F94" s="5">
        <f>IF(D94=0,"",E94/D94)</f>
        <v/>
      </c>
      <c r="G94">
        <f>IF(F94="","",IF(F94&gt;=0.7,3,IF(F94&gt;=0.6,2,IF(F94&gt;=0.5,1,0))))</f>
        <v/>
      </c>
    </row>
    <row r="95">
      <c r="F95" s="5">
        <f>IF(D95=0,"",E95/D95)</f>
        <v/>
      </c>
      <c r="G95">
        <f>IF(F95="","",IF(F95&gt;=0.7,3,IF(F95&gt;=0.6,2,IF(F95&gt;=0.5,1,0))))</f>
        <v/>
      </c>
    </row>
    <row r="96">
      <c r="F96" s="5">
        <f>IF(D96=0,"",E96/D96)</f>
        <v/>
      </c>
      <c r="G96">
        <f>IF(F96="","",IF(F96&gt;=0.7,3,IF(F96&gt;=0.6,2,IF(F96&gt;=0.5,1,0))))</f>
        <v/>
      </c>
    </row>
    <row r="97">
      <c r="F97" s="5">
        <f>IF(D97=0,"",E97/D97)</f>
        <v/>
      </c>
      <c r="G97">
        <f>IF(F97="","",IF(F97&gt;=0.7,3,IF(F97&gt;=0.6,2,IF(F97&gt;=0.5,1,0))))</f>
        <v/>
      </c>
    </row>
    <row r="98">
      <c r="F98" s="5">
        <f>IF(D98=0,"",E98/D98)</f>
        <v/>
      </c>
      <c r="G98">
        <f>IF(F98="","",IF(F98&gt;=0.7,3,IF(F98&gt;=0.6,2,IF(F98&gt;=0.5,1,0))))</f>
        <v/>
      </c>
    </row>
    <row r="99">
      <c r="F99" s="5">
        <f>IF(D99=0,"",E99/D99)</f>
        <v/>
      </c>
      <c r="G99">
        <f>IF(F99="","",IF(F99&gt;=0.7,3,IF(F99&gt;=0.6,2,IF(F99&gt;=0.5,1,0))))</f>
        <v/>
      </c>
    </row>
    <row r="100">
      <c r="F100" s="5">
        <f>IF(D100=0,"",E100/D100)</f>
        <v/>
      </c>
      <c r="G100">
        <f>IF(F100="","",IF(F100&gt;=0.7,3,IF(F100&gt;=0.6,2,IF(F100&gt;=0.5,1,0))))</f>
        <v/>
      </c>
    </row>
    <row r="101">
      <c r="F101" s="5">
        <f>IF(D101=0,"",E101/D101)</f>
        <v/>
      </c>
      <c r="G101">
        <f>IF(F101="","",IF(F101&gt;=0.7,3,IF(F101&gt;=0.6,2,IF(F101&gt;=0.5,1,0))))</f>
        <v/>
      </c>
    </row>
    <row r="102">
      <c r="F102" s="5">
        <f>IF(D102=0,"",E102/D102)</f>
        <v/>
      </c>
      <c r="G102">
        <f>IF(F102="","",IF(F102&gt;=0.7,3,IF(F102&gt;=0.6,2,IF(F102&gt;=0.5,1,0))))</f>
        <v/>
      </c>
    </row>
    <row r="103">
      <c r="F103" s="5">
        <f>IF(D103=0,"",E103/D103)</f>
        <v/>
      </c>
      <c r="G103">
        <f>IF(F103="","",IF(F103&gt;=0.7,3,IF(F103&gt;=0.6,2,IF(F103&gt;=0.5,1,0))))</f>
        <v/>
      </c>
    </row>
    <row r="104">
      <c r="F104" s="5">
        <f>IF(D104=0,"",E104/D104)</f>
        <v/>
      </c>
      <c r="G104">
        <f>IF(F104="","",IF(F104&gt;=0.7,3,IF(F104&gt;=0.6,2,IF(F104&gt;=0.5,1,0))))</f>
        <v/>
      </c>
    </row>
    <row r="105">
      <c r="F105" s="5">
        <f>IF(D105=0,"",E105/D105)</f>
        <v/>
      </c>
      <c r="G105">
        <f>IF(F105="","",IF(F105&gt;=0.7,3,IF(F105&gt;=0.6,2,IF(F105&gt;=0.5,1,0))))</f>
        <v/>
      </c>
    </row>
    <row r="106">
      <c r="F106" s="5">
        <f>IF(D106=0,"",E106/D106)</f>
        <v/>
      </c>
      <c r="G106">
        <f>IF(F106="","",IF(F106&gt;=0.7,3,IF(F106&gt;=0.6,2,IF(F106&gt;=0.5,1,0))))</f>
        <v/>
      </c>
    </row>
    <row r="107">
      <c r="F107" s="5">
        <f>IF(D107=0,"",E107/D107)</f>
        <v/>
      </c>
      <c r="G107">
        <f>IF(F107="","",IF(F107&gt;=0.7,3,IF(F107&gt;=0.6,2,IF(F107&gt;=0.5,1,0))))</f>
        <v/>
      </c>
    </row>
    <row r="108">
      <c r="F108" s="5">
        <f>IF(D108=0,"",E108/D108)</f>
        <v/>
      </c>
      <c r="G108">
        <f>IF(F108="","",IF(F108&gt;=0.7,3,IF(F108&gt;=0.6,2,IF(F108&gt;=0.5,1,0))))</f>
        <v/>
      </c>
    </row>
    <row r="109">
      <c r="F109" s="5">
        <f>IF(D109=0,"",E109/D109)</f>
        <v/>
      </c>
      <c r="G109">
        <f>IF(F109="","",IF(F109&gt;=0.7,3,IF(F109&gt;=0.6,2,IF(F109&gt;=0.5,1,0))))</f>
        <v/>
      </c>
    </row>
    <row r="110">
      <c r="F110" s="5">
        <f>IF(D110=0,"",E110/D110)</f>
        <v/>
      </c>
      <c r="G110">
        <f>IF(F110="","",IF(F110&gt;=0.7,3,IF(F110&gt;=0.6,2,IF(F110&gt;=0.5,1,0))))</f>
        <v/>
      </c>
    </row>
    <row r="111">
      <c r="F111" s="5">
        <f>IF(D111=0,"",E111/D111)</f>
        <v/>
      </c>
      <c r="G111">
        <f>IF(F111="","",IF(F111&gt;=0.7,3,IF(F111&gt;=0.6,2,IF(F111&gt;=0.5,1,0))))</f>
        <v/>
      </c>
    </row>
    <row r="112">
      <c r="F112" s="5">
        <f>IF(D112=0,"",E112/D112)</f>
        <v/>
      </c>
      <c r="G112">
        <f>IF(F112="","",IF(F112&gt;=0.7,3,IF(F112&gt;=0.6,2,IF(F112&gt;=0.5,1,0))))</f>
        <v/>
      </c>
    </row>
    <row r="113">
      <c r="F113" s="5">
        <f>IF(D113=0,"",E113/D113)</f>
        <v/>
      </c>
      <c r="G113">
        <f>IF(F113="","",IF(F113&gt;=0.7,3,IF(F113&gt;=0.6,2,IF(F113&gt;=0.5,1,0))))</f>
        <v/>
      </c>
    </row>
    <row r="114">
      <c r="F114" s="5">
        <f>IF(D114=0,"",E114/D114)</f>
        <v/>
      </c>
      <c r="G114">
        <f>IF(F114="","",IF(F114&gt;=0.7,3,IF(F114&gt;=0.6,2,IF(F114&gt;=0.5,1,0))))</f>
        <v/>
      </c>
    </row>
    <row r="115">
      <c r="F115" s="5">
        <f>IF(D115=0,"",E115/D115)</f>
        <v/>
      </c>
      <c r="G115">
        <f>IF(F115="","",IF(F115&gt;=0.7,3,IF(F115&gt;=0.6,2,IF(F115&gt;=0.5,1,0))))</f>
        <v/>
      </c>
    </row>
    <row r="116">
      <c r="F116" s="5">
        <f>IF(D116=0,"",E116/D116)</f>
        <v/>
      </c>
      <c r="G116">
        <f>IF(F116="","",IF(F116&gt;=0.7,3,IF(F116&gt;=0.6,2,IF(F116&gt;=0.5,1,0))))</f>
        <v/>
      </c>
    </row>
    <row r="117">
      <c r="F117" s="5">
        <f>IF(D117=0,"",E117/D117)</f>
        <v/>
      </c>
      <c r="G117">
        <f>IF(F117="","",IF(F117&gt;=0.7,3,IF(F117&gt;=0.6,2,IF(F117&gt;=0.5,1,0))))</f>
        <v/>
      </c>
    </row>
    <row r="118">
      <c r="F118" s="5">
        <f>IF(D118=0,"",E118/D118)</f>
        <v/>
      </c>
      <c r="G118">
        <f>IF(F118="","",IF(F118&gt;=0.7,3,IF(F118&gt;=0.6,2,IF(F118&gt;=0.5,1,0))))</f>
        <v/>
      </c>
    </row>
    <row r="119">
      <c r="F119" s="5">
        <f>IF(D119=0,"",E119/D119)</f>
        <v/>
      </c>
      <c r="G119">
        <f>IF(F119="","",IF(F119&gt;=0.7,3,IF(F119&gt;=0.6,2,IF(F119&gt;=0.5,1,0))))</f>
        <v/>
      </c>
    </row>
    <row r="120">
      <c r="F120" s="5">
        <f>IF(D120=0,"",E120/D120)</f>
        <v/>
      </c>
      <c r="G120">
        <f>IF(F120="","",IF(F120&gt;=0.7,3,IF(F120&gt;=0.6,2,IF(F120&gt;=0.5,1,0))))</f>
        <v/>
      </c>
    </row>
    <row r="121">
      <c r="F121" s="5">
        <f>IF(D121=0,"",E121/D121)</f>
        <v/>
      </c>
      <c r="G121">
        <f>IF(F121="","",IF(F121&gt;=0.7,3,IF(F121&gt;=0.6,2,IF(F121&gt;=0.5,1,0))))</f>
        <v/>
      </c>
    </row>
    <row r="122">
      <c r="F122" s="5">
        <f>IF(D122=0,"",E122/D122)</f>
        <v/>
      </c>
      <c r="G122">
        <f>IF(F122="","",IF(F122&gt;=0.7,3,IF(F122&gt;=0.6,2,IF(F122&gt;=0.5,1,0))))</f>
        <v/>
      </c>
    </row>
    <row r="123">
      <c r="F123" s="5">
        <f>IF(D123=0,"",E123/D123)</f>
        <v/>
      </c>
      <c r="G123">
        <f>IF(F123="","",IF(F123&gt;=0.7,3,IF(F123&gt;=0.6,2,IF(F123&gt;=0.5,1,0))))</f>
        <v/>
      </c>
    </row>
    <row r="124">
      <c r="F124" s="5">
        <f>IF(D124=0,"",E124/D124)</f>
        <v/>
      </c>
      <c r="G124">
        <f>IF(F124="","",IF(F124&gt;=0.7,3,IF(F124&gt;=0.6,2,IF(F124&gt;=0.5,1,0))))</f>
        <v/>
      </c>
    </row>
    <row r="125">
      <c r="F125" s="5">
        <f>IF(D125=0,"",E125/D125)</f>
        <v/>
      </c>
      <c r="G125">
        <f>IF(F125="","",IF(F125&gt;=0.7,3,IF(F125&gt;=0.6,2,IF(F125&gt;=0.5,1,0))))</f>
        <v/>
      </c>
    </row>
    <row r="126">
      <c r="F126" s="5">
        <f>IF(D126=0,"",E126/D126)</f>
        <v/>
      </c>
      <c r="G126">
        <f>IF(F126="","",IF(F126&gt;=0.7,3,IF(F126&gt;=0.6,2,IF(F126&gt;=0.5,1,0))))</f>
        <v/>
      </c>
    </row>
    <row r="127">
      <c r="F127" s="5">
        <f>IF(D127=0,"",E127/D127)</f>
        <v/>
      </c>
      <c r="G127">
        <f>IF(F127="","",IF(F127&gt;=0.7,3,IF(F127&gt;=0.6,2,IF(F127&gt;=0.5,1,0))))</f>
        <v/>
      </c>
    </row>
    <row r="128">
      <c r="F128" s="5">
        <f>IF(D128=0,"",E128/D128)</f>
        <v/>
      </c>
      <c r="G128">
        <f>IF(F128="","",IF(F128&gt;=0.7,3,IF(F128&gt;=0.6,2,IF(F128&gt;=0.5,1,0))))</f>
        <v/>
      </c>
    </row>
    <row r="129">
      <c r="F129" s="5">
        <f>IF(D129=0,"",E129/D129)</f>
        <v/>
      </c>
      <c r="G129">
        <f>IF(F129="","",IF(F129&gt;=0.7,3,IF(F129&gt;=0.6,2,IF(F129&gt;=0.5,1,0))))</f>
        <v/>
      </c>
    </row>
    <row r="130">
      <c r="F130" s="5">
        <f>IF(D130=0,"",E130/D130)</f>
        <v/>
      </c>
      <c r="G130">
        <f>IF(F130="","",IF(F130&gt;=0.7,3,IF(F130&gt;=0.6,2,IF(F130&gt;=0.5,1,0))))</f>
        <v/>
      </c>
    </row>
    <row r="131">
      <c r="F131" s="5">
        <f>IF(D131=0,"",E131/D131)</f>
        <v/>
      </c>
      <c r="G131">
        <f>IF(F131="","",IF(F131&gt;=0.7,3,IF(F131&gt;=0.6,2,IF(F131&gt;=0.5,1,0))))</f>
        <v/>
      </c>
    </row>
    <row r="132">
      <c r="F132" s="5">
        <f>IF(D132=0,"",E132/D132)</f>
        <v/>
      </c>
      <c r="G132">
        <f>IF(F132="","",IF(F132&gt;=0.7,3,IF(F132&gt;=0.6,2,IF(F132&gt;=0.5,1,0))))</f>
        <v/>
      </c>
    </row>
    <row r="133">
      <c r="F133" s="5">
        <f>IF(D133=0,"",E133/D133)</f>
        <v/>
      </c>
      <c r="G133">
        <f>IF(F133="","",IF(F133&gt;=0.7,3,IF(F133&gt;=0.6,2,IF(F133&gt;=0.5,1,0))))</f>
        <v/>
      </c>
    </row>
    <row r="134">
      <c r="F134" s="5">
        <f>IF(D134=0,"",E134/D134)</f>
        <v/>
      </c>
      <c r="G134">
        <f>IF(F134="","",IF(F134&gt;=0.7,3,IF(F134&gt;=0.6,2,IF(F134&gt;=0.5,1,0))))</f>
        <v/>
      </c>
    </row>
    <row r="135">
      <c r="F135" s="5">
        <f>IF(D135=0,"",E135/D135)</f>
        <v/>
      </c>
      <c r="G135">
        <f>IF(F135="","",IF(F135&gt;=0.7,3,IF(F135&gt;=0.6,2,IF(F135&gt;=0.5,1,0))))</f>
        <v/>
      </c>
    </row>
    <row r="136">
      <c r="F136" s="5">
        <f>IF(D136=0,"",E136/D136)</f>
        <v/>
      </c>
      <c r="G136">
        <f>IF(F136="","",IF(F136&gt;=0.7,3,IF(F136&gt;=0.6,2,IF(F136&gt;=0.5,1,0))))</f>
        <v/>
      </c>
    </row>
    <row r="137">
      <c r="F137" s="5">
        <f>IF(D137=0,"",E137/D137)</f>
        <v/>
      </c>
      <c r="G137">
        <f>IF(F137="","",IF(F137&gt;=0.7,3,IF(F137&gt;=0.6,2,IF(F137&gt;=0.5,1,0))))</f>
        <v/>
      </c>
    </row>
    <row r="138">
      <c r="F138" s="5">
        <f>IF(D138=0,"",E138/D138)</f>
        <v/>
      </c>
      <c r="G138">
        <f>IF(F138="","",IF(F138&gt;=0.7,3,IF(F138&gt;=0.6,2,IF(F138&gt;=0.5,1,0))))</f>
        <v/>
      </c>
    </row>
    <row r="139">
      <c r="F139" s="5">
        <f>IF(D139=0,"",E139/D139)</f>
        <v/>
      </c>
      <c r="G139">
        <f>IF(F139="","",IF(F139&gt;=0.7,3,IF(F139&gt;=0.6,2,IF(F139&gt;=0.5,1,0))))</f>
        <v/>
      </c>
    </row>
    <row r="140">
      <c r="F140" s="5">
        <f>IF(D140=0,"",E140/D140)</f>
        <v/>
      </c>
      <c r="G140">
        <f>IF(F140="","",IF(F140&gt;=0.7,3,IF(F140&gt;=0.6,2,IF(F140&gt;=0.5,1,0))))</f>
        <v/>
      </c>
    </row>
    <row r="141">
      <c r="F141" s="5">
        <f>IF(D141=0,"",E141/D141)</f>
        <v/>
      </c>
      <c r="G141">
        <f>IF(F141="","",IF(F141&gt;=0.7,3,IF(F141&gt;=0.6,2,IF(F141&gt;=0.5,1,0))))</f>
        <v/>
      </c>
    </row>
    <row r="142">
      <c r="F142" s="5">
        <f>IF(D142=0,"",E142/D142)</f>
        <v/>
      </c>
      <c r="G142">
        <f>IF(F142="","",IF(F142&gt;=0.7,3,IF(F142&gt;=0.6,2,IF(F142&gt;=0.5,1,0))))</f>
        <v/>
      </c>
    </row>
    <row r="143">
      <c r="F143" s="5">
        <f>IF(D143=0,"",E143/D143)</f>
        <v/>
      </c>
      <c r="G143">
        <f>IF(F143="","",IF(F143&gt;=0.7,3,IF(F143&gt;=0.6,2,IF(F143&gt;=0.5,1,0))))</f>
        <v/>
      </c>
    </row>
    <row r="144">
      <c r="F144" s="5">
        <f>IF(D144=0,"",E144/D144)</f>
        <v/>
      </c>
      <c r="G144">
        <f>IF(F144="","",IF(F144&gt;=0.7,3,IF(F144&gt;=0.6,2,IF(F144&gt;=0.5,1,0))))</f>
        <v/>
      </c>
    </row>
    <row r="145">
      <c r="F145" s="5">
        <f>IF(D145=0,"",E145/D145)</f>
        <v/>
      </c>
      <c r="G145">
        <f>IF(F145="","",IF(F145&gt;=0.7,3,IF(F145&gt;=0.6,2,IF(F145&gt;=0.5,1,0))))</f>
        <v/>
      </c>
    </row>
    <row r="146">
      <c r="F146" s="5">
        <f>IF(D146=0,"",E146/D146)</f>
        <v/>
      </c>
      <c r="G146">
        <f>IF(F146="","",IF(F146&gt;=0.7,3,IF(F146&gt;=0.6,2,IF(F146&gt;=0.5,1,0))))</f>
        <v/>
      </c>
    </row>
    <row r="147">
      <c r="F147" s="5">
        <f>IF(D147=0,"",E147/D147)</f>
        <v/>
      </c>
      <c r="G147">
        <f>IF(F147="","",IF(F147&gt;=0.7,3,IF(F147&gt;=0.6,2,IF(F147&gt;=0.5,1,0))))</f>
        <v/>
      </c>
    </row>
    <row r="148">
      <c r="F148" s="5">
        <f>IF(D148=0,"",E148/D148)</f>
        <v/>
      </c>
      <c r="G148">
        <f>IF(F148="","",IF(F148&gt;=0.7,3,IF(F148&gt;=0.6,2,IF(F148&gt;=0.5,1,0))))</f>
        <v/>
      </c>
    </row>
    <row r="149">
      <c r="F149" s="5">
        <f>IF(D149=0,"",E149/D149)</f>
        <v/>
      </c>
      <c r="G149">
        <f>IF(F149="","",IF(F149&gt;=0.7,3,IF(F149&gt;=0.6,2,IF(F149&gt;=0.5,1,0))))</f>
        <v/>
      </c>
    </row>
    <row r="150">
      <c r="F150" s="5">
        <f>IF(D150=0,"",E150/D150)</f>
        <v/>
      </c>
      <c r="G150">
        <f>IF(F150="","",IF(F150&gt;=0.7,3,IF(F150&gt;=0.6,2,IF(F150&gt;=0.5,1,0))))</f>
        <v/>
      </c>
    </row>
    <row r="151">
      <c r="F151" s="5">
        <f>IF(D151=0,"",E151/D151)</f>
        <v/>
      </c>
      <c r="G151">
        <f>IF(F151="","",IF(F151&gt;=0.7,3,IF(F151&gt;=0.6,2,IF(F151&gt;=0.5,1,0))))</f>
        <v/>
      </c>
    </row>
    <row r="152">
      <c r="F152" s="5">
        <f>IF(D152=0,"",E152/D152)</f>
        <v/>
      </c>
      <c r="G152">
        <f>IF(F152="","",IF(F152&gt;=0.7,3,IF(F152&gt;=0.6,2,IF(F152&gt;=0.5,1,0))))</f>
        <v/>
      </c>
    </row>
    <row r="153">
      <c r="F153" s="5">
        <f>IF(D153=0,"",E153/D153)</f>
        <v/>
      </c>
      <c r="G153">
        <f>IF(F153="","",IF(F153&gt;=0.7,3,IF(F153&gt;=0.6,2,IF(F153&gt;=0.5,1,0))))</f>
        <v/>
      </c>
    </row>
    <row r="154">
      <c r="F154" s="5">
        <f>IF(D154=0,"",E154/D154)</f>
        <v/>
      </c>
      <c r="G154">
        <f>IF(F154="","",IF(F154&gt;=0.7,3,IF(F154&gt;=0.6,2,IF(F154&gt;=0.5,1,0))))</f>
        <v/>
      </c>
    </row>
    <row r="155">
      <c r="F155" s="5">
        <f>IF(D155=0,"",E155/D155)</f>
        <v/>
      </c>
      <c r="G155">
        <f>IF(F155="","",IF(F155&gt;=0.7,3,IF(F155&gt;=0.6,2,IF(F155&gt;=0.5,1,0))))</f>
        <v/>
      </c>
    </row>
    <row r="156">
      <c r="F156" s="5">
        <f>IF(D156=0,"",E156/D156)</f>
        <v/>
      </c>
      <c r="G156">
        <f>IF(F156="","",IF(F156&gt;=0.7,3,IF(F156&gt;=0.6,2,IF(F156&gt;=0.5,1,0))))</f>
        <v/>
      </c>
    </row>
    <row r="157">
      <c r="F157" s="5">
        <f>IF(D157=0,"",E157/D157)</f>
        <v/>
      </c>
      <c r="G157">
        <f>IF(F157="","",IF(F157&gt;=0.7,3,IF(F157&gt;=0.6,2,IF(F157&gt;=0.5,1,0))))</f>
        <v/>
      </c>
    </row>
    <row r="158">
      <c r="F158" s="5">
        <f>IF(D158=0,"",E158/D158)</f>
        <v/>
      </c>
      <c r="G158">
        <f>IF(F158="","",IF(F158&gt;=0.7,3,IF(F158&gt;=0.6,2,IF(F158&gt;=0.5,1,0))))</f>
        <v/>
      </c>
    </row>
    <row r="159">
      <c r="F159" s="5">
        <f>IF(D159=0,"",E159/D159)</f>
        <v/>
      </c>
      <c r="G159">
        <f>IF(F159="","",IF(F159&gt;=0.7,3,IF(F159&gt;=0.6,2,IF(F159&gt;=0.5,1,0))))</f>
        <v/>
      </c>
    </row>
    <row r="160">
      <c r="F160" s="5">
        <f>IF(D160=0,"",E160/D160)</f>
        <v/>
      </c>
      <c r="G160">
        <f>IF(F160="","",IF(F160&gt;=0.7,3,IF(F160&gt;=0.6,2,IF(F160&gt;=0.5,1,0))))</f>
        <v/>
      </c>
    </row>
    <row r="161">
      <c r="F161" s="5">
        <f>IF(D161=0,"",E161/D161)</f>
        <v/>
      </c>
      <c r="G161">
        <f>IF(F161="","",IF(F161&gt;=0.7,3,IF(F161&gt;=0.6,2,IF(F161&gt;=0.5,1,0))))</f>
        <v/>
      </c>
    </row>
    <row r="162">
      <c r="F162" s="5">
        <f>IF(D162=0,"",E162/D162)</f>
        <v/>
      </c>
      <c r="G162">
        <f>IF(F162="","",IF(F162&gt;=0.7,3,IF(F162&gt;=0.6,2,IF(F162&gt;=0.5,1,0))))</f>
        <v/>
      </c>
    </row>
    <row r="163">
      <c r="F163" s="5">
        <f>IF(D163=0,"",E163/D163)</f>
        <v/>
      </c>
      <c r="G163">
        <f>IF(F163="","",IF(F163&gt;=0.7,3,IF(F163&gt;=0.6,2,IF(F163&gt;=0.5,1,0))))</f>
        <v/>
      </c>
    </row>
    <row r="164">
      <c r="F164" s="5">
        <f>IF(D164=0,"",E164/D164)</f>
        <v/>
      </c>
      <c r="G164">
        <f>IF(F164="","",IF(F164&gt;=0.7,3,IF(F164&gt;=0.6,2,IF(F164&gt;=0.5,1,0))))</f>
        <v/>
      </c>
    </row>
    <row r="165">
      <c r="F165" s="5">
        <f>IF(D165=0,"",E165/D165)</f>
        <v/>
      </c>
      <c r="G165">
        <f>IF(F165="","",IF(F165&gt;=0.7,3,IF(F165&gt;=0.6,2,IF(F165&gt;=0.5,1,0))))</f>
        <v/>
      </c>
    </row>
    <row r="166">
      <c r="F166" s="5">
        <f>IF(D166=0,"",E166/D166)</f>
        <v/>
      </c>
      <c r="G166">
        <f>IF(F166="","",IF(F166&gt;=0.7,3,IF(F166&gt;=0.6,2,IF(F166&gt;=0.5,1,0))))</f>
        <v/>
      </c>
    </row>
    <row r="167">
      <c r="F167" s="5">
        <f>IF(D167=0,"",E167/D167)</f>
        <v/>
      </c>
      <c r="G167">
        <f>IF(F167="","",IF(F167&gt;=0.7,3,IF(F167&gt;=0.6,2,IF(F167&gt;=0.5,1,0))))</f>
        <v/>
      </c>
    </row>
    <row r="168">
      <c r="F168" s="5">
        <f>IF(D168=0,"",E168/D168)</f>
        <v/>
      </c>
      <c r="G168">
        <f>IF(F168="","",IF(F168&gt;=0.7,3,IF(F168&gt;=0.6,2,IF(F168&gt;=0.5,1,0))))</f>
        <v/>
      </c>
    </row>
    <row r="169">
      <c r="F169" s="5">
        <f>IF(D169=0,"",E169/D169)</f>
        <v/>
      </c>
      <c r="G169">
        <f>IF(F169="","",IF(F169&gt;=0.7,3,IF(F169&gt;=0.6,2,IF(F169&gt;=0.5,1,0))))</f>
        <v/>
      </c>
    </row>
    <row r="170">
      <c r="F170" s="5">
        <f>IF(D170=0,"",E170/D170)</f>
        <v/>
      </c>
      <c r="G170">
        <f>IF(F170="","",IF(F170&gt;=0.7,3,IF(F170&gt;=0.6,2,IF(F170&gt;=0.5,1,0))))</f>
        <v/>
      </c>
    </row>
    <row r="171">
      <c r="F171" s="5">
        <f>IF(D171=0,"",E171/D171)</f>
        <v/>
      </c>
      <c r="G171">
        <f>IF(F171="","",IF(F171&gt;=0.7,3,IF(F171&gt;=0.6,2,IF(F171&gt;=0.5,1,0))))</f>
        <v/>
      </c>
    </row>
    <row r="172">
      <c r="F172" s="5">
        <f>IF(D172=0,"",E172/D172)</f>
        <v/>
      </c>
      <c r="G172">
        <f>IF(F172="","",IF(F172&gt;=0.7,3,IF(F172&gt;=0.6,2,IF(F172&gt;=0.5,1,0))))</f>
        <v/>
      </c>
    </row>
    <row r="173">
      <c r="F173" s="5">
        <f>IF(D173=0,"",E173/D173)</f>
        <v/>
      </c>
      <c r="G173">
        <f>IF(F173="","",IF(F173&gt;=0.7,3,IF(F173&gt;=0.6,2,IF(F173&gt;=0.5,1,0))))</f>
        <v/>
      </c>
    </row>
    <row r="174">
      <c r="F174" s="5">
        <f>IF(D174=0,"",E174/D174)</f>
        <v/>
      </c>
      <c r="G174">
        <f>IF(F174="","",IF(F174&gt;=0.7,3,IF(F174&gt;=0.6,2,IF(F174&gt;=0.5,1,0))))</f>
        <v/>
      </c>
    </row>
    <row r="175">
      <c r="F175" s="5">
        <f>IF(D175=0,"",E175/D175)</f>
        <v/>
      </c>
      <c r="G175">
        <f>IF(F175="","",IF(F175&gt;=0.7,3,IF(F175&gt;=0.6,2,IF(F175&gt;=0.5,1,0))))</f>
        <v/>
      </c>
    </row>
    <row r="176">
      <c r="F176" s="5">
        <f>IF(D176=0,"",E176/D176)</f>
        <v/>
      </c>
      <c r="G176">
        <f>IF(F176="","",IF(F176&gt;=0.7,3,IF(F176&gt;=0.6,2,IF(F176&gt;=0.5,1,0))))</f>
        <v/>
      </c>
    </row>
    <row r="177">
      <c r="F177" s="5">
        <f>IF(D177=0,"",E177/D177)</f>
        <v/>
      </c>
      <c r="G177">
        <f>IF(F177="","",IF(F177&gt;=0.7,3,IF(F177&gt;=0.6,2,IF(F177&gt;=0.5,1,0))))</f>
        <v/>
      </c>
    </row>
    <row r="178">
      <c r="F178" s="5">
        <f>IF(D178=0,"",E178/D178)</f>
        <v/>
      </c>
      <c r="G178">
        <f>IF(F178="","",IF(F178&gt;=0.7,3,IF(F178&gt;=0.6,2,IF(F178&gt;=0.5,1,0))))</f>
        <v/>
      </c>
    </row>
    <row r="179">
      <c r="F179" s="5">
        <f>IF(D179=0,"",E179/D179)</f>
        <v/>
      </c>
      <c r="G179">
        <f>IF(F179="","",IF(F179&gt;=0.7,3,IF(F179&gt;=0.6,2,IF(F179&gt;=0.5,1,0))))</f>
        <v/>
      </c>
    </row>
    <row r="180">
      <c r="F180" s="5">
        <f>IF(D180=0,"",E180/D180)</f>
        <v/>
      </c>
      <c r="G180">
        <f>IF(F180="","",IF(F180&gt;=0.7,3,IF(F180&gt;=0.6,2,IF(F180&gt;=0.5,1,0))))</f>
        <v/>
      </c>
    </row>
    <row r="181">
      <c r="F181" s="5">
        <f>IF(D181=0,"",E181/D181)</f>
        <v/>
      </c>
      <c r="G181">
        <f>IF(F181="","",IF(F181&gt;=0.7,3,IF(F181&gt;=0.6,2,IF(F181&gt;=0.5,1,0))))</f>
        <v/>
      </c>
    </row>
    <row r="182">
      <c r="F182" s="5">
        <f>IF(D182=0,"",E182/D182)</f>
        <v/>
      </c>
      <c r="G182">
        <f>IF(F182="","",IF(F182&gt;=0.7,3,IF(F182&gt;=0.6,2,IF(F182&gt;=0.5,1,0))))</f>
        <v/>
      </c>
    </row>
    <row r="183">
      <c r="F183" s="5">
        <f>IF(D183=0,"",E183/D183)</f>
        <v/>
      </c>
      <c r="G183">
        <f>IF(F183="","",IF(F183&gt;=0.7,3,IF(F183&gt;=0.6,2,IF(F183&gt;=0.5,1,0))))</f>
        <v/>
      </c>
    </row>
    <row r="184">
      <c r="F184" s="5">
        <f>IF(D184=0,"",E184/D184)</f>
        <v/>
      </c>
      <c r="G184">
        <f>IF(F184="","",IF(F184&gt;=0.7,3,IF(F184&gt;=0.6,2,IF(F184&gt;=0.5,1,0))))</f>
        <v/>
      </c>
    </row>
    <row r="185">
      <c r="F185" s="5">
        <f>IF(D185=0,"",E185/D185)</f>
        <v/>
      </c>
      <c r="G185">
        <f>IF(F185="","",IF(F185&gt;=0.7,3,IF(F185&gt;=0.6,2,IF(F185&gt;=0.5,1,0))))</f>
        <v/>
      </c>
    </row>
    <row r="186">
      <c r="F186" s="5">
        <f>IF(D186=0,"",E186/D186)</f>
        <v/>
      </c>
      <c r="G186">
        <f>IF(F186="","",IF(F186&gt;=0.7,3,IF(F186&gt;=0.6,2,IF(F186&gt;=0.5,1,0))))</f>
        <v/>
      </c>
    </row>
    <row r="187">
      <c r="F187" s="5">
        <f>IF(D187=0,"",E187/D187)</f>
        <v/>
      </c>
      <c r="G187">
        <f>IF(F187="","",IF(F187&gt;=0.7,3,IF(F187&gt;=0.6,2,IF(F187&gt;=0.5,1,0))))</f>
        <v/>
      </c>
    </row>
    <row r="188">
      <c r="F188" s="5">
        <f>IF(D188=0,"",E188/D188)</f>
        <v/>
      </c>
      <c r="G188">
        <f>IF(F188="","",IF(F188&gt;=0.7,3,IF(F188&gt;=0.6,2,IF(F188&gt;=0.5,1,0))))</f>
        <v/>
      </c>
    </row>
    <row r="189">
      <c r="F189" s="5">
        <f>IF(D189=0,"",E189/D189)</f>
        <v/>
      </c>
      <c r="G189">
        <f>IF(F189="","",IF(F189&gt;=0.7,3,IF(F189&gt;=0.6,2,IF(F189&gt;=0.5,1,0))))</f>
        <v/>
      </c>
    </row>
    <row r="190">
      <c r="F190" s="5">
        <f>IF(D190=0,"",E190/D190)</f>
        <v/>
      </c>
      <c r="G190">
        <f>IF(F190="","",IF(F190&gt;=0.7,3,IF(F190&gt;=0.6,2,IF(F190&gt;=0.5,1,0))))</f>
        <v/>
      </c>
    </row>
    <row r="191">
      <c r="F191" s="5">
        <f>IF(D191=0,"",E191/D191)</f>
        <v/>
      </c>
      <c r="G191">
        <f>IF(F191="","",IF(F191&gt;=0.7,3,IF(F191&gt;=0.6,2,IF(F191&gt;=0.5,1,0))))</f>
        <v/>
      </c>
    </row>
    <row r="192">
      <c r="F192" s="5">
        <f>IF(D192=0,"",E192/D192)</f>
        <v/>
      </c>
      <c r="G192">
        <f>IF(F192="","",IF(F192&gt;=0.7,3,IF(F192&gt;=0.6,2,IF(F192&gt;=0.5,1,0))))</f>
        <v/>
      </c>
    </row>
    <row r="193">
      <c r="F193" s="5">
        <f>IF(D193=0,"",E193/D193)</f>
        <v/>
      </c>
      <c r="G193">
        <f>IF(F193="","",IF(F193&gt;=0.7,3,IF(F193&gt;=0.6,2,IF(F193&gt;=0.5,1,0))))</f>
        <v/>
      </c>
    </row>
    <row r="194">
      <c r="F194" s="5">
        <f>IF(D194=0,"",E194/D194)</f>
        <v/>
      </c>
      <c r="G194">
        <f>IF(F194="","",IF(F194&gt;=0.7,3,IF(F194&gt;=0.6,2,IF(F194&gt;=0.5,1,0))))</f>
        <v/>
      </c>
    </row>
    <row r="195">
      <c r="F195" s="5">
        <f>IF(D195=0,"",E195/D195)</f>
        <v/>
      </c>
      <c r="G195">
        <f>IF(F195="","",IF(F195&gt;=0.7,3,IF(F195&gt;=0.6,2,IF(F195&gt;=0.5,1,0))))</f>
        <v/>
      </c>
    </row>
    <row r="196">
      <c r="F196" s="5">
        <f>IF(D196=0,"",E196/D196)</f>
        <v/>
      </c>
      <c r="G196">
        <f>IF(F196="","",IF(F196&gt;=0.7,3,IF(F196&gt;=0.6,2,IF(F196&gt;=0.5,1,0))))</f>
        <v/>
      </c>
    </row>
    <row r="197">
      <c r="F197" s="5">
        <f>IF(D197=0,"",E197/D197)</f>
        <v/>
      </c>
      <c r="G197">
        <f>IF(F197="","",IF(F197&gt;=0.7,3,IF(F197&gt;=0.6,2,IF(F197&gt;=0.5,1,0))))</f>
        <v/>
      </c>
    </row>
    <row r="198">
      <c r="F198" s="5">
        <f>IF(D198=0,"",E198/D198)</f>
        <v/>
      </c>
      <c r="G198">
        <f>IF(F198="","",IF(F198&gt;=0.7,3,IF(F198&gt;=0.6,2,IF(F198&gt;=0.5,1,0))))</f>
        <v/>
      </c>
    </row>
    <row r="199">
      <c r="F199" s="5">
        <f>IF(D199=0,"",E199/D199)</f>
        <v/>
      </c>
      <c r="G199">
        <f>IF(F199="","",IF(F199&gt;=0.7,3,IF(F199&gt;=0.6,2,IF(F199&gt;=0.5,1,0))))</f>
        <v/>
      </c>
    </row>
    <row r="200">
      <c r="F200" s="5">
        <f>IF(D200=0,"",E200/D200)</f>
        <v/>
      </c>
      <c r="G200">
        <f>IF(F200="","",IF(F200&gt;=0.7,3,IF(F200&gt;=0.6,2,IF(F200&gt;=0.5,1,0))))</f>
        <v/>
      </c>
    </row>
    <row r="201">
      <c r="F201" s="5">
        <f>IF(D201=0,"",E201/D201)</f>
        <v/>
      </c>
      <c r="G201">
        <f>IF(F201="","",IF(F201&gt;=0.7,3,IF(F201&gt;=0.6,2,IF(F201&gt;=0.5,1,0))))</f>
        <v/>
      </c>
    </row>
    <row r="202">
      <c r="F202" s="5">
        <f>IF(D202=0,"",E202/D202)</f>
        <v/>
      </c>
      <c r="G202">
        <f>IF(F202="","",IF(F202&gt;=0.7,3,IF(F202&gt;=0.6,2,IF(F202&gt;=0.5,1,0))))</f>
        <v/>
      </c>
    </row>
    <row r="210">
      <c r="A210" s="6" t="inlineStr">
        <is>
          <t>Section B: CO-wise Weighted Averages</t>
        </is>
      </c>
    </row>
    <row r="211">
      <c r="A211" s="6" t="inlineStr">
        <is>
          <t>CO</t>
        </is>
      </c>
      <c r="B211" s="6" t="inlineStr">
        <is>
          <t>Avg % Assignment</t>
        </is>
      </c>
      <c r="C211" s="6" t="inlineStr">
        <is>
          <t>Avg % UT</t>
        </is>
      </c>
      <c r="D211" s="6" t="inlineStr">
        <is>
          <t>Avg % Mid-Term</t>
        </is>
      </c>
      <c r="E211" s="6" t="inlineStr">
        <is>
          <t>Weighted Avg % (Auto)</t>
        </is>
      </c>
      <c r="F211" s="6" t="inlineStr">
        <is>
          <t>Attainment Level (0–3)</t>
        </is>
      </c>
    </row>
    <row r="212">
      <c r="A212" t="inlineStr">
        <is>
          <t>CO1</t>
        </is>
      </c>
      <c r="E212">
        <f>IF(COUNTA(B212:D212)=0,"",B212*'CO Attainment Analysis'!$I$205+C212*'CO Attainment Analysis'!$J$205+D212*'CO Attainment Analysis'!$K$205)</f>
        <v/>
      </c>
      <c r="F212">
        <f>IF(E212="","",IF(E212&gt;=0.7,3,IF(E212&gt;=0.6,2,IF(E212&gt;=0.5,1,0))))</f>
        <v/>
      </c>
    </row>
    <row r="213">
      <c r="A213" t="inlineStr">
        <is>
          <t>CO2</t>
        </is>
      </c>
      <c r="E213">
        <f>IF(COUNTA(B213:D213)=0,"",B213*'CO Attainment Analysis'!$I$205+C213*'CO Attainment Analysis'!$J$205+D213*'CO Attainment Analysis'!$K$205)</f>
        <v/>
      </c>
      <c r="F213">
        <f>IF(E213="","",IF(E213&gt;=0.7,3,IF(E213&gt;=0.6,2,IF(E213&gt;=0.5,1,0))))</f>
        <v/>
      </c>
    </row>
    <row r="214">
      <c r="A214" t="inlineStr">
        <is>
          <t>CO3</t>
        </is>
      </c>
      <c r="E214">
        <f>IF(COUNTA(B214:D214)=0,"",B214*'CO Attainment Analysis'!$I$205+C214*'CO Attainment Analysis'!$J$205+D214*'CO Attainment Analysis'!$K$205)</f>
        <v/>
      </c>
      <c r="F214">
        <f>IF(E214="","",IF(E214&gt;=0.7,3,IF(E214&gt;=0.6,2,IF(E214&gt;=0.5,1,0))))</f>
        <v/>
      </c>
    </row>
    <row r="215">
      <c r="A215" t="inlineStr">
        <is>
          <t>CO4</t>
        </is>
      </c>
      <c r="E215">
        <f>IF(COUNTA(B215:D215)=0,"",B215*'CO Attainment Analysis'!$I$205+C215*'CO Attainment Analysis'!$J$205+D215*'CO Attainment Analysis'!$K$205)</f>
        <v/>
      </c>
      <c r="F215">
        <f>IF(E215="","",IF(E215&gt;=0.7,3,IF(E215&gt;=0.6,2,IF(E215&gt;=0.5,1,0))))</f>
        <v/>
      </c>
    </row>
    <row r="230">
      <c r="A230" s="6" t="inlineStr">
        <is>
          <t>Section C: CO → PO Aggregation (Weighted by Mapping Strengths)</t>
        </is>
      </c>
    </row>
    <row r="231">
      <c r="A231" s="6" t="inlineStr">
        <is>
          <t>PO</t>
        </is>
      </c>
      <c r="B231" s="6" t="inlineStr">
        <is>
          <t>Contributing COs</t>
        </is>
      </c>
      <c r="C231" s="6" t="inlineStr">
        <is>
          <t>Aggregated Attainment (Auto)</t>
        </is>
      </c>
    </row>
    <row r="232">
      <c r="A232" t="inlineStr">
        <is>
          <t>PO1</t>
        </is>
      </c>
      <c r="B232">
        <f>TEXTJOIN(", ",TRUE,IF('CO–PO Mapping &amp; Attainment'!B$3:M$6&lt;&gt;"",'CO–PO Mapping &amp; Attainment'!$A$3:$A$6,""))</f>
        <v/>
      </c>
      <c r="C232">
        <f>IF(SUM('CO–PO Mapping &amp; Attainment'!B$3:M$6)=0,"",SUMPRODUCT('CO–PO Mapping &amp; Attainment'!$C$10:$C$13,'CO–PO Mapping &amp; Attainment'!B$3:M$6)/SUM('CO–PO Mapping &amp; Attainment'!B$3:M$6))</f>
        <v/>
      </c>
    </row>
    <row r="233">
      <c r="A233" t="inlineStr">
        <is>
          <t>PO2</t>
        </is>
      </c>
      <c r="B233">
        <f>TEXTJOIN(", ",TRUE,IF('CO–PO Mapping &amp; Attainment'!B$3:M$6&lt;&gt;"",'CO–PO Mapping &amp; Attainment'!$A$3:$A$6,""))</f>
        <v/>
      </c>
      <c r="C233">
        <f>IF(SUM('CO–PO Mapping &amp; Attainment'!B$3:M$6)=0,"",SUMPRODUCT('CO–PO Mapping &amp; Attainment'!$C$10:$C$13,'CO–PO Mapping &amp; Attainment'!B$3:M$6)/SUM('CO–PO Mapping &amp; Attainment'!B$3:M$6))</f>
        <v/>
      </c>
    </row>
    <row r="234">
      <c r="A234" t="inlineStr">
        <is>
          <t>PO3</t>
        </is>
      </c>
      <c r="B234">
        <f>TEXTJOIN(", ",TRUE,IF('CO–PO Mapping &amp; Attainment'!B$3:M$6&lt;&gt;"",'CO–PO Mapping &amp; Attainment'!$A$3:$A$6,""))</f>
        <v/>
      </c>
      <c r="C234">
        <f>IF(SUM('CO–PO Mapping &amp; Attainment'!B$3:M$6)=0,"",SUMPRODUCT('CO–PO Mapping &amp; Attainment'!$C$10:$C$13,'CO–PO Mapping &amp; Attainment'!B$3:M$6)/SUM('CO–PO Mapping &amp; Attainment'!B$3:M$6))</f>
        <v/>
      </c>
    </row>
    <row r="235">
      <c r="A235" t="inlineStr">
        <is>
          <t>PO4</t>
        </is>
      </c>
      <c r="B235">
        <f>TEXTJOIN(", ",TRUE,IF('CO–PO Mapping &amp; Attainment'!B$3:M$6&lt;&gt;"",'CO–PO Mapping &amp; Attainment'!$A$3:$A$6,""))</f>
        <v/>
      </c>
      <c r="C235">
        <f>IF(SUM('CO–PO Mapping &amp; Attainment'!B$3:M$6)=0,"",SUMPRODUCT('CO–PO Mapping &amp; Attainment'!$C$10:$C$13,'CO–PO Mapping &amp; Attainment'!B$3:M$6)/SUM('CO–PO Mapping &amp; Attainment'!B$3:M$6))</f>
        <v/>
      </c>
    </row>
    <row r="236">
      <c r="A236" t="inlineStr">
        <is>
          <t>PO5</t>
        </is>
      </c>
      <c r="B236">
        <f>TEXTJOIN(", ",TRUE,IF('CO–PO Mapping &amp; Attainment'!B$3:M$6&lt;&gt;"",'CO–PO Mapping &amp; Attainment'!$A$3:$A$6,""))</f>
        <v/>
      </c>
      <c r="C236">
        <f>IF(SUM('CO–PO Mapping &amp; Attainment'!B$3:M$6)=0,"",SUMPRODUCT('CO–PO Mapping &amp; Attainment'!$C$10:$C$13,'CO–PO Mapping &amp; Attainment'!B$3:M$6)/SUM('CO–PO Mapping &amp; Attainment'!B$3:M$6))</f>
        <v/>
      </c>
    </row>
    <row r="237">
      <c r="A237" t="inlineStr">
        <is>
          <t>PO6</t>
        </is>
      </c>
      <c r="B237">
        <f>TEXTJOIN(", ",TRUE,IF('CO–PO Mapping &amp; Attainment'!B$3:M$6&lt;&gt;"",'CO–PO Mapping &amp; Attainment'!$A$3:$A$6,""))</f>
        <v/>
      </c>
      <c r="C237">
        <f>IF(SUM('CO–PO Mapping &amp; Attainment'!B$3:M$6)=0,"",SUMPRODUCT('CO–PO Mapping &amp; Attainment'!$C$10:$C$13,'CO–PO Mapping &amp; Attainment'!B$3:M$6)/SUM('CO–PO Mapping &amp; Attainment'!B$3:M$6))</f>
        <v/>
      </c>
    </row>
    <row r="238">
      <c r="A238" t="inlineStr">
        <is>
          <t>PO7</t>
        </is>
      </c>
      <c r="B238">
        <f>TEXTJOIN(", ",TRUE,IF('CO–PO Mapping &amp; Attainment'!B$3:M$6&lt;&gt;"",'CO–PO Mapping &amp; Attainment'!$A$3:$A$6,""))</f>
        <v/>
      </c>
      <c r="C238">
        <f>IF(SUM('CO–PO Mapping &amp; Attainment'!B$3:M$6)=0,"",SUMPRODUCT('CO–PO Mapping &amp; Attainment'!$C$10:$C$13,'CO–PO Mapping &amp; Attainment'!B$3:M$6)/SUM('CO–PO Mapping &amp; Attainment'!B$3:M$6))</f>
        <v/>
      </c>
    </row>
    <row r="239">
      <c r="A239" t="inlineStr">
        <is>
          <t>PO8</t>
        </is>
      </c>
      <c r="B239">
        <f>TEXTJOIN(", ",TRUE,IF('CO–PO Mapping &amp; Attainment'!B$3:M$6&lt;&gt;"",'CO–PO Mapping &amp; Attainment'!$A$3:$A$6,""))</f>
        <v/>
      </c>
      <c r="C239">
        <f>IF(SUM('CO–PO Mapping &amp; Attainment'!B$3:M$6)=0,"",SUMPRODUCT('CO–PO Mapping &amp; Attainment'!$C$10:$C$13,'CO–PO Mapping &amp; Attainment'!B$3:M$6)/SUM('CO–PO Mapping &amp; Attainment'!B$3:M$6))</f>
        <v/>
      </c>
    </row>
    <row r="240">
      <c r="A240" t="inlineStr">
        <is>
          <t>PO9</t>
        </is>
      </c>
      <c r="B240">
        <f>TEXTJOIN(", ",TRUE,IF('CO–PO Mapping &amp; Attainment'!B$3:M$6&lt;&gt;"",'CO–PO Mapping &amp; Attainment'!$A$3:$A$6,""))</f>
        <v/>
      </c>
      <c r="C240">
        <f>IF(SUM('CO–PO Mapping &amp; Attainment'!B$3:M$6)=0,"",SUMPRODUCT('CO–PO Mapping &amp; Attainment'!$C$10:$C$13,'CO–PO Mapping &amp; Attainment'!B$3:M$6)/SUM('CO–PO Mapping &amp; Attainment'!B$3:M$6))</f>
        <v/>
      </c>
    </row>
    <row r="241">
      <c r="A241" t="inlineStr">
        <is>
          <t>PO10</t>
        </is>
      </c>
      <c r="B241">
        <f>TEXTJOIN(", ",TRUE,IF('CO–PO Mapping &amp; Attainment'!B$3:M$6&lt;&gt;"",'CO–PO Mapping &amp; Attainment'!$A$3:$A$6,""))</f>
        <v/>
      </c>
      <c r="C241">
        <f>IF(SUM('CO–PO Mapping &amp; Attainment'!B$3:M$6)=0,"",SUMPRODUCT('CO–PO Mapping &amp; Attainment'!$C$10:$C$13,'CO–PO Mapping &amp; Attainment'!B$3:M$6)/SUM('CO–PO Mapping &amp; Attainment'!B$3:M$6))</f>
        <v/>
      </c>
    </row>
    <row r="242">
      <c r="A242" t="inlineStr">
        <is>
          <t>PO11</t>
        </is>
      </c>
      <c r="B242">
        <f>TEXTJOIN(", ",TRUE,IF('CO–PO Mapping &amp; Attainment'!B$3:M$6&lt;&gt;"",'CO–PO Mapping &amp; Attainment'!$A$3:$A$6,""))</f>
        <v/>
      </c>
      <c r="C242">
        <f>IF(SUM('CO–PO Mapping &amp; Attainment'!B$3:M$6)=0,"",SUMPRODUCT('CO–PO Mapping &amp; Attainment'!$C$10:$C$13,'CO–PO Mapping &amp; Attainment'!B$3:M$6)/SUM('CO–PO Mapping &amp; Attainment'!B$3:M$6))</f>
        <v/>
      </c>
    </row>
    <row r="243">
      <c r="A243" t="inlineStr">
        <is>
          <t>PO12</t>
        </is>
      </c>
      <c r="B243">
        <f>TEXTJOIN(", ",TRUE,IF('CO–PO Mapping &amp; Attainment'!B$3:M$6&lt;&gt;"",'CO–PO Mapping &amp; Attainment'!$A$3:$A$6,""))</f>
        <v/>
      </c>
      <c r="C243">
        <f>IF(SUM('CO–PO Mapping &amp; Attainment'!B$3:M$6)=0,"",SUMPRODUCT('CO–PO Mapping &amp; Attainment'!$C$10:$C$13,'CO–PO Mapping &amp; Attainment'!B$3:M$6)/SUM('CO–PO Mapping &amp; Attainment'!B$3:M$6))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  <col width="26" customWidth="1" min="2" max="2"/>
    <col width="18" customWidth="1" min="3" max="3"/>
    <col width="28" customWidth="1" min="4" max="4"/>
    <col width="22" customWidth="1" min="5" max="5"/>
    <col width="22" customWidth="1" min="6" max="6"/>
  </cols>
  <sheetData>
    <row r="1">
      <c r="A1" s="6" t="inlineStr">
        <is>
          <t>Assignment-wise CO Attainment (Based on Assignment Mapping + Marks)</t>
        </is>
      </c>
    </row>
    <row r="2">
      <c r="A2" s="1" t="inlineStr">
        <is>
          <t>CO</t>
        </is>
      </c>
      <c r="B2" s="1" t="inlineStr">
        <is>
          <t>Assignments Mapped</t>
        </is>
      </c>
      <c r="C2" s="1" t="inlineStr">
        <is>
          <t>Avg % (Auto)</t>
        </is>
      </c>
      <c r="D2" s="1" t="inlineStr">
        <is>
          <t>Attainment Level (0–3 Auto)</t>
        </is>
      </c>
      <c r="E2" s="1" t="inlineStr">
        <is>
          <t>PO(s) Mapped</t>
        </is>
      </c>
      <c r="F2" s="1" t="inlineStr">
        <is>
          <t>PSO(s) Mapped</t>
        </is>
      </c>
    </row>
    <row r="3">
      <c r="A3" t="inlineStr">
        <is>
          <t>CO1</t>
        </is>
      </c>
      <c r="B3">
        <f>TEXTJOIN(", ",TRUE,IF('Assignment Mapping'!F$2:F$1000=A3,'Assignment Mapping'!C$2:C$1000,""))</f>
        <v/>
      </c>
      <c r="C3">
        <f>IFERROR(AVERAGEIFS('Continuous Assessment Records'!L:L,'Continuous Assessment Records'!F:F,A3,'Continuous Assessment Records'!C:C,"Assignment"),"")</f>
        <v/>
      </c>
      <c r="D3">
        <f>IF(C3="","",IF(C3&gt;=0.7,3,IF(C3&gt;=0.6,2,IF(C3&gt;=0.5,1,0))))</f>
        <v/>
      </c>
      <c r="E3">
        <f>TEXTJOIN(", ",TRUE,IF('Assignment Mapping'!F$2:F$1000=A3,'Assignment Mapping'!G$2:G$1000,""))</f>
        <v/>
      </c>
      <c r="F3">
        <f>TEXTJOIN(", ",TRUE,IF('Assignment Mapping'!F$2:F$1000=A3,'Assignment Mapping'!H$2:H$1000,""))</f>
        <v/>
      </c>
    </row>
    <row r="4">
      <c r="A4" t="inlineStr">
        <is>
          <t>CO2</t>
        </is>
      </c>
      <c r="B4">
        <f>TEXTJOIN(", ",TRUE,IF('Assignment Mapping'!F$2:F$1000=A4,'Assignment Mapping'!C$2:C$1000,""))</f>
        <v/>
      </c>
      <c r="C4">
        <f>IFERROR(AVERAGEIFS('Continuous Assessment Records'!L:L,'Continuous Assessment Records'!F:F,A4,'Continuous Assessment Records'!C:C,"Assignment"),"")</f>
        <v/>
      </c>
      <c r="D4">
        <f>IF(C4="","",IF(C4&gt;=0.7,3,IF(C4&gt;=0.6,2,IF(C4&gt;=0.5,1,0))))</f>
        <v/>
      </c>
      <c r="E4">
        <f>TEXTJOIN(", ",TRUE,IF('Assignment Mapping'!F$2:F$1000=A4,'Assignment Mapping'!G$2:G$1000,""))</f>
        <v/>
      </c>
      <c r="F4">
        <f>TEXTJOIN(", ",TRUE,IF('Assignment Mapping'!F$2:F$1000=A4,'Assignment Mapping'!H$2:H$1000,""))</f>
        <v/>
      </c>
    </row>
    <row r="5">
      <c r="A5" t="inlineStr">
        <is>
          <t>CO3</t>
        </is>
      </c>
      <c r="B5">
        <f>TEXTJOIN(", ",TRUE,IF('Assignment Mapping'!F$2:F$1000=A5,'Assignment Mapping'!C$2:C$1000,""))</f>
        <v/>
      </c>
      <c r="C5">
        <f>IFERROR(AVERAGEIFS('Continuous Assessment Records'!L:L,'Continuous Assessment Records'!F:F,A5,'Continuous Assessment Records'!C:C,"Assignment"),"")</f>
        <v/>
      </c>
      <c r="D5">
        <f>IF(C5="","",IF(C5&gt;=0.7,3,IF(C5&gt;=0.6,2,IF(C5&gt;=0.5,1,0))))</f>
        <v/>
      </c>
      <c r="E5">
        <f>TEXTJOIN(", ",TRUE,IF('Assignment Mapping'!F$2:F$1000=A5,'Assignment Mapping'!G$2:G$1000,""))</f>
        <v/>
      </c>
      <c r="F5">
        <f>TEXTJOIN(", ",TRUE,IF('Assignment Mapping'!F$2:F$1000=A5,'Assignment Mapping'!H$2:H$1000,""))</f>
        <v/>
      </c>
    </row>
    <row r="6">
      <c r="A6" t="inlineStr">
        <is>
          <t>CO4</t>
        </is>
      </c>
      <c r="B6">
        <f>TEXTJOIN(", ",TRUE,IF('Assignment Mapping'!F$2:F$1000=A6,'Assignment Mapping'!C$2:C$1000,""))</f>
        <v/>
      </c>
      <c r="C6">
        <f>IFERROR(AVERAGEIFS('Continuous Assessment Records'!L:L,'Continuous Assessment Records'!F:F,A6,'Continuous Assessment Records'!C:C,"Assignment"),"")</f>
        <v/>
      </c>
      <c r="D6">
        <f>IF(C6="","",IF(C6&gt;=0.7,3,IF(C6&gt;=0.6,2,IF(C6&gt;=0.5,1,0))))</f>
        <v/>
      </c>
      <c r="E6">
        <f>TEXTJOIN(", ",TRUE,IF('Assignment Mapping'!F$2:F$1000=A6,'Assignment Mapping'!G$2:G$1000,""))</f>
        <v/>
      </c>
      <c r="F6">
        <f>TEXTJOIN(", ",TRUE,IF('Assignment Mapping'!F$2:F$1000=A6,'Assignment Mapping'!H$2:H$1000,""))</f>
        <v/>
      </c>
    </row>
    <row r="8">
      <c r="A8" s="3" t="inlineStr">
        <is>
          <t>Note: Enter Assignment-to-CO mappings in 'Assignment Mapping' sheet and marks in 'Continuous Assessment Records'. This sheet auto-computes CO attainment for assignments.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  <col width="26" customWidth="1" min="2" max="2"/>
    <col width="20" customWidth="1" min="3" max="3"/>
    <col width="24" customWidth="1" min="4" max="4"/>
    <col width="22" customWidth="1" min="5" max="5"/>
    <col width="26" customWidth="1" min="6" max="6"/>
    <col width="28" customWidth="1" min="7" max="7"/>
    <col width="28" customWidth="1" min="8" max="8"/>
    <col width="24" customWidth="1" min="9" max="9"/>
    <col width="24" customWidth="1" min="10" max="10"/>
  </cols>
  <sheetData>
    <row r="1">
      <c r="A1" s="6" t="inlineStr">
        <is>
          <t>Consolidated CO Attainment Summary (Assignments + UTs + Mid-Terms + Indirect)</t>
        </is>
      </c>
    </row>
    <row r="2">
      <c r="A2" s="1" t="inlineStr">
        <is>
          <t>CO</t>
        </is>
      </c>
      <c r="B2" s="1" t="inlineStr">
        <is>
          <t>Assignment Avg % (Auto)</t>
        </is>
      </c>
      <c r="C2" s="1" t="inlineStr">
        <is>
          <t>UT Avg % (Auto)</t>
        </is>
      </c>
      <c r="D2" s="1" t="inlineStr">
        <is>
          <t>Mid-Term Avg % (Auto)</t>
        </is>
      </c>
      <c r="E2" s="1" t="inlineStr">
        <is>
          <t>Weighted Avg % (Auto)</t>
        </is>
      </c>
      <c r="F2" s="1" t="inlineStr">
        <is>
          <t>Direct Attainment Level (Auto)</t>
        </is>
      </c>
      <c r="G2" s="1" t="inlineStr">
        <is>
          <t>Indirect Attainment (Manual Entry)</t>
        </is>
      </c>
      <c r="H2" s="1" t="inlineStr">
        <is>
          <t>Final Attainment Level (Auto)</t>
        </is>
      </c>
      <c r="I2" s="1" t="inlineStr">
        <is>
          <t>PO(s) Mapped</t>
        </is>
      </c>
      <c r="J2" s="1" t="inlineStr">
        <is>
          <t>PSO(s) Mapped</t>
        </is>
      </c>
    </row>
    <row r="3">
      <c r="A3" t="inlineStr">
        <is>
          <t>CO1</t>
        </is>
      </c>
      <c r="B3">
        <f>'Assignment-wise Attainment'!C3</f>
        <v/>
      </c>
      <c r="E3">
        <f>IF(C3="","",C3*$B$20+D3*$C$20+E3*$D$20)</f>
        <v/>
      </c>
      <c r="F3">
        <f>IF(E3="","",IF(E3&gt;=0.7,3,IF(E3&gt;=0.6,2,IF(E3&gt;=0.5,1,0))))</f>
        <v/>
      </c>
      <c r="H3">
        <f>IF(OR(F3="",G3=""),F3,ROUND(0.8*F3+0.2*G3,0))</f>
        <v/>
      </c>
      <c r="I3">
        <f>'Assignment-wise Attainment'!E3</f>
        <v/>
      </c>
      <c r="J3">
        <f>'Assignment-wise Attainment'!F3</f>
        <v/>
      </c>
    </row>
    <row r="4">
      <c r="A4" t="inlineStr">
        <is>
          <t>CO2</t>
        </is>
      </c>
      <c r="B4">
        <f>'Assignment-wise Attainment'!C4</f>
        <v/>
      </c>
      <c r="E4">
        <f>IF(C4="","",C4*$B$20+D4*$C$20+E4*$D$20)</f>
        <v/>
      </c>
      <c r="F4">
        <f>IF(E4="","",IF(E4&gt;=0.7,3,IF(E4&gt;=0.6,2,IF(E4&gt;=0.5,1,0))))</f>
        <v/>
      </c>
      <c r="H4">
        <f>IF(OR(F4="",G4=""),F4,ROUND(0.8*F4+0.2*G4,0))</f>
        <v/>
      </c>
      <c r="I4">
        <f>'Assignment-wise Attainment'!E4</f>
        <v/>
      </c>
      <c r="J4">
        <f>'Assignment-wise Attainment'!F4</f>
        <v/>
      </c>
    </row>
    <row r="5">
      <c r="A5" t="inlineStr">
        <is>
          <t>CO3</t>
        </is>
      </c>
      <c r="B5">
        <f>'Assignment-wise Attainment'!C5</f>
        <v/>
      </c>
      <c r="E5">
        <f>IF(C5="","",C5*$B$20+D5*$C$20+E5*$D$20)</f>
        <v/>
      </c>
      <c r="F5">
        <f>IF(E5="","",IF(E5&gt;=0.7,3,IF(E5&gt;=0.6,2,IF(E5&gt;=0.5,1,0))))</f>
        <v/>
      </c>
      <c r="H5">
        <f>IF(OR(F5="",G5=""),F5,ROUND(0.8*F5+0.2*G5,0))</f>
        <v/>
      </c>
      <c r="I5">
        <f>'Assignment-wise Attainment'!E5</f>
        <v/>
      </c>
      <c r="J5">
        <f>'Assignment-wise Attainment'!F5</f>
        <v/>
      </c>
    </row>
    <row r="6">
      <c r="A6" t="inlineStr">
        <is>
          <t>CO4</t>
        </is>
      </c>
      <c r="B6">
        <f>'Assignment-wise Attainment'!C6</f>
        <v/>
      </c>
      <c r="E6">
        <f>IF(C6="","",C6*$B$20+D6*$C$20+E6*$D$20)</f>
        <v/>
      </c>
      <c r="F6">
        <f>IF(E6="","",IF(E6&gt;=0.7,3,IF(E6&gt;=0.6,2,IF(E6&gt;=0.5,1,0))))</f>
        <v/>
      </c>
      <c r="H6">
        <f>IF(OR(F6="",G6=""),F6,ROUND(0.8*F6+0.2*G6,0))</f>
        <v/>
      </c>
      <c r="I6">
        <f>'Assignment-wise Attainment'!E6</f>
        <v/>
      </c>
      <c r="J6">
        <f>'Assignment-wise Attainment'!F6</f>
        <v/>
      </c>
    </row>
    <row r="19">
      <c r="A19" s="6" t="inlineStr">
        <is>
          <t>Weights (Editable; sum=1.0)</t>
        </is>
      </c>
    </row>
    <row r="20">
      <c r="B20" t="n">
        <v>0.2</v>
      </c>
      <c r="C20" t="n">
        <v>0.3</v>
      </c>
      <c r="D20" t="n">
        <v>0.5</v>
      </c>
    </row>
    <row r="23">
      <c r="A23" s="3" t="inlineStr">
        <is>
          <t>Note: This summary auto-pulls Assignment attainment. Add UT-wise and Mid-Term-wise attainment sheets to complete linkage. Update weights in row 20.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  <col width="32" customWidth="1" min="2" max="2"/>
    <col width="18" customWidth="1" min="3" max="3"/>
    <col width="28" customWidth="1" min="4" max="4"/>
    <col width="24" customWidth="1" min="5" max="5"/>
    <col width="24" customWidth="1" min="6" max="6"/>
  </cols>
  <sheetData>
    <row r="1">
      <c r="A1" s="6" t="inlineStr">
        <is>
          <t>Unit Test-wise CO Attainment (Based on UT Mapping + Marks)</t>
        </is>
      </c>
    </row>
    <row r="2">
      <c r="A2" s="1" t="inlineStr">
        <is>
          <t>CO</t>
        </is>
      </c>
      <c r="B2" s="1" t="inlineStr">
        <is>
          <t>Unit Test Questions Mapped</t>
        </is>
      </c>
      <c r="C2" s="1" t="inlineStr">
        <is>
          <t>Avg % (Auto)</t>
        </is>
      </c>
      <c r="D2" s="1" t="inlineStr">
        <is>
          <t>Attainment Level (0–3 Auto)</t>
        </is>
      </c>
      <c r="E2" s="1" t="inlineStr">
        <is>
          <t>PO(s) Mapped</t>
        </is>
      </c>
      <c r="F2" s="1" t="inlineStr">
        <is>
          <t>PSO(s) Mapped</t>
        </is>
      </c>
    </row>
    <row r="3">
      <c r="A3" t="inlineStr">
        <is>
          <t>CO1</t>
        </is>
      </c>
      <c r="B3">
        <f>TEXTJOIN(", ",TRUE,IF('Unit Test Mapping'!G$2:G$1000=A3,'Unit Test Mapping'!D$2:D$1000,""))</f>
        <v/>
      </c>
      <c r="C3">
        <f>IFERROR(AVERAGEIFS('Continuous Assessment Records'!L:L,'Continuous Assessment Records'!F:F,A3,'Continuous Assessment Records'!C:C,"Unit Test"),"")</f>
        <v/>
      </c>
      <c r="D3">
        <f>IF(C3="","",IF(C3&gt;=0.7,3,IF(C3&gt;=0.6,2,IF(C3&gt;=0.5,1,0))))</f>
        <v/>
      </c>
      <c r="E3">
        <f>TEXTJOIN(", ",TRUE,IF('Unit Test Mapping'!G$2:G$1000=A3,'Unit Test Mapping'!H$2:H$1000,""))</f>
        <v/>
      </c>
      <c r="F3">
        <f>TEXTJOIN(", ",TRUE,IF('Unit Test Mapping'!G$2:G$1000=A3,'Unit Test Mapping'!I$2:I$1000,""))</f>
        <v/>
      </c>
    </row>
    <row r="4">
      <c r="A4" t="inlineStr">
        <is>
          <t>CO2</t>
        </is>
      </c>
      <c r="B4">
        <f>TEXTJOIN(", ",TRUE,IF('Unit Test Mapping'!G$2:G$1000=A4,'Unit Test Mapping'!D$2:D$1000,""))</f>
        <v/>
      </c>
      <c r="C4">
        <f>IFERROR(AVERAGEIFS('Continuous Assessment Records'!L:L,'Continuous Assessment Records'!F:F,A4,'Continuous Assessment Records'!C:C,"Unit Test"),"")</f>
        <v/>
      </c>
      <c r="D4">
        <f>IF(C4="","",IF(C4&gt;=0.7,3,IF(C4&gt;=0.6,2,IF(C4&gt;=0.5,1,0))))</f>
        <v/>
      </c>
      <c r="E4">
        <f>TEXTJOIN(", ",TRUE,IF('Unit Test Mapping'!G$2:G$1000=A4,'Unit Test Mapping'!H$2:H$1000,""))</f>
        <v/>
      </c>
      <c r="F4">
        <f>TEXTJOIN(", ",TRUE,IF('Unit Test Mapping'!G$2:G$1000=A4,'Unit Test Mapping'!I$2:I$1000,""))</f>
        <v/>
      </c>
    </row>
    <row r="5">
      <c r="A5" t="inlineStr">
        <is>
          <t>CO3</t>
        </is>
      </c>
      <c r="B5">
        <f>TEXTJOIN(", ",TRUE,IF('Unit Test Mapping'!G$2:G$1000=A5,'Unit Test Mapping'!D$2:D$1000,""))</f>
        <v/>
      </c>
      <c r="C5">
        <f>IFERROR(AVERAGEIFS('Continuous Assessment Records'!L:L,'Continuous Assessment Records'!F:F,A5,'Continuous Assessment Records'!C:C,"Unit Test"),"")</f>
        <v/>
      </c>
      <c r="D5">
        <f>IF(C5="","",IF(C5&gt;=0.7,3,IF(C5&gt;=0.6,2,IF(C5&gt;=0.5,1,0))))</f>
        <v/>
      </c>
      <c r="E5">
        <f>TEXTJOIN(", ",TRUE,IF('Unit Test Mapping'!G$2:G$1000=A5,'Unit Test Mapping'!H$2:H$1000,""))</f>
        <v/>
      </c>
      <c r="F5">
        <f>TEXTJOIN(", ",TRUE,IF('Unit Test Mapping'!G$2:G$1000=A5,'Unit Test Mapping'!I$2:I$1000,""))</f>
        <v/>
      </c>
    </row>
    <row r="6">
      <c r="A6" t="inlineStr">
        <is>
          <t>CO4</t>
        </is>
      </c>
      <c r="B6">
        <f>TEXTJOIN(", ",TRUE,IF('Unit Test Mapping'!G$2:G$1000=A6,'Unit Test Mapping'!D$2:D$1000,""))</f>
        <v/>
      </c>
      <c r="C6">
        <f>IFERROR(AVERAGEIFS('Continuous Assessment Records'!L:L,'Continuous Assessment Records'!F:F,A6,'Continuous Assessment Records'!C:C,"Unit Test"),"")</f>
        <v/>
      </c>
      <c r="D6">
        <f>IF(C6="","",IF(C6&gt;=0.7,3,IF(C6&gt;=0.6,2,IF(C6&gt;=0.5,1,0))))</f>
        <v/>
      </c>
      <c r="E6">
        <f>TEXTJOIN(", ",TRUE,IF('Unit Test Mapping'!G$2:G$1000=A6,'Unit Test Mapping'!H$2:H$1000,""))</f>
        <v/>
      </c>
      <c r="F6">
        <f>TEXTJOIN(", ",TRUE,IF('Unit Test Mapping'!G$2:G$1000=A6,'Unit Test Mapping'!I$2:I$1000,""))</f>
        <v/>
      </c>
    </row>
    <row r="8">
      <c r="A8" s="3" t="inlineStr">
        <is>
          <t>Note: Enter Unit Test-to-CO mappings in 'Unit Test Mapping' sheet and marks in 'Continuous Assessment Records'. This sheet auto-computes CO attainment for Unit Tests.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  <col width="36" customWidth="1" min="2" max="2"/>
    <col width="18" customWidth="1" min="3" max="3"/>
    <col width="28" customWidth="1" min="4" max="4"/>
    <col width="24" customWidth="1" min="5" max="5"/>
    <col width="24" customWidth="1" min="6" max="6"/>
  </cols>
  <sheetData>
    <row r="1">
      <c r="A1" s="6" t="inlineStr">
        <is>
          <t>Mid-Term-wise CO Attainment (Based on Mid-Term Mapping + Marks)</t>
        </is>
      </c>
    </row>
    <row r="2">
      <c r="A2" s="1" t="inlineStr">
        <is>
          <t>CO</t>
        </is>
      </c>
      <c r="B2" s="1" t="inlineStr">
        <is>
          <t>Mid-Term Questions Mapped</t>
        </is>
      </c>
      <c r="C2" s="1" t="inlineStr">
        <is>
          <t>Avg % (Auto)</t>
        </is>
      </c>
      <c r="D2" s="1" t="inlineStr">
        <is>
          <t>Attainment Level (0–3 Auto)</t>
        </is>
      </c>
      <c r="E2" s="1" t="inlineStr">
        <is>
          <t>PO(s) Mapped</t>
        </is>
      </c>
      <c r="F2" s="1" t="inlineStr">
        <is>
          <t>PSO(s) Mapped</t>
        </is>
      </c>
    </row>
    <row r="3">
      <c r="A3" t="inlineStr">
        <is>
          <t>CO1</t>
        </is>
      </c>
      <c r="B3">
        <f>TEXTJOIN(", ",TRUE,IF('Mid-Term Mapping'!G$2:G$1000=A3,'Mid-Term Mapping'!D$2:D$1000,""))</f>
        <v/>
      </c>
      <c r="C3">
        <f>IFERROR(AVERAGEIFS('Continuous Assessment Records'!L:L,'Continuous Assessment Records'!F:F,A3,'Continuous Assessment Records'!C:C,"Mid-Term"),"")</f>
        <v/>
      </c>
      <c r="D3">
        <f>IF(C3="","",IF(C3&gt;=0.7,3,IF(C3&gt;=0.6,2,IF(C3&gt;=0.5,1,0))))</f>
        <v/>
      </c>
      <c r="E3">
        <f>TEXTJOIN(", ",TRUE,IF('Mid-Term Mapping'!G$2:G$1000=A3,'Mid-Term Mapping'!H$2:H$1000,""))</f>
        <v/>
      </c>
      <c r="F3">
        <f>TEXTJOIN(", ",TRUE,IF('Mid-Term Mapping'!G$2:G$1000=A3,'Mid-Term Mapping'!I$2:I$1000,""))</f>
        <v/>
      </c>
    </row>
    <row r="4">
      <c r="A4" t="inlineStr">
        <is>
          <t>CO2</t>
        </is>
      </c>
      <c r="B4">
        <f>TEXTJOIN(", ",TRUE,IF('Mid-Term Mapping'!G$2:G$1000=A4,'Mid-Term Mapping'!D$2:D$1000,""))</f>
        <v/>
      </c>
      <c r="C4">
        <f>IFERROR(AVERAGEIFS('Continuous Assessment Records'!L:L,'Continuous Assessment Records'!F:F,A4,'Continuous Assessment Records'!C:C,"Mid-Term"),"")</f>
        <v/>
      </c>
      <c r="D4">
        <f>IF(C4="","",IF(C4&gt;=0.7,3,IF(C4&gt;=0.6,2,IF(C4&gt;=0.5,1,0))))</f>
        <v/>
      </c>
      <c r="E4">
        <f>TEXTJOIN(", ",TRUE,IF('Mid-Term Mapping'!G$2:G$1000=A4,'Mid-Term Mapping'!H$2:H$1000,""))</f>
        <v/>
      </c>
      <c r="F4">
        <f>TEXTJOIN(", ",TRUE,IF('Mid-Term Mapping'!G$2:G$1000=A4,'Mid-Term Mapping'!I$2:I$1000,""))</f>
        <v/>
      </c>
    </row>
    <row r="5">
      <c r="A5" t="inlineStr">
        <is>
          <t>CO3</t>
        </is>
      </c>
      <c r="B5">
        <f>TEXTJOIN(", ",TRUE,IF('Mid-Term Mapping'!G$2:G$1000=A5,'Mid-Term Mapping'!D$2:D$1000,""))</f>
        <v/>
      </c>
      <c r="C5">
        <f>IFERROR(AVERAGEIFS('Continuous Assessment Records'!L:L,'Continuous Assessment Records'!F:F,A5,'Continuous Assessment Records'!C:C,"Mid-Term"),"")</f>
        <v/>
      </c>
      <c r="D5">
        <f>IF(C5="","",IF(C5&gt;=0.7,3,IF(C5&gt;=0.6,2,IF(C5&gt;=0.5,1,0))))</f>
        <v/>
      </c>
      <c r="E5">
        <f>TEXTJOIN(", ",TRUE,IF('Mid-Term Mapping'!G$2:G$1000=A5,'Mid-Term Mapping'!H$2:H$1000,""))</f>
        <v/>
      </c>
      <c r="F5">
        <f>TEXTJOIN(", ",TRUE,IF('Mid-Term Mapping'!G$2:G$1000=A5,'Mid-Term Mapping'!I$2:I$1000,""))</f>
        <v/>
      </c>
    </row>
    <row r="6">
      <c r="A6" t="inlineStr">
        <is>
          <t>CO4</t>
        </is>
      </c>
      <c r="B6">
        <f>TEXTJOIN(", ",TRUE,IF('Mid-Term Mapping'!G$2:G$1000=A6,'Mid-Term Mapping'!D$2:D$1000,""))</f>
        <v/>
      </c>
      <c r="C6">
        <f>IFERROR(AVERAGEIFS('Continuous Assessment Records'!L:L,'Continuous Assessment Records'!F:F,A6,'Continuous Assessment Records'!C:C,"Mid-Term"),"")</f>
        <v/>
      </c>
      <c r="D6">
        <f>IF(C6="","",IF(C6&gt;=0.7,3,IF(C6&gt;=0.6,2,IF(C6&gt;=0.5,1,0))))</f>
        <v/>
      </c>
      <c r="E6">
        <f>TEXTJOIN(", ",TRUE,IF('Mid-Term Mapping'!G$2:G$1000=A6,'Mid-Term Mapping'!H$2:H$1000,""))</f>
        <v/>
      </c>
      <c r="F6">
        <f>TEXTJOIN(", ",TRUE,IF('Mid-Term Mapping'!G$2:G$1000=A6,'Mid-Term Mapping'!I$2:I$1000,""))</f>
        <v/>
      </c>
    </row>
    <row r="8">
      <c r="A8" s="3" t="inlineStr">
        <is>
          <t>Note: Enter Mid-Term-to-CO mappings in 'Mid-Term Mapping' sheet and marks in 'Continuous Assessment Records'. This sheet auto-computes CO attainment for Mid-Terms.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2025-08-30T15:53:42Z</dcterms:created>
  <dcterms:modified xmlns:dcterms="http://purl.org/dc/terms/" xmlns:xsi="http://www.w3.org/2001/XMLSchema-instance" xsi:type="dcterms:W3CDTF">2025-08-30T15:53:42Z</dcterms:modified>
</cp:coreProperties>
</file>