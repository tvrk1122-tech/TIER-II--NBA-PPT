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ubjects Master" sheetId="2" state="visible" r:id="rId2"/>
    <sheet xmlns:r="http://schemas.openxmlformats.org/officeDocument/2006/relationships" name="Marks Entry" sheetId="3" state="visible" r:id="rId3"/>
    <sheet xmlns:r="http://schemas.openxmlformats.org/officeDocument/2006/relationships" name="CO Summary" sheetId="4" state="visible" r:id="rId4"/>
    <sheet xmlns:r="http://schemas.openxmlformats.org/officeDocument/2006/relationships" name="Semester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Configuration (Edit Weights &amp; Thresholds)</t>
        </is>
      </c>
    </row>
    <row r="2">
      <c r="A2" t="inlineStr">
        <is>
          <t>CIE Weight (%)</t>
        </is>
      </c>
      <c r="B2" t="n">
        <v>50</v>
      </c>
    </row>
    <row r="3">
      <c r="A3" t="inlineStr">
        <is>
          <t>SEE Weight (%)</t>
        </is>
      </c>
      <c r="B3" t="n">
        <v>40</v>
      </c>
    </row>
    <row r="4">
      <c r="A4" t="inlineStr">
        <is>
          <t>Indirect Weight (%)</t>
        </is>
      </c>
      <c r="B4" t="n">
        <v>10</v>
      </c>
    </row>
    <row r="5">
      <c r="A5" t="inlineStr">
        <is>
          <t>Level 3 Threshold (%)</t>
        </is>
      </c>
      <c r="B5" t="n">
        <v>70</v>
      </c>
    </row>
    <row r="6">
      <c r="A6" t="inlineStr">
        <is>
          <t>Level 2 Threshold (%)</t>
        </is>
      </c>
      <c r="B6" t="n">
        <v>60</v>
      </c>
    </row>
    <row r="7">
      <c r="A7" t="inlineStr">
        <is>
          <t>Level 1 Threshold (%)</t>
        </is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Semester</t>
        </is>
      </c>
      <c r="B1" s="2" t="inlineStr">
        <is>
          <t>Subject Code</t>
        </is>
      </c>
      <c r="C1" s="2" t="inlineStr">
        <is>
          <t>Subject Title</t>
        </is>
      </c>
      <c r="D1" s="2" t="inlineStr">
        <is>
          <t>Credits</t>
        </is>
      </c>
      <c r="E1" s="2" t="inlineStr">
        <is>
          <t>CO Count</t>
        </is>
      </c>
      <c r="F1" s="2" t="inlineStr">
        <is>
          <t>Default Target (%)</t>
        </is>
      </c>
    </row>
    <row r="2">
      <c r="A2" t="inlineStr">
        <is>
          <t>Sem 3</t>
        </is>
      </c>
      <c r="B2" t="inlineStr">
        <is>
          <t>MA101</t>
        </is>
      </c>
      <c r="C2" t="inlineStr">
        <is>
          <t>Engineering Mathematics III</t>
        </is>
      </c>
      <c r="D2" t="n">
        <v>4</v>
      </c>
      <c r="E2" t="n">
        <v>5</v>
      </c>
      <c r="F2" t="n">
        <v>60</v>
      </c>
    </row>
    <row r="3">
      <c r="A3" t="inlineStr">
        <is>
          <t>Sem 3</t>
        </is>
      </c>
      <c r="B3" t="inlineStr">
        <is>
          <t>CS102</t>
        </is>
      </c>
      <c r="C3" t="inlineStr">
        <is>
          <t>Data Structures &amp; Algorithms</t>
        </is>
      </c>
      <c r="D3" t="n">
        <v>4</v>
      </c>
      <c r="E3" t="n">
        <v>5</v>
      </c>
      <c r="F3" t="n">
        <v>60</v>
      </c>
    </row>
    <row r="4">
      <c r="A4" t="inlineStr">
        <is>
          <t>Sem 3</t>
        </is>
      </c>
      <c r="B4" t="inlineStr">
        <is>
          <t>EC103</t>
        </is>
      </c>
      <c r="C4" t="inlineStr">
        <is>
          <t>Digital Electronics</t>
        </is>
      </c>
      <c r="D4" t="n">
        <v>3</v>
      </c>
      <c r="E4" t="n">
        <v>4</v>
      </c>
      <c r="F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3" t="inlineStr">
        <is>
          <t>S.No</t>
        </is>
      </c>
      <c r="B1" s="3" t="inlineStr">
        <is>
          <t>Semester</t>
        </is>
      </c>
      <c r="C1" s="3" t="inlineStr">
        <is>
          <t>Subject Code</t>
        </is>
      </c>
      <c r="D1" s="3" t="inlineStr">
        <is>
          <t>Subject Title</t>
        </is>
      </c>
      <c r="E1" s="3" t="inlineStr">
        <is>
          <t>Student Roll No</t>
        </is>
      </c>
      <c r="F1" s="3" t="inlineStr">
        <is>
          <t>Student Name</t>
        </is>
      </c>
      <c r="G1" s="3" t="inlineStr">
        <is>
          <t>Assessment Type (CIE/SEE)</t>
        </is>
      </c>
      <c r="H1" s="3" t="inlineStr">
        <is>
          <t>Instrument (MST1/MST2/Assign/Quiz/SEE)</t>
        </is>
      </c>
      <c r="I1" s="3" t="inlineStr">
        <is>
          <t>Question/Item</t>
        </is>
      </c>
      <c r="J1" s="3" t="inlineStr">
        <is>
          <t>Mapped CO</t>
        </is>
      </c>
      <c r="K1" s="3" t="inlineStr">
        <is>
          <t>Bloom Level</t>
        </is>
      </c>
      <c r="L1" s="3" t="inlineStr">
        <is>
          <t>Max Marks</t>
        </is>
      </c>
      <c r="M1" s="3" t="inlineStr">
        <is>
          <t>Marks Obtained</t>
        </is>
      </c>
      <c r="N1" s="3" t="inlineStr">
        <is>
          <t>Target (%)</t>
        </is>
      </c>
      <c r="O1" s="3" t="inlineStr">
        <is>
          <t>Attainment (%)</t>
        </is>
      </c>
      <c r="P1" s="3" t="inlineStr">
        <is>
          <t>Attained (Y/N)</t>
        </is>
      </c>
    </row>
    <row r="2">
      <c r="A2" t="n">
        <v>1</v>
      </c>
      <c r="B2" t="inlineStr">
        <is>
          <t>Sem 3</t>
        </is>
      </c>
      <c r="C2" t="inlineStr">
        <is>
          <t>MA101</t>
        </is>
      </c>
      <c r="D2" t="inlineStr">
        <is>
          <t>Engineering Mathematics III</t>
        </is>
      </c>
      <c r="E2" t="inlineStr">
        <is>
          <t>23CS001</t>
        </is>
      </c>
      <c r="F2" t="inlineStr">
        <is>
          <t>Anita Rao</t>
        </is>
      </c>
      <c r="G2" t="inlineStr">
        <is>
          <t>CIE</t>
        </is>
      </c>
      <c r="H2" t="inlineStr">
        <is>
          <t>MST1</t>
        </is>
      </c>
      <c r="I2" t="inlineStr">
        <is>
          <t>Q1</t>
        </is>
      </c>
      <c r="J2" t="inlineStr">
        <is>
          <t>CO1</t>
        </is>
      </c>
      <c r="K2" t="inlineStr">
        <is>
          <t>Understand</t>
        </is>
      </c>
      <c r="L2" t="n">
        <v>10</v>
      </c>
      <c r="M2" t="n">
        <v>8</v>
      </c>
      <c r="N2" t="n">
        <v>60</v>
      </c>
      <c r="O2">
        <f>IF(L2&gt;0, M2/L2*100, 0)</f>
        <v/>
      </c>
      <c r="P2">
        <f>IF(O2&gt;=N2,"Y","N")</f>
        <v/>
      </c>
    </row>
    <row r="3">
      <c r="A3" t="n">
        <v>2</v>
      </c>
      <c r="B3" t="inlineStr">
        <is>
          <t>Sem 3</t>
        </is>
      </c>
      <c r="C3" t="inlineStr">
        <is>
          <t>MA101</t>
        </is>
      </c>
      <c r="D3" t="inlineStr">
        <is>
          <t>Engineering Mathematics III</t>
        </is>
      </c>
      <c r="E3" t="inlineStr">
        <is>
          <t>23CS002</t>
        </is>
      </c>
      <c r="F3" t="inlineStr">
        <is>
          <t>Bhavesh Iyer</t>
        </is>
      </c>
      <c r="G3" t="inlineStr">
        <is>
          <t>CIE</t>
        </is>
      </c>
      <c r="H3" t="inlineStr">
        <is>
          <t>MST1</t>
        </is>
      </c>
      <c r="I3" t="inlineStr">
        <is>
          <t>Q1</t>
        </is>
      </c>
      <c r="J3" t="inlineStr">
        <is>
          <t>CO1</t>
        </is>
      </c>
      <c r="K3" t="inlineStr">
        <is>
          <t>Understand</t>
        </is>
      </c>
      <c r="L3" t="n">
        <v>10</v>
      </c>
      <c r="M3" t="n">
        <v>4</v>
      </c>
      <c r="N3" t="n">
        <v>60</v>
      </c>
      <c r="O3">
        <f>IF(L3&gt;0, M3/L3*100, 0)</f>
        <v/>
      </c>
      <c r="P3">
        <f>IF(O3&gt;=N3,"Y","N")</f>
        <v/>
      </c>
    </row>
    <row r="4">
      <c r="A4" t="n">
        <v>3</v>
      </c>
      <c r="B4" t="inlineStr">
        <is>
          <t>Sem 3</t>
        </is>
      </c>
      <c r="C4" t="inlineStr">
        <is>
          <t>MA101</t>
        </is>
      </c>
      <c r="D4" t="inlineStr">
        <is>
          <t>Engineering Mathematics III</t>
        </is>
      </c>
      <c r="E4" t="inlineStr">
        <is>
          <t>23CS001</t>
        </is>
      </c>
      <c r="F4" t="inlineStr">
        <is>
          <t>Anita Rao</t>
        </is>
      </c>
      <c r="G4" t="inlineStr">
        <is>
          <t>SEE</t>
        </is>
      </c>
      <c r="H4" t="inlineStr">
        <is>
          <t>SEE</t>
        </is>
      </c>
      <c r="I4" t="inlineStr">
        <is>
          <t>Q3</t>
        </is>
      </c>
      <c r="J4" t="inlineStr">
        <is>
          <t>CO1</t>
        </is>
      </c>
      <c r="K4" t="inlineStr">
        <is>
          <t>Analyze</t>
        </is>
      </c>
      <c r="L4" t="n">
        <v>10</v>
      </c>
      <c r="M4" t="n">
        <v>7</v>
      </c>
      <c r="N4" t="n">
        <v>60</v>
      </c>
      <c r="O4">
        <f>IF(L4&gt;0, M4/L4*100, 0)</f>
        <v/>
      </c>
      <c r="P4">
        <f>IF(O4&gt;=N4,"Y","N")</f>
        <v/>
      </c>
    </row>
    <row r="5">
      <c r="A5" t="n">
        <v>4</v>
      </c>
      <c r="B5" t="inlineStr">
        <is>
          <t>Sem 3</t>
        </is>
      </c>
      <c r="C5" t="inlineStr">
        <is>
          <t>MA101</t>
        </is>
      </c>
      <c r="D5" t="inlineStr">
        <is>
          <t>Engineering Mathematics III</t>
        </is>
      </c>
      <c r="E5" t="inlineStr">
        <is>
          <t>23CS002</t>
        </is>
      </c>
      <c r="F5" t="inlineStr">
        <is>
          <t>Bhavesh Iyer</t>
        </is>
      </c>
      <c r="G5" t="inlineStr">
        <is>
          <t>SEE</t>
        </is>
      </c>
      <c r="H5" t="inlineStr">
        <is>
          <t>SEE</t>
        </is>
      </c>
      <c r="I5" t="inlineStr">
        <is>
          <t>Q3</t>
        </is>
      </c>
      <c r="J5" t="inlineStr">
        <is>
          <t>CO1</t>
        </is>
      </c>
      <c r="K5" t="inlineStr">
        <is>
          <t>Analyze</t>
        </is>
      </c>
      <c r="L5" t="n">
        <v>10</v>
      </c>
      <c r="M5" t="n">
        <v>6</v>
      </c>
      <c r="N5" t="n">
        <v>60</v>
      </c>
      <c r="O5">
        <f>IF(L5&gt;0, M5/L5*100, 0)</f>
        <v/>
      </c>
      <c r="P5">
        <f>IF(O5&gt;=N5,"Y","N")</f>
        <v/>
      </c>
    </row>
    <row r="6">
      <c r="A6" t="n">
        <v>5</v>
      </c>
      <c r="B6" t="inlineStr">
        <is>
          <t>Sem 3</t>
        </is>
      </c>
      <c r="C6" t="inlineStr">
        <is>
          <t>CS102</t>
        </is>
      </c>
      <c r="D6" t="inlineStr">
        <is>
          <t>Data Structures &amp; Algorithms</t>
        </is>
      </c>
      <c r="E6" t="inlineStr">
        <is>
          <t>23CS001</t>
        </is>
      </c>
      <c r="F6" t="inlineStr">
        <is>
          <t>Anita Rao</t>
        </is>
      </c>
      <c r="G6" t="inlineStr">
        <is>
          <t>CIE</t>
        </is>
      </c>
      <c r="H6" t="inlineStr">
        <is>
          <t>MST2</t>
        </is>
      </c>
      <c r="I6" t="inlineStr">
        <is>
          <t>Q2</t>
        </is>
      </c>
      <c r="J6" t="inlineStr">
        <is>
          <t>CO2</t>
        </is>
      </c>
      <c r="K6" t="inlineStr">
        <is>
          <t>Apply</t>
        </is>
      </c>
      <c r="L6" t="n">
        <v>10</v>
      </c>
      <c r="M6" t="n">
        <v>6</v>
      </c>
      <c r="N6" t="n">
        <v>60</v>
      </c>
      <c r="O6">
        <f>IF(L6&gt;0, M6/L6*100, 0)</f>
        <v/>
      </c>
      <c r="P6">
        <f>IF(O6&gt;=N6,"Y","N")</f>
        <v/>
      </c>
    </row>
    <row r="7">
      <c r="A7" t="n">
        <v>6</v>
      </c>
      <c r="B7" t="inlineStr">
        <is>
          <t>Sem 3</t>
        </is>
      </c>
      <c r="C7" t="inlineStr">
        <is>
          <t>CS102</t>
        </is>
      </c>
      <c r="D7" t="inlineStr">
        <is>
          <t>Data Structures &amp; Algorithms</t>
        </is>
      </c>
      <c r="E7" t="inlineStr">
        <is>
          <t>23CS002</t>
        </is>
      </c>
      <c r="F7" t="inlineStr">
        <is>
          <t>Bhavesh Iyer</t>
        </is>
      </c>
      <c r="G7" t="inlineStr">
        <is>
          <t>CIE</t>
        </is>
      </c>
      <c r="H7" t="inlineStr">
        <is>
          <t>Assignment</t>
        </is>
      </c>
      <c r="I7" t="inlineStr">
        <is>
          <t>A1</t>
        </is>
      </c>
      <c r="J7" t="inlineStr">
        <is>
          <t>CO2</t>
        </is>
      </c>
      <c r="K7" t="inlineStr">
        <is>
          <t>Apply</t>
        </is>
      </c>
      <c r="L7" t="n">
        <v>20</v>
      </c>
      <c r="M7" t="n">
        <v>10</v>
      </c>
      <c r="N7" t="n">
        <v>60</v>
      </c>
      <c r="O7">
        <f>IF(L7&gt;0, M7/L7*100, 0)</f>
        <v/>
      </c>
      <c r="P7">
        <f>IF(O7&gt;=N7,"Y","N")</f>
        <v/>
      </c>
    </row>
    <row r="8">
      <c r="A8" t="n">
        <v>7</v>
      </c>
      <c r="B8" t="inlineStr">
        <is>
          <t>Sem 3</t>
        </is>
      </c>
      <c r="C8" t="inlineStr">
        <is>
          <t>CS102</t>
        </is>
      </c>
      <c r="D8" t="inlineStr">
        <is>
          <t>Data Structures &amp; Algorithms</t>
        </is>
      </c>
      <c r="E8" t="inlineStr">
        <is>
          <t>23CS001</t>
        </is>
      </c>
      <c r="F8" t="inlineStr">
        <is>
          <t>Anita Rao</t>
        </is>
      </c>
      <c r="G8" t="inlineStr">
        <is>
          <t>SEE</t>
        </is>
      </c>
      <c r="H8" t="inlineStr">
        <is>
          <t>SEE</t>
        </is>
      </c>
      <c r="I8" t="inlineStr">
        <is>
          <t>Q5</t>
        </is>
      </c>
      <c r="J8" t="inlineStr">
        <is>
          <t>CO2</t>
        </is>
      </c>
      <c r="K8" t="inlineStr">
        <is>
          <t>Analyze</t>
        </is>
      </c>
      <c r="L8" t="n">
        <v>10</v>
      </c>
      <c r="M8" t="n">
        <v>8</v>
      </c>
      <c r="N8" t="n">
        <v>60</v>
      </c>
      <c r="O8">
        <f>IF(L8&gt;0, M8/L8*100, 0)</f>
        <v/>
      </c>
      <c r="P8">
        <f>IF(O8&gt;=N8,"Y","N")</f>
        <v/>
      </c>
    </row>
    <row r="9">
      <c r="A9" t="n">
        <v>8</v>
      </c>
      <c r="B9" t="inlineStr">
        <is>
          <t>Sem 3</t>
        </is>
      </c>
      <c r="C9" t="inlineStr">
        <is>
          <t>CS102</t>
        </is>
      </c>
      <c r="D9" t="inlineStr">
        <is>
          <t>Data Structures &amp; Algorithms</t>
        </is>
      </c>
      <c r="E9" t="inlineStr">
        <is>
          <t>23CS002</t>
        </is>
      </c>
      <c r="F9" t="inlineStr">
        <is>
          <t>Bhavesh Iyer</t>
        </is>
      </c>
      <c r="G9" t="inlineStr">
        <is>
          <t>SEE</t>
        </is>
      </c>
      <c r="H9" t="inlineStr">
        <is>
          <t>SEE</t>
        </is>
      </c>
      <c r="I9" t="inlineStr">
        <is>
          <t>Q5</t>
        </is>
      </c>
      <c r="J9" t="inlineStr">
        <is>
          <t>CO2</t>
        </is>
      </c>
      <c r="K9" t="inlineStr">
        <is>
          <t>Analyze</t>
        </is>
      </c>
      <c r="L9" t="n">
        <v>10</v>
      </c>
      <c r="M9" t="n">
        <v>3</v>
      </c>
      <c r="N9" t="n">
        <v>60</v>
      </c>
      <c r="O9">
        <f>IF(L9&gt;0, M9/L9*100, 0)</f>
        <v/>
      </c>
      <c r="P9">
        <f>IF(O9&gt;=N9,"Y","N")</f>
        <v/>
      </c>
    </row>
    <row r="10">
      <c r="A10" t="n">
        <v>9</v>
      </c>
      <c r="B10" t="inlineStr">
        <is>
          <t>Sem 3</t>
        </is>
      </c>
      <c r="C10" t="inlineStr">
        <is>
          <t>EC103</t>
        </is>
      </c>
      <c r="D10" t="inlineStr">
        <is>
          <t>Digital Electronics</t>
        </is>
      </c>
      <c r="E10" t="inlineStr">
        <is>
          <t>23CS001</t>
        </is>
      </c>
      <c r="F10" t="inlineStr">
        <is>
          <t>Anita Rao</t>
        </is>
      </c>
      <c r="G10" t="inlineStr">
        <is>
          <t>CIE</t>
        </is>
      </c>
      <c r="H10" t="inlineStr">
        <is>
          <t>Quiz</t>
        </is>
      </c>
      <c r="I10" t="inlineStr">
        <is>
          <t>Qz1</t>
        </is>
      </c>
      <c r="J10" t="inlineStr">
        <is>
          <t>CO3</t>
        </is>
      </c>
      <c r="K10" t="inlineStr">
        <is>
          <t>Remember</t>
        </is>
      </c>
      <c r="L10" t="n">
        <v>10</v>
      </c>
      <c r="M10" t="n">
        <v>9</v>
      </c>
      <c r="N10" t="n">
        <v>60</v>
      </c>
      <c r="O10">
        <f>IF(L10&gt;0, M10/L10*100, 0)</f>
        <v/>
      </c>
      <c r="P10">
        <f>IF(O10&gt;=N10,"Y","N")</f>
        <v/>
      </c>
    </row>
    <row r="11">
      <c r="A11" t="n">
        <v>10</v>
      </c>
      <c r="B11" t="inlineStr">
        <is>
          <t>Sem 3</t>
        </is>
      </c>
      <c r="C11" t="inlineStr">
        <is>
          <t>EC103</t>
        </is>
      </c>
      <c r="D11" t="inlineStr">
        <is>
          <t>Digital Electronics</t>
        </is>
      </c>
      <c r="E11" t="inlineStr">
        <is>
          <t>23CS002</t>
        </is>
      </c>
      <c r="F11" t="inlineStr">
        <is>
          <t>Bhavesh Iyer</t>
        </is>
      </c>
      <c r="G11" t="inlineStr">
        <is>
          <t>CIE</t>
        </is>
      </c>
      <c r="H11" t="inlineStr">
        <is>
          <t>MST1</t>
        </is>
      </c>
      <c r="I11" t="inlineStr">
        <is>
          <t>Q1</t>
        </is>
      </c>
      <c r="J11" t="inlineStr">
        <is>
          <t>CO1</t>
        </is>
      </c>
      <c r="K11" t="inlineStr">
        <is>
          <t>Understand</t>
        </is>
      </c>
      <c r="L11" t="n">
        <v>10</v>
      </c>
      <c r="M11" t="n">
        <v>5</v>
      </c>
      <c r="N11" t="n">
        <v>60</v>
      </c>
      <c r="O11">
        <f>IF(L11&gt;0, M11/L11*100, 0)</f>
        <v/>
      </c>
      <c r="P11">
        <f>IF(O11&gt;=N11,"Y","N")</f>
        <v/>
      </c>
    </row>
    <row r="12">
      <c r="A12" t="n">
        <v>11</v>
      </c>
      <c r="B12" t="inlineStr">
        <is>
          <t>Sem 3</t>
        </is>
      </c>
      <c r="C12" t="inlineStr">
        <is>
          <t>EC103</t>
        </is>
      </c>
      <c r="D12" t="inlineStr">
        <is>
          <t>Digital Electronics</t>
        </is>
      </c>
      <c r="E12" t="inlineStr">
        <is>
          <t>23CS001</t>
        </is>
      </c>
      <c r="F12" t="inlineStr">
        <is>
          <t>Anita Rao</t>
        </is>
      </c>
      <c r="G12" t="inlineStr">
        <is>
          <t>SEE</t>
        </is>
      </c>
      <c r="H12" t="inlineStr">
        <is>
          <t>SEE</t>
        </is>
      </c>
      <c r="I12" t="inlineStr">
        <is>
          <t>Q2</t>
        </is>
      </c>
      <c r="J12" t="inlineStr">
        <is>
          <t>CO3</t>
        </is>
      </c>
      <c r="K12" t="inlineStr">
        <is>
          <t>Apply</t>
        </is>
      </c>
      <c r="L12" t="n">
        <v>20</v>
      </c>
      <c r="M12" t="n">
        <v>12</v>
      </c>
      <c r="N12" t="n">
        <v>60</v>
      </c>
      <c r="O12">
        <f>IF(L12&gt;0, M12/L12*100, 0)</f>
        <v/>
      </c>
      <c r="P12">
        <f>IF(O12&gt;=N12,"Y","N")</f>
        <v/>
      </c>
    </row>
    <row r="13">
      <c r="A13" t="n">
        <v>12</v>
      </c>
      <c r="B13" t="inlineStr">
        <is>
          <t>Sem 3</t>
        </is>
      </c>
      <c r="C13" t="inlineStr">
        <is>
          <t>EC103</t>
        </is>
      </c>
      <c r="D13" t="inlineStr">
        <is>
          <t>Digital Electronics</t>
        </is>
      </c>
      <c r="E13" t="inlineStr">
        <is>
          <t>23CS002</t>
        </is>
      </c>
      <c r="F13" t="inlineStr">
        <is>
          <t>Bhavesh Iyer</t>
        </is>
      </c>
      <c r="G13" t="inlineStr">
        <is>
          <t>SEE</t>
        </is>
      </c>
      <c r="H13" t="inlineStr">
        <is>
          <t>SEE</t>
        </is>
      </c>
      <c r="I13" t="inlineStr">
        <is>
          <t>Q2</t>
        </is>
      </c>
      <c r="J13" t="inlineStr">
        <is>
          <t>CO3</t>
        </is>
      </c>
      <c r="K13" t="inlineStr">
        <is>
          <t>Apply</t>
        </is>
      </c>
      <c r="L13" t="n">
        <v>20</v>
      </c>
      <c r="M13" t="n">
        <v>8</v>
      </c>
      <c r="N13" t="n">
        <v>60</v>
      </c>
      <c r="O13">
        <f>IF(L13&gt;0, M13/L13*100, 0)</f>
        <v/>
      </c>
      <c r="P13">
        <f>IF(O13&gt;=N13,"Y","N")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2" t="inlineStr">
        <is>
          <t>Semester</t>
        </is>
      </c>
      <c r="B1" s="2" t="inlineStr">
        <is>
          <t>Subject Code</t>
        </is>
      </c>
      <c r="C1" s="2" t="inlineStr">
        <is>
          <t>Subject Title</t>
        </is>
      </c>
      <c r="D1" s="2" t="inlineStr">
        <is>
          <t>CO</t>
        </is>
      </c>
      <c r="E1" s="2" t="inlineStr">
        <is>
          <t>Target (%)</t>
        </is>
      </c>
      <c r="F1" s="2" t="inlineStr">
        <is>
          <t>CIE Attainment (%)</t>
        </is>
      </c>
      <c r="G1" s="2" t="inlineStr">
        <is>
          <t>SEE Attainment (%)</t>
        </is>
      </c>
      <c r="H1" s="2" t="inlineStr">
        <is>
          <t>Indirect Attainment (%)</t>
        </is>
      </c>
      <c r="I1" s="2" t="inlineStr">
        <is>
          <t>Final Attainment (%)</t>
        </is>
      </c>
      <c r="J1" s="2" t="inlineStr">
        <is>
          <t>Attainment Level</t>
        </is>
      </c>
      <c r="K1" s="2" t="inlineStr">
        <is>
          <t>Gap (Final-Target)</t>
        </is>
      </c>
      <c r="L1" s="2" t="inlineStr">
        <is>
          <t>Status</t>
        </is>
      </c>
      <c r="M1" s="2" t="inlineStr">
        <is>
          <t>Suggested Action</t>
        </is>
      </c>
    </row>
    <row r="2">
      <c r="A2" t="inlineStr">
        <is>
          <t>Sem 3</t>
        </is>
      </c>
      <c r="B2" t="inlineStr">
        <is>
          <t>MA101</t>
        </is>
      </c>
      <c r="C2" t="inlineStr">
        <is>
          <t>Engineering Mathematics III</t>
        </is>
      </c>
      <c r="D2" t="inlineStr">
        <is>
          <t>CO1</t>
        </is>
      </c>
      <c r="E2" t="n">
        <v>60</v>
      </c>
      <c r="F2">
        <f>IFERROR(COUNTIFS('Marks Entry'!$B:$B,$A2,'Marks Entry'!$C:$C,$B2,'Marks Entry'!$K:$K,$D2,'Marks Entry'!$G:$G,"CIE",'Marks Entry'!$P:$P,"Y")/COUNTIFS('Marks Entry'!$B:$B,$A2,'Marks Entry'!$C:$C,$B2,'Marks Entry'!$K:$K,$D2,'Marks Entry'!$G:$G,"CIE")*100,0)</f>
        <v/>
      </c>
      <c r="G2">
        <f>IFERROR(COUNTIFS('Marks Entry'!$B:$B,$A2,'Marks Entry'!$C:$C,$B2,'Marks Entry'!$K:$K,$D2,'Marks Entry'!$G:$G,"SEE",'Marks Entry'!$P:$P,"Y")/COUNTIFS('Marks Entry'!$B:$B,$A2,'Marks Entry'!$C:$C,$B2,'Marks Entry'!$K:$K,$D2,'Marks Entry'!$G:$G,"SEE")*100,0)</f>
        <v/>
      </c>
      <c r="H2" t="n">
        <v>65</v>
      </c>
      <c r="I2">
        <f>ROUND((F2*$B$2+G2*$B$3+H2*$B$4)/100,2)</f>
        <v/>
      </c>
      <c r="J2">
        <f>IF(I2&gt;=$B$5,"L3",IF(I2&gt;=$B$6,"L2",IF(I2&gt;=$B$7,"L1","L0")))</f>
        <v/>
      </c>
      <c r="K2">
        <f>I2-E2</f>
        <v/>
      </c>
      <c r="L2">
        <f>IF(I2&gt;=E2,"Met","Not Met")</f>
        <v/>
      </c>
      <c r="M2" t="inlineStr">
        <is>
          <t>If Not Met: remedials, re-teach tricky topics, assessment redesign</t>
        </is>
      </c>
    </row>
    <row r="3">
      <c r="A3" t="inlineStr">
        <is>
          <t>Sem 3</t>
        </is>
      </c>
      <c r="B3" t="inlineStr">
        <is>
          <t>MA101</t>
        </is>
      </c>
      <c r="C3" t="inlineStr">
        <is>
          <t>Engineering Mathematics III</t>
        </is>
      </c>
      <c r="D3" t="inlineStr">
        <is>
          <t>CO2</t>
        </is>
      </c>
      <c r="E3" t="n">
        <v>60</v>
      </c>
      <c r="F3">
        <f>IFERROR(COUNTIFS('Marks Entry'!$B:$B,$A3,'Marks Entry'!$C:$C,$B3,'Marks Entry'!$K:$K,$D3,'Marks Entry'!$G:$G,"CIE",'Marks Entry'!$P:$P,"Y")/COUNTIFS('Marks Entry'!$B:$B,$A3,'Marks Entry'!$C:$C,$B3,'Marks Entry'!$K:$K,$D3,'Marks Entry'!$G:$G,"CIE")*100,0)</f>
        <v/>
      </c>
      <c r="G3">
        <f>IFERROR(COUNTIFS('Marks Entry'!$B:$B,$A3,'Marks Entry'!$C:$C,$B3,'Marks Entry'!$K:$K,$D3,'Marks Entry'!$G:$G,"SEE",'Marks Entry'!$P:$P,"Y")/COUNTIFS('Marks Entry'!$B:$B,$A3,'Marks Entry'!$C:$C,$B3,'Marks Entry'!$K:$K,$D3,'Marks Entry'!$G:$G,"SEE")*100,0)</f>
        <v/>
      </c>
      <c r="H3" t="n">
        <v>65</v>
      </c>
      <c r="I3">
        <f>ROUND((F3*$B$2+G3*$B$3+H3*$B$4)/100,2)</f>
        <v/>
      </c>
      <c r="J3">
        <f>IF(I3&gt;=$B$5,"L3",IF(I3&gt;=$B$6,"L2",IF(I3&gt;=$B$7,"L1","L0")))</f>
        <v/>
      </c>
      <c r="K3">
        <f>I3-E3</f>
        <v/>
      </c>
      <c r="L3">
        <f>IF(I3&gt;=E3,"Met","Not Met")</f>
        <v/>
      </c>
      <c r="M3" t="inlineStr">
        <is>
          <t>If Not Met: remedials, re-teach tricky topics, assessment redesign</t>
        </is>
      </c>
    </row>
    <row r="4">
      <c r="A4" t="inlineStr">
        <is>
          <t>Sem 3</t>
        </is>
      </c>
      <c r="B4" t="inlineStr">
        <is>
          <t>CS102</t>
        </is>
      </c>
      <c r="C4" t="inlineStr">
        <is>
          <t>Data Structures &amp; Algorithms</t>
        </is>
      </c>
      <c r="D4" t="inlineStr">
        <is>
          <t>CO1</t>
        </is>
      </c>
      <c r="E4" t="n">
        <v>60</v>
      </c>
      <c r="F4">
        <f>IFERROR(COUNTIFS('Marks Entry'!$B:$B,$A4,'Marks Entry'!$C:$C,$B4,'Marks Entry'!$K:$K,$D4,'Marks Entry'!$G:$G,"CIE",'Marks Entry'!$P:$P,"Y")/COUNTIFS('Marks Entry'!$B:$B,$A4,'Marks Entry'!$C:$C,$B4,'Marks Entry'!$K:$K,$D4,'Marks Entry'!$G:$G,"CIE")*100,0)</f>
        <v/>
      </c>
      <c r="G4">
        <f>IFERROR(COUNTIFS('Marks Entry'!$B:$B,$A4,'Marks Entry'!$C:$C,$B4,'Marks Entry'!$K:$K,$D4,'Marks Entry'!$G:$G,"SEE",'Marks Entry'!$P:$P,"Y")/COUNTIFS('Marks Entry'!$B:$B,$A4,'Marks Entry'!$C:$C,$B4,'Marks Entry'!$K:$K,$D4,'Marks Entry'!$G:$G,"SEE")*100,0)</f>
        <v/>
      </c>
      <c r="H4" t="n">
        <v>65</v>
      </c>
      <c r="I4">
        <f>ROUND((F4*$B$2+G4*$B$3+H4*$B$4)/100,2)</f>
        <v/>
      </c>
      <c r="J4">
        <f>IF(I4&gt;=$B$5,"L3",IF(I4&gt;=$B$6,"L2",IF(I4&gt;=$B$7,"L1","L0")))</f>
        <v/>
      </c>
      <c r="K4">
        <f>I4-E4</f>
        <v/>
      </c>
      <c r="L4">
        <f>IF(I4&gt;=E4,"Met","Not Met")</f>
        <v/>
      </c>
      <c r="M4" t="inlineStr">
        <is>
          <t>If Not Met: remedials, re-teach tricky topics, assessment redesign</t>
        </is>
      </c>
    </row>
    <row r="5">
      <c r="A5" t="inlineStr">
        <is>
          <t>Sem 3</t>
        </is>
      </c>
      <c r="B5" t="inlineStr">
        <is>
          <t>CS102</t>
        </is>
      </c>
      <c r="C5" t="inlineStr">
        <is>
          <t>Data Structures &amp; Algorithms</t>
        </is>
      </c>
      <c r="D5" t="inlineStr">
        <is>
          <t>CO2</t>
        </is>
      </c>
      <c r="E5" t="n">
        <v>60</v>
      </c>
      <c r="F5">
        <f>IFERROR(COUNTIFS('Marks Entry'!$B:$B,$A5,'Marks Entry'!$C:$C,$B5,'Marks Entry'!$K:$K,$D5,'Marks Entry'!$G:$G,"CIE",'Marks Entry'!$P:$P,"Y")/COUNTIFS('Marks Entry'!$B:$B,$A5,'Marks Entry'!$C:$C,$B5,'Marks Entry'!$K:$K,$D5,'Marks Entry'!$G:$G,"CIE")*100,0)</f>
        <v/>
      </c>
      <c r="G5">
        <f>IFERROR(COUNTIFS('Marks Entry'!$B:$B,$A5,'Marks Entry'!$C:$C,$B5,'Marks Entry'!$K:$K,$D5,'Marks Entry'!$G:$G,"SEE",'Marks Entry'!$P:$P,"Y")/COUNTIFS('Marks Entry'!$B:$B,$A5,'Marks Entry'!$C:$C,$B5,'Marks Entry'!$K:$K,$D5,'Marks Entry'!$G:$G,"SEE")*100,0)</f>
        <v/>
      </c>
      <c r="H5" t="n">
        <v>65</v>
      </c>
      <c r="I5">
        <f>ROUND((F5*$B$2+G5*$B$3+H5*$B$4)/100,2)</f>
        <v/>
      </c>
      <c r="J5">
        <f>IF(I5&gt;=$B$5,"L3",IF(I5&gt;=$B$6,"L2",IF(I5&gt;=$B$7,"L1","L0")))</f>
        <v/>
      </c>
      <c r="K5">
        <f>I5-E5</f>
        <v/>
      </c>
      <c r="L5">
        <f>IF(I5&gt;=E5,"Met","Not Met")</f>
        <v/>
      </c>
      <c r="M5" t="inlineStr">
        <is>
          <t>If Not Met: remedials, re-teach tricky topics, assessment redesign</t>
        </is>
      </c>
    </row>
    <row r="6">
      <c r="A6" t="inlineStr">
        <is>
          <t>Sem 3</t>
        </is>
      </c>
      <c r="B6" t="inlineStr">
        <is>
          <t>EC103</t>
        </is>
      </c>
      <c r="C6" t="inlineStr">
        <is>
          <t>Digital Electronics</t>
        </is>
      </c>
      <c r="D6" t="inlineStr">
        <is>
          <t>CO1</t>
        </is>
      </c>
      <c r="E6" t="n">
        <v>60</v>
      </c>
      <c r="F6">
        <f>IFERROR(COUNTIFS('Marks Entry'!$B:$B,$A6,'Marks Entry'!$C:$C,$B6,'Marks Entry'!$K:$K,$D6,'Marks Entry'!$G:$G,"CIE",'Marks Entry'!$P:$P,"Y")/COUNTIFS('Marks Entry'!$B:$B,$A6,'Marks Entry'!$C:$C,$B6,'Marks Entry'!$K:$K,$D6,'Marks Entry'!$G:$G,"CIE")*100,0)</f>
        <v/>
      </c>
      <c r="G6">
        <f>IFERROR(COUNTIFS('Marks Entry'!$B:$B,$A6,'Marks Entry'!$C:$C,$B6,'Marks Entry'!$K:$K,$D6,'Marks Entry'!$G:$G,"SEE",'Marks Entry'!$P:$P,"Y")/COUNTIFS('Marks Entry'!$B:$B,$A6,'Marks Entry'!$C:$C,$B6,'Marks Entry'!$K:$K,$D6,'Marks Entry'!$G:$G,"SEE")*100,0)</f>
        <v/>
      </c>
      <c r="H6" t="n">
        <v>65</v>
      </c>
      <c r="I6">
        <f>ROUND((F6*$B$2+G6*$B$3+H6*$B$4)/100,2)</f>
        <v/>
      </c>
      <c r="J6">
        <f>IF(I6&gt;=$B$5,"L3",IF(I6&gt;=$B$6,"L2",IF(I6&gt;=$B$7,"L1","L0")))</f>
        <v/>
      </c>
      <c r="K6">
        <f>I6-E6</f>
        <v/>
      </c>
      <c r="L6">
        <f>IF(I6&gt;=E6,"Met","Not Met")</f>
        <v/>
      </c>
      <c r="M6" t="inlineStr">
        <is>
          <t>If Not Met: remedials, re-teach tricky topics, assessment redesign</t>
        </is>
      </c>
    </row>
    <row r="7">
      <c r="A7" t="inlineStr">
        <is>
          <t>Sem 3</t>
        </is>
      </c>
      <c r="B7" t="inlineStr">
        <is>
          <t>EC103</t>
        </is>
      </c>
      <c r="C7" t="inlineStr">
        <is>
          <t>Digital Electronics</t>
        </is>
      </c>
      <c r="D7" t="inlineStr">
        <is>
          <t>CO3</t>
        </is>
      </c>
      <c r="E7" t="n">
        <v>60</v>
      </c>
      <c r="F7">
        <f>IFERROR(COUNTIFS('Marks Entry'!$B:$B,$A7,'Marks Entry'!$C:$C,$B7,'Marks Entry'!$K:$K,$D7,'Marks Entry'!$G:$G,"CIE",'Marks Entry'!$P:$P,"Y")/COUNTIFS('Marks Entry'!$B:$B,$A7,'Marks Entry'!$C:$C,$B7,'Marks Entry'!$K:$K,$D7,'Marks Entry'!$G:$G,"CIE")*100,0)</f>
        <v/>
      </c>
      <c r="G7">
        <f>IFERROR(COUNTIFS('Marks Entry'!$B:$B,$A7,'Marks Entry'!$C:$C,$B7,'Marks Entry'!$K:$K,$D7,'Marks Entry'!$G:$G,"SEE",'Marks Entry'!$P:$P,"Y")/COUNTIFS('Marks Entry'!$B:$B,$A7,'Marks Entry'!$C:$C,$B7,'Marks Entry'!$K:$K,$D7,'Marks Entry'!$G:$G,"SEE")*100,0)</f>
        <v/>
      </c>
      <c r="H7" t="n">
        <v>65</v>
      </c>
      <c r="I7">
        <f>ROUND((F7*$B$2+G7*$B$3+H7*$B$4)/100,2)</f>
        <v/>
      </c>
      <c r="J7">
        <f>IF(I7&gt;=$B$5,"L3",IF(I7&gt;=$B$6,"L2",IF(I7&gt;=$B$7,"L1","L0")))</f>
        <v/>
      </c>
      <c r="K7">
        <f>I7-E7</f>
        <v/>
      </c>
      <c r="L7">
        <f>IF(I7&gt;=E7,"Met","Not Met")</f>
        <v/>
      </c>
      <c r="M7" t="inlineStr">
        <is>
          <t>If Not Met: remedials, re-teach tricky topics, assessment redesign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2" t="inlineStr">
        <is>
          <t>Semester</t>
        </is>
      </c>
      <c r="B1" s="2" t="inlineStr">
        <is>
          <t>Subject Code</t>
        </is>
      </c>
      <c r="C1" s="2" t="inlineStr">
        <is>
          <t>Subject Title</t>
        </is>
      </c>
      <c r="D1" s="2" t="inlineStr">
        <is>
          <t>Avg Final Attainment across COs (%)</t>
        </is>
      </c>
      <c r="E1" s="2" t="inlineStr">
        <is>
          <t>COs at L3</t>
        </is>
      </c>
      <c r="F1" s="2" t="inlineStr">
        <is>
          <t>COs at L2</t>
        </is>
      </c>
      <c r="G1" s="2" t="inlineStr">
        <is>
          <t>COs at L1/L0</t>
        </is>
      </c>
      <c r="H1" s="2" t="inlineStr">
        <is>
          <t>Subjects Status (All COs Met?)</t>
        </is>
      </c>
    </row>
    <row r="2">
      <c r="A2" t="inlineStr">
        <is>
          <t>Sem 3</t>
        </is>
      </c>
      <c r="B2" t="inlineStr">
        <is>
          <t>MA101</t>
        </is>
      </c>
      <c r="C2" t="inlineStr">
        <is>
          <t>Engineering Mathematics III</t>
        </is>
      </c>
      <c r="D2">
        <f>IFERROR(AVERAGEIF('CO Summary'!$B:$B,$B2,'CO Summary'!$I:$I),0)</f>
        <v/>
      </c>
      <c r="E2">
        <f>COUNTIFS('CO Summary'!$B:$B,$B2,'CO Summary'!$J:$J,"L3")</f>
        <v/>
      </c>
      <c r="F2">
        <f>COUNTIFS('CO Summary'!$B:$B,$B2,'CO Summary'!$J:$J,"L2")</f>
        <v/>
      </c>
      <c r="G2">
        <f>COUNTIFS('CO Summary'!$B:$B,$B2,'CO Summary'!$J:$J,"L1")+COUNTIFS('CO Summary'!$B:$B,$B2,'CO Summary'!$J:$J,"L0")</f>
        <v/>
      </c>
      <c r="H2">
        <f>IF(MIN(IF('CO Summary'!$B:$B=$B2,'CO Summary'!$I:$I - 'CO Summary'!$E:$E,))&gt;=0,"All COs Met","Pending COs"</f>
        <v/>
      </c>
    </row>
    <row r="3">
      <c r="A3" t="inlineStr">
        <is>
          <t>Sem 3</t>
        </is>
      </c>
      <c r="B3" t="inlineStr">
        <is>
          <t>CS102</t>
        </is>
      </c>
      <c r="C3" t="inlineStr">
        <is>
          <t>Data Structures &amp; Algorithms</t>
        </is>
      </c>
      <c r="D3">
        <f>IFERROR(AVERAGEIF('CO Summary'!$B:$B,$B3,'CO Summary'!$I:$I),0)</f>
        <v/>
      </c>
      <c r="E3">
        <f>COUNTIFS('CO Summary'!$B:$B,$B3,'CO Summary'!$J:$J,"L3")</f>
        <v/>
      </c>
      <c r="F3">
        <f>COUNTIFS('CO Summary'!$B:$B,$B3,'CO Summary'!$J:$J,"L2")</f>
        <v/>
      </c>
      <c r="G3">
        <f>COUNTIFS('CO Summary'!$B:$B,$B3,'CO Summary'!$J:$J,"L1")+COUNTIFS('CO Summary'!$B:$B,$B3,'CO Summary'!$J:$J,"L0")</f>
        <v/>
      </c>
      <c r="H3">
        <f>IF(MIN(IF('CO Summary'!$B:$B=$B3,'CO Summary'!$I:$I - 'CO Summary'!$E:$E,))&gt;=0,"All COs Met","Pending COs"</f>
        <v/>
      </c>
    </row>
    <row r="4">
      <c r="A4" t="inlineStr">
        <is>
          <t>Sem 3</t>
        </is>
      </c>
      <c r="B4" t="inlineStr">
        <is>
          <t>EC103</t>
        </is>
      </c>
      <c r="C4" t="inlineStr">
        <is>
          <t>Digital Electronics</t>
        </is>
      </c>
      <c r="D4">
        <f>IFERROR(AVERAGEIF('CO Summary'!$B:$B,$B4,'CO Summary'!$I:$I),0)</f>
        <v/>
      </c>
      <c r="E4">
        <f>COUNTIFS('CO Summary'!$B:$B,$B4,'CO Summary'!$J:$J,"L3")</f>
        <v/>
      </c>
      <c r="F4">
        <f>COUNTIFS('CO Summary'!$B:$B,$B4,'CO Summary'!$J:$J,"L2")</f>
        <v/>
      </c>
      <c r="G4">
        <f>COUNTIFS('CO Summary'!$B:$B,$B4,'CO Summary'!$J:$J,"L1")+COUNTIFS('CO Summary'!$B:$B,$B4,'CO Summary'!$J:$J,"L0")</f>
        <v/>
      </c>
      <c r="H4">
        <f>IF(MIN(IF('CO Summary'!$B:$B=$B4,'CO Summary'!$I:$I - 'CO Summary'!$E:$E,))&gt;=0,"All COs Met","Pending COs"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