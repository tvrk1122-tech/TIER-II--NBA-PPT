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_Input" sheetId="1" r:id="rId1"/>
    <sheet name="ER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<sst xmlns="http://schemas.openxmlformats.org/spreadsheetml/2006/main" count="55" uniqueCount="33">
  <si>
    <t>Year (CAY/CAYm1/CAYm2)</t>
  </si>
  <si>
    <t>Academic Year (e.g., 2024-25)</t>
  </si>
  <si>
    <t>N (Sanctioned Intake)</t>
  </si>
  <si>
    <t>N1 (1st-year admitted, migration-adjusted)</t>
  </si>
  <si>
    <t>N4 (Supernumerary admissions: TFWS/EWS/PMSSS)</t>
  </si>
  <si>
    <t>N1+N4 (Auto)</t>
  </si>
  <si>
    <t>ER % = (N1+N4)/N (Auto)</t>
  </si>
  <si>
    <t>CAY</t>
  </si>
  <si>
    <t>CAYm1</t>
  </si>
  <si>
    <t>CAYm2</t>
  </si>
  <si>
    <t>Metric</t>
  </si>
  <si>
    <t>Value (Auto)</t>
  </si>
  <si>
    <t>Average ER over 3 years (CAY, CAYm1, CAYm2)</t>
  </si>
  <si>
    <t>ER Points = 20 * (Average ER / 100)</t>
  </si>
  <si>
    <t>Document Type (AICTE Intake / Admission Register / Migration Orders / Supernumerary Approval)</t>
  </si>
  <si>
    <t>File Path or Link</t>
  </si>
  <si>
    <t>Verified By</t>
  </si>
  <si>
    <t>Verification Date (YYYY-MM-DD)</t>
  </si>
  <si>
    <t>Remarks</t>
  </si>
  <si>
    <t>Instructions</t>
  </si>
  <si>
    <t>NBA Criterion 4 – ER (Enrolment Ratio) Calculator</t>
  </si>
  <si>
    <t>How to use:</t>
  </si>
  <si>
    <t>1) In 'ER_Input', enter:</t>
  </si>
  <si>
    <t xml:space="preserve">   - N (Sanctioned Intake) from AICTE/University approval.</t>
  </si>
  <si>
    <t xml:space="preserve">   - N1 (1st-year admitted, after migration adjustments).</t>
  </si>
  <si>
    <t xml:space="preserve">   - N4 (Supernumerary admissions: TFWS/EWS/PMSSS/Foreign/PIO).</t>
  </si>
  <si>
    <t>2) ER % per year auto-calculates = (N1+N4)/N.</t>
  </si>
  <si>
    <t>3) 'ER_Summary' auto-computes Average ER and ER Points (out of 20).</t>
  </si>
  <si>
    <t>4) Log your proofs in 'Docs_Log'.</t>
  </si>
  <si>
    <t>Notes:</t>
  </si>
  <si>
    <t>- Do NOT include MEES entries/exits (N5/N6) in ER; ER focuses on 1st-year admissions only.</t>
  </si>
  <si>
    <t>- Ensure migrations affecting 1st year are applied in N1.</t>
  </si>
  <si>
    <t>- Maintain consistency with your Admission Register &amp; Approval Letters.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</si>
</sst>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  <xf numFmtId="164" fontId="0" fillId="0" borderId="1" xfId="0" applyNumberFormat="1" applyBorder="1"/>
    <xf numFmtId="0" fontId="1" fillId="0" borderId="0" xfId="0" applyFon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36.7109375" customWidth="1"/>
    <col min="6" max="6" width="20.7109375" customWidth="1"/>
    <col min="7" max="7" width="2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F2" s="2">
        <f>SUM(D2:E2)</f>
        <v>0</v>
      </c>
      <c r="G2" s="3">
        <f>IFERROR(F2/C2,"")</f>
        <v>0</v>
      </c>
    </row>
    <row r="3" spans="1:7">
      <c r="A3" t="s">
        <v>8</v>
      </c>
      <c r="F3" s="2">
        <f>SUM(D3:E3)</f>
        <v>0</v>
      </c>
      <c r="G3" s="3">
        <f>IFERROR(F3/C3,"")</f>
        <v>0</v>
      </c>
    </row>
    <row r="4" spans="1:7">
      <c r="A4" t="s">
        <v>9</v>
      </c>
      <c r="F4" s="2">
        <f>SUM(D4:E4)</f>
        <v>0</v>
      </c>
      <c r="G4" s="3">
        <f>IFERROR(F4/C4,"")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28.7109375" customWidth="1"/>
  </cols>
  <sheetData>
    <row r="1" spans="1:2">
      <c r="A1" s="1" t="s">
        <v>10</v>
      </c>
      <c r="B1" s="1" t="s">
        <v>11</v>
      </c>
    </row>
    <row r="2" spans="1:2">
      <c r="A2" s="4" t="s">
        <v>12</v>
      </c>
      <c r="B2" s="3">
        <f>IFERROR(AVERAGE(ER_Input!$G$2:$G$4),"")</f>
        <v>0</v>
      </c>
    </row>
    <row r="3" spans="1:2">
      <c r="A3" s="4" t="s">
        <v>13</v>
      </c>
      <c r="B3" s="5">
        <f>IFERROR(20*(B2),"")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0.7109375" customWidth="1"/>
    <col min="3" max="5" width="30.7109375" customWidth="1"/>
    <col min="6" max="6" width="40.7109375" customWidth="1"/>
  </cols>
  <sheetData>
    <row r="1" spans="1: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7</v>
      </c>
    </row>
    <row r="3" spans="1:6">
      <c r="A3" t="s">
        <v>8</v>
      </c>
    </row>
    <row r="4" spans="1:6">
      <c r="A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19</v>
      </c>
    </row>
    <row r="2" spans="1:1">
      <c r="A2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ER_Input</vt:lpstr>
      <vt:lpstr>ER_Summary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2025-08-26T05:56:40Z</dcterms:created>
  <dcterms:modified xsi:type="dcterms:W3CDTF">2025-08-26T05:56:40Z</dcterms:modified>
</cp:coreProperties>
</file>