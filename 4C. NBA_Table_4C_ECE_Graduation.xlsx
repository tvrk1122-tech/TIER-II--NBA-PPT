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uation_Performance" sheetId="1" state="visible" r:id="rId3"/>
    <sheet name="N_Component_Breakdown" sheetId="2" state="visible" r:id="rId4"/>
    <sheet name="LYG_Batch_DeepDive" sheetId="3" state="visible" r:id="rId5"/>
    <sheet name="Evidence_Checklist" sheetId="4" state="visible" r:id="rId6"/>
    <sheet name="Table_4C_YearWi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<sst xmlns="http://schemas.openxmlformats.org/spreadsheetml/2006/main" count="331" uniqueCount="237">
  <si>
    <t xml:space="preserve">STUDENTS GRADUATED WITHIN STIPULATED PERIOD OF THE PROGRAMME</t>
  </si>
  <si>
    <t xml:space="preserve">NBA Criterion 4 — Students' Performance  |  B.Tech Electronics &amp; Communication Engineering  |  Graduation Performance Indicator</t>
  </si>
  <si>
    <t xml:space="preserve">Stipulated Period: 4 years (UG)  |  Batch Size = N1 + N2 + N3 + N4 + N5 − N6  |  On-time Graduation = Graduated Without Backlogs + Graduated With Backlogs</t>
  </si>
  <si>
    <t xml:space="preserve">BATCH COMPOSITION (Formula Inputs)</t>
  </si>
  <si>
    <t xml:space="preserve">BATCH
STRENGTH</t>
  </si>
  <si>
    <t xml:space="preserve">GRADUATION SPLIT — ON-TIME (within 4 yrs)</t>
  </si>
  <si>
    <t xml:space="preserve">EFFICIENCY
%</t>
  </si>
  <si>
    <t xml:space="preserve">STATUS</t>
  </si>
  <si>
    <t xml:space="preserve">S.No</t>
  </si>
  <si>
    <t xml:space="preserve">Year of Entry
(Batch)</t>
  </si>
  <si>
    <t xml:space="preserve">Academic
Year</t>
  </si>
  <si>
    <t xml:space="preserve">N1
(Regular
1st Yr)</t>
  </si>
  <si>
    <t xml:space="preserve">N2
(Lateral
Entry)</t>
  </si>
  <si>
    <t xml:space="preserve">N3
(Separate
Division)</t>
  </si>
  <si>
    <t xml:space="preserve">N4
(Supernumerary
TFWS/EWS)</t>
  </si>
  <si>
    <t xml:space="preserve">N5
(MEES
Entry)</t>
  </si>
  <si>
    <t xml:space="preserve">N6
(MEES
Exit)</t>
  </si>
  <si>
    <t xml:space="preserve">Total
Batch
(N1+N2+N3
+N4+N5−N6)</t>
  </si>
  <si>
    <t xml:space="preserve">Graduated
Without
Backlogs</t>
  </si>
  <si>
    <t xml:space="preserve">Graduated
With
Backlogs</t>
  </si>
  <si>
    <t xml:space="preserve">Total
Graduated
(On-time)</t>
  </si>
  <si>
    <t xml:space="preserve">Graduation
Efficiency
(%)</t>
  </si>
  <si>
    <t xml:space="preserve">Remarks</t>
  </si>
  <si>
    <t xml:space="preserve">CAY</t>
  </si>
  <si>
    <t xml:space="preserve">2024-25</t>
  </si>
  <si>
    <t xml:space="preserve">—</t>
  </si>
  <si>
    <t xml:space="preserve">Still Studying</t>
  </si>
  <si>
    <t xml:space="preserve">CAYm1</t>
  </si>
  <si>
    <t xml:space="preserve">2023-24</t>
  </si>
  <si>
    <t xml:space="preserve">CAYm2</t>
  </si>
  <si>
    <t xml:space="preserve">2022-23</t>
  </si>
  <si>
    <t xml:space="preserve">CAYm3</t>
  </si>
  <si>
    <t xml:space="preserve">2021-22</t>
  </si>
  <si>
    <t xml:space="preserve">Graduated (On-time)</t>
  </si>
  <si>
    <t xml:space="preserve">CAYm4 (LYG)</t>
  </si>
  <si>
    <t xml:space="preserve">2020-21</t>
  </si>
  <si>
    <t xml:space="preserve">CAYm5 (LYGm1)</t>
  </si>
  <si>
    <t xml:space="preserve">2019-20</t>
  </si>
  <si>
    <t xml:space="preserve">CAYm6 (LYGm2)</t>
  </si>
  <si>
    <t xml:space="preserve">2018-19</t>
  </si>
  <si>
    <t xml:space="preserve">SUMMARY — Graduated Batches Only (CAYm3 to CAYm6)</t>
  </si>
  <si>
    <t xml:space="preserve">4-Batch Combined</t>
  </si>
  <si>
    <t xml:space="preserve">GRADUATION TREND ANALYSIS  —  Completed Batches</t>
  </si>
  <si>
    <t xml:space="preserve">Batch</t>
  </si>
  <si>
    <t xml:space="preserve">Year</t>
  </si>
  <si>
    <t xml:space="preserve">Batch
Strength</t>
  </si>
  <si>
    <t xml:space="preserve">On-Time
Graduates</t>
  </si>
  <si>
    <t xml:space="preserve">Efficiency
%</t>
  </si>
  <si>
    <t xml:space="preserve">Without
Backlogs</t>
  </si>
  <si>
    <t xml:space="preserve">With
Backlogs</t>
  </si>
  <si>
    <t xml:space="preserve">Backlog
Share %</t>
  </si>
  <si>
    <t xml:space="preserve">Non-Grad.
/ Drop</t>
  </si>
  <si>
    <t xml:space="preserve">Drop
Rate %</t>
  </si>
  <si>
    <t xml:space="preserve">Trend
vs Prior</t>
  </si>
  <si>
    <t xml:space="preserve">Baseline</t>
  </si>
  <si>
    <t xml:space="preserve">COLOUR KEY  &amp;  CONVENTION</t>
  </si>
  <si>
    <t xml:space="preserve">  Blue text</t>
  </si>
  <si>
    <t xml:space="preserve">Hardcoded input values (N1–N6, graduation counts) — change per batch</t>
  </si>
  <si>
    <t xml:space="preserve">  Black / Gold bg</t>
  </si>
  <si>
    <t xml:space="preserve">Excel formula cells — auto-calculated totals and percentages</t>
  </si>
  <si>
    <t xml:space="preserve">  White on Green</t>
  </si>
  <si>
    <t xml:space="preserve">On-time graduation section (graduated batches)</t>
  </si>
  <si>
    <t xml:space="preserve">  Grey / Light Blue</t>
  </si>
  <si>
    <t xml:space="preserve">Still-studying batches — graduation data not yet available</t>
  </si>
  <si>
    <t xml:space="preserve">  Red</t>
  </si>
  <si>
    <t xml:space="preserve">Non-graduated / drop-out count and rate</t>
  </si>
  <si>
    <t xml:space="preserve">BATCH COMPOSITION — N1 TO N6 DETAILED BREAKDOWN  (All Batches)</t>
  </si>
  <si>
    <t xml:space="preserve">Formula: Total Batch Strength = N1 + N2 + N3 + N4 + N5 − N6  |  N5 = MEES Multiple Entries  |  N6 = MEES Multiple Exits</t>
  </si>
  <si>
    <t xml:space="preserve">N1
Regular
1st Yr</t>
  </si>
  <si>
    <t xml:space="preserve">N2
Lateral
Entry</t>
  </si>
  <si>
    <t xml:space="preserve">N3
Sep.
Division</t>
  </si>
  <si>
    <t xml:space="preserve">N4
Super-
numerary</t>
  </si>
  <si>
    <t xml:space="preserve">N5
MEES
Entry (+)</t>
  </si>
  <si>
    <t xml:space="preserve">N6
MEES
Exit (−)</t>
  </si>
  <si>
    <t xml:space="preserve">Total
Batch
Strength</t>
  </si>
  <si>
    <t xml:space="preserve">Calculation Shown</t>
  </si>
  <si>
    <t xml:space="preserve">118+8+0+4+0−0 = 130</t>
  </si>
  <si>
    <t xml:space="preserve">115+7+0+6+2−1 = 129</t>
  </si>
  <si>
    <t xml:space="preserve">112+8+0+6+3−1 = 128</t>
  </si>
  <si>
    <t xml:space="preserve">106+9+0+5+4−2 = 122</t>
  </si>
  <si>
    <t xml:space="preserve">101+10+0+5+4−2 = 118</t>
  </si>
  <si>
    <t xml:space="preserve">103+9+0+6+4−2 = 120</t>
  </si>
  <si>
    <t xml:space="preserve">97+10+0+6+4−2 = 115</t>
  </si>
  <si>
    <t xml:space="preserve">COLUMN TOTALS</t>
  </si>
  <si>
    <t xml:space="preserve">Sum of all batches</t>
  </si>
  <si>
    <t xml:space="preserve">N-COMPONENT DEFINITIONS  (NBA SAR Criterion 4)</t>
  </si>
  <si>
    <t xml:space="preserve">Variable</t>
  </si>
  <si>
    <t xml:space="preserve">Full Name</t>
  </si>
  <si>
    <t xml:space="preserve">Definition / Source</t>
  </si>
  <si>
    <t xml:space="preserve">Impact on Batch Size</t>
  </si>
  <si>
    <t xml:space="preserve">N1</t>
  </si>
  <si>
    <t xml:space="preserve">Regular 1st Year Admissions</t>
  </si>
  <si>
    <t xml:space="preserve">Students admitted through normal entrance process (JEE/State CET). Adjusted for any migrations in/out during first year.</t>
  </si>
  <si>
    <t xml:space="preserve">Additive (+). Primary component of batch strength.</t>
  </si>
  <si>
    <t xml:space="preserve">N2</t>
  </si>
  <si>
    <t xml:space="preserve">Lateral Entry Admissions</t>
  </si>
  <si>
    <t xml:space="preserve">Diploma holders admitted directly to 2nd year via AICTE lateral entry route. Not the same as MEES N5 entries.</t>
  </si>
  <si>
    <t xml:space="preserve">Additive (+). Increases batch strength.</t>
  </si>
  <si>
    <t xml:space="preserve">N3</t>
  </si>
  <si>
    <t xml:space="preserve">Separate Division Admissions</t>
  </si>
  <si>
    <t xml:space="preserve">Students admitted through special quotas forming a separate division (e.g., evening shift, special scheme). Zero for most programmes.</t>
  </si>
  <si>
    <t xml:space="preserve">Additive (+). Usually zero for standard UG programmes.</t>
  </si>
  <si>
    <t xml:space="preserve">N4</t>
  </si>
  <si>
    <t xml:space="preserve">Supernumerary Admissions</t>
  </si>
  <si>
    <t xml:space="preserve">Additional seats granted above sanctioned intake: TFWS (Tuition Fee Waiver), EWS, PMSSS (PM Special Scholarship). Count as additional students.</t>
  </si>
  <si>
    <t xml:space="preserve">Additive (+). Beyond sanctioned intake but included in batch.</t>
  </si>
  <si>
    <t xml:space="preserve">N5</t>
  </si>
  <si>
    <t xml:space="preserve">MEES Multiple Entries</t>
  </si>
  <si>
    <t xml:space="preserve">Students who re-join the programme at 2nd, 3rd, or 4th year under the Multiple Entry &amp; Exit System (NEP 2020/ABC). Tracked separately.</t>
  </si>
  <si>
    <t xml:space="preserve">Additive (+). N5 = N52 + N53 + N54.</t>
  </si>
  <si>
    <t xml:space="preserve">N6</t>
  </si>
  <si>
    <t xml:space="preserve">MEES Multiple Exits</t>
  </si>
  <si>
    <t xml:space="preserve">Students who exit early after 1st, 2nd, or 3rd year with Certificate/Diploma/Advanced Diploma under ABC framework. Deducted from batch.</t>
  </si>
  <si>
    <t xml:space="preserve">Subtractive (−). N6 = N61 + N62 + N63.</t>
  </si>
  <si>
    <t xml:space="preserve">LYG BATCH DEEP-DIVE — GRADUATION PERFORMANCE (CAYm4 · CAYm5 · CAYm6)</t>
  </si>
  <si>
    <t xml:space="preserve">Detailed analysis of the three Last Year Graduated (LYG) batches — the primary batches evaluated by NBA assessors</t>
  </si>
  <si>
    <t xml:space="preserve">Metric</t>
  </si>
  <si>
    <t xml:space="preserve">CAYm4 (LYG)
2020-21</t>
  </si>
  <si>
    <t xml:space="preserve">CAYm5 (LYGm1)
2019-20</t>
  </si>
  <si>
    <t xml:space="preserve">CAYm6 (LYGm2)
2018-19</t>
  </si>
  <si>
    <t xml:space="preserve">LYG Avg</t>
  </si>
  <si>
    <t xml:space="preserve">Best Batch</t>
  </si>
  <si>
    <t xml:space="preserve">Worst Batch</t>
  </si>
  <si>
    <t xml:space="preserve">Trend</t>
  </si>
  <si>
    <t xml:space="preserve">1</t>
  </si>
  <si>
    <t xml:space="preserve">Total Batch Strength</t>
  </si>
  <si>
    <t xml:space="preserve">2</t>
  </si>
  <si>
    <t xml:space="preserve">Graduated Without Backlogs</t>
  </si>
  <si>
    <t xml:space="preserve">3</t>
  </si>
  <si>
    <t xml:space="preserve">Graduated With Backlogs</t>
  </si>
  <si>
    <t xml:space="preserve">4</t>
  </si>
  <si>
    <t xml:space="preserve">Total Graduated (On-time)</t>
  </si>
  <si>
    <t xml:space="preserve">5</t>
  </si>
  <si>
    <t xml:space="preserve">Graduation Efficiency (%)</t>
  </si>
  <si>
    <t xml:space="preserve">6</t>
  </si>
  <si>
    <t xml:space="preserve">Non-Graduated / Dropped</t>
  </si>
  <si>
    <t xml:space="preserve">7</t>
  </si>
  <si>
    <t xml:space="preserve">Drop Rate (%)</t>
  </si>
  <si>
    <t xml:space="preserve">8</t>
  </si>
  <si>
    <t xml:space="preserve">Backlog Share (% of graduates)</t>
  </si>
  <si>
    <t xml:space="preserve">CASE STUDY — LYGm2 (CAYm6 / 2018-19 Batch)  |  NBA SAR Illustration</t>
  </si>
  <si>
    <t xml:space="preserve">Value</t>
  </si>
  <si>
    <t xml:space="preserve">Interpretation</t>
  </si>
  <si>
    <t xml:space="preserve">N1+N2+N3+N4+N5−N6 = 115</t>
  </si>
  <si>
    <t xml:space="preserve">82 students cleared all papers without carryover</t>
  </si>
  <si>
    <t xml:space="preserve">28 students had backlogs but cleared within 4 years</t>
  </si>
  <si>
    <t xml:space="preserve">Total Graduated On-Time</t>
  </si>
  <si>
    <t xml:space="preserve">82 + 28 = 110</t>
  </si>
  <si>
    <t xml:space="preserve">Graduation Efficiency</t>
  </si>
  <si>
    <t xml:space="preserve">(110 ÷ 115) × 100 = 95.7%</t>
  </si>
  <si>
    <t xml:space="preserve">115 − 110 = 5 students did not graduate on time</t>
  </si>
  <si>
    <t xml:space="preserve">EVIDENCE &amp; PROOF REQUIRED — GRADUATION PERFORMANCE (NBA Criterion 4)</t>
  </si>
  <si>
    <t xml:space="preserve">Documents required to substantiate the graduation data reported in this table</t>
  </si>
  <si>
    <t xml:space="preserve">Evidence Document</t>
  </si>
  <si>
    <t xml:space="preserve">Relevant For</t>
  </si>
  <si>
    <t xml:space="preserve">Issuing Authority</t>
  </si>
  <si>
    <t xml:space="preserve">Status</t>
  </si>
  <si>
    <t xml:space="preserve">University Result Gazette / Passing Board Report</t>
  </si>
  <si>
    <t xml:space="preserve">N1–N4 total, graduation counts</t>
  </si>
  <si>
    <t xml:space="preserve">University / Examination Board</t>
  </si>
  <si>
    <t xml:space="preserve">Mandatory</t>
  </si>
  <si>
    <t xml:space="preserve">Year-wise; must cover LYG, LYGm1, LYGm2</t>
  </si>
  <si>
    <t xml:space="preserve">Degree Award Lists</t>
  </si>
  <si>
    <t xml:space="preserve">Total Graduated (with &amp; without backlogs)</t>
  </si>
  <si>
    <t xml:space="preserve">University / Autonomous Institution</t>
  </si>
  <si>
    <t xml:space="preserve">Separate lists if possible for clean/backlog graduates</t>
  </si>
  <si>
    <t xml:space="preserve">Backlog Clearance Records</t>
  </si>
  <si>
    <t xml:space="preserve">Graduated With Backlogs count</t>
  </si>
  <si>
    <t xml:space="preserve">Examination Cell / Institution</t>
  </si>
  <si>
    <t xml:space="preserve">Shows carryover students who cleared within stipulated period</t>
  </si>
  <si>
    <t xml:space="preserve">Admission Register Extracts (Year-wise)</t>
  </si>
  <si>
    <t xml:space="preserve">N1 base count per batch</t>
  </si>
  <si>
    <t xml:space="preserve">Academic Section / Institution</t>
  </si>
  <si>
    <t xml:space="preserve">Certified extracts matching SAR N1 values</t>
  </si>
  <si>
    <t xml:space="preserve">Lateral Entry Admission List</t>
  </si>
  <si>
    <t xml:space="preserve">N2 — Lateral Entry count</t>
  </si>
  <si>
    <t xml:space="preserve">DTE / Institution Admission Office</t>
  </si>
  <si>
    <t xml:space="preserve">Verified against DTE portal if applicable</t>
  </si>
  <si>
    <t xml:space="preserve">Supernumerary Admission Records (TFWS/EWS/PMSSS)</t>
  </si>
  <si>
    <t xml:space="preserve">N4 — Supernumerary count</t>
  </si>
  <si>
    <t xml:space="preserve">Institution Admission Office</t>
  </si>
  <si>
    <t xml:space="preserve">Allocation letters + fee payment records</t>
  </si>
  <si>
    <t xml:space="preserve">MEES Multiple Entry Approval Letters</t>
  </si>
  <si>
    <t xml:space="preserve">N5 — MEES Entry count</t>
  </si>
  <si>
    <t xml:space="preserve">University / DTE / Institution</t>
  </si>
  <si>
    <t xml:space="preserve">Mandatory (if N5 &gt; 0)</t>
  </si>
  <si>
    <t xml:space="preserve">Entry approval letters for each MEES student</t>
  </si>
  <si>
    <t xml:space="preserve">MEES Exit Certificates (Certificate/Diploma/Adv. Diploma)</t>
  </si>
  <si>
    <t xml:space="preserve">N6 — MEES Exit count</t>
  </si>
  <si>
    <t xml:space="preserve">University / Institution</t>
  </si>
  <si>
    <t xml:space="preserve">Mandatory (if N6 &gt; 0)</t>
  </si>
  <si>
    <t xml:space="preserve">Credential issued + ABC ledger entry</t>
  </si>
  <si>
    <t xml:space="preserve">ABC Ledger / Credit Records for MEES students</t>
  </si>
  <si>
    <t xml:space="preserve">N5 and N6 verification</t>
  </si>
  <si>
    <t xml:space="preserve">ABC Portal (DigiLocker)</t>
  </si>
  <si>
    <t xml:space="preserve">Mandatory (if MEES applicable)</t>
  </si>
  <si>
    <t xml:space="preserve">Credit records for re-entry/exit students</t>
  </si>
  <si>
    <t xml:space="preserve">Migration Certificates (if applicable)</t>
  </si>
  <si>
    <t xml:space="preserve">Adjustments to N1</t>
  </si>
  <si>
    <t xml:space="preserve">Originating / Receiving Institution</t>
  </si>
  <si>
    <t xml:space="preserve">If applicable</t>
  </si>
  <si>
    <t xml:space="preserve">Students who migrated in/out in Year 1</t>
  </si>
  <si>
    <t xml:space="preserve">NBA SAR Narrative Statement (Cross-verified)</t>
  </si>
  <si>
    <t xml:space="preserve">All N values and graduation totals</t>
  </si>
  <si>
    <t xml:space="preserve">HoD / NBA Coordinator</t>
  </si>
  <si>
    <t xml:space="preserve">Narrative must match table data; reviewed by IQAC</t>
  </si>
  <si>
    <t xml:space="preserve">TABLE 4C — NO. OF STUDENTS GRADUATED WITHIN THE STIPULATED PERIOD OF THE PROGRAMME</t>
  </si>
  <si>
    <t xml:space="preserve">NBA Criterion 4  |  B.Tech Electronics &amp; Communication Engineering  |  Stipulated Period: 4 Years  |  Auto-linked from Graduation_Performance sheet</t>
  </si>
  <si>
    <t xml:space="preserve">Grey cells = N/A (students have not yet completed that year of study)  |  Yellow = Editable input  |  Blue = Auto-calculated total  |  Total = With Backlogs + Without Backlogs</t>
  </si>
  <si>
    <t xml:space="preserve">S.
No</t>
  </si>
  <si>
    <t xml:space="preserve">Year of
Entry
(Batch)</t>
  </si>
  <si>
    <t xml:space="preserve">Total N
(N1+N2+N3
+N4+N5−N6)</t>
  </si>
  <si>
    <t xml:space="preserve">Number of students who have successfully graduated in the stipulated period of study  [Total of with Backlogs + without Backlogs]</t>
  </si>
  <si>
    <t xml:space="preserve">I Year</t>
  </si>
  <si>
    <t xml:space="preserve">II Year</t>
  </si>
  <si>
    <t xml:space="preserve">III Year</t>
  </si>
  <si>
    <t xml:space="preserve">IV Year</t>
  </si>
  <si>
    <t xml:space="preserve">Total
(Auto)</t>
  </si>
  <si>
    <t xml:space="preserve">CAY
2024-25</t>
  </si>
  <si>
    <t xml:space="preserve">⏳ Still Studying</t>
  </si>
  <si>
    <t xml:space="preserve">CAYm1
2023-24</t>
  </si>
  <si>
    <t xml:space="preserve">CAYm2
2022-23</t>
  </si>
  <si>
    <t xml:space="preserve">CAYm3
2021-22</t>
  </si>
  <si>
    <t xml:space="preserve">✔ Graduated On-time</t>
  </si>
  <si>
    <t xml:space="preserve">TOTAL / AVERAGE</t>
  </si>
  <si>
    <t xml:space="preserve">3-Batch Avg Efficiency</t>
  </si>
  <si>
    <t xml:space="preserve">GRADUATION RATE (Graduated Batches)</t>
  </si>
  <si>
    <t xml:space="preserve">Formula:  IV Year Total Graduates (CAYm4+CAYm5+CAYm6)  ÷  Total Batch Strength (CAYm4+CAYm5+CAYm6)  × 100</t>
  </si>
  <si>
    <t xml:space="preserve">COLOUR CODING GUIDE</t>
  </si>
  <si>
    <t xml:space="preserve">   </t>
  </si>
  <si>
    <t xml:space="preserve">YELLOW = Editable input (With Backlogs &amp; Without Backlogs — enter your data here)</t>
  </si>
  <si>
    <t xml:space="preserve">LIGHT BLUE = Auto-calculated Total (With Backlogs + Without Backlogs)</t>
  </si>
  <si>
    <t xml:space="preserve">GREY = N/A — students have not yet completed that year of study (matches Table 4C grey pattern)</t>
  </si>
  <si>
    <t xml:space="preserve">GREEN rows = Graduated batches (CAYm4/LYG, CAYm5/LYGm1, CAYm6/LYGm2) — all 4 years available</t>
  </si>
  <si>
    <t xml:space="preserve">Prepared by — IQAC / NBA Coordinator</t>
  </si>
  <si>
    <t xml:space="preserve">Verified by — HoD</t>
  </si>
  <si>
    <t xml:space="preserve">Approved by — Principal / Dean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</si>
</sst>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.00"/>
    <numFmt numFmtId="168" formatCode="0.00\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C0392B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9"/>
      <color rgb="FF117A8B"/>
      <name val="Arial"/>
      <family val="0"/>
      <charset val="1"/>
    </font>
    <font>
      <b val="true"/>
      <sz val="9"/>
      <color rgb="FF1E5631"/>
      <name val="Arial"/>
      <family val="0"/>
      <charset val="1"/>
    </font>
    <font>
      <b val="true"/>
      <sz val="9"/>
      <color rgb="FFE67E22"/>
      <name val="Arial"/>
      <family val="0"/>
      <charset val="1"/>
    </font>
    <font>
      <i val="true"/>
      <sz val="8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000080"/>
      <name val="Arial"/>
      <family val="0"/>
      <charset val="1"/>
    </font>
    <font>
      <b val="true"/>
      <sz val="12"/>
      <color rgb="FF8B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117A8B"/>
        <bgColor rgb="FF2E75B6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rgb="FF2C3E50"/>
        <bgColor rgb="FF1F3864"/>
      </patternFill>
    </fill>
    <fill>
      <patternFill patternType="solid">
        <fgColor rgb="FF1E5631"/>
        <bgColor rgb="FF145A32"/>
      </patternFill>
    </fill>
    <fill>
      <patternFill patternType="solid">
        <fgColor rgb="FFDEEAF1"/>
        <bgColor rgb="FFE2EFDA"/>
      </patternFill>
    </fill>
    <fill>
      <patternFill patternType="solid">
        <fgColor rgb="FFEBF5FB"/>
        <bgColor rgb="FFF2F2F2"/>
      </patternFill>
    </fill>
    <fill>
      <patternFill patternType="solid">
        <fgColor rgb="FFFADBD8"/>
        <bgColor rgb="FFFDEBD0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555555"/>
        <bgColor rgb="FF404040"/>
      </patternFill>
    </fill>
    <fill>
      <patternFill patternType="solid">
        <fgColor rgb="FFC0392B"/>
        <bgColor rgb="FF993366"/>
      </patternFill>
    </fill>
    <fill>
      <patternFill patternType="solid">
        <fgColor rgb="FFF2F2F2"/>
        <bgColor rgb="FFF5F5F5"/>
      </patternFill>
    </fill>
    <fill>
      <patternFill patternType="solid">
        <fgColor rgb="FF0D5C6B"/>
        <bgColor rgb="FF1A5276"/>
      </patternFill>
    </fill>
    <fill>
      <patternFill patternType="solid">
        <fgColor rgb="FF7B241C"/>
        <bgColor rgb="FF800000"/>
      </patternFill>
    </fill>
    <fill>
      <patternFill patternType="solid">
        <fgColor rgb="FF1A5276"/>
        <bgColor rgb="FF0D5C6B"/>
      </patternFill>
    </fill>
    <fill>
      <patternFill patternType="solid">
        <fgColor rgb="FF4A235B"/>
        <bgColor rgb="FF333333"/>
      </patternFill>
    </fill>
    <fill>
      <patternFill patternType="solid">
        <fgColor rgb="FF145A32"/>
        <bgColor rgb="FF1E5631"/>
      </patternFill>
    </fill>
    <fill>
      <patternFill patternType="solid">
        <fgColor rgb="FFD9D9D9"/>
        <bgColor rgb="FFDEEAF1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117A8B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2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45A32"/>
      <rgbColor rgb="FF000080"/>
      <rgbColor rgb="FF808000"/>
      <rgbColor rgb="FF800080"/>
      <rgbColor rgb="FF117A8B"/>
      <rgbColor rgb="FFD9D9D9"/>
      <rgbColor rgb="FF808080"/>
      <rgbColor rgb="FF888888"/>
      <rgbColor rgb="FFC0392B"/>
      <rgbColor rgb="FFFFF2CC"/>
      <rgbColor rgb="FFEBF5FB"/>
      <rgbColor rgb="FF4A235B"/>
      <rgbColor rgb="FFFF8080"/>
      <rgbColor rgb="FF1A5276"/>
      <rgbColor rgb="FFBDD7EE"/>
      <rgbColor rgb="FF000080"/>
      <rgbColor rgb="FFFF00FF"/>
      <rgbColor rgb="FFFFFF00"/>
      <rgbColor rgb="FF00FFFF"/>
      <rgbColor rgb="FF800080"/>
      <rgbColor rgb="FF800000"/>
      <rgbColor rgb="FF0D5C6B"/>
      <rgbColor rgb="FF0000FF"/>
      <rgbColor rgb="FF00CCFF"/>
      <rgbColor rgb="FFDEEAF1"/>
      <rgbColor rgb="FFE2EFDA"/>
      <rgbColor rgb="FFFDEBD0"/>
      <rgbColor rgb="FFF2F2F2"/>
      <rgbColor rgb="FFF5F5F5"/>
      <rgbColor rgb="FFCC99FF"/>
      <rgbColor rgb="FFFADBD8"/>
      <rgbColor rgb="FF2E75B6"/>
      <rgbColor rgb="FF33CCCC"/>
      <rgbColor rgb="FF99CC00"/>
      <rgbColor rgb="FFFFCC00"/>
      <rgbColor rgb="FFC9A227"/>
      <rgbColor rgb="FFE67E22"/>
      <rgbColor rgb="FF555555"/>
      <rgbColor rgb="FF999999"/>
      <rgbColor rgb="FF1F3864"/>
      <rgbColor rgb="FF339966"/>
      <rgbColor rgb="FF1E5631"/>
      <rgbColor rgb="FF404040"/>
      <rgbColor rgb="FF7B241C"/>
      <rgbColor rgb="FF993366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9" min="4" style="1" width="9"/>
    <col collapsed="false" customWidth="true" hidden="false" outlineLevel="0" max="10" min="10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25.5" hidden="false" customHeight="true" outlineLevel="0" collapsed="false">
      <c r="D5" s="6" t="s">
        <v>3</v>
      </c>
      <c r="E5" s="6"/>
      <c r="F5" s="6"/>
      <c r="G5" s="6"/>
      <c r="H5" s="6"/>
      <c r="I5" s="6"/>
      <c r="J5" s="7" t="s">
        <v>4</v>
      </c>
      <c r="K5" s="8" t="s">
        <v>5</v>
      </c>
      <c r="L5" s="8"/>
      <c r="M5" s="8"/>
      <c r="N5" s="9" t="s">
        <v>6</v>
      </c>
      <c r="O5" s="10" t="s">
        <v>7</v>
      </c>
    </row>
    <row r="6" customFormat="false" ht="49.5" hidden="false" customHeight="true" outlineLevel="0" collapsed="false">
      <c r="A6" s="11" t="s">
        <v>8</v>
      </c>
      <c r="B6" s="11" t="s">
        <v>9</v>
      </c>
      <c r="C6" s="11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12" t="s">
        <v>17</v>
      </c>
      <c r="K6" s="9" t="s">
        <v>18</v>
      </c>
      <c r="L6" s="9" t="s">
        <v>19</v>
      </c>
      <c r="M6" s="13" t="s">
        <v>20</v>
      </c>
      <c r="N6" s="13" t="s">
        <v>21</v>
      </c>
      <c r="O6" s="11" t="s">
        <v>22</v>
      </c>
    </row>
    <row r="7" customFormat="false" ht="24" hidden="false" customHeight="true" outlineLevel="0" collapsed="false">
      <c r="A7" s="14" t="n">
        <v>1</v>
      </c>
      <c r="B7" s="15" t="s">
        <v>23</v>
      </c>
      <c r="C7" s="16" t="s">
        <v>24</v>
      </c>
      <c r="D7" s="17" t="n">
        <v>118</v>
      </c>
      <c r="E7" s="17" t="n">
        <v>8</v>
      </c>
      <c r="F7" s="17" t="n">
        <v>0</v>
      </c>
      <c r="G7" s="17" t="n">
        <v>4</v>
      </c>
      <c r="H7" s="17" t="n">
        <v>0</v>
      </c>
      <c r="I7" s="18" t="n">
        <v>0</v>
      </c>
      <c r="J7" s="19" t="n">
        <f aca="false">D7+E7+F7+G7+H7-I7</f>
        <v>130</v>
      </c>
      <c r="K7" s="20" t="s">
        <v>25</v>
      </c>
      <c r="L7" s="20" t="s">
        <v>25</v>
      </c>
      <c r="M7" s="20" t="s">
        <v>25</v>
      </c>
      <c r="N7" s="20" t="s">
        <v>25</v>
      </c>
      <c r="O7" s="21" t="s">
        <v>26</v>
      </c>
    </row>
    <row r="8" customFormat="false" ht="24" hidden="false" customHeight="true" outlineLevel="0" collapsed="false">
      <c r="A8" s="14" t="n">
        <v>2</v>
      </c>
      <c r="B8" s="15" t="s">
        <v>27</v>
      </c>
      <c r="C8" s="16" t="s">
        <v>28</v>
      </c>
      <c r="D8" s="17" t="n">
        <v>115</v>
      </c>
      <c r="E8" s="17" t="n">
        <v>7</v>
      </c>
      <c r="F8" s="17" t="n">
        <v>0</v>
      </c>
      <c r="G8" s="17" t="n">
        <v>6</v>
      </c>
      <c r="H8" s="17" t="n">
        <v>2</v>
      </c>
      <c r="I8" s="18" t="n">
        <v>1</v>
      </c>
      <c r="J8" s="19" t="n">
        <f aca="false">D8+E8+F8+G8+H8-I8</f>
        <v>129</v>
      </c>
      <c r="K8" s="20" t="s">
        <v>25</v>
      </c>
      <c r="L8" s="20" t="s">
        <v>25</v>
      </c>
      <c r="M8" s="20" t="s">
        <v>25</v>
      </c>
      <c r="N8" s="20" t="s">
        <v>25</v>
      </c>
      <c r="O8" s="21" t="s">
        <v>26</v>
      </c>
    </row>
    <row r="9" customFormat="false" ht="24" hidden="false" customHeight="true" outlineLevel="0" collapsed="false">
      <c r="A9" s="14" t="n">
        <v>3</v>
      </c>
      <c r="B9" s="15" t="s">
        <v>29</v>
      </c>
      <c r="C9" s="16" t="s">
        <v>30</v>
      </c>
      <c r="D9" s="17" t="n">
        <v>112</v>
      </c>
      <c r="E9" s="17" t="n">
        <v>8</v>
      </c>
      <c r="F9" s="17" t="n">
        <v>0</v>
      </c>
      <c r="G9" s="17" t="n">
        <v>6</v>
      </c>
      <c r="H9" s="17" t="n">
        <v>3</v>
      </c>
      <c r="I9" s="18" t="n">
        <v>1</v>
      </c>
      <c r="J9" s="19" t="n">
        <f aca="false">D9+E9+F9+G9+H9-I9</f>
        <v>128</v>
      </c>
      <c r="K9" s="20" t="s">
        <v>25</v>
      </c>
      <c r="L9" s="20" t="s">
        <v>25</v>
      </c>
      <c r="M9" s="20" t="s">
        <v>25</v>
      </c>
      <c r="N9" s="20" t="s">
        <v>25</v>
      </c>
      <c r="O9" s="21" t="s">
        <v>26</v>
      </c>
    </row>
    <row r="10" customFormat="false" ht="24" hidden="false" customHeight="true" outlineLevel="0" collapsed="false">
      <c r="A10" s="14" t="n">
        <v>4</v>
      </c>
      <c r="B10" s="15" t="s">
        <v>31</v>
      </c>
      <c r="C10" s="16" t="s">
        <v>32</v>
      </c>
      <c r="D10" s="22" t="n">
        <v>106</v>
      </c>
      <c r="E10" s="22" t="n">
        <v>9</v>
      </c>
      <c r="F10" s="22" t="n">
        <v>0</v>
      </c>
      <c r="G10" s="22" t="n">
        <v>5</v>
      </c>
      <c r="H10" s="22" t="n">
        <v>4</v>
      </c>
      <c r="I10" s="18" t="n">
        <v>2</v>
      </c>
      <c r="J10" s="19" t="n">
        <f aca="false">D10+E10+F10+G10+H10-I10</f>
        <v>122</v>
      </c>
      <c r="K10" s="22" t="n">
        <v>80</v>
      </c>
      <c r="L10" s="22" t="n">
        <v>30</v>
      </c>
      <c r="M10" s="19" t="n">
        <f aca="false">K10+L10</f>
        <v>110</v>
      </c>
      <c r="N10" s="23" t="n">
        <f aca="false">IF(J10=0,0,M10/J10)</f>
        <v>0.901639344262295</v>
      </c>
      <c r="O10" s="24" t="s">
        <v>33</v>
      </c>
    </row>
    <row r="11" customFormat="false" ht="24" hidden="false" customHeight="true" outlineLevel="0" collapsed="false">
      <c r="A11" s="14" t="n">
        <v>5</v>
      </c>
      <c r="B11" s="15" t="s">
        <v>34</v>
      </c>
      <c r="C11" s="16" t="s">
        <v>35</v>
      </c>
      <c r="D11" s="22" t="n">
        <v>101</v>
      </c>
      <c r="E11" s="22" t="n">
        <v>10</v>
      </c>
      <c r="F11" s="22" t="n">
        <v>0</v>
      </c>
      <c r="G11" s="22" t="n">
        <v>5</v>
      </c>
      <c r="H11" s="22" t="n">
        <v>4</v>
      </c>
      <c r="I11" s="18" t="n">
        <v>2</v>
      </c>
      <c r="J11" s="19" t="n">
        <f aca="false">D11+E11+F11+G11+H11-I11</f>
        <v>118</v>
      </c>
      <c r="K11" s="22" t="n">
        <v>90</v>
      </c>
      <c r="L11" s="22" t="n">
        <v>20</v>
      </c>
      <c r="M11" s="19" t="n">
        <f aca="false">K11+L11</f>
        <v>110</v>
      </c>
      <c r="N11" s="23" t="n">
        <f aca="false">IF(J11=0,0,M11/J11)</f>
        <v>0.932203389830508</v>
      </c>
      <c r="O11" s="24" t="s">
        <v>33</v>
      </c>
    </row>
    <row r="12" customFormat="false" ht="24" hidden="false" customHeight="true" outlineLevel="0" collapsed="false">
      <c r="A12" s="14" t="n">
        <v>6</v>
      </c>
      <c r="B12" s="15" t="s">
        <v>36</v>
      </c>
      <c r="C12" s="16" t="s">
        <v>37</v>
      </c>
      <c r="D12" s="22" t="n">
        <v>103</v>
      </c>
      <c r="E12" s="22" t="n">
        <v>9</v>
      </c>
      <c r="F12" s="22" t="n">
        <v>0</v>
      </c>
      <c r="G12" s="22" t="n">
        <v>6</v>
      </c>
      <c r="H12" s="22" t="n">
        <v>4</v>
      </c>
      <c r="I12" s="18" t="n">
        <v>2</v>
      </c>
      <c r="J12" s="19" t="n">
        <f aca="false">D12+E12+F12+G12+H12-I12</f>
        <v>120</v>
      </c>
      <c r="K12" s="22" t="n">
        <v>85</v>
      </c>
      <c r="L12" s="22" t="n">
        <v>25</v>
      </c>
      <c r="M12" s="19" t="n">
        <f aca="false">K12+L12</f>
        <v>110</v>
      </c>
      <c r="N12" s="23" t="n">
        <f aca="false">IF(J12=0,0,M12/J12)</f>
        <v>0.916666666666667</v>
      </c>
      <c r="O12" s="24" t="s">
        <v>33</v>
      </c>
    </row>
    <row r="13" customFormat="false" ht="24" hidden="false" customHeight="true" outlineLevel="0" collapsed="false">
      <c r="A13" s="14" t="n">
        <v>7</v>
      </c>
      <c r="B13" s="15" t="s">
        <v>38</v>
      </c>
      <c r="C13" s="16" t="s">
        <v>39</v>
      </c>
      <c r="D13" s="22" t="n">
        <v>97</v>
      </c>
      <c r="E13" s="22" t="n">
        <v>10</v>
      </c>
      <c r="F13" s="22" t="n">
        <v>0</v>
      </c>
      <c r="G13" s="22" t="n">
        <v>6</v>
      </c>
      <c r="H13" s="22" t="n">
        <v>4</v>
      </c>
      <c r="I13" s="18" t="n">
        <v>2</v>
      </c>
      <c r="J13" s="19" t="n">
        <f aca="false">D13+E13+F13+G13+H13-I13</f>
        <v>115</v>
      </c>
      <c r="K13" s="22" t="n">
        <v>82</v>
      </c>
      <c r="L13" s="22" t="n">
        <v>28</v>
      </c>
      <c r="M13" s="19" t="n">
        <f aca="false">K13+L13</f>
        <v>110</v>
      </c>
      <c r="N13" s="23" t="n">
        <f aca="false">IF(J13=0,0,M13/J13)</f>
        <v>0.956521739130435</v>
      </c>
      <c r="O13" s="24" t="s">
        <v>33</v>
      </c>
    </row>
    <row r="14" customFormat="false" ht="24" hidden="false" customHeight="true" outlineLevel="0" collapsed="false">
      <c r="A14" s="25" t="s">
        <v>40</v>
      </c>
      <c r="B14" s="25"/>
      <c r="C14" s="25"/>
      <c r="D14" s="26" t="n">
        <f aca="false">SUM(D7:D13)</f>
        <v>752</v>
      </c>
      <c r="E14" s="26" t="n">
        <f aca="false">SUM(E7:E13)</f>
        <v>61</v>
      </c>
      <c r="F14" s="26" t="n">
        <f aca="false">SUM(F7:F13)</f>
        <v>0</v>
      </c>
      <c r="G14" s="26" t="n">
        <f aca="false">SUM(G7:G13)</f>
        <v>38</v>
      </c>
      <c r="H14" s="26" t="n">
        <f aca="false">SUM(H7:H13)</f>
        <v>21</v>
      </c>
      <c r="I14" s="26" t="n">
        <f aca="false">SUM(I7:I13)</f>
        <v>10</v>
      </c>
      <c r="J14" s="27" t="n">
        <f aca="false">SUM(J7:J13)</f>
        <v>862</v>
      </c>
      <c r="K14" s="28" t="n">
        <f aca="false">SUM(K10:K13)</f>
        <v>337</v>
      </c>
      <c r="L14" s="28" t="n">
        <f aca="false">SUM(L10:L13)</f>
        <v>103</v>
      </c>
      <c r="M14" s="29" t="n">
        <f aca="false">SUM(M10:M13)</f>
        <v>440</v>
      </c>
      <c r="N14" s="30" t="n">
        <f aca="false">IF(SUM(J10:J13)=0,0,SUM(M10:M13)/SUM(J10:J13))</f>
        <v>0.926315789473684</v>
      </c>
      <c r="O14" s="31" t="s">
        <v>41</v>
      </c>
    </row>
    <row r="16" customFormat="false" ht="19.5" hidden="false" customHeight="true" outlineLevel="0" collapsed="false">
      <c r="A16" s="32" t="s">
        <v>42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customFormat="false" ht="37.5" hidden="false" customHeight="true" outlineLevel="0" collapsed="false">
      <c r="A17" s="33" t="s">
        <v>43</v>
      </c>
      <c r="B17" s="33" t="s">
        <v>44</v>
      </c>
      <c r="C17" s="33" t="s">
        <v>45</v>
      </c>
      <c r="D17" s="33" t="s">
        <v>46</v>
      </c>
      <c r="E17" s="33" t="s">
        <v>47</v>
      </c>
      <c r="F17" s="33" t="s">
        <v>48</v>
      </c>
      <c r="G17" s="33" t="s">
        <v>49</v>
      </c>
      <c r="H17" s="33" t="s">
        <v>50</v>
      </c>
      <c r="I17" s="33" t="s">
        <v>51</v>
      </c>
      <c r="J17" s="33" t="s">
        <v>52</v>
      </c>
      <c r="K17" s="33" t="s">
        <v>53</v>
      </c>
      <c r="L17" s="34" t="s">
        <v>25</v>
      </c>
      <c r="M17" s="34" t="s">
        <v>25</v>
      </c>
      <c r="N17" s="34" t="s">
        <v>25</v>
      </c>
      <c r="O17" s="34" t="s">
        <v>25</v>
      </c>
    </row>
    <row r="18" customFormat="false" ht="21.75" hidden="false" customHeight="true" outlineLevel="0" collapsed="false">
      <c r="A18" s="15" t="s">
        <v>31</v>
      </c>
      <c r="B18" s="16" t="s">
        <v>32</v>
      </c>
      <c r="C18" s="35" t="n">
        <f aca="false">J10</f>
        <v>122</v>
      </c>
      <c r="D18" s="19" t="n">
        <f aca="false">M10</f>
        <v>110</v>
      </c>
      <c r="E18" s="36" t="n">
        <f aca="false">N10</f>
        <v>0.901639344262295</v>
      </c>
      <c r="F18" s="37" t="n">
        <f aca="false">K10</f>
        <v>80</v>
      </c>
      <c r="G18" s="37" t="n">
        <f aca="false">L10</f>
        <v>30</v>
      </c>
      <c r="H18" s="38" t="n">
        <f aca="false">IF(M10=0,0,L10/M10)</f>
        <v>0.272727272727273</v>
      </c>
      <c r="I18" s="39" t="n">
        <f aca="false">J10-M10</f>
        <v>12</v>
      </c>
      <c r="J18" s="40" t="n">
        <f aca="false">IF(J10=0,0,(J10-M10)/J10)</f>
        <v>0.0983606557377049</v>
      </c>
      <c r="K18" s="41" t="s">
        <v>54</v>
      </c>
      <c r="L18" s="42"/>
      <c r="M18" s="42"/>
      <c r="N18" s="42"/>
      <c r="O18" s="42"/>
    </row>
    <row r="19" customFormat="false" ht="21.75" hidden="false" customHeight="true" outlineLevel="0" collapsed="false">
      <c r="A19" s="15" t="s">
        <v>34</v>
      </c>
      <c r="B19" s="16" t="s">
        <v>35</v>
      </c>
      <c r="C19" s="35" t="n">
        <f aca="false">J11</f>
        <v>118</v>
      </c>
      <c r="D19" s="19" t="n">
        <f aca="false">M11</f>
        <v>110</v>
      </c>
      <c r="E19" s="36" t="n">
        <f aca="false">N11</f>
        <v>0.932203389830508</v>
      </c>
      <c r="F19" s="37" t="n">
        <f aca="false">K11</f>
        <v>90</v>
      </c>
      <c r="G19" s="37" t="n">
        <f aca="false">L11</f>
        <v>20</v>
      </c>
      <c r="H19" s="38" t="n">
        <f aca="false">IF(M11=0,0,L11/M11)</f>
        <v>0.181818181818182</v>
      </c>
      <c r="I19" s="39" t="n">
        <f aca="false">J11-M11</f>
        <v>8</v>
      </c>
      <c r="J19" s="40" t="n">
        <f aca="false">IF(J11=0,0,(J11-M11)/J11)</f>
        <v>0.0677966101694915</v>
      </c>
      <c r="K19" s="43" t="str">
        <f aca="false">IF(E19&gt;E18,"▲ Improving",IF(E19&lt;E18,"▼ Declining","→ Stable"))</f>
        <v>▲ Improving</v>
      </c>
      <c r="L19" s="42"/>
      <c r="M19" s="42"/>
      <c r="N19" s="42"/>
      <c r="O19" s="42"/>
    </row>
    <row r="20" customFormat="false" ht="21.75" hidden="false" customHeight="true" outlineLevel="0" collapsed="false">
      <c r="A20" s="15" t="s">
        <v>36</v>
      </c>
      <c r="B20" s="16" t="s">
        <v>37</v>
      </c>
      <c r="C20" s="35" t="n">
        <f aca="false">J12</f>
        <v>120</v>
      </c>
      <c r="D20" s="19" t="n">
        <f aca="false">M12</f>
        <v>110</v>
      </c>
      <c r="E20" s="36" t="n">
        <f aca="false">N12</f>
        <v>0.916666666666667</v>
      </c>
      <c r="F20" s="37" t="n">
        <f aca="false">K12</f>
        <v>85</v>
      </c>
      <c r="G20" s="37" t="n">
        <f aca="false">L12</f>
        <v>25</v>
      </c>
      <c r="H20" s="38" t="n">
        <f aca="false">IF(M12=0,0,L12/M12)</f>
        <v>0.227272727272727</v>
      </c>
      <c r="I20" s="39" t="n">
        <f aca="false">J12-M12</f>
        <v>10</v>
      </c>
      <c r="J20" s="40" t="n">
        <f aca="false">IF(J12=0,0,(J12-M12)/J12)</f>
        <v>0.0833333333333333</v>
      </c>
      <c r="K20" s="43" t="str">
        <f aca="false">IF(E20&gt;E19,"▲ Improving",IF(E20&lt;E19,"▼ Declining","→ Stable"))</f>
        <v>▼ Declining</v>
      </c>
      <c r="L20" s="42"/>
      <c r="M20" s="42"/>
      <c r="N20" s="42"/>
      <c r="O20" s="42"/>
    </row>
    <row r="21" customFormat="false" ht="21.75" hidden="false" customHeight="true" outlineLevel="0" collapsed="false">
      <c r="A21" s="15" t="s">
        <v>38</v>
      </c>
      <c r="B21" s="16" t="s">
        <v>39</v>
      </c>
      <c r="C21" s="35" t="n">
        <f aca="false">J13</f>
        <v>115</v>
      </c>
      <c r="D21" s="19" t="n">
        <f aca="false">M13</f>
        <v>110</v>
      </c>
      <c r="E21" s="36" t="n">
        <f aca="false">N13</f>
        <v>0.956521739130435</v>
      </c>
      <c r="F21" s="37" t="n">
        <f aca="false">K13</f>
        <v>82</v>
      </c>
      <c r="G21" s="37" t="n">
        <f aca="false">L13</f>
        <v>28</v>
      </c>
      <c r="H21" s="38" t="n">
        <f aca="false">IF(M13=0,0,L13/M13)</f>
        <v>0.254545454545455</v>
      </c>
      <c r="I21" s="39" t="n">
        <f aca="false">J13-M13</f>
        <v>5</v>
      </c>
      <c r="J21" s="40" t="n">
        <f aca="false">IF(J13=0,0,(J13-M13)/J13)</f>
        <v>0.0434782608695652</v>
      </c>
      <c r="K21" s="43" t="str">
        <f aca="false">IF(E21&gt;E20,"▲ Improving",IF(E21&lt;E20,"▼ Declining","→ Stable"))</f>
        <v>▲ Improving</v>
      </c>
      <c r="L21" s="42"/>
      <c r="M21" s="42"/>
      <c r="N21" s="42"/>
      <c r="O21" s="42"/>
    </row>
    <row r="22" customFormat="false" ht="21.75" hidden="false" customHeight="true" outlineLevel="0" collapsed="false"/>
    <row r="23" customFormat="false" ht="15.75" hidden="false" customHeight="true" outlineLevel="0" collapsed="false">
      <c r="A23" s="44" t="s">
        <v>55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customFormat="false" ht="15.75" hidden="false" customHeight="true" outlineLevel="0" collapsed="false">
      <c r="A24" s="45" t="s">
        <v>56</v>
      </c>
      <c r="B24" s="46" t="s">
        <v>57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customFormat="false" ht="15.75" hidden="false" customHeight="true" outlineLevel="0" collapsed="false">
      <c r="A25" s="47" t="s">
        <v>58</v>
      </c>
      <c r="B25" s="46" t="s">
        <v>59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customFormat="false" ht="15.75" hidden="false" customHeight="true" outlineLevel="0" collapsed="false">
      <c r="A26" s="48" t="s">
        <v>60</v>
      </c>
      <c r="B26" s="46" t="s">
        <v>61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customFormat="false" ht="15.75" hidden="false" customHeight="true" outlineLevel="0" collapsed="false">
      <c r="A27" s="49" t="s">
        <v>62</v>
      </c>
      <c r="B27" s="46" t="s">
        <v>63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customFormat="false" ht="15.75" hidden="false" customHeight="true" outlineLevel="0" collapsed="false">
      <c r="A28" s="50" t="s">
        <v>64</v>
      </c>
      <c r="B28" s="46" t="s">
        <v>65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</row>
  </sheetData>
  <mergeCells count="14">
    <mergeCell ref="A1:O1"/>
    <mergeCell ref="A2:O2"/>
    <mergeCell ref="A3:O3"/>
    <mergeCell ref="A4:O4"/>
    <mergeCell ref="D5:I5"/>
    <mergeCell ref="K5:M5"/>
    <mergeCell ref="A14:C14"/>
    <mergeCell ref="A16:O16"/>
    <mergeCell ref="A23:O23"/>
    <mergeCell ref="B24:O24"/>
    <mergeCell ref="B25:O25"/>
    <mergeCell ref="B26:O26"/>
    <mergeCell ref="B27:O27"/>
    <mergeCell ref="B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10" min="4" style="1" width="10"/>
    <col collapsed="false" customWidth="true" hidden="false" outlineLevel="0" max="11" min="11" style="1" width="24"/>
  </cols>
  <sheetData>
    <row r="1" customFormat="false" ht="27.75" hidden="false" customHeight="true" outlineLevel="0" collapsed="false">
      <c r="A1" s="51" t="s">
        <v>66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18" hidden="false" customHeight="true" outlineLevel="0" collapsed="false">
      <c r="A2" s="52" t="s">
        <v>67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customFormat="false" ht="7.5" hidden="false" customHeight="true" outlineLevel="0" collapsed="false">
      <c r="A3" s="53"/>
    </row>
    <row r="4" customFormat="false" ht="43.5" hidden="false" customHeight="true" outlineLevel="0" collapsed="false">
      <c r="A4" s="11" t="s">
        <v>8</v>
      </c>
      <c r="B4" s="11" t="s">
        <v>43</v>
      </c>
      <c r="C4" s="11" t="s">
        <v>44</v>
      </c>
      <c r="D4" s="7" t="s">
        <v>68</v>
      </c>
      <c r="E4" s="7" t="s">
        <v>69</v>
      </c>
      <c r="F4" s="7" t="s">
        <v>70</v>
      </c>
      <c r="G4" s="7" t="s">
        <v>71</v>
      </c>
      <c r="H4" s="9" t="s">
        <v>72</v>
      </c>
      <c r="I4" s="54" t="s">
        <v>73</v>
      </c>
      <c r="J4" s="12" t="s">
        <v>74</v>
      </c>
      <c r="K4" s="11" t="s">
        <v>75</v>
      </c>
    </row>
    <row r="5" customFormat="false" ht="21.75" hidden="false" customHeight="true" outlineLevel="0" collapsed="false">
      <c r="A5" s="14" t="n">
        <v>1</v>
      </c>
      <c r="B5" s="15" t="s">
        <v>23</v>
      </c>
      <c r="C5" s="16" t="s">
        <v>24</v>
      </c>
      <c r="D5" s="17" t="n">
        <v>118</v>
      </c>
      <c r="E5" s="17" t="n">
        <v>8</v>
      </c>
      <c r="F5" s="17" t="n">
        <v>0</v>
      </c>
      <c r="G5" s="17" t="n">
        <v>4</v>
      </c>
      <c r="H5" s="22" t="n">
        <v>0</v>
      </c>
      <c r="I5" s="39" t="n">
        <v>0</v>
      </c>
      <c r="J5" s="19" t="n">
        <f aca="false">D5+E5+F5+G5+H5-I5</f>
        <v>130</v>
      </c>
      <c r="K5" s="55" t="s">
        <v>76</v>
      </c>
    </row>
    <row r="6" customFormat="false" ht="21.75" hidden="false" customHeight="true" outlineLevel="0" collapsed="false">
      <c r="A6" s="14" t="n">
        <v>2</v>
      </c>
      <c r="B6" s="15" t="s">
        <v>27</v>
      </c>
      <c r="C6" s="16" t="s">
        <v>28</v>
      </c>
      <c r="D6" s="17" t="n">
        <v>115</v>
      </c>
      <c r="E6" s="17" t="n">
        <v>7</v>
      </c>
      <c r="F6" s="17" t="n">
        <v>0</v>
      </c>
      <c r="G6" s="17" t="n">
        <v>6</v>
      </c>
      <c r="H6" s="22" t="n">
        <v>2</v>
      </c>
      <c r="I6" s="39" t="n">
        <v>1</v>
      </c>
      <c r="J6" s="19" t="n">
        <f aca="false">D6+E6+F6+G6+H6-I6</f>
        <v>129</v>
      </c>
      <c r="K6" s="55" t="s">
        <v>77</v>
      </c>
    </row>
    <row r="7" customFormat="false" ht="21.75" hidden="false" customHeight="true" outlineLevel="0" collapsed="false">
      <c r="A7" s="14" t="n">
        <v>3</v>
      </c>
      <c r="B7" s="15" t="s">
        <v>29</v>
      </c>
      <c r="C7" s="16" t="s">
        <v>30</v>
      </c>
      <c r="D7" s="17" t="n">
        <v>112</v>
      </c>
      <c r="E7" s="17" t="n">
        <v>8</v>
      </c>
      <c r="F7" s="17" t="n">
        <v>0</v>
      </c>
      <c r="G7" s="17" t="n">
        <v>6</v>
      </c>
      <c r="H7" s="22" t="n">
        <v>3</v>
      </c>
      <c r="I7" s="39" t="n">
        <v>1</v>
      </c>
      <c r="J7" s="19" t="n">
        <f aca="false">D7+E7+F7+G7+H7-I7</f>
        <v>128</v>
      </c>
      <c r="K7" s="55" t="s">
        <v>78</v>
      </c>
    </row>
    <row r="8" customFormat="false" ht="21.75" hidden="false" customHeight="true" outlineLevel="0" collapsed="false">
      <c r="A8" s="14" t="n">
        <v>4</v>
      </c>
      <c r="B8" s="15" t="s">
        <v>31</v>
      </c>
      <c r="C8" s="16" t="s">
        <v>32</v>
      </c>
      <c r="D8" s="56" t="n">
        <v>106</v>
      </c>
      <c r="E8" s="56" t="n">
        <v>9</v>
      </c>
      <c r="F8" s="56" t="n">
        <v>0</v>
      </c>
      <c r="G8" s="56" t="n">
        <v>5</v>
      </c>
      <c r="H8" s="22" t="n">
        <v>4</v>
      </c>
      <c r="I8" s="39" t="n">
        <v>2</v>
      </c>
      <c r="J8" s="19" t="n">
        <f aca="false">D8+E8+F8+G8+H8-I8</f>
        <v>122</v>
      </c>
      <c r="K8" s="55" t="s">
        <v>79</v>
      </c>
    </row>
    <row r="9" customFormat="false" ht="21.75" hidden="false" customHeight="true" outlineLevel="0" collapsed="false">
      <c r="A9" s="14" t="n">
        <v>5</v>
      </c>
      <c r="B9" s="15" t="s">
        <v>34</v>
      </c>
      <c r="C9" s="16" t="s">
        <v>35</v>
      </c>
      <c r="D9" s="56" t="n">
        <v>101</v>
      </c>
      <c r="E9" s="56" t="n">
        <v>10</v>
      </c>
      <c r="F9" s="56" t="n">
        <v>0</v>
      </c>
      <c r="G9" s="56" t="n">
        <v>5</v>
      </c>
      <c r="H9" s="22" t="n">
        <v>4</v>
      </c>
      <c r="I9" s="39" t="n">
        <v>2</v>
      </c>
      <c r="J9" s="19" t="n">
        <f aca="false">D9+E9+F9+G9+H9-I9</f>
        <v>118</v>
      </c>
      <c r="K9" s="55" t="s">
        <v>80</v>
      </c>
    </row>
    <row r="10" customFormat="false" ht="21.75" hidden="false" customHeight="true" outlineLevel="0" collapsed="false">
      <c r="A10" s="14" t="n">
        <v>6</v>
      </c>
      <c r="B10" s="15" t="s">
        <v>36</v>
      </c>
      <c r="C10" s="16" t="s">
        <v>37</v>
      </c>
      <c r="D10" s="56" t="n">
        <v>103</v>
      </c>
      <c r="E10" s="56" t="n">
        <v>9</v>
      </c>
      <c r="F10" s="56" t="n">
        <v>0</v>
      </c>
      <c r="G10" s="56" t="n">
        <v>6</v>
      </c>
      <c r="H10" s="22" t="n">
        <v>4</v>
      </c>
      <c r="I10" s="39" t="n">
        <v>2</v>
      </c>
      <c r="J10" s="19" t="n">
        <f aca="false">D10+E10+F10+G10+H10-I10</f>
        <v>120</v>
      </c>
      <c r="K10" s="55" t="s">
        <v>81</v>
      </c>
    </row>
    <row r="11" customFormat="false" ht="21.75" hidden="false" customHeight="true" outlineLevel="0" collapsed="false">
      <c r="A11" s="14" t="n">
        <v>7</v>
      </c>
      <c r="B11" s="15" t="s">
        <v>38</v>
      </c>
      <c r="C11" s="16" t="s">
        <v>39</v>
      </c>
      <c r="D11" s="56" t="n">
        <v>97</v>
      </c>
      <c r="E11" s="56" t="n">
        <v>10</v>
      </c>
      <c r="F11" s="56" t="n">
        <v>0</v>
      </c>
      <c r="G11" s="56" t="n">
        <v>6</v>
      </c>
      <c r="H11" s="22" t="n">
        <v>4</v>
      </c>
      <c r="I11" s="39" t="n">
        <v>2</v>
      </c>
      <c r="J11" s="19" t="n">
        <f aca="false">D11+E11+F11+G11+H11-I11</f>
        <v>115</v>
      </c>
      <c r="K11" s="55" t="s">
        <v>82</v>
      </c>
    </row>
    <row r="12" customFormat="false" ht="21.75" hidden="false" customHeight="true" outlineLevel="0" collapsed="false">
      <c r="A12" s="57" t="s">
        <v>83</v>
      </c>
      <c r="B12" s="57"/>
      <c r="C12" s="57"/>
      <c r="D12" s="26" t="n">
        <f aca="false">SUM(D5:D11)</f>
        <v>752</v>
      </c>
      <c r="E12" s="26" t="n">
        <f aca="false">SUM(E5:E11)</f>
        <v>61</v>
      </c>
      <c r="F12" s="26" t="n">
        <f aca="false">SUM(F5:F11)</f>
        <v>0</v>
      </c>
      <c r="G12" s="26" t="n">
        <f aca="false">SUM(G5:G11)</f>
        <v>38</v>
      </c>
      <c r="H12" s="28" t="n">
        <f aca="false">SUM(H5:H11)</f>
        <v>21</v>
      </c>
      <c r="I12" s="58" t="n">
        <f aca="false">SUM(I5:I11)</f>
        <v>10</v>
      </c>
      <c r="J12" s="27" t="n">
        <f aca="false">SUM(J5:J11)</f>
        <v>862</v>
      </c>
      <c r="K12" s="59" t="s">
        <v>84</v>
      </c>
    </row>
    <row r="14" customFormat="false" ht="19.5" hidden="false" customHeight="true" outlineLevel="0" collapsed="false">
      <c r="A14" s="32" t="s">
        <v>85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customFormat="false" ht="19.5" hidden="false" customHeight="true" outlineLevel="0" collapsed="false">
      <c r="A15" s="60" t="s">
        <v>86</v>
      </c>
      <c r="B15" s="60" t="s">
        <v>87</v>
      </c>
      <c r="C15" s="60"/>
      <c r="D15" s="60" t="s">
        <v>88</v>
      </c>
      <c r="E15" s="60"/>
      <c r="F15" s="60"/>
      <c r="G15" s="60"/>
      <c r="H15" s="60" t="s">
        <v>89</v>
      </c>
      <c r="I15" s="60"/>
      <c r="J15" s="60"/>
      <c r="K15" s="60" t="s">
        <v>25</v>
      </c>
    </row>
    <row r="16" customFormat="false" ht="30" hidden="false" customHeight="true" outlineLevel="0" collapsed="false">
      <c r="A16" s="14" t="s">
        <v>90</v>
      </c>
      <c r="B16" s="61" t="s">
        <v>91</v>
      </c>
      <c r="C16" s="61"/>
      <c r="D16" s="62" t="s">
        <v>92</v>
      </c>
      <c r="E16" s="62"/>
      <c r="F16" s="62"/>
      <c r="G16" s="62"/>
      <c r="H16" s="63" t="s">
        <v>93</v>
      </c>
      <c r="I16" s="63"/>
      <c r="J16" s="63"/>
    </row>
    <row r="17" customFormat="false" ht="30" hidden="false" customHeight="true" outlineLevel="0" collapsed="false">
      <c r="A17" s="14" t="s">
        <v>94</v>
      </c>
      <c r="B17" s="61" t="s">
        <v>95</v>
      </c>
      <c r="C17" s="61"/>
      <c r="D17" s="62" t="s">
        <v>96</v>
      </c>
      <c r="E17" s="62"/>
      <c r="F17" s="62"/>
      <c r="G17" s="62"/>
      <c r="H17" s="63" t="s">
        <v>97</v>
      </c>
      <c r="I17" s="63"/>
      <c r="J17" s="63"/>
    </row>
    <row r="18" customFormat="false" ht="30" hidden="false" customHeight="true" outlineLevel="0" collapsed="false">
      <c r="A18" s="14" t="s">
        <v>98</v>
      </c>
      <c r="B18" s="64" t="s">
        <v>99</v>
      </c>
      <c r="C18" s="64"/>
      <c r="D18" s="65" t="s">
        <v>100</v>
      </c>
      <c r="E18" s="65"/>
      <c r="F18" s="65"/>
      <c r="G18" s="65"/>
      <c r="H18" s="63" t="s">
        <v>101</v>
      </c>
      <c r="I18" s="63"/>
      <c r="J18" s="63"/>
    </row>
    <row r="19" customFormat="false" ht="30" hidden="false" customHeight="true" outlineLevel="0" collapsed="false">
      <c r="A19" s="14" t="s">
        <v>102</v>
      </c>
      <c r="B19" s="61" t="s">
        <v>103</v>
      </c>
      <c r="C19" s="61"/>
      <c r="D19" s="62" t="s">
        <v>104</v>
      </c>
      <c r="E19" s="62"/>
      <c r="F19" s="62"/>
      <c r="G19" s="62"/>
      <c r="H19" s="63" t="s">
        <v>105</v>
      </c>
      <c r="I19" s="63"/>
      <c r="J19" s="63"/>
    </row>
    <row r="20" customFormat="false" ht="30" hidden="false" customHeight="true" outlineLevel="0" collapsed="false">
      <c r="A20" s="14" t="s">
        <v>106</v>
      </c>
      <c r="B20" s="66" t="s">
        <v>107</v>
      </c>
      <c r="C20" s="66"/>
      <c r="D20" s="67" t="s">
        <v>108</v>
      </c>
      <c r="E20" s="67"/>
      <c r="F20" s="67"/>
      <c r="G20" s="67"/>
      <c r="H20" s="63" t="s">
        <v>109</v>
      </c>
      <c r="I20" s="63"/>
      <c r="J20" s="63"/>
    </row>
    <row r="21" customFormat="false" ht="30" hidden="false" customHeight="true" outlineLevel="0" collapsed="false">
      <c r="A21" s="14" t="s">
        <v>110</v>
      </c>
      <c r="B21" s="68" t="s">
        <v>111</v>
      </c>
      <c r="C21" s="68"/>
      <c r="D21" s="69" t="s">
        <v>112</v>
      </c>
      <c r="E21" s="69"/>
      <c r="F21" s="69"/>
      <c r="G21" s="69"/>
      <c r="H21" s="63" t="s">
        <v>113</v>
      </c>
      <c r="I21" s="63"/>
      <c r="J21" s="63"/>
    </row>
  </sheetData>
  <mergeCells count="25">
    <mergeCell ref="A1:K1"/>
    <mergeCell ref="A2:K2"/>
    <mergeCell ref="A12:C12"/>
    <mergeCell ref="A14:K14"/>
    <mergeCell ref="B15:C15"/>
    <mergeCell ref="D15:G15"/>
    <mergeCell ref="H15:J15"/>
    <mergeCell ref="B16:C16"/>
    <mergeCell ref="D16:G16"/>
    <mergeCell ref="H16:J16"/>
    <mergeCell ref="B17:C17"/>
    <mergeCell ref="D17:G17"/>
    <mergeCell ref="H17:J17"/>
    <mergeCell ref="B18:C18"/>
    <mergeCell ref="D18:G18"/>
    <mergeCell ref="H18:J18"/>
    <mergeCell ref="B19:C19"/>
    <mergeCell ref="D19:G19"/>
    <mergeCell ref="H19:J19"/>
    <mergeCell ref="B20:C20"/>
    <mergeCell ref="D20:G20"/>
    <mergeCell ref="H20:J20"/>
    <mergeCell ref="B21:C21"/>
    <mergeCell ref="D21:G21"/>
    <mergeCell ref="H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631"/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8" min="3" style="1" width="14"/>
    <col collapsed="false" customWidth="true" hidden="false" outlineLevel="0" max="9" min="9" style="1" width="20"/>
  </cols>
  <sheetData>
    <row r="1" customFormat="false" ht="27.75" hidden="false" customHeight="true" outlineLevel="0" collapsed="false">
      <c r="A1" s="51" t="s">
        <v>114</v>
      </c>
      <c r="B1" s="51"/>
      <c r="C1" s="51"/>
      <c r="D1" s="51"/>
      <c r="E1" s="51"/>
      <c r="F1" s="51"/>
      <c r="G1" s="51"/>
      <c r="H1" s="51"/>
      <c r="I1" s="51"/>
    </row>
    <row r="2" customFormat="false" ht="18" hidden="false" customHeight="true" outlineLevel="0" collapsed="false">
      <c r="A2" s="52" t="s">
        <v>115</v>
      </c>
      <c r="B2" s="52"/>
      <c r="C2" s="52"/>
      <c r="D2" s="52"/>
      <c r="E2" s="52"/>
      <c r="F2" s="52"/>
      <c r="G2" s="52"/>
      <c r="H2" s="52"/>
      <c r="I2" s="52"/>
    </row>
    <row r="3" customFormat="false" ht="7.5" hidden="false" customHeight="true" outlineLevel="0" collapsed="false"/>
    <row r="4" customFormat="false" ht="37.5" hidden="false" customHeight="true" outlineLevel="0" collapsed="false">
      <c r="A4" s="11" t="s">
        <v>8</v>
      </c>
      <c r="B4" s="11" t="s">
        <v>116</v>
      </c>
      <c r="C4" s="12" t="s">
        <v>117</v>
      </c>
      <c r="D4" s="12" t="s">
        <v>118</v>
      </c>
      <c r="E4" s="12" t="s">
        <v>119</v>
      </c>
      <c r="F4" s="9" t="s">
        <v>120</v>
      </c>
      <c r="G4" s="9" t="s">
        <v>121</v>
      </c>
      <c r="H4" s="54" t="s">
        <v>122</v>
      </c>
      <c r="I4" s="33" t="s">
        <v>123</v>
      </c>
    </row>
    <row r="5" customFormat="false" ht="21.75" hidden="false" customHeight="true" outlineLevel="0" collapsed="false">
      <c r="A5" s="14" t="s">
        <v>124</v>
      </c>
      <c r="B5" s="70" t="s">
        <v>125</v>
      </c>
      <c r="C5" s="71" t="n">
        <f aca="false">Graduation_Performance!J11</f>
        <v>118</v>
      </c>
      <c r="D5" s="71" t="n">
        <f aca="false">Graduation_Performance!J12</f>
        <v>120</v>
      </c>
      <c r="E5" s="71" t="n">
        <f aca="false">Graduation_Performance!J13</f>
        <v>115</v>
      </c>
      <c r="F5" s="72" t="n">
        <f aca="false">AVERAGE(C5:E5)</f>
        <v>117.666666666667</v>
      </c>
      <c r="G5" s="73" t="n">
        <f aca="false">MAX(C5:E5)</f>
        <v>120</v>
      </c>
      <c r="H5" s="74" t="n">
        <f aca="false">MIN(C5:E5)</f>
        <v>115</v>
      </c>
      <c r="I5" s="41" t="s">
        <v>25</v>
      </c>
    </row>
    <row r="6" customFormat="false" ht="21.75" hidden="false" customHeight="true" outlineLevel="0" collapsed="false">
      <c r="A6" s="14" t="s">
        <v>126</v>
      </c>
      <c r="B6" s="70" t="s">
        <v>127</v>
      </c>
      <c r="C6" s="71" t="n">
        <f aca="false">Graduation_Performance!K11</f>
        <v>90</v>
      </c>
      <c r="D6" s="71" t="n">
        <f aca="false">Graduation_Performance!K12</f>
        <v>85</v>
      </c>
      <c r="E6" s="71" t="n">
        <f aca="false">Graduation_Performance!K13</f>
        <v>82</v>
      </c>
      <c r="F6" s="72" t="n">
        <f aca="false">AVERAGE(C6:E6)</f>
        <v>85.6666666666667</v>
      </c>
      <c r="G6" s="73" t="n">
        <f aca="false">MIN(C6:E6)</f>
        <v>82</v>
      </c>
      <c r="H6" s="74" t="n">
        <f aca="false">MAX(C6:E6)</f>
        <v>90</v>
      </c>
      <c r="I6" s="41" t="s">
        <v>25</v>
      </c>
    </row>
    <row r="7" customFormat="false" ht="21.75" hidden="false" customHeight="true" outlineLevel="0" collapsed="false">
      <c r="A7" s="14" t="s">
        <v>128</v>
      </c>
      <c r="B7" s="70" t="s">
        <v>129</v>
      </c>
      <c r="C7" s="71" t="n">
        <f aca="false">Graduation_Performance!L11</f>
        <v>20</v>
      </c>
      <c r="D7" s="71" t="n">
        <f aca="false">Graduation_Performance!L12</f>
        <v>25</v>
      </c>
      <c r="E7" s="71" t="n">
        <f aca="false">Graduation_Performance!L13</f>
        <v>28</v>
      </c>
      <c r="F7" s="72" t="n">
        <f aca="false">AVERAGE(C7:E7)</f>
        <v>24.3333333333333</v>
      </c>
      <c r="G7" s="73" t="n">
        <f aca="false">MIN(C7:E7)</f>
        <v>20</v>
      </c>
      <c r="H7" s="74" t="n">
        <f aca="false">MAX(C7:E7)</f>
        <v>28</v>
      </c>
      <c r="I7" s="41" t="s">
        <v>25</v>
      </c>
    </row>
    <row r="8" customFormat="false" ht="21.75" hidden="false" customHeight="true" outlineLevel="0" collapsed="false">
      <c r="A8" s="14" t="s">
        <v>130</v>
      </c>
      <c r="B8" s="70" t="s">
        <v>131</v>
      </c>
      <c r="C8" s="37" t="n">
        <f aca="false">Graduation_Performance!M11</f>
        <v>110</v>
      </c>
      <c r="D8" s="37" t="n">
        <f aca="false">Graduation_Performance!M12</f>
        <v>110</v>
      </c>
      <c r="E8" s="37" t="n">
        <f aca="false">Graduation_Performance!M13</f>
        <v>110</v>
      </c>
      <c r="F8" s="72" t="n">
        <f aca="false">AVERAGE(C8:E8)</f>
        <v>110</v>
      </c>
      <c r="G8" s="73" t="n">
        <f aca="false">MIN(C8:E8)</f>
        <v>110</v>
      </c>
      <c r="H8" s="74" t="n">
        <f aca="false">MAX(C8:E8)</f>
        <v>110</v>
      </c>
      <c r="I8" s="41" t="s">
        <v>25</v>
      </c>
    </row>
    <row r="9" customFormat="false" ht="21.75" hidden="false" customHeight="true" outlineLevel="0" collapsed="false">
      <c r="A9" s="14" t="s">
        <v>132</v>
      </c>
      <c r="B9" s="70" t="s">
        <v>133</v>
      </c>
      <c r="C9" s="75" t="n">
        <f aca="false">Graduation_Performance!N11</f>
        <v>0.932203389830508</v>
      </c>
      <c r="D9" s="75" t="n">
        <f aca="false">Graduation_Performance!N12</f>
        <v>0.916666666666667</v>
      </c>
      <c r="E9" s="75" t="n">
        <f aca="false">Graduation_Performance!N13</f>
        <v>0.956521739130435</v>
      </c>
      <c r="F9" s="76" t="n">
        <f aca="false">AVERAGE(C9:E9)</f>
        <v>0.935130598542537</v>
      </c>
      <c r="G9" s="36" t="n">
        <f aca="false">MAX(C9:E9)</f>
        <v>0.956521739130435</v>
      </c>
      <c r="H9" s="77" t="n">
        <f aca="false">MIN(C9:E9)</f>
        <v>0.916666666666667</v>
      </c>
      <c r="I9" s="43" t="str">
        <f aca="false">IF(E9&gt;C9,"▲ Improving",IF(E9&lt;C9,"▼ Declining","→ Stable"))</f>
        <v>▲ Improving</v>
      </c>
    </row>
    <row r="10" customFormat="false" ht="21.75" hidden="false" customHeight="true" outlineLevel="0" collapsed="false">
      <c r="A10" s="14" t="s">
        <v>134</v>
      </c>
      <c r="B10" s="70" t="s">
        <v>135</v>
      </c>
      <c r="C10" s="78" t="n">
        <f aca="false">J11-M11</f>
        <v>0</v>
      </c>
      <c r="D10" s="78" t="n">
        <f aca="false">J12-M12</f>
        <v>0</v>
      </c>
      <c r="E10" s="78" t="n">
        <f aca="false">J13-M13</f>
        <v>0</v>
      </c>
      <c r="F10" s="72" t="n">
        <f aca="false">AVERAGE(C10:E10)</f>
        <v>0</v>
      </c>
      <c r="G10" s="73" t="n">
        <f aca="false">MIN(C10:E10)</f>
        <v>0</v>
      </c>
      <c r="H10" s="74" t="n">
        <f aca="false">MAX(C10:E10)</f>
        <v>0</v>
      </c>
      <c r="I10" s="41" t="s">
        <v>25</v>
      </c>
    </row>
    <row r="11" customFormat="false" ht="21.75" hidden="false" customHeight="true" outlineLevel="0" collapsed="false">
      <c r="A11" s="14" t="s">
        <v>136</v>
      </c>
      <c r="B11" s="70" t="s">
        <v>137</v>
      </c>
      <c r="C11" s="79" t="n">
        <f aca="false">1-N11</f>
        <v>1</v>
      </c>
      <c r="D11" s="79" t="n">
        <f aca="false">1-N12</f>
        <v>1</v>
      </c>
      <c r="E11" s="79" t="n">
        <f aca="false">1-N13</f>
        <v>1</v>
      </c>
      <c r="F11" s="76" t="n">
        <f aca="false">AVERAGE(C11:E11)</f>
        <v>1</v>
      </c>
      <c r="G11" s="36" t="n">
        <f aca="false">MIN(C11:E11)</f>
        <v>1</v>
      </c>
      <c r="H11" s="77" t="n">
        <f aca="false">MAX(C11:E11)</f>
        <v>1</v>
      </c>
      <c r="I11" s="43" t="str">
        <f aca="false">IF(E11&lt;C11,"▲ Improving (lower is better)",IF(E11&gt;C11,"▼ Worsening","→ Stable"))</f>
        <v>→ Stable</v>
      </c>
    </row>
    <row r="12" customFormat="false" ht="21.75" hidden="false" customHeight="true" outlineLevel="0" collapsed="false">
      <c r="A12" s="14" t="s">
        <v>138</v>
      </c>
      <c r="B12" s="70" t="s">
        <v>139</v>
      </c>
      <c r="C12" s="80" t="n">
        <f aca="false">IF(C8=0,0,C7/C8)</f>
        <v>0.181818181818182</v>
      </c>
      <c r="D12" s="80" t="n">
        <f aca="false">IF(D8=0,0,D7/D8)</f>
        <v>0.227272727272727</v>
      </c>
      <c r="E12" s="80" t="n">
        <f aca="false">IF(E8=0,0,E7/E8)</f>
        <v>0.254545454545455</v>
      </c>
      <c r="F12" s="76" t="n">
        <f aca="false">AVERAGE(C12:E12)</f>
        <v>0.221212121212121</v>
      </c>
      <c r="G12" s="36" t="n">
        <f aca="false">MAX(C12:E12)</f>
        <v>0.254545454545455</v>
      </c>
      <c r="H12" s="77" t="n">
        <f aca="false">MIN(C12:E12)</f>
        <v>0.181818181818182</v>
      </c>
      <c r="I12" s="43" t="str">
        <f aca="false">IF(E12&lt;C12,"▲ Improving (lower is better)",IF(E12&gt;C12,"▼ Worsening","→ Stable"))</f>
        <v>▼ Worsening</v>
      </c>
    </row>
    <row r="15" customFormat="false" ht="19.5" hidden="false" customHeight="true" outlineLevel="0" collapsed="false">
      <c r="A15" s="32" t="s">
        <v>140</v>
      </c>
      <c r="B15" s="32"/>
      <c r="C15" s="32"/>
      <c r="D15" s="32"/>
      <c r="E15" s="32"/>
      <c r="F15" s="32"/>
      <c r="G15" s="32"/>
      <c r="H15" s="32"/>
      <c r="I15" s="32"/>
    </row>
    <row r="16" customFormat="false" ht="19.5" hidden="false" customHeight="true" outlineLevel="0" collapsed="false">
      <c r="A16" s="34" t="s">
        <v>8</v>
      </c>
      <c r="B16" s="34" t="s">
        <v>116</v>
      </c>
      <c r="C16" s="34"/>
      <c r="D16" s="34" t="s">
        <v>141</v>
      </c>
      <c r="E16" s="34"/>
      <c r="F16" s="34" t="s">
        <v>142</v>
      </c>
      <c r="G16" s="34"/>
      <c r="H16" s="34"/>
      <c r="I16" s="34"/>
    </row>
    <row r="17" customFormat="false" ht="21.75" hidden="false" customHeight="true" outlineLevel="0" collapsed="false">
      <c r="A17" s="14" t="n">
        <v>1</v>
      </c>
      <c r="B17" s="61" t="s">
        <v>125</v>
      </c>
      <c r="C17" s="61"/>
      <c r="D17" s="81" t="n">
        <f aca="false">Graduation_Performance!J13</f>
        <v>115</v>
      </c>
      <c r="E17" s="81"/>
      <c r="F17" s="46" t="s">
        <v>143</v>
      </c>
      <c r="G17" s="46"/>
      <c r="H17" s="46"/>
      <c r="I17" s="46"/>
    </row>
    <row r="18" customFormat="false" ht="21.75" hidden="false" customHeight="true" outlineLevel="0" collapsed="false">
      <c r="A18" s="14" t="n">
        <v>2</v>
      </c>
      <c r="B18" s="61" t="s">
        <v>127</v>
      </c>
      <c r="C18" s="61"/>
      <c r="D18" s="81" t="n">
        <f aca="false">Graduation_Performance!K13</f>
        <v>82</v>
      </c>
      <c r="E18" s="81"/>
      <c r="F18" s="46" t="s">
        <v>144</v>
      </c>
      <c r="G18" s="46"/>
      <c r="H18" s="46"/>
      <c r="I18" s="46"/>
    </row>
    <row r="19" customFormat="false" ht="21.75" hidden="false" customHeight="true" outlineLevel="0" collapsed="false">
      <c r="A19" s="14" t="n">
        <v>3</v>
      </c>
      <c r="B19" s="61" t="s">
        <v>129</v>
      </c>
      <c r="C19" s="61"/>
      <c r="D19" s="81" t="n">
        <f aca="false">Graduation_Performance!L13</f>
        <v>28</v>
      </c>
      <c r="E19" s="81"/>
      <c r="F19" s="46" t="s">
        <v>145</v>
      </c>
      <c r="G19" s="46"/>
      <c r="H19" s="46"/>
      <c r="I19" s="46"/>
    </row>
    <row r="20" customFormat="false" ht="21.75" hidden="false" customHeight="true" outlineLevel="0" collapsed="false">
      <c r="A20" s="14" t="n">
        <v>4</v>
      </c>
      <c r="B20" s="61" t="s">
        <v>146</v>
      </c>
      <c r="C20" s="61"/>
      <c r="D20" s="81" t="n">
        <f aca="false">Graduation_Performance!M13</f>
        <v>110</v>
      </c>
      <c r="E20" s="81"/>
      <c r="F20" s="46" t="s">
        <v>147</v>
      </c>
      <c r="G20" s="46"/>
      <c r="H20" s="46"/>
      <c r="I20" s="46"/>
    </row>
    <row r="21" customFormat="false" ht="21.75" hidden="false" customHeight="true" outlineLevel="0" collapsed="false">
      <c r="A21" s="14" t="n">
        <v>5</v>
      </c>
      <c r="B21" s="61" t="s">
        <v>148</v>
      </c>
      <c r="C21" s="61"/>
      <c r="D21" s="82" t="n">
        <f aca="false">Graduation_Performance!N13</f>
        <v>0.956521739130435</v>
      </c>
      <c r="E21" s="82"/>
      <c r="F21" s="46" t="s">
        <v>149</v>
      </c>
      <c r="G21" s="46"/>
      <c r="H21" s="46"/>
      <c r="I21" s="46"/>
    </row>
    <row r="22" customFormat="false" ht="21.75" hidden="false" customHeight="true" outlineLevel="0" collapsed="false">
      <c r="A22" s="14" t="n">
        <v>6</v>
      </c>
      <c r="B22" s="61" t="s">
        <v>135</v>
      </c>
      <c r="C22" s="61"/>
      <c r="D22" s="81" t="n">
        <f aca="false">Graduation_Performance!J13-Graduation_Performance!M13</f>
        <v>5</v>
      </c>
      <c r="E22" s="81"/>
      <c r="F22" s="46" t="s">
        <v>150</v>
      </c>
      <c r="G22" s="46"/>
      <c r="H22" s="46"/>
      <c r="I22" s="46"/>
    </row>
  </sheetData>
  <mergeCells count="24">
    <mergeCell ref="A1:I1"/>
    <mergeCell ref="A2:I2"/>
    <mergeCell ref="A15:I15"/>
    <mergeCell ref="B16:C16"/>
    <mergeCell ref="D16:E16"/>
    <mergeCell ref="F16:I16"/>
    <mergeCell ref="B17:C17"/>
    <mergeCell ref="D17:E17"/>
    <mergeCell ref="F17:I17"/>
    <mergeCell ref="B18:C18"/>
    <mergeCell ref="D18:E18"/>
    <mergeCell ref="F18:I18"/>
    <mergeCell ref="B19:C19"/>
    <mergeCell ref="D19:E19"/>
    <mergeCell ref="F19:I19"/>
    <mergeCell ref="B20:C20"/>
    <mergeCell ref="D20:E20"/>
    <mergeCell ref="F20:I20"/>
    <mergeCell ref="B21:C21"/>
    <mergeCell ref="D21:E21"/>
    <mergeCell ref="F21:I21"/>
    <mergeCell ref="B22:C22"/>
    <mergeCell ref="D22:E22"/>
    <mergeCell ref="F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8B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27.75" hidden="false" customHeight="true" outlineLevel="0" collapsed="false">
      <c r="A1" s="51" t="s">
        <v>151</v>
      </c>
      <c r="B1" s="51"/>
      <c r="C1" s="51"/>
      <c r="D1" s="51"/>
      <c r="E1" s="51"/>
      <c r="F1" s="51"/>
    </row>
    <row r="2" customFormat="false" ht="18" hidden="false" customHeight="true" outlineLevel="0" collapsed="false">
      <c r="A2" s="52" t="s">
        <v>152</v>
      </c>
      <c r="B2" s="52"/>
      <c r="C2" s="52"/>
      <c r="D2" s="52"/>
      <c r="E2" s="52"/>
      <c r="F2" s="52"/>
    </row>
    <row r="3" customFormat="false" ht="7.5" hidden="false" customHeight="true" outlineLevel="0" collapsed="false"/>
    <row r="4" customFormat="false" ht="21.75" hidden="false" customHeight="true" outlineLevel="0" collapsed="false">
      <c r="A4" s="60" t="s">
        <v>8</v>
      </c>
      <c r="B4" s="60" t="s">
        <v>153</v>
      </c>
      <c r="C4" s="60" t="s">
        <v>154</v>
      </c>
      <c r="D4" s="60" t="s">
        <v>155</v>
      </c>
      <c r="E4" s="60" t="s">
        <v>156</v>
      </c>
      <c r="F4" s="60" t="s">
        <v>22</v>
      </c>
    </row>
    <row r="5" customFormat="false" ht="30" hidden="false" customHeight="true" outlineLevel="0" collapsed="false">
      <c r="A5" s="14" t="n">
        <v>1</v>
      </c>
      <c r="B5" s="83" t="s">
        <v>157</v>
      </c>
      <c r="C5" s="84" t="s">
        <v>158</v>
      </c>
      <c r="D5" s="55" t="s">
        <v>159</v>
      </c>
      <c r="E5" s="85" t="s">
        <v>160</v>
      </c>
      <c r="F5" s="55" t="s">
        <v>161</v>
      </c>
    </row>
    <row r="6" customFormat="false" ht="30" hidden="false" customHeight="true" outlineLevel="0" collapsed="false">
      <c r="A6" s="14" t="n">
        <v>2</v>
      </c>
      <c r="B6" s="86" t="s">
        <v>162</v>
      </c>
      <c r="C6" s="87" t="s">
        <v>163</v>
      </c>
      <c r="D6" s="55" t="s">
        <v>164</v>
      </c>
      <c r="E6" s="85" t="s">
        <v>160</v>
      </c>
      <c r="F6" s="55" t="s">
        <v>165</v>
      </c>
    </row>
    <row r="7" customFormat="false" ht="30" hidden="false" customHeight="true" outlineLevel="0" collapsed="false">
      <c r="A7" s="14" t="n">
        <v>3</v>
      </c>
      <c r="B7" s="83" t="s">
        <v>166</v>
      </c>
      <c r="C7" s="84" t="s">
        <v>167</v>
      </c>
      <c r="D7" s="55" t="s">
        <v>168</v>
      </c>
      <c r="E7" s="85" t="s">
        <v>160</v>
      </c>
      <c r="F7" s="55" t="s">
        <v>169</v>
      </c>
    </row>
    <row r="8" customFormat="false" ht="30" hidden="false" customHeight="true" outlineLevel="0" collapsed="false">
      <c r="A8" s="14" t="n">
        <v>4</v>
      </c>
      <c r="B8" s="86" t="s">
        <v>170</v>
      </c>
      <c r="C8" s="87" t="s">
        <v>171</v>
      </c>
      <c r="D8" s="55" t="s">
        <v>172</v>
      </c>
      <c r="E8" s="85" t="s">
        <v>160</v>
      </c>
      <c r="F8" s="55" t="s">
        <v>173</v>
      </c>
    </row>
    <row r="9" customFormat="false" ht="30" hidden="false" customHeight="true" outlineLevel="0" collapsed="false">
      <c r="A9" s="14" t="n">
        <v>5</v>
      </c>
      <c r="B9" s="83" t="s">
        <v>174</v>
      </c>
      <c r="C9" s="84" t="s">
        <v>175</v>
      </c>
      <c r="D9" s="55" t="s">
        <v>176</v>
      </c>
      <c r="E9" s="85" t="s">
        <v>160</v>
      </c>
      <c r="F9" s="55" t="s">
        <v>177</v>
      </c>
    </row>
    <row r="10" customFormat="false" ht="30" hidden="false" customHeight="true" outlineLevel="0" collapsed="false">
      <c r="A10" s="14" t="n">
        <v>6</v>
      </c>
      <c r="B10" s="86" t="s">
        <v>178</v>
      </c>
      <c r="C10" s="87" t="s">
        <v>179</v>
      </c>
      <c r="D10" s="55" t="s">
        <v>180</v>
      </c>
      <c r="E10" s="85" t="s">
        <v>160</v>
      </c>
      <c r="F10" s="55" t="s">
        <v>181</v>
      </c>
    </row>
    <row r="11" customFormat="false" ht="30" hidden="false" customHeight="true" outlineLevel="0" collapsed="false">
      <c r="A11" s="14" t="n">
        <v>7</v>
      </c>
      <c r="B11" s="83" t="s">
        <v>182</v>
      </c>
      <c r="C11" s="84" t="s">
        <v>183</v>
      </c>
      <c r="D11" s="55" t="s">
        <v>184</v>
      </c>
      <c r="E11" s="88" t="s">
        <v>185</v>
      </c>
      <c r="F11" s="55" t="s">
        <v>186</v>
      </c>
    </row>
    <row r="12" customFormat="false" ht="30" hidden="false" customHeight="true" outlineLevel="0" collapsed="false">
      <c r="A12" s="14" t="n">
        <v>8</v>
      </c>
      <c r="B12" s="86" t="s">
        <v>187</v>
      </c>
      <c r="C12" s="87" t="s">
        <v>188</v>
      </c>
      <c r="D12" s="55" t="s">
        <v>189</v>
      </c>
      <c r="E12" s="88" t="s">
        <v>190</v>
      </c>
      <c r="F12" s="55" t="s">
        <v>191</v>
      </c>
    </row>
    <row r="13" customFormat="false" ht="30" hidden="false" customHeight="true" outlineLevel="0" collapsed="false">
      <c r="A13" s="14" t="n">
        <v>9</v>
      </c>
      <c r="B13" s="83" t="s">
        <v>192</v>
      </c>
      <c r="C13" s="84" t="s">
        <v>193</v>
      </c>
      <c r="D13" s="55" t="s">
        <v>194</v>
      </c>
      <c r="E13" s="88" t="s">
        <v>195</v>
      </c>
      <c r="F13" s="55" t="s">
        <v>196</v>
      </c>
    </row>
    <row r="14" customFormat="false" ht="30" hidden="false" customHeight="true" outlineLevel="0" collapsed="false">
      <c r="A14" s="14" t="n">
        <v>10</v>
      </c>
      <c r="B14" s="86" t="s">
        <v>197</v>
      </c>
      <c r="C14" s="87" t="s">
        <v>198</v>
      </c>
      <c r="D14" s="55" t="s">
        <v>199</v>
      </c>
      <c r="E14" s="88" t="s">
        <v>200</v>
      </c>
      <c r="F14" s="55" t="s">
        <v>201</v>
      </c>
    </row>
    <row r="15" customFormat="false" ht="30" hidden="false" customHeight="true" outlineLevel="0" collapsed="false">
      <c r="A15" s="14" t="n">
        <v>11</v>
      </c>
      <c r="B15" s="83" t="s">
        <v>202</v>
      </c>
      <c r="C15" s="84" t="s">
        <v>203</v>
      </c>
      <c r="D15" s="55" t="s">
        <v>204</v>
      </c>
      <c r="E15" s="85" t="s">
        <v>160</v>
      </c>
      <c r="F15" s="55" t="s">
        <v>205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5" min="4" style="0" width="9"/>
    <col collapsed="false" customWidth="true" hidden="false" outlineLevel="0" max="16" min="16" style="0" width="11"/>
    <col collapsed="false" customWidth="true" hidden="false" outlineLevel="0" max="17" min="17" style="0" width="18"/>
  </cols>
  <sheetData>
    <row r="1" customFormat="false" ht="39.75" hidden="false" customHeight="true" outlineLevel="0" collapsed="false">
      <c r="A1" s="51" t="s">
        <v>206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customFormat="false" ht="21.75" hidden="false" customHeight="true" outlineLevel="0" collapsed="false">
      <c r="A2" s="52" t="s">
        <v>207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customFormat="false" ht="18" hidden="false" customHeight="true" outlineLevel="0" collapsed="false">
      <c r="A3" s="89" t="s">
        <v>208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</row>
    <row r="4" customFormat="false" ht="6.75" hidden="false" customHeight="true" outlineLevel="0" collapsed="false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</row>
    <row r="5" customFormat="false" ht="27.75" hidden="false" customHeight="true" outlineLevel="0" collapsed="false">
      <c r="A5" s="91" t="s">
        <v>209</v>
      </c>
      <c r="B5" s="91" t="s">
        <v>210</v>
      </c>
      <c r="C5" s="92" t="s">
        <v>211</v>
      </c>
      <c r="D5" s="93" t="s">
        <v>212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4" t="s">
        <v>21</v>
      </c>
      <c r="Q5" s="91" t="s">
        <v>22</v>
      </c>
    </row>
    <row r="6" customFormat="false" ht="27.75" hidden="false" customHeight="true" outlineLevel="0" collapsed="false">
      <c r="A6" s="91"/>
      <c r="B6" s="91"/>
      <c r="C6" s="91"/>
      <c r="D6" s="95" t="s">
        <v>213</v>
      </c>
      <c r="E6" s="95"/>
      <c r="F6" s="95"/>
      <c r="G6" s="96" t="s">
        <v>214</v>
      </c>
      <c r="H6" s="96"/>
      <c r="I6" s="96"/>
      <c r="J6" s="97" t="s">
        <v>215</v>
      </c>
      <c r="K6" s="97"/>
      <c r="L6" s="97"/>
      <c r="M6" s="98" t="s">
        <v>216</v>
      </c>
      <c r="N6" s="98"/>
      <c r="O6" s="98"/>
      <c r="P6" s="94"/>
      <c r="Q6" s="94"/>
    </row>
    <row r="7" customFormat="false" ht="27.75" hidden="false" customHeight="true" outlineLevel="0" collapsed="false">
      <c r="A7" s="91"/>
      <c r="B7" s="91"/>
      <c r="C7" s="91"/>
      <c r="D7" s="99" t="s">
        <v>49</v>
      </c>
      <c r="E7" s="100" t="s">
        <v>48</v>
      </c>
      <c r="F7" s="101" t="s">
        <v>217</v>
      </c>
      <c r="G7" s="99" t="s">
        <v>49</v>
      </c>
      <c r="H7" s="100" t="s">
        <v>48</v>
      </c>
      <c r="I7" s="101" t="s">
        <v>217</v>
      </c>
      <c r="J7" s="99" t="s">
        <v>49</v>
      </c>
      <c r="K7" s="100" t="s">
        <v>48</v>
      </c>
      <c r="L7" s="101" t="s">
        <v>217</v>
      </c>
      <c r="M7" s="99" t="s">
        <v>49</v>
      </c>
      <c r="N7" s="100" t="s">
        <v>48</v>
      </c>
      <c r="O7" s="101" t="s">
        <v>217</v>
      </c>
      <c r="P7" s="94"/>
      <c r="Q7" s="94"/>
    </row>
    <row r="8" customFormat="false" ht="27.75" hidden="false" customHeight="true" outlineLevel="0" collapsed="false">
      <c r="A8" s="14" t="n">
        <v>1</v>
      </c>
      <c r="B8" s="102" t="s">
        <v>218</v>
      </c>
      <c r="C8" s="103" t="n">
        <f aca="false">Graduation_Performance!J7</f>
        <v>130</v>
      </c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5" t="s">
        <v>25</v>
      </c>
      <c r="Q8" s="106" t="s">
        <v>219</v>
      </c>
    </row>
    <row r="9" customFormat="false" ht="27.75" hidden="false" customHeight="true" outlineLevel="0" collapsed="false">
      <c r="A9" s="14" t="n">
        <v>2</v>
      </c>
      <c r="B9" s="102" t="s">
        <v>220</v>
      </c>
      <c r="C9" s="103" t="n">
        <f aca="false">Graduation_Performance!J8</f>
        <v>129</v>
      </c>
      <c r="D9" s="107"/>
      <c r="E9" s="107"/>
      <c r="F9" s="108" t="n">
        <f aca="false">IFERROR(D9+E9,"")</f>
        <v>0</v>
      </c>
      <c r="G9" s="104"/>
      <c r="H9" s="104"/>
      <c r="I9" s="104"/>
      <c r="J9" s="104"/>
      <c r="K9" s="104"/>
      <c r="L9" s="104"/>
      <c r="M9" s="104"/>
      <c r="N9" s="104"/>
      <c r="O9" s="104"/>
      <c r="P9" s="105" t="s">
        <v>25</v>
      </c>
      <c r="Q9" s="106" t="s">
        <v>219</v>
      </c>
    </row>
    <row r="10" customFormat="false" ht="27.75" hidden="false" customHeight="true" outlineLevel="0" collapsed="false">
      <c r="A10" s="14" t="n">
        <v>3</v>
      </c>
      <c r="B10" s="102" t="s">
        <v>221</v>
      </c>
      <c r="C10" s="103" t="n">
        <f aca="false">Graduation_Performance!J9</f>
        <v>128</v>
      </c>
      <c r="D10" s="107"/>
      <c r="E10" s="107"/>
      <c r="F10" s="108" t="n">
        <f aca="false">IFERROR(D10+E10,"")</f>
        <v>0</v>
      </c>
      <c r="G10" s="107"/>
      <c r="H10" s="107"/>
      <c r="I10" s="108" t="n">
        <f aca="false">IFERROR(G10+H10,"")</f>
        <v>0</v>
      </c>
      <c r="J10" s="104"/>
      <c r="K10" s="104"/>
      <c r="L10" s="104"/>
      <c r="M10" s="104"/>
      <c r="N10" s="104"/>
      <c r="O10" s="104"/>
      <c r="P10" s="105" t="s">
        <v>25</v>
      </c>
      <c r="Q10" s="106" t="s">
        <v>219</v>
      </c>
    </row>
    <row r="11" customFormat="false" ht="27.75" hidden="false" customHeight="true" outlineLevel="0" collapsed="false">
      <c r="A11" s="14" t="n">
        <v>4</v>
      </c>
      <c r="B11" s="102" t="s">
        <v>222</v>
      </c>
      <c r="C11" s="103" t="n">
        <f aca="false">Graduation_Performance!J10</f>
        <v>122</v>
      </c>
      <c r="D11" s="107"/>
      <c r="E11" s="107"/>
      <c r="F11" s="108" t="n">
        <f aca="false">IFERROR(D11+E11,"")</f>
        <v>0</v>
      </c>
      <c r="G11" s="107"/>
      <c r="H11" s="107"/>
      <c r="I11" s="108" t="n">
        <f aca="false">IFERROR(G11+H11,"")</f>
        <v>0</v>
      </c>
      <c r="J11" s="107"/>
      <c r="K11" s="107"/>
      <c r="L11" s="108" t="n">
        <f aca="false">IFERROR(J11+K11,"")</f>
        <v>0</v>
      </c>
      <c r="M11" s="104"/>
      <c r="N11" s="104"/>
      <c r="O11" s="104"/>
      <c r="P11" s="105" t="s">
        <v>25</v>
      </c>
      <c r="Q11" s="106" t="s">
        <v>219</v>
      </c>
    </row>
    <row r="12" customFormat="false" ht="27.75" hidden="false" customHeight="true" outlineLevel="0" collapsed="false">
      <c r="A12" s="14" t="n">
        <v>5</v>
      </c>
      <c r="B12" s="109" t="s">
        <v>117</v>
      </c>
      <c r="C12" s="103" t="n">
        <f aca="false">Graduation_Performance!J11</f>
        <v>118</v>
      </c>
      <c r="D12" s="107"/>
      <c r="E12" s="107"/>
      <c r="F12" s="108" t="n">
        <f aca="false">IFERROR(D12+E12,"")</f>
        <v>0</v>
      </c>
      <c r="G12" s="107"/>
      <c r="H12" s="107"/>
      <c r="I12" s="108" t="n">
        <f aca="false">IFERROR(G12+H12,"")</f>
        <v>0</v>
      </c>
      <c r="J12" s="107"/>
      <c r="K12" s="107"/>
      <c r="L12" s="108" t="n">
        <f aca="false">IFERROR(J12+K12,"")</f>
        <v>0</v>
      </c>
      <c r="M12" s="107"/>
      <c r="N12" s="107"/>
      <c r="O12" s="108" t="n">
        <f aca="false">IFERROR(M12+N12,"")</f>
        <v>0</v>
      </c>
      <c r="P12" s="110" t="n">
        <f aca="false">IFERROR(ROUND(O12/C12*100,2),"")</f>
        <v>0</v>
      </c>
      <c r="Q12" s="111" t="s">
        <v>223</v>
      </c>
    </row>
    <row r="13" customFormat="false" ht="27.75" hidden="false" customHeight="true" outlineLevel="0" collapsed="false">
      <c r="A13" s="14" t="n">
        <v>6</v>
      </c>
      <c r="B13" s="109" t="s">
        <v>118</v>
      </c>
      <c r="C13" s="103" t="n">
        <f aca="false">Graduation_Performance!J12</f>
        <v>120</v>
      </c>
      <c r="D13" s="107"/>
      <c r="E13" s="107"/>
      <c r="F13" s="108" t="n">
        <f aca="false">IFERROR(D13+E13,"")</f>
        <v>0</v>
      </c>
      <c r="G13" s="107"/>
      <c r="H13" s="107"/>
      <c r="I13" s="108" t="n">
        <f aca="false">IFERROR(G13+H13,"")</f>
        <v>0</v>
      </c>
      <c r="J13" s="107"/>
      <c r="K13" s="107"/>
      <c r="L13" s="108" t="n">
        <f aca="false">IFERROR(J13+K13,"")</f>
        <v>0</v>
      </c>
      <c r="M13" s="107"/>
      <c r="N13" s="107"/>
      <c r="O13" s="108" t="n">
        <f aca="false">IFERROR(M13+N13,"")</f>
        <v>0</v>
      </c>
      <c r="P13" s="110" t="n">
        <f aca="false">IFERROR(ROUND(O13/C13*100,2),"")</f>
        <v>0</v>
      </c>
      <c r="Q13" s="111" t="s">
        <v>223</v>
      </c>
    </row>
    <row r="14" customFormat="false" ht="27.75" hidden="false" customHeight="true" outlineLevel="0" collapsed="false">
      <c r="A14" s="14" t="n">
        <v>7</v>
      </c>
      <c r="B14" s="109" t="s">
        <v>119</v>
      </c>
      <c r="C14" s="103" t="n">
        <f aca="false">Graduation_Performance!J13</f>
        <v>115</v>
      </c>
      <c r="D14" s="107"/>
      <c r="E14" s="107"/>
      <c r="F14" s="108" t="n">
        <f aca="false">IFERROR(D14+E14,"")</f>
        <v>0</v>
      </c>
      <c r="G14" s="107"/>
      <c r="H14" s="107"/>
      <c r="I14" s="108" t="n">
        <f aca="false">IFERROR(G14+H14,"")</f>
        <v>0</v>
      </c>
      <c r="J14" s="107"/>
      <c r="K14" s="107"/>
      <c r="L14" s="108" t="n">
        <f aca="false">IFERROR(J14+K14,"")</f>
        <v>0</v>
      </c>
      <c r="M14" s="107"/>
      <c r="N14" s="107"/>
      <c r="O14" s="108" t="n">
        <f aca="false">IFERROR(M14+N14,"")</f>
        <v>0</v>
      </c>
      <c r="P14" s="110" t="n">
        <f aca="false">IFERROR(ROUND(O14/C14*100,2),"")</f>
        <v>0</v>
      </c>
      <c r="Q14" s="111" t="s">
        <v>223</v>
      </c>
    </row>
    <row r="15" customFormat="false" ht="27.75" hidden="false" customHeight="true" outlineLevel="0" collapsed="false">
      <c r="A15" s="95" t="s">
        <v>224</v>
      </c>
      <c r="B15" s="95"/>
      <c r="C15" s="27" t="n">
        <f aca="false">IFERROR(SUM(C8:C14),"")</f>
        <v>862</v>
      </c>
      <c r="D15" s="26" t="n">
        <f aca="false">IFERROR(SUM(D8:D14),"")</f>
        <v>0</v>
      </c>
      <c r="E15" s="26" t="n">
        <f aca="false">IFERROR(SUM(E8:E14),"")</f>
        <v>0</v>
      </c>
      <c r="F15" s="27" t="n">
        <f aca="false">IFERROR(SUM(F8:F14),"")</f>
        <v>0</v>
      </c>
      <c r="G15" s="26" t="n">
        <f aca="false">IFERROR(SUM(G8:G14),"")</f>
        <v>0</v>
      </c>
      <c r="H15" s="26" t="n">
        <f aca="false">IFERROR(SUM(H8:H14),"")</f>
        <v>0</v>
      </c>
      <c r="I15" s="27" t="n">
        <f aca="false">IFERROR(SUM(I8:I14),"")</f>
        <v>0</v>
      </c>
      <c r="J15" s="26" t="n">
        <f aca="false">IFERROR(SUM(J8:J14),"")</f>
        <v>0</v>
      </c>
      <c r="K15" s="26" t="n">
        <f aca="false">IFERROR(SUM(K8:K14),"")</f>
        <v>0</v>
      </c>
      <c r="L15" s="27" t="n">
        <f aca="false">IFERROR(SUM(L8:L14),"")</f>
        <v>0</v>
      </c>
      <c r="M15" s="26" t="n">
        <f aca="false">IFERROR(SUM(M8:M14),"")</f>
        <v>0</v>
      </c>
      <c r="N15" s="26" t="n">
        <f aca="false">IFERROR(SUM(N8:N14),"")</f>
        <v>0</v>
      </c>
      <c r="O15" s="27" t="n">
        <f aca="false">IFERROR(SUM(O8:O14),"")</f>
        <v>0</v>
      </c>
      <c r="P15" s="112" t="n">
        <f aca="false">IFERROR(ROUND(AVERAGE(P12:P14),2),"")</f>
        <v>0</v>
      </c>
      <c r="Q15" s="113" t="s">
        <v>225</v>
      </c>
    </row>
    <row r="16" customFormat="false" ht="21.75" hidden="false" customHeight="true" outlineLevel="0" collapsed="false">
      <c r="A16" s="114" t="s">
        <v>226</v>
      </c>
      <c r="B16" s="114"/>
      <c r="C16" s="115" t="n">
        <f aca="false">IFERROR(ROUND(SUM(O12:O14)/SUM(C12:C14)*100,2),"")</f>
        <v>0</v>
      </c>
      <c r="D16" s="115"/>
      <c r="E16" s="115"/>
      <c r="F16" s="116" t="s">
        <v>227</v>
      </c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</row>
    <row r="17" customFormat="false" ht="19.5" hidden="false" customHeight="true" outlineLevel="0" collapsed="false">
      <c r="A17" s="117" t="s">
        <v>228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</row>
    <row r="18" customFormat="false" ht="18" hidden="false" customHeight="true" outlineLevel="0" collapsed="false">
      <c r="A18" s="118" t="s">
        <v>229</v>
      </c>
      <c r="B18" s="119" t="s">
        <v>230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</row>
    <row r="19" customFormat="false" ht="18" hidden="false" customHeight="true" outlineLevel="0" collapsed="false">
      <c r="A19" s="120" t="s">
        <v>229</v>
      </c>
      <c r="B19" s="121" t="s">
        <v>231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</row>
    <row r="20" customFormat="false" ht="18" hidden="false" customHeight="true" outlineLevel="0" collapsed="false">
      <c r="A20" s="104" t="s">
        <v>229</v>
      </c>
      <c r="B20" s="119" t="s">
        <v>232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</row>
    <row r="21" customFormat="false" ht="18" hidden="false" customHeight="true" outlineLevel="0" collapsed="false">
      <c r="A21" s="122" t="s">
        <v>229</v>
      </c>
      <c r="B21" s="121" t="s">
        <v>233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</row>
    <row r="23" customFormat="false" ht="36" hidden="false" customHeight="true" outlineLevel="0" collapsed="false">
      <c r="A23" s="123" t="s">
        <v>234</v>
      </c>
      <c r="B23" s="123"/>
      <c r="C23" s="123"/>
      <c r="D23" s="123"/>
      <c r="E23" s="123"/>
      <c r="F23" s="123" t="s">
        <v>235</v>
      </c>
      <c r="G23" s="123"/>
      <c r="H23" s="123"/>
      <c r="I23" s="123"/>
      <c r="J23" s="123"/>
      <c r="K23" s="123"/>
      <c r="L23" s="123" t="s">
        <v>236</v>
      </c>
      <c r="M23" s="123"/>
      <c r="N23" s="123"/>
      <c r="O23" s="123"/>
      <c r="P23" s="123"/>
      <c r="Q23" s="123"/>
    </row>
  </sheetData>
  <mergeCells count="26">
    <mergeCell ref="A1:Q1"/>
    <mergeCell ref="A2:Q2"/>
    <mergeCell ref="A3:Q3"/>
    <mergeCell ref="A4:Q4"/>
    <mergeCell ref="A5:A7"/>
    <mergeCell ref="B5:B7"/>
    <mergeCell ref="C5:C7"/>
    <mergeCell ref="D5:O5"/>
    <mergeCell ref="P5:P7"/>
    <mergeCell ref="Q5:Q7"/>
    <mergeCell ref="D6:F6"/>
    <mergeCell ref="G6:I6"/>
    <mergeCell ref="J6:L6"/>
    <mergeCell ref="M6:O6"/>
    <mergeCell ref="A15:B15"/>
    <mergeCell ref="A16:B16"/>
    <mergeCell ref="C16:E16"/>
    <mergeCell ref="F16:Q16"/>
    <mergeCell ref="A17:Q17"/>
    <mergeCell ref="B18:Q18"/>
    <mergeCell ref="B19:Q19"/>
    <mergeCell ref="B20:Q20"/>
    <mergeCell ref="B21:Q21"/>
    <mergeCell ref="A23:E23"/>
    <mergeCell ref="F23:K23"/>
    <mergeCell ref="L23:Q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2026-07-21T05:48:35Z</dcterms:created>
  <dc:creator>openpyxl</dc:creator>
  <dc:description/>
  <dc:language>en-US</dc:language>
  <cp:lastModifiedBy/>
  <dcterms:modified xsi:type="dcterms:W3CDTF">2026-07-21T10:00:29Z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