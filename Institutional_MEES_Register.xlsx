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ES_Register" sheetId="1" r:id="rId1"/>
    <sheet name="Yearly_Summary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<sst xmlns="http://schemas.openxmlformats.org/spreadsheetml/2006/main" count="96" uniqueCount="54">
  <si>
    <t>Year Label</t>
  </si>
  <si>
    <t>Academic Year (e.g., 2024-25)</t>
  </si>
  <si>
    <t>Student Name</t>
  </si>
  <si>
    <t>University Roll/Reg No</t>
  </si>
  <si>
    <t>ABC ID</t>
  </si>
  <si>
    <t>MEES Type (ENTRY/EXIT)</t>
  </si>
  <si>
    <t>Entry Level (2nd/3rd/4th year)</t>
  </si>
  <si>
    <t>Exit Level (after 1st/2nd/3rd year)</t>
  </si>
  <si>
    <t>Credits Transferred</t>
  </si>
  <si>
    <t>From Institution/Program (for ENTRY)</t>
  </si>
  <si>
    <t>To Institution/Program (for EXIT)</t>
  </si>
  <si>
    <t>Approval Order No (Univ/Board)</t>
  </si>
  <si>
    <t>Approval Date (YYYY-MM-DD)</t>
  </si>
  <si>
    <t>Issued By (University/Board)</t>
  </si>
  <si>
    <t>Remarks/Notes</t>
  </si>
  <si>
    <t>CAY|CAYm1|CAYm2|CAYm3|CAYm4 (LYG)|CAYm5 (LYGm1)|CAYm6 (LYGm2)</t>
  </si>
  <si>
    <t>ENTRY or EXIT</t>
  </si>
  <si>
    <t>leave blank if EXIT</t>
  </si>
  <si>
    <t>leave blank if ENTRY</t>
  </si>
  <si>
    <t>N52 (Entries into 2nd Yr)</t>
  </si>
  <si>
    <t>N53 (Entries into 3rd Yr)</t>
  </si>
  <si>
    <t>N54 (Entries into 4th Yr)</t>
  </si>
  <si>
    <t>N5 (Total MEES Entries)</t>
  </si>
  <si>
    <t>N61 (Exits after 1st Yr)</t>
  </si>
  <si>
    <t>N62 (Exits after 2nd Yr)</t>
  </si>
  <si>
    <t>N63 (Exits after 3rd Yr)</t>
  </si>
  <si>
    <t>N6 (Total MEES Exits)</t>
  </si>
  <si>
    <t>CAY</t>
  </si>
  <si>
    <t>CAYm1</t>
  </si>
  <si>
    <t>CAYm2</t>
  </si>
  <si>
    <t>CAYm3</t>
  </si>
  <si>
    <t>CAYm4 (LYG)</t>
  </si>
  <si>
    <t>CAYm5 (LYGm1)</t>
  </si>
  <si>
    <t>CAYm6 (LYGm2)</t>
  </si>
  <si>
    <t>Document Type (ABC Ledger / Univ Approval / Exit Certificate)</t>
  </si>
  <si>
    <t>File Path or Link</t>
  </si>
  <si>
    <t>Verified By</t>
  </si>
  <si>
    <t>Verification Date (YYYY-MM-DD)</t>
  </si>
  <si>
    <t>Remarks</t>
  </si>
  <si>
    <t>Instructions</t>
  </si>
  <si>
    <t>Institutional MEES Register – Professional Format (NBA Criterion 4)</t>
  </si>
  <si>
    <t>Purpose: Track MEES/ABC admissions (entries into 2nd/3rd/4th year) and exits (after 1st/2nd/3rd year).</t>
  </si>
  <si>
    <t>N5 = Total Entries (N52+N53+N54), N6 = Total Exits (N61+N62+N63).</t>
  </si>
  <si>
    <t>These values must be REPORTED separately in NBA SAR, not added to N1–N4.</t>
  </si>
  <si>
    <t>How to use:</t>
  </si>
  <si>
    <t>1) Enter each MEES student as a new row in MEES_Register.</t>
  </si>
  <si>
    <t xml:space="preserve">   - ENTRY: Fill Entry Level (2nd/3rd/4th year), From Institution, Approval Order.</t>
  </si>
  <si>
    <t xml:space="preserve">   - EXIT: Fill Exit Level (after 1st/2nd/3rd year), To Institution, Approval Order.</t>
  </si>
  <si>
    <t>2) Yearly_Summary auto-calculates totals (N52–N54, N61–N63, N5, N6).</t>
  </si>
  <si>
    <t>3) Docs_Log links each year to evidence: ABC statements, University approvals, exit certificates.</t>
  </si>
  <si>
    <t>Best Practices:</t>
  </si>
  <si>
    <t>- Maintain digital + signed hardcopy registers.</t>
  </si>
  <si>
    <t>- Verify all entries against University/ABC office records.</t>
  </si>
  <si>
    <t>- Keep N5/N6 aligned with Exclusion Declaration submitted to NBA.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</si>
</sst>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1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4" width="25.7109375" customWidth="1"/>
    <col min="5" max="5" width="18.7109375" customWidth="1"/>
    <col min="6" max="6" width="20.7109375" customWidth="1"/>
    <col min="7" max="8" width="30.7109375" customWidth="1"/>
    <col min="9" max="9" width="22.7109375" customWidth="1"/>
    <col min="10" max="11" width="34.7109375" customWidth="1"/>
    <col min="12" max="13" width="26.7109375" customWidth="1"/>
    <col min="14" max="15" width="38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F2" t="s">
        <v>16</v>
      </c>
      <c r="G2" t="s">
        <v>17</v>
      </c>
      <c r="H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10" width="36.7109375" customWidth="1"/>
  </cols>
  <sheetData>
    <row r="1" spans="1:10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C2" s="2">
        <f>COUNTIFS(MEES_Register!$A$2:$A$501,"CAY",MEES_Register!$F$2:$F$501,"ENTRY",MEES_Register!$G$2:$G$501,"2nd year")</f>
        <v>0</v>
      </c>
      <c r="D2" s="2">
        <f>COUNTIFS(MEES_Register!$A$2:$A$501,"CAY",MEES_Register!$F$2:$F$501,"ENTRY",MEES_Register!$G$2:$G$501,"3rd year")</f>
        <v>0</v>
      </c>
      <c r="E2" s="2">
        <f>COUNTIFS(MEES_Register!$A$2:$A$501,"CAY",MEES_Register!$F$2:$F$501,"ENTRY",MEES_Register!$G$2:$G$501,"4th year")</f>
        <v>0</v>
      </c>
      <c r="F2" s="3">
        <f>SUM(C2:E2)</f>
        <v>0</v>
      </c>
      <c r="G2" s="2">
        <f>COUNTIFS(MEES_Register!$A$2:$A$501,"CAY",MEES_Register!$F$2:$F$501,"EXIT",MEES_Register!$H$2:$H$501,"after 1st year")</f>
        <v>0</v>
      </c>
      <c r="H2" s="2">
        <f>COUNTIFS(MEES_Register!$A$2:$A$501,"CAY",MEES_Register!$F$2:$F$501,"EXIT",MEES_Register!$H$2:$H$501,"after 2nd year")</f>
        <v>0</v>
      </c>
      <c r="I2" s="2">
        <f>COUNTIFS(MEES_Register!$A$2:$A$501,"CAY",MEES_Register!$F$2:$F$501,"EXIT",MEES_Register!$H$2:$H$501,"after 3rd year")</f>
        <v>0</v>
      </c>
      <c r="J2" s="3">
        <f>SUM(G2:I2)</f>
        <v>0</v>
      </c>
    </row>
    <row r="3" spans="1:10">
      <c r="A3" t="s">
        <v>28</v>
      </c>
      <c r="C3" s="2">
        <f>COUNTIFS(MEES_Register!$A$2:$A$501,"CAYm1",MEES_Register!$F$2:$F$501,"ENTRY",MEES_Register!$G$2:$G$501,"2nd year")</f>
        <v>0</v>
      </c>
      <c r="D3" s="2">
        <f>COUNTIFS(MEES_Register!$A$2:$A$501,"CAYm1",MEES_Register!$F$2:$F$501,"ENTRY",MEES_Register!$G$2:$G$501,"3rd year")</f>
        <v>0</v>
      </c>
      <c r="E3" s="2">
        <f>COUNTIFS(MEES_Register!$A$2:$A$501,"CAYm1",MEES_Register!$F$2:$F$501,"ENTRY",MEES_Register!$G$2:$G$501,"4th year")</f>
        <v>0</v>
      </c>
      <c r="F3" s="3">
        <f>SUM(C3:E3)</f>
        <v>0</v>
      </c>
      <c r="G3" s="2">
        <f>COUNTIFS(MEES_Register!$A$2:$A$501,"CAYm1",MEES_Register!$F$2:$F$501,"EXIT",MEES_Register!$H$2:$H$501,"after 1st year")</f>
        <v>0</v>
      </c>
      <c r="H3" s="2">
        <f>COUNTIFS(MEES_Register!$A$2:$A$501,"CAYm1",MEES_Register!$F$2:$F$501,"EXIT",MEES_Register!$H$2:$H$501,"after 2nd year")</f>
        <v>0</v>
      </c>
      <c r="I3" s="2">
        <f>COUNTIFS(MEES_Register!$A$2:$A$501,"CAYm1",MEES_Register!$F$2:$F$501,"EXIT",MEES_Register!$H$2:$H$501,"after 3rd year")</f>
        <v>0</v>
      </c>
      <c r="J3" s="3">
        <f>SUM(G3:I3)</f>
        <v>0</v>
      </c>
    </row>
    <row r="4" spans="1:10">
      <c r="A4" t="s">
        <v>29</v>
      </c>
      <c r="C4" s="2">
        <f>COUNTIFS(MEES_Register!$A$2:$A$501,"CAYm2",MEES_Register!$F$2:$F$501,"ENTRY",MEES_Register!$G$2:$G$501,"2nd year")</f>
        <v>0</v>
      </c>
      <c r="D4" s="2">
        <f>COUNTIFS(MEES_Register!$A$2:$A$501,"CAYm2",MEES_Register!$F$2:$F$501,"ENTRY",MEES_Register!$G$2:$G$501,"3rd year")</f>
        <v>0</v>
      </c>
      <c r="E4" s="2">
        <f>COUNTIFS(MEES_Register!$A$2:$A$501,"CAYm2",MEES_Register!$F$2:$F$501,"ENTRY",MEES_Register!$G$2:$G$501,"4th year")</f>
        <v>0</v>
      </c>
      <c r="F4" s="3">
        <f>SUM(C4:E4)</f>
        <v>0</v>
      </c>
      <c r="G4" s="2">
        <f>COUNTIFS(MEES_Register!$A$2:$A$501,"CAYm2",MEES_Register!$F$2:$F$501,"EXIT",MEES_Register!$H$2:$H$501,"after 1st year")</f>
        <v>0</v>
      </c>
      <c r="H4" s="2">
        <f>COUNTIFS(MEES_Register!$A$2:$A$501,"CAYm2",MEES_Register!$F$2:$F$501,"EXIT",MEES_Register!$H$2:$H$501,"after 2nd year")</f>
        <v>0</v>
      </c>
      <c r="I4" s="2">
        <f>COUNTIFS(MEES_Register!$A$2:$A$501,"CAYm2",MEES_Register!$F$2:$F$501,"EXIT",MEES_Register!$H$2:$H$501,"after 3rd year")</f>
        <v>0</v>
      </c>
      <c r="J4" s="3">
        <f>SUM(G4:I4)</f>
        <v>0</v>
      </c>
    </row>
    <row r="5" spans="1:10">
      <c r="A5" t="s">
        <v>30</v>
      </c>
      <c r="C5" s="2">
        <f>COUNTIFS(MEES_Register!$A$2:$A$501,"CAYm3",MEES_Register!$F$2:$F$501,"ENTRY",MEES_Register!$G$2:$G$501,"2nd year")</f>
        <v>0</v>
      </c>
      <c r="D5" s="2">
        <f>COUNTIFS(MEES_Register!$A$2:$A$501,"CAYm3",MEES_Register!$F$2:$F$501,"ENTRY",MEES_Register!$G$2:$G$501,"3rd year")</f>
        <v>0</v>
      </c>
      <c r="E5" s="2">
        <f>COUNTIFS(MEES_Register!$A$2:$A$501,"CAYm3",MEES_Register!$F$2:$F$501,"ENTRY",MEES_Register!$G$2:$G$501,"4th year")</f>
        <v>0</v>
      </c>
      <c r="F5" s="3">
        <f>SUM(C5:E5)</f>
        <v>0</v>
      </c>
      <c r="G5" s="2">
        <f>COUNTIFS(MEES_Register!$A$2:$A$501,"CAYm3",MEES_Register!$F$2:$F$501,"EXIT",MEES_Register!$H$2:$H$501,"after 1st year")</f>
        <v>0</v>
      </c>
      <c r="H5" s="2">
        <f>COUNTIFS(MEES_Register!$A$2:$A$501,"CAYm3",MEES_Register!$F$2:$F$501,"EXIT",MEES_Register!$H$2:$H$501,"after 2nd year")</f>
        <v>0</v>
      </c>
      <c r="I5" s="2">
        <f>COUNTIFS(MEES_Register!$A$2:$A$501,"CAYm3",MEES_Register!$F$2:$F$501,"EXIT",MEES_Register!$H$2:$H$501,"after 3rd year")</f>
        <v>0</v>
      </c>
      <c r="J5" s="3">
        <f>SUM(G5:I5)</f>
        <v>0</v>
      </c>
    </row>
    <row r="6" spans="1:10">
      <c r="A6" t="s">
        <v>31</v>
      </c>
      <c r="C6" s="2">
        <f>COUNTIFS(MEES_Register!$A$2:$A$501,"CAYm4 (LYG)",MEES_Register!$F$2:$F$501,"ENTRY",MEES_Register!$G$2:$G$501,"2nd year")</f>
        <v>0</v>
      </c>
      <c r="D6" s="2">
        <f>COUNTIFS(MEES_Register!$A$2:$A$501,"CAYm4 (LYG)",MEES_Register!$F$2:$F$501,"ENTRY",MEES_Register!$G$2:$G$501,"3rd year")</f>
        <v>0</v>
      </c>
      <c r="E6" s="2">
        <f>COUNTIFS(MEES_Register!$A$2:$A$501,"CAYm4 (LYG)",MEES_Register!$F$2:$F$501,"ENTRY",MEES_Register!$G$2:$G$501,"4th year")</f>
        <v>0</v>
      </c>
      <c r="F6" s="3">
        <f>SUM(C6:E6)</f>
        <v>0</v>
      </c>
      <c r="G6" s="2">
        <f>COUNTIFS(MEES_Register!$A$2:$A$501,"CAYm4 (LYG)",MEES_Register!$F$2:$F$501,"EXIT",MEES_Register!$H$2:$H$501,"after 1st year")</f>
        <v>0</v>
      </c>
      <c r="H6" s="2">
        <f>COUNTIFS(MEES_Register!$A$2:$A$501,"CAYm4 (LYG)",MEES_Register!$F$2:$F$501,"EXIT",MEES_Register!$H$2:$H$501,"after 2nd year")</f>
        <v>0</v>
      </c>
      <c r="I6" s="2">
        <f>COUNTIFS(MEES_Register!$A$2:$A$501,"CAYm4 (LYG)",MEES_Register!$F$2:$F$501,"EXIT",MEES_Register!$H$2:$H$501,"after 3rd year")</f>
        <v>0</v>
      </c>
      <c r="J6" s="3">
        <f>SUM(G6:I6)</f>
        <v>0</v>
      </c>
    </row>
    <row r="7" spans="1:10">
      <c r="A7" t="s">
        <v>32</v>
      </c>
      <c r="C7" s="2">
        <f>COUNTIFS(MEES_Register!$A$2:$A$501,"CAYm5 (LYGm1)",MEES_Register!$F$2:$F$501,"ENTRY",MEES_Register!$G$2:$G$501,"2nd year")</f>
        <v>0</v>
      </c>
      <c r="D7" s="2">
        <f>COUNTIFS(MEES_Register!$A$2:$A$501,"CAYm5 (LYGm1)",MEES_Register!$F$2:$F$501,"ENTRY",MEES_Register!$G$2:$G$501,"3rd year")</f>
        <v>0</v>
      </c>
      <c r="E7" s="2">
        <f>COUNTIFS(MEES_Register!$A$2:$A$501,"CAYm5 (LYGm1)",MEES_Register!$F$2:$F$501,"ENTRY",MEES_Register!$G$2:$G$501,"4th year")</f>
        <v>0</v>
      </c>
      <c r="F7" s="3">
        <f>SUM(C7:E7)</f>
        <v>0</v>
      </c>
      <c r="G7" s="2">
        <f>COUNTIFS(MEES_Register!$A$2:$A$501,"CAYm5 (LYGm1)",MEES_Register!$F$2:$F$501,"EXIT",MEES_Register!$H$2:$H$501,"after 1st year")</f>
        <v>0</v>
      </c>
      <c r="H7" s="2">
        <f>COUNTIFS(MEES_Register!$A$2:$A$501,"CAYm5 (LYGm1)",MEES_Register!$F$2:$F$501,"EXIT",MEES_Register!$H$2:$H$501,"after 2nd year")</f>
        <v>0</v>
      </c>
      <c r="I7" s="2">
        <f>COUNTIFS(MEES_Register!$A$2:$A$501,"CAYm5 (LYGm1)",MEES_Register!$F$2:$F$501,"EXIT",MEES_Register!$H$2:$H$501,"after 3rd year")</f>
        <v>0</v>
      </c>
      <c r="J7" s="3">
        <f>SUM(G7:I7)</f>
        <v>0</v>
      </c>
    </row>
    <row r="8" spans="1:10">
      <c r="A8" t="s">
        <v>33</v>
      </c>
      <c r="C8" s="2">
        <f>COUNTIFS(MEES_Register!$A$2:$A$501,"CAYm6 (LYGm2)",MEES_Register!$F$2:$F$501,"ENTRY",MEES_Register!$G$2:$G$501,"2nd year")</f>
        <v>0</v>
      </c>
      <c r="D8" s="2">
        <f>COUNTIFS(MEES_Register!$A$2:$A$501,"CAYm6 (LYGm2)",MEES_Register!$F$2:$F$501,"ENTRY",MEES_Register!$G$2:$G$501,"3rd year")</f>
        <v>0</v>
      </c>
      <c r="E8" s="2">
        <f>COUNTIFS(MEES_Register!$A$2:$A$501,"CAYm6 (LYGm2)",MEES_Register!$F$2:$F$501,"ENTRY",MEES_Register!$G$2:$G$501,"4th year")</f>
        <v>0</v>
      </c>
      <c r="F8" s="3">
        <f>SUM(C8:E8)</f>
        <v>0</v>
      </c>
      <c r="G8" s="2">
        <f>COUNTIFS(MEES_Register!$A$2:$A$501,"CAYm6 (LYGm2)",MEES_Register!$F$2:$F$501,"EXIT",MEES_Register!$H$2:$H$501,"after 1st year")</f>
        <v>0</v>
      </c>
      <c r="H8" s="2">
        <f>COUNTIFS(MEES_Register!$A$2:$A$501,"CAYm6 (LYGm2)",MEES_Register!$F$2:$F$501,"EXIT",MEES_Register!$H$2:$H$501,"after 2nd year")</f>
        <v>0</v>
      </c>
      <c r="I8" s="2">
        <f>COUNTIFS(MEES_Register!$A$2:$A$501,"CAYm6 (LYGm2)",MEES_Register!$F$2:$F$501,"EXIT",MEES_Register!$H$2:$H$501,"after 3rd year")</f>
        <v>0</v>
      </c>
      <c r="J8" s="3">
        <f>SUM(G8:I8)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80.7109375" customWidth="1"/>
    <col min="3" max="5" width="30.7109375" customWidth="1"/>
    <col min="6" max="6" width="40.7109375" customWidth="1"/>
  </cols>
  <sheetData>
    <row r="1" spans="1: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>
      <c r="A2" t="s">
        <v>27</v>
      </c>
    </row>
    <row r="3" spans="1:6">
      <c r="A3" t="s">
        <v>28</v>
      </c>
    </row>
    <row r="4" spans="1:6">
      <c r="A4" t="s">
        <v>29</v>
      </c>
    </row>
    <row r="5" spans="1:6">
      <c r="A5" t="s">
        <v>30</v>
      </c>
    </row>
    <row r="6" spans="1:6">
      <c r="A6" t="s">
        <v>31</v>
      </c>
    </row>
    <row r="7" spans="1:6">
      <c r="A7" t="s">
        <v>32</v>
      </c>
    </row>
    <row r="8" spans="1:6">
      <c r="A8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39</v>
      </c>
    </row>
    <row r="2" spans="1:1">
      <c r="A2" t="s">
        <v>40</v>
      </c>
    </row>
    <row r="4" spans="1:1">
      <c r="A4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5" spans="1:1">
      <c r="A15" t="s">
        <v>50</v>
      </c>
    </row>
    <row r="16" spans="1:1">
      <c r="A16" t="s">
        <v>51</v>
      </c>
    </row>
    <row r="17" spans="1:1">
      <c r="A17" t="s">
        <v>52</v>
      </c>
    </row>
    <row r="18" spans="1:1">
      <c r="A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MEES_Register</vt:lpstr>
      <vt:lpstr>Yearly_Summary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2025-08-26T04:44:23Z</dcterms:created>
  <dcterms:modified xsi:type="dcterms:W3CDTF">2025-08-26T04:44:23Z</dcterms:modified>
</cp:coreProperties>
</file>