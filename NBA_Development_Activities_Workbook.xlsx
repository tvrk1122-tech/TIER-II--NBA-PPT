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s" sheetId="1" state="visible" r:id="rId1"/>
    <sheet xmlns:r="http://schemas.openxmlformats.org/officeDocument/2006/relationships" name="Models &amp; Prototyp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4" customWidth="1" min="4" max="4"/>
    <col width="24" customWidth="1" min="5" max="5"/>
    <col width="18" customWidth="1" min="6" max="6"/>
    <col width="24" customWidth="1" min="7" max="7"/>
    <col width="18" customWidth="1" min="8" max="8"/>
    <col width="22" customWidth="1" min="9" max="9"/>
    <col width="26" customWidth="1" min="10" max="10"/>
    <col width="18" customWidth="1" min="11" max="11"/>
    <col width="24" customWidth="1" min="12" max="12"/>
    <col width="26" customWidth="1" min="13" max="13"/>
    <col width="46" customWidth="1" min="14" max="14"/>
  </cols>
  <sheetData>
    <row r="1">
      <c r="A1" s="1" t="inlineStr">
        <is>
          <t>S.N.</t>
        </is>
      </c>
      <c r="B1" s="1" t="inlineStr">
        <is>
          <t>Faculty Inventor(s)</t>
        </is>
      </c>
      <c r="C1" s="1" t="inlineStr">
        <is>
          <t>Title</t>
        </is>
      </c>
      <c r="D1" s="1" t="inlineStr">
        <is>
          <t>Application No.</t>
        </is>
      </c>
      <c r="E1" s="1" t="inlineStr">
        <is>
          <t>Publication No.</t>
        </is>
      </c>
      <c r="F1" s="1" t="inlineStr">
        <is>
          <t>Publication Date</t>
        </is>
      </c>
      <c r="G1" s="1" t="inlineStr">
        <is>
          <t>Grant No.</t>
        </is>
      </c>
      <c r="H1" s="1" t="inlineStr">
        <is>
          <t>Grant Date</t>
        </is>
      </c>
      <c r="I1" s="1" t="inlineStr">
        <is>
          <t>Jurisdiction (IN/US/EU/PCT)</t>
        </is>
      </c>
      <c r="J1" s="1" t="inlineStr">
        <is>
          <t>Assignee/Applicant</t>
        </is>
      </c>
      <c r="K1" s="1" t="inlineStr">
        <is>
          <t>IPC/CPC</t>
        </is>
      </c>
      <c r="L1" s="1" t="inlineStr">
        <is>
          <t>Status (Published/Granted)</t>
        </is>
      </c>
      <c r="M1" s="1" t="inlineStr">
        <is>
          <t>Year Tag (CAY/CAYm1/CAYm2/CAYm3)</t>
        </is>
      </c>
      <c r="N1" s="1" t="inlineStr">
        <is>
          <t>Official Link (IPO/USPTO/EPO/WIPO)</t>
        </is>
      </c>
    </row>
  </sheetData>
  <dataValidations count="2">
    <dataValidation sqref="L2:L1000" showErrorMessage="1" showInputMessage="1" allowBlank="1" type="list">
      <formula1>"Published,Granted"</formula1>
    </dataValidation>
    <dataValidation sqref="M2:M1000 K2:K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20" customWidth="1" min="4" max="4"/>
    <col width="20" customWidth="1" min="5" max="5"/>
    <col width="14" customWidth="1" min="6" max="6"/>
    <col width="36" customWidth="1" min="7" max="7"/>
    <col width="28" customWidth="1" min="8" max="8"/>
    <col width="34" customWidth="1" min="9" max="9"/>
    <col width="46" customWidth="1" min="10" max="10"/>
    <col width="26" customWidth="1" min="11" max="11"/>
  </cols>
  <sheetData>
    <row r="1">
      <c r="A1" s="1" t="inlineStr">
        <is>
          <t>S.N.</t>
        </is>
      </c>
      <c r="B1" s="1" t="inlineStr">
        <is>
          <t>Faculty Lead(s)</t>
        </is>
      </c>
      <c r="C1" s="1" t="inlineStr">
        <is>
          <t>Title</t>
        </is>
      </c>
      <c r="D1" s="1" t="inlineStr">
        <is>
          <t>Type (Model/Prototype)</t>
        </is>
      </c>
      <c r="E1" s="1" t="inlineStr">
        <is>
          <t>Domain</t>
        </is>
      </c>
      <c r="F1" s="1" t="inlineStr">
        <is>
          <t>TRL (1–9)</t>
        </is>
      </c>
      <c r="G1" s="1" t="inlineStr">
        <is>
          <t>Key Specs / Tests Passed</t>
        </is>
      </c>
      <c r="H1" s="1" t="inlineStr">
        <is>
          <t>Validation / Partner</t>
        </is>
      </c>
      <c r="I1" s="1" t="inlineStr">
        <is>
          <t>Outcome (Award/Pilot/Showcase/Patent Filed/Startup/None)</t>
        </is>
      </c>
      <c r="J1" s="1" t="inlineStr">
        <is>
          <t>Evidence Link (Report/Video/Photos/Git)</t>
        </is>
      </c>
      <c r="K1" s="1" t="inlineStr">
        <is>
          <t>Year Tag (CAY/CAYm1/CAYm2/CAYm3)</t>
        </is>
      </c>
    </row>
  </sheetData>
  <dataValidations count="4">
    <dataValidation sqref="D2:D1000" showErrorMessage="1" showInputMessage="1" allowBlank="1" type="list">
      <formula1>"Model,Prototype"</formula1>
    </dataValidation>
    <dataValidation sqref="F2:F1000" showErrorMessage="1" showInputMessage="1" allowBlank="1" type="list">
      <formula1>"TRL1,TRL2,TRL3,TRL4,TRL5,TRL6,TRL7,TRL8,TRL9"</formula1>
    </dataValidation>
    <dataValidation sqref="I2:I1000" showErrorMessage="1" showInputMessage="1" allowBlank="1" type="list">
      <formula1>"Award,Pilot,Showcase,Patent Filed,Startup,None"</formula1>
    </dataValidation>
    <dataValidation sqref="M2:M1000 K2:K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CAY</t>
        </is>
      </c>
      <c r="D1" s="1" t="inlineStr">
        <is>
          <t>CAYm1</t>
        </is>
      </c>
      <c r="E1" s="1" t="inlineStr">
        <is>
          <t>CAYm2</t>
        </is>
      </c>
      <c r="F1" s="1" t="inlineStr">
        <is>
          <t>CAYm3</t>
        </is>
      </c>
    </row>
    <row r="2">
      <c r="A2" s="2" t="inlineStr">
        <is>
          <t>Patents — Published</t>
        </is>
      </c>
      <c r="B2" s="2" t="inlineStr">
        <is>
          <t>Count of patent publications by Year Tag</t>
        </is>
      </c>
      <c r="C2" s="2">
        <f>COUNTIFS(Patents!M2:M1000,"CAY",Patents!L2:L1000,"Published")</f>
        <v/>
      </c>
      <c r="D2" s="2">
        <f>COUNTIFS(Patents!M2:M1000,"CAYm1",Patents!L2:L1000,"Published")</f>
        <v/>
      </c>
      <c r="E2" s="2">
        <f>COUNTIFS(Patents!M2:M1000,"CAYm2",Patents!L2:L1000,"Published")</f>
        <v/>
      </c>
      <c r="F2" s="2">
        <f>COUNTIFS(Patents!M2:M1000,"CAYm3",Patents!L2:L1000,"Published")</f>
        <v/>
      </c>
    </row>
    <row r="3">
      <c r="A3" s="2" t="inlineStr">
        <is>
          <t>Patents — Granted</t>
        </is>
      </c>
      <c r="B3" s="2" t="inlineStr">
        <is>
          <t>Count of patent grants by Year Tag</t>
        </is>
      </c>
      <c r="C3" s="2">
        <f>COUNTIFS(Patents!M2:M1000,"CAY",Patents!L2:L1000,"Granted")</f>
        <v/>
      </c>
      <c r="D3" s="2">
        <f>COUNTIFS(Patents!M2:M1000,"CAYm1",Patents!L2:L1000,"Granted")</f>
        <v/>
      </c>
      <c r="E3" s="2">
        <f>COUNTIFS(Patents!M2:M1000,"CAYm2",Patents!L2:L1000,"Granted")</f>
        <v/>
      </c>
      <c r="F3" s="2">
        <f>COUNTIFS(Patents!M2:M1000,"CAYm3",Patents!L2:L1000,"Granted")</f>
        <v/>
      </c>
    </row>
    <row r="4">
      <c r="A4" s="2" t="inlineStr">
        <is>
          <t>Models — Total</t>
        </is>
      </c>
      <c r="B4" s="2" t="inlineStr">
        <is>
          <t>Entries with Type = "Model" by Year Tag</t>
        </is>
      </c>
      <c r="C4" s="2">
        <f>COUNTIFS('Models &amp; Prototypes'!K2:K1000,"CAY",'Models &amp; Prototypes'!D2:D1000,"Model")</f>
        <v/>
      </c>
      <c r="D4" s="2">
        <f>COUNTIFS('Models &amp; Prototypes'!K2:K1000,"CAYm1",'Models &amp; Prototypes'!D2:D1000,"Model")</f>
        <v/>
      </c>
      <c r="E4" s="2">
        <f>COUNTIFS('Models &amp; Prototypes'!K2:K1000,"CAYm2",'Models &amp; Prototypes'!D2:D1000,"Model")</f>
        <v/>
      </c>
      <c r="F4" s="2">
        <f>COUNTIFS('Models &amp; Prototypes'!K2:K1000,"CAYm3",'Models &amp; Prototypes'!D2:D1000,"Model")</f>
        <v/>
      </c>
    </row>
    <row r="5">
      <c r="A5" s="2" t="inlineStr">
        <is>
          <t>Prototypes — Total</t>
        </is>
      </c>
      <c r="B5" s="2" t="inlineStr">
        <is>
          <t>Entries with Type = "Prototype" by Year Tag</t>
        </is>
      </c>
      <c r="C5" s="2">
        <f>COUNTIFS('Models &amp; Prototypes'!K2:K1000,"CAY",'Models &amp; Prototypes'!D2:D1000,"Prototype")</f>
        <v/>
      </c>
      <c r="D5" s="2">
        <f>COUNTIFS('Models &amp; Prototypes'!K2:K1000,"CAYm1",'Models &amp; Prototypes'!D2:D1000,"Prototype")</f>
        <v/>
      </c>
      <c r="E5" s="2">
        <f>COUNTIFS('Models &amp; Prototypes'!K2:K1000,"CAYm2",'Models &amp; Prototypes'!D2:D1000,"Prototype")</f>
        <v/>
      </c>
      <c r="F5" s="2">
        <f>COUNTIFS('Models &amp; Prototypes'!K2:K1000,"CAYm3",'Models &amp; Prototypes'!D2:D1000,"Prototype")</f>
        <v/>
      </c>
    </row>
    <row r="6">
      <c r="A6" s="2" t="inlineStr">
        <is>
          <t>Prototype Outcomes — Award</t>
        </is>
      </c>
      <c r="B6" s="2" t="inlineStr">
        <is>
          <t>Prototypes with Outcome = "Award" by Year Tag</t>
        </is>
      </c>
      <c r="C6" s="2">
        <f>COUNTIFS('Models &amp; Prototypes'!K2:K1000,"CAY",'Models &amp; Prototypes'!D2:D1000,"Prototype",'Models &amp; Prototypes'!I2:I1000,"Award")</f>
        <v/>
      </c>
      <c r="D6" s="2">
        <f>COUNTIFS('Models &amp; Prototypes'!K2:K1000,"CAYm1",'Models &amp; Prototypes'!D2:D1000,"Prototype",'Models &amp; Prototypes'!I2:I1000,"Award")</f>
        <v/>
      </c>
      <c r="E6" s="2">
        <f>COUNTIFS('Models &amp; Prototypes'!K2:K1000,"CAYm2",'Models &amp; Prototypes'!D2:D1000,"Prototype",'Models &amp; Prototypes'!I2:I1000,"Award")</f>
        <v/>
      </c>
      <c r="F6" s="2">
        <f>COUNTIFS('Models &amp; Prototypes'!K2:K1000,"CAYm3",'Models &amp; Prototypes'!D2:D1000,"Prototype",'Models &amp; Prototypes'!I2:I1000,"Award")</f>
        <v/>
      </c>
    </row>
    <row r="7">
      <c r="A7" s="2" t="inlineStr">
        <is>
          <t>Prototype Outcomes — Pilot</t>
        </is>
      </c>
      <c r="B7" s="2" t="inlineStr">
        <is>
          <t>Prototypes with Outcome = "Pilot" by Year Tag</t>
        </is>
      </c>
      <c r="C7" s="2">
        <f>COUNTIFS('Models &amp; Prototypes'!K2:K1000,"CAY",'Models &amp; Prototypes'!D2:D1000,"Prototype",'Models &amp; Prototypes'!I2:I1000,"Pilot")</f>
        <v/>
      </c>
      <c r="D7" s="2">
        <f>COUNTIFS('Models &amp; Prototypes'!K2:K1000,"CAYm1",'Models &amp; Prototypes'!D2:D1000,"Prototype",'Models &amp; Prototypes'!I2:I1000,"Pilot")</f>
        <v/>
      </c>
      <c r="E7" s="2">
        <f>COUNTIFS('Models &amp; Prototypes'!K2:K1000,"CAYm2",'Models &amp; Prototypes'!D2:D1000,"Prototype",'Models &amp; Prototypes'!I2:I1000,"Pilot")</f>
        <v/>
      </c>
      <c r="F7" s="2">
        <f>COUNTIFS('Models &amp; Prototypes'!K2:K1000,"CAYm3",'Models &amp; Prototypes'!D2:D1000,"Prototype",'Models &amp; Prototypes'!I2:I1000,"Pilot")</f>
        <v/>
      </c>
    </row>
    <row r="8">
      <c r="A8" s="2" t="inlineStr">
        <is>
          <t>Prototype Outcomes — Showcase</t>
        </is>
      </c>
      <c r="B8" s="2" t="inlineStr">
        <is>
          <t>Prototypes with Outcome = "Showcase" by Year Tag</t>
        </is>
      </c>
      <c r="C8" s="2">
        <f>COUNTIFS('Models &amp; Prototypes'!K2:K1000,"CAY",'Models &amp; Prototypes'!D2:D1000,"Prototype",'Models &amp; Prototypes'!I2:I1000,"Showcase")</f>
        <v/>
      </c>
      <c r="D8" s="2">
        <f>COUNTIFS('Models &amp; Prototypes'!K2:K1000,"CAYm1",'Models &amp; Prototypes'!D2:D1000,"Prototype",'Models &amp; Prototypes'!I2:I1000,"Showcase")</f>
        <v/>
      </c>
      <c r="E8" s="2">
        <f>COUNTIFS('Models &amp; Prototypes'!K2:K1000,"CAYm2",'Models &amp; Prototypes'!D2:D1000,"Prototype",'Models &amp; Prototypes'!I2:I1000,"Showcase")</f>
        <v/>
      </c>
      <c r="F8" s="2">
        <f>COUNTIFS('Models &amp; Prototypes'!K2:K1000,"CAYm3",'Models &amp; Prototypes'!D2:D1000,"Prototype",'Models &amp; Prototypes'!I2:I1000,"Showcase")</f>
        <v/>
      </c>
    </row>
    <row r="9">
      <c r="A9" s="2" t="inlineStr">
        <is>
          <t>Prototype Outcomes — Patent Filed</t>
        </is>
      </c>
      <c r="B9" s="2" t="inlineStr">
        <is>
          <t>Prototypes with Outcome = "Patent Filed" by Year Tag</t>
        </is>
      </c>
      <c r="C9" s="2">
        <f>COUNTIFS('Models &amp; Prototypes'!K2:K1000,"CAY",'Models &amp; Prototypes'!D2:D1000,"Prototype",'Models &amp; Prototypes'!I2:I1000,"Patent Filed")</f>
        <v/>
      </c>
      <c r="D9" s="2">
        <f>COUNTIFS('Models &amp; Prototypes'!K2:K1000,"CAYm1",'Models &amp; Prototypes'!D2:D1000,"Prototype",'Models &amp; Prototypes'!I2:I1000,"Patent Filed")</f>
        <v/>
      </c>
      <c r="E9" s="2">
        <f>COUNTIFS('Models &amp; Prototypes'!K2:K1000,"CAYm2",'Models &amp; Prototypes'!D2:D1000,"Prototype",'Models &amp; Prototypes'!I2:I1000,"Patent Filed")</f>
        <v/>
      </c>
      <c r="F9" s="2">
        <f>COUNTIFS('Models &amp; Prototypes'!K2:K1000,"CAYm3",'Models &amp; Prototypes'!D2:D1000,"Prototype",'Models &amp; Prototypes'!I2:I1000,"Patent Filed")</f>
        <v/>
      </c>
    </row>
    <row r="10">
      <c r="A10" s="2" t="inlineStr">
        <is>
          <t>Prototype Outcomes — Startup</t>
        </is>
      </c>
      <c r="B10" s="2" t="inlineStr">
        <is>
          <t>Prototypes with Outcome = "Startup" by Year Tag</t>
        </is>
      </c>
      <c r="C10" s="2">
        <f>COUNTIFS('Models &amp; Prototypes'!K2:K1000,"CAY",'Models &amp; Prototypes'!D2:D1000,"Prototype",'Models &amp; Prototypes'!I2:I1000,"Startup")</f>
        <v/>
      </c>
      <c r="D10" s="2">
        <f>COUNTIFS('Models &amp; Prototypes'!K2:K1000,"CAYm1",'Models &amp; Prototypes'!D2:D1000,"Prototype",'Models &amp; Prototypes'!I2:I1000,"Startup")</f>
        <v/>
      </c>
      <c r="E10" s="2">
        <f>COUNTIFS('Models &amp; Prototypes'!K2:K1000,"CAYm2",'Models &amp; Prototypes'!D2:D1000,"Prototype",'Models &amp; Prototypes'!I2:I1000,"Startup")</f>
        <v/>
      </c>
      <c r="F10" s="2">
        <f>COUNTIFS('Models &amp; Prototypes'!K2:K1000,"CAYm3",'Models &amp; Prototypes'!D2:D1000,"Prototype",'Models &amp; Prototypes'!I2:I1000,"Startup")</f>
        <v/>
      </c>
    </row>
    <row r="11">
      <c r="A11" s="2" t="inlineStr">
        <is>
          <t>Prototype Outcomes — None</t>
        </is>
      </c>
      <c r="B11" s="2" t="inlineStr">
        <is>
          <t>Prototypes with Outcome = "None" by Year Tag</t>
        </is>
      </c>
      <c r="C11" s="2">
        <f>COUNTIFS('Models &amp; Prototypes'!K2:K1000,"CAY",'Models &amp; Prototypes'!D2:D1000,"Prototype",'Models &amp; Prototypes'!I2:I1000,"None")</f>
        <v/>
      </c>
      <c r="D11" s="2">
        <f>COUNTIFS('Models &amp; Prototypes'!K2:K1000,"CAYm1",'Models &amp; Prototypes'!D2:D1000,"Prototype",'Models &amp; Prototypes'!I2:I1000,"None")</f>
        <v/>
      </c>
      <c r="E11" s="2">
        <f>COUNTIFS('Models &amp; Prototypes'!K2:K1000,"CAYm2",'Models &amp; Prototypes'!D2:D1000,"Prototype",'Models &amp; Prototypes'!I2:I1000,"None")</f>
        <v/>
      </c>
      <c r="F11" s="2">
        <f>COUNTIFS('Models &amp; Prototypes'!K2:K1000,"CAYm3",'Models &amp; Prototypes'!D2:D1000,"Prototype",'Models &amp; Prototypes'!I2:I1000,"None")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