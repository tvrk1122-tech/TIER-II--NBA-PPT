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earance_Paste" sheetId="1" r:id="rId1"/>
    <sheet name="Gazette_RollNos" sheetId="2" r:id="rId2"/>
    <sheet name="PassList_RollNos" sheetId="3" r:id="rId3"/>
    <sheet name="Z_Summary" sheetId="4" r:id="rId4"/>
    <sheet name="API_Helper" sheetId="5" r:id="rId5"/>
    <sheet name="ReadMe" sheetId="6" r:id="rId6"/>
  </sheets>
  <calcPr calcId="124519" fullCalcOnLoad="1"/>
</workbook>
</file>

<file path=xl/sharedStrings.xml><?xml version="1.0" encoding="utf-8"?>
<sst xmlns="http://schemas.openxmlformats.org/spreadsheetml/2006/main" count="73" uniqueCount="40">
  <si>
    <t>Cohort (CAYm1/CAYm2/CAYm3)</t>
  </si>
  <si>
    <t>Academic Year (e.g., 2023-24)</t>
  </si>
  <si>
    <t>Roll No</t>
  </si>
  <si>
    <t>Student Name</t>
  </si>
  <si>
    <t>Attendance (Present/Absent)</t>
  </si>
  <si>
    <t>Remarks (Detained/Debarred/etc.)</t>
  </si>
  <si>
    <t>Roll No (Successful/Promoted as per Gazette/Pass List)</t>
  </si>
  <si>
    <t>Roll No (Promoted to next year)</t>
  </si>
  <si>
    <t>Academic Year (from Appearance)</t>
  </si>
  <si>
    <t>Registered (count)</t>
  </si>
  <si>
    <t>Appeared Z = Present (count)</t>
  </si>
  <si>
    <t>Absent (count)</t>
  </si>
  <si>
    <t>Gazette/Pass: Successful (Y) count (optional)</t>
  </si>
  <si>
    <t>Mismatch: Successful not in Appeared (count)</t>
  </si>
  <si>
    <t>CAYm1</t>
  </si>
  <si>
    <t>CAYm2</t>
  </si>
  <si>
    <t>CAYm3</t>
  </si>
  <si>
    <t>X (Mean GPA of successful OR Mean %/10)</t>
  </si>
  <si>
    <t>Y source (choose: Gazette or PassList)</t>
  </si>
  <si>
    <t>Y (Auto from chosen source)</t>
  </si>
  <si>
    <t>Z (Auto from Z_Summary)</t>
  </si>
  <si>
    <t>API = X * (Y/Z) (Auto)</t>
  </si>
  <si>
    <t>Gazette</t>
  </si>
  <si>
    <t>Instructions</t>
  </si>
  <si>
    <t>Exam Appearance Mapping – Z source for API (NBA Criterion 4)</t>
  </si>
  <si>
    <t>How to use:</t>
  </si>
  <si>
    <t>1) Paste the exam nominal roll / attendance in 'Appearance_Paste'.</t>
  </si>
  <si>
    <t xml:space="preserve">   - Mark 'Attendance' as Present or Absent for each student.</t>
  </si>
  <si>
    <t>2) (Optional) Paste promoted/successful roll numbers into:</t>
  </si>
  <si>
    <t xml:space="preserve">   - 'Gazette_RollNos' (successful set used for X,Y from Gazette), and/or</t>
  </si>
  <si>
    <t xml:space="preserve">   - 'PassList_RollNos' (official promotion list).</t>
  </si>
  <si>
    <t>3) Open 'Z_Summary' to see:</t>
  </si>
  <si>
    <t xml:space="preserve">   - Registered, Appeared (Z), Absent counts per cohort,</t>
  </si>
  <si>
    <t xml:space="preserve">   - Successful (Y) count from Gazette (if provided),</t>
  </si>
  <si>
    <t xml:space="preserve">   - Mismatch count: successful roll nos not found in Appeared list.</t>
  </si>
  <si>
    <t>4) Use 'API_Helper' to enter X (mean GPA or %/10) and choose Y source (Gazette or PassList) → API auto-calculates using Z from 'Z_Summary'.</t>
  </si>
  <si>
    <t>Notes:</t>
  </si>
  <si>
    <t>- Z must count only those marked Present; exclude Absent/Detained/Debarred.</t>
  </si>
  <si>
    <t>- Ensure Cohort labels are exactly CAYm1/CAYm2/CAYm3 across all sheets.</t>
  </si>
  <si>
    <t>- If both Gazette and PassList are provided, choose your Y source in API_Helper.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</si>
</sst>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4" width="28.7109375" customWidth="1"/>
    <col min="5" max="5" width="18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8.7109375" customWidth="1"/>
  </cols>
  <sheetData>
    <row r="1" spans="1:2">
      <c r="A1" s="1" t="s">
        <v>0</v>
      </c>
      <c r="B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8.7109375" customWidth="1"/>
  </cols>
  <sheetData>
    <row r="1" spans="1:2">
      <c r="A1" s="1" t="s">
        <v>0</v>
      </c>
      <c r="B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7" width="42.7109375" customWidth="1"/>
  </cols>
  <sheetData>
    <row r="1" spans="1:7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14</v>
      </c>
      <c r="B2">
        <f>IFERROR(INDEX(Appearance_Paste!$B$2:$B$1201, MATCH("CAYm1", Appearance_Paste!$A$2:$A$1201, 0)), "")</f>
        <v>0</v>
      </c>
      <c r="C2" s="2">
        <f>COUNTIFS(Appearance_Paste!$A$2:$A$1201,"CAYm1",Appearance_Paste!$C$2:$C$1201,"&lt;&gt;")</f>
        <v>0</v>
      </c>
      <c r="D2" s="2">
        <f>COUNTIFS(Appearance_Paste!$A$2:$A$1201,"CAYm1",Appearance_Paste!$E$2:$E$1201,"Present")</f>
        <v>0</v>
      </c>
      <c r="E2" s="2">
        <f>C2-D2</f>
        <v>0</v>
      </c>
      <c r="F2" s="2">
        <f>IF(COUNTA(Gazette_RollNos!$B$2:$B$601)&gt;0, COUNTIFS(Gazette_RollNos!$A$2:$A$601,"CAYm1",Gazette_RollNos!$B$2:$B$601,"&lt;&gt;"), COUNTIFS(PassList_RollNos!$A$2:$A$601,"CAYm1",PassList_RollNos!$B$2:$B$601,"&lt;&gt;"))</f>
        <v>0</v>
      </c>
      <c r="G2" s="2">
        <f>IF(COUNTA(Gazette_RollNos!$B$2:$B$601)&gt;0,   SUMPRODUCT(--(Gazette_RollNos!$A$2:$A$601="CAYm1"),             --(Gazette_RollNos!$B$2:$B$601&lt;&gt;""),             --(ISNA(MATCH(Gazette_RollNos!$B$2:$B$601,                            IF(Appearance_Paste!$A$2:$A$1201="CAYm1", Appearance_Paste!$C$2:$C$1201, ""), 0)))),   SUMPRODUCT(--(PassList_RollNos!$A$2:$A$601="CAYm1"),             --(PassList_RollNos!$B$2:$B$601&lt;&gt;""),             --(ISNA(MATCH(PassList_RollNos!$B$2:$B$601,                            IF(Appearance_Paste!$A$2:$A$1201="CAYm1", Appearance_Paste!$C$2:$C$1201, ""), 0)))))</f>
        <v>0</v>
      </c>
    </row>
    <row r="3" spans="1:7">
      <c r="A3" t="s">
        <v>15</v>
      </c>
      <c r="B3">
        <f>IFERROR(INDEX(Appearance_Paste!$B$2:$B$1201, MATCH("CAYm2", Appearance_Paste!$A$2:$A$1201, 0)), "")</f>
        <v>0</v>
      </c>
      <c r="C3" s="2">
        <f>COUNTIFS(Appearance_Paste!$A$2:$A$1201,"CAYm2",Appearance_Paste!$C$2:$C$1201,"&lt;&gt;")</f>
        <v>0</v>
      </c>
      <c r="D3" s="2">
        <f>COUNTIFS(Appearance_Paste!$A$2:$A$1201,"CAYm2",Appearance_Paste!$E$2:$E$1201,"Present")</f>
        <v>0</v>
      </c>
      <c r="E3" s="2">
        <f>C3-D3</f>
        <v>0</v>
      </c>
      <c r="F3" s="2">
        <f>IF(COUNTA(Gazette_RollNos!$B$2:$B$601)&gt;0, COUNTIFS(Gazette_RollNos!$A$2:$A$601,"CAYm2",Gazette_RollNos!$B$2:$B$601,"&lt;&gt;"), COUNTIFS(PassList_RollNos!$A$2:$A$601,"CAYm2",PassList_RollNos!$B$2:$B$601,"&lt;&gt;"))</f>
        <v>0</v>
      </c>
      <c r="G3" s="2">
        <f>IF(COUNTA(Gazette_RollNos!$B$2:$B$601)&gt;0,   SUMPRODUCT(--(Gazette_RollNos!$A$2:$A$601="CAYm2"),             --(Gazette_RollNos!$B$2:$B$601&lt;&gt;""),             --(ISNA(MATCH(Gazette_RollNos!$B$2:$B$601,                            IF(Appearance_Paste!$A$2:$A$1201="CAYm2", Appearance_Paste!$C$2:$C$1201, ""), 0)))),   SUMPRODUCT(--(PassList_RollNos!$A$2:$A$601="CAYm2"),             --(PassList_RollNos!$B$2:$B$601&lt;&gt;""),             --(ISNA(MATCH(PassList_RollNos!$B$2:$B$601,                            IF(Appearance_Paste!$A$2:$A$1201="CAYm2", Appearance_Paste!$C$2:$C$1201, ""), 0)))))</f>
        <v>0</v>
      </c>
    </row>
    <row r="4" spans="1:7">
      <c r="A4" t="s">
        <v>16</v>
      </c>
      <c r="B4">
        <f>IFERROR(INDEX(Appearance_Paste!$B$2:$B$1201, MATCH("CAYm3", Appearance_Paste!$A$2:$A$1201, 0)), "")</f>
        <v>0</v>
      </c>
      <c r="C4" s="2">
        <f>COUNTIFS(Appearance_Paste!$A$2:$A$1201,"CAYm3",Appearance_Paste!$C$2:$C$1201,"&lt;&gt;")</f>
        <v>0</v>
      </c>
      <c r="D4" s="2">
        <f>COUNTIFS(Appearance_Paste!$A$2:$A$1201,"CAYm3",Appearance_Paste!$E$2:$E$1201,"Present")</f>
        <v>0</v>
      </c>
      <c r="E4" s="2">
        <f>C4-D4</f>
        <v>0</v>
      </c>
      <c r="F4" s="2">
        <f>IF(COUNTA(Gazette_RollNos!$B$2:$B$601)&gt;0, COUNTIFS(Gazette_RollNos!$A$2:$A$601,"CAYm3",Gazette_RollNos!$B$2:$B$601,"&lt;&gt;"), COUNTIFS(PassList_RollNos!$A$2:$A$601,"CAYm3",PassList_RollNos!$B$2:$B$601,"&lt;&gt;"))</f>
        <v>0</v>
      </c>
      <c r="G4" s="2">
        <f>IF(COUNTA(Gazette_RollNos!$B$2:$B$601)&gt;0,   SUMPRODUCT(--(Gazette_RollNos!$A$2:$A$601="CAYm3"),             --(Gazette_RollNos!$B$2:$B$601&lt;&gt;""),             --(ISNA(MATCH(Gazette_RollNos!$B$2:$B$601,                            IF(Appearance_Paste!$A$2:$A$1201="CAYm3", Appearance_Paste!$C$2:$C$1201, ""), 0)))),   SUMPRODUCT(--(PassList_RollNos!$A$2:$A$601="CAYm3"),             --(PassList_RollNos!$B$2:$B$601&lt;&gt;""),             --(ISNA(MATCH(PassList_RollNos!$B$2:$B$601,                            IF(Appearance_Paste!$A$2:$A$1201="CAYm3", Appearance_Paste!$C$2:$C$1201, ""), 0)))))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8.7109375" customWidth="1"/>
    <col min="3" max="3" width="28.7109375" customWidth="1"/>
    <col min="4" max="6" width="26.7109375" customWidth="1"/>
  </cols>
  <sheetData>
    <row r="1" spans="1: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t="s">
        <v>14</v>
      </c>
      <c r="C2" t="s">
        <v>22</v>
      </c>
      <c r="D2" s="2">
        <f>IF(UPPER(C2)="GAZETTE",    COUNTIFS(Gazette_RollNos!$A$2:$A$601,"CAYm1",Gazette_RollNos!$B$2:$B$601,"&lt;&gt;"),    COUNTIFS(PassList_RollNos!$A$2:$A$601,"CAYm1",PassList_RollNos!$B$2:$B$601,"&lt;&gt;"))</f>
        <v>0</v>
      </c>
      <c r="E2" s="2">
        <f>IFERROR(INDEX(Z_Summary!$D$2:$D$4, MATCH("CAYm1", Z_Summary!$A$2:$A$4, 0)),"")</f>
        <v>0</v>
      </c>
      <c r="F2" s="3">
        <f>IFERROR(B2*(D2/E2),"")</f>
        <v>0</v>
      </c>
    </row>
    <row r="3" spans="1:6">
      <c r="A3" t="s">
        <v>15</v>
      </c>
      <c r="C3" t="s">
        <v>22</v>
      </c>
      <c r="D3" s="2">
        <f>IF(UPPER(C3)="GAZETTE",    COUNTIFS(Gazette_RollNos!$A$2:$A$601,"CAYm2",Gazette_RollNos!$B$2:$B$601,"&lt;&gt;"),    COUNTIFS(PassList_RollNos!$A$2:$A$601,"CAYm2",PassList_RollNos!$B$2:$B$601,"&lt;&gt;"))</f>
        <v>0</v>
      </c>
      <c r="E3" s="2">
        <f>IFERROR(INDEX(Z_Summary!$D$2:$D$4, MATCH("CAYm2", Z_Summary!$A$2:$A$4, 0)),"")</f>
        <v>0</v>
      </c>
      <c r="F3" s="3">
        <f>IFERROR(B3*(D3/E3),"")</f>
        <v>0</v>
      </c>
    </row>
    <row r="4" spans="1:6">
      <c r="A4" t="s">
        <v>16</v>
      </c>
      <c r="C4" t="s">
        <v>22</v>
      </c>
      <c r="D4" s="2">
        <f>IF(UPPER(C4)="GAZETTE",    COUNTIFS(Gazette_RollNos!$A$2:$A$601,"CAYm3",Gazette_RollNos!$B$2:$B$601,"&lt;&gt;"),    COUNTIFS(PassList_RollNos!$A$2:$A$601,"CAYm3",PassList_RollNos!$B$2:$B$601,"&lt;&gt;"))</f>
        <v>0</v>
      </c>
      <c r="E4" s="2">
        <f>IFERROR(INDEX(Z_Summary!$D$2:$D$4, MATCH("CAYm3", Z_Summary!$A$2:$A$4, 0)),"")</f>
        <v>0</v>
      </c>
      <c r="F4" s="3">
        <f>IFERROR(B4*(D4/E4),"")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23</v>
      </c>
    </row>
    <row r="2" spans="1:1">
      <c r="A2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6" spans="1:1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Appearance_Paste</vt:lpstr>
      <vt:lpstr>Gazette_RollNos</vt:lpstr>
      <vt:lpstr>PassList_RollNos</vt:lpstr>
      <vt:lpstr>Z_Summary</vt:lpstr>
      <vt:lpstr>API_Helper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2025-08-26T10:22:22Z</dcterms:created>
  <dcterms:modified xsi:type="dcterms:W3CDTF">2025-08-26T10:22:22Z</dcterms:modified>
</cp:coreProperties>
</file>