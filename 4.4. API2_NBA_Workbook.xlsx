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API2_Calculator" sheetId="1" r:id="rId1"/>
    <sheet name="Student_GPA_Entry" sheetId="2" r:id="rId2"/>
    <sheet name="SAR_Table" sheetId="3" r:id="rId3"/>
    <sheet name="API_Trend_Chart" sheetId="4" r:id="rId4"/>
    <sheet name="Documentation_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<sst xmlns="http://schemas.openxmlformats.org/spreadsheetml/2006/main" count="280" uniqueCount="132">
  <si>
    <t>NBA CRITERION 4 — ACADEMIC PERFORMANCE OF 2nd YEAR STUDENTS  (Max: 10 Marks)</t>
  </si>
  <si>
    <t>Formula:  API = X × (Y ÷ Z)   |   Average API = (API_CAYm1 + API_CAYm2 + API_CAYm3) ÷ 3</t>
  </si>
  <si>
    <t>SECTION A — VARIABLE DEFINITIONS</t>
  </si>
  <si>
    <t>Symbol</t>
  </si>
  <si>
    <t>Term</t>
  </si>
  <si>
    <t>Description / Source</t>
  </si>
  <si>
    <t>X</t>
  </si>
  <si>
    <t>Quality Factor</t>
  </si>
  <si>
    <t>Mean GPA (10-pt scale) of SUCCESSFUL 2nd-year students only  [OR Mean %/10 — pick one method and keep consistent]</t>
  </si>
  <si>
    <t>Y</t>
  </si>
  <si>
    <t>Successful Students</t>
  </si>
  <si>
    <t>Students who PASSED the 2nd year and were PROMOTED to 3rd year (source: official Pass/Promotion List)</t>
  </si>
  <si>
    <t>Z</t>
  </si>
  <si>
    <t>Appeared Students</t>
  </si>
  <si>
    <t>Students who actually APPEARED in 2nd-year exams (pass + fail). Excludes absentees, detained, debarred.</t>
  </si>
  <si>
    <t>API</t>
  </si>
  <si>
    <t>Academic Performance Index</t>
  </si>
  <si>
    <t>API = X × (Y ÷ Z).  Balances marks quality (X) with progression rate (Y/Z).</t>
  </si>
  <si>
    <t>SECTION B — INPUT DATA  (Blue cells are editable inputs)</t>
  </si>
  <si>
    <t>#</t>
  </si>
  <si>
    <t>Cohort / Academic Year</t>
  </si>
  <si>
    <t>X  —  Mean GPA
(successful students)</t>
  </si>
  <si>
    <t>Y  —  Successful
(promoted to 3rd yr)</t>
  </si>
  <si>
    <t>Z  —  Appeared
(2nd yr exams)</t>
  </si>
  <si>
    <t>Y ÷ Z
(Progression Rate)</t>
  </si>
  <si>
    <t>API
(X × Y/Z)</t>
  </si>
  <si>
    <t>Interpretation</t>
  </si>
  <si>
    <t>CAYm1 (2023–24)</t>
  </si>
  <si>
    <t>CAYm2 (2022–23)</t>
  </si>
  <si>
    <t>CAYm3 (2021–22)</t>
  </si>
  <si>
    <t>SECTION C — AVERAGE API (FINAL SCORE)</t>
  </si>
  <si>
    <t>Average API  =  (API_CAYm1 + API_CAYm2 + API_CAYm3) ÷ 3</t>
  </si>
  <si>
    <t>← Final Score / 10</t>
  </si>
  <si>
    <t>Performance Band</t>
  </si>
  <si>
    <t>← Interpretation</t>
  </si>
  <si>
    <t>NBA Score  =  Average API  (direct; API is already on 10-point scale)</t>
  </si>
  <si>
    <t>← Marks / 10</t>
  </si>
  <si>
    <t>NOTES:  (1) X = Mean GPA of SUCCESSFUL students only — do NOT average all appeared students.  (2) Z = appeared students only — exclude absentees, detained, debarred.  (3) Choose GPA or %/10 consistently across all three cohorts.  (4) Y used for X mean must match Y used in Y/Z ratio — cross-verify with Pass List.</t>
  </si>
  <si>
    <t>STUDENT-WISE GPA ENTRY — AUTO-COMPUTES X (Mean GPA of Successful Students)</t>
  </si>
  <si>
    <t>Enter Roll No, Name, GPA, and Promotion status.  Mean GPA (X) auto-updates in summary.</t>
  </si>
  <si>
    <t>COHORT: CAYm1  (2023–24)</t>
  </si>
  <si>
    <t>Student Name / Roll No.</t>
  </si>
  <si>
    <t>Appeared?
(Y/N)</t>
  </si>
  <si>
    <t>GPA
(10-pt scale)</t>
  </si>
  <si>
    <t>Promoted to
3rd Year? (Y/N)</t>
  </si>
  <si>
    <t>GPA counted
for X? (auto)</t>
  </si>
  <si>
    <t>—</t>
  </si>
  <si>
    <t>Student 01</t>
  </si>
  <si>
    <t>Yes</t>
  </si>
  <si>
    <t>Student 02</t>
  </si>
  <si>
    <t>Student 03</t>
  </si>
  <si>
    <t>No</t>
  </si>
  <si>
    <t>Student 04</t>
  </si>
  <si>
    <t>Student 05</t>
  </si>
  <si>
    <t>Student 06</t>
  </si>
  <si>
    <t>Student 07</t>
  </si>
  <si>
    <t>Student 08</t>
  </si>
  <si>
    <t>Student 09</t>
  </si>
  <si>
    <t>Student 10</t>
  </si>
  <si>
    <t>Z  — Appeared (entered as 'Yes' in col C)</t>
  </si>
  <si>
    <t>Y  — Successful (Promoted = 'Yes' in col E)</t>
  </si>
  <si>
    <t>X  — Mean GPA of successful students (auto from col F)</t>
  </si>
  <si>
    <t>COHORT: CAYm2  (2022–23)</t>
  </si>
  <si>
    <t>COHORT: CAYm3  (2021–22)</t>
  </si>
  <si>
    <t>NBA SAR TABLE — ACADEMIC PERFORMANCE OF 2nd YEAR STUDENTS</t>
  </si>
  <si>
    <t>Criterion 4 | Programme: B.Tech Computer Science &amp; Engineering | Max Marks: 10</t>
  </si>
  <si>
    <t>Metric</t>
  </si>
  <si>
    <t>CAYm1
(2023–24)</t>
  </si>
  <si>
    <t>CAYm2
(2022–23)</t>
  </si>
  <si>
    <t>CAYm3
(2021–22)</t>
  </si>
  <si>
    <t>Average
(3 cohorts)</t>
  </si>
  <si>
    <t>Remarks</t>
  </si>
  <si>
    <t>Mean GPA of Successful Students
(Quality Factor — 10-pt scale)</t>
  </si>
  <si>
    <t>Only promoted students included</t>
  </si>
  <si>
    <t>Successful Students
(Promoted to 3rd Year)</t>
  </si>
  <si>
    <t>Source: Pass/Promotion List</t>
  </si>
  <si>
    <t>Appeared Students
(2nd Year Exams)</t>
  </si>
  <si>
    <t>Source: Exam Appearance List</t>
  </si>
  <si>
    <t>Y/Z</t>
  </si>
  <si>
    <t>Progression Rate  (Y ÷ Z)</t>
  </si>
  <si>
    <t>Promotion efficiency ratio</t>
  </si>
  <si>
    <t>Academic Performance Index
(X × Y/Z)</t>
  </si>
  <si>
    <t>Core metric for NBA scoring</t>
  </si>
  <si>
    <t>Average API  =  =F8</t>
  </si>
  <si>
    <t>INTERPRETATION BANDS</t>
  </si>
  <si>
    <t>API Range</t>
  </si>
  <si>
    <t>Band</t>
  </si>
  <si>
    <t>Meaning</t>
  </si>
  <si>
    <t>Colour Code</t>
  </si>
  <si>
    <t>≥ 8.0</t>
  </si>
  <si>
    <t>HIGH</t>
  </si>
  <si>
    <t>Excellent — almost all students progress with high scores</t>
  </si>
  <si>
    <t>5.0–7.9</t>
  </si>
  <si>
    <t>MEDIUM</t>
  </si>
  <si>
    <t>Average — some failures or weaker results; scope to improve</t>
  </si>
  <si>
    <t>&lt; 5.0</t>
  </si>
  <si>
    <t>LOW</t>
  </si>
  <si>
    <t>Critical — too many failures or low GPA; immediate action needed</t>
  </si>
  <si>
    <t>COMMON MISTAKES TO AVOID</t>
  </si>
  <si>
    <t>✗  Using class average GPA instead of only SUCCESSFUL (promoted) students → overstates X</t>
  </si>
  <si>
    <t>✗  Using registered strength instead of Z (appeared) → understates Y/Z ratio</t>
  </si>
  <si>
    <t>✗  Including carryover/backlog students who were NOT promoted → inflates Y incorrectly</t>
  </si>
  <si>
    <t>✗  Mixing GPA and %/10 across different cohorts → inconsistent X values</t>
  </si>
  <si>
    <t>✗  Y used for X mean different from Y used in Y/Z → cross-verify both lists match</t>
  </si>
  <si>
    <t>API TREND — 2nd YEAR ACADEMIC PERFORMANCE  (3 COHORTS)</t>
  </si>
  <si>
    <t>Cohort</t>
  </si>
  <si>
    <t>X (Mean GPA)</t>
  </si>
  <si>
    <t>Y (Successful)</t>
  </si>
  <si>
    <t>Z (Appeared)</t>
  </si>
  <si>
    <t>Average API (3 cohorts)</t>
  </si>
  <si>
    <t>DOCUMENTATION CHECKLIST — 2nd YEAR ACADEMIC PERFORMANCE (NBA Criterion 4)</t>
  </si>
  <si>
    <t>Tick availability for each cohort.  All documents must be available for NBA peer team inspection.</t>
  </si>
  <si>
    <t>Document / Evidence Required</t>
  </si>
  <si>
    <t>Remarks / Notes</t>
  </si>
  <si>
    <t>2nd Year Result Gazette
Student-wise marks / GPA for all who appeared. Used to compute X (Mean GPA of successful).</t>
  </si>
  <si>
    <t>☐ Available</t>
  </si>
  <si>
    <t>Must be university-published or autonomous body certified.</t>
  </si>
  <si>
    <t>Pass / Promotion List
Official list of students promoted to 3rd year. Confirms Y count.</t>
  </si>
  <si>
    <t>Signed by Controller of Examinations / Principal.</t>
  </si>
  <si>
    <t>Exam Appearance List / Nominal Roll
Count of students who actually appeared in 2nd-year exams. Confirms Z.</t>
  </si>
  <si>
    <t>Absentees, detained, debarred must be separately listed and excluded.</t>
  </si>
  <si>
    <t>GPA Computation Sheet (this workbook)
Sheet showing X = AVERAGEIF(Promoted=Yes), Y, Z, API formula, Average API.</t>
  </si>
  <si>
    <t>Submit Sheet 2 (Student_GPA_Entry) + Sheet 1 (API2_Calculator).</t>
  </si>
  <si>
    <t>Migration / Transfer Records
Students who migrated in/out between Year 1 and Year 2 examinations.</t>
  </si>
  <si>
    <t>Must be explained if Y or Z is unusual.</t>
  </si>
  <si>
    <t>Detained / Debarred List
Students excluded from appearing — must NOT be in Z count.</t>
  </si>
  <si>
    <t>Attach order copies from Exam Cell.</t>
  </si>
  <si>
    <t>Withheld / Provisional Result Records
Students whose results were withheld (fee dues, malpractice). Explain treatment.</t>
  </si>
  <si>
    <t>Usually excluded from Z until result is declared.</t>
  </si>
  <si>
    <t>University Equivalency (if % used instead of GPA)
If X computed as (Mean %) / 10, attach university %-to-GPA equivalency table.</t>
  </si>
  <si>
    <t>Not required if GPA scale is used directly.</t>
  </si>
  <si>
    <t>CROSS-VERIFICATION: Y (from Pass List) used for X-mean computation must EXACTLY match Y used in Y/Z ratio. Any mismatch must be explained in a note attached to the SAR.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</si>
</sst>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00"/>
    <numFmt numFmtId="181" formatCode="0.0"/>
  </numFmts>
  <fonts count="43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9"/>
      <color rgb="FF555555"/>
      <name val="Arial"/>
      <charset val="1"/>
    </font>
    <font>
      <i/>
      <sz val="9"/>
      <color rgb="FF000000"/>
      <name val="Arial"/>
      <charset val="1"/>
    </font>
    <font>
      <i/>
      <sz val="9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1"/>
      <color rgb="FF000000"/>
      <name val="Arial"/>
      <charset val="1"/>
    </font>
    <font>
      <b/>
      <sz val="9"/>
      <color rgb="FF375623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9"/>
      <color rgb="FFC00000"/>
      <name val="Arial"/>
      <charset val="1"/>
    </font>
    <font>
      <b/>
      <sz val="11"/>
      <color rgb="FF1F3864"/>
      <name val="Arial"/>
      <charset val="1"/>
    </font>
    <font>
      <b/>
      <sz val="10"/>
      <color rgb="FF375623"/>
      <name val="Arial"/>
      <charset val="1"/>
    </font>
    <font>
      <i/>
      <sz val="10"/>
      <color rgb="FF375623"/>
      <name val="Arial"/>
      <charset val="1"/>
    </font>
    <font>
      <b/>
      <sz val="13"/>
      <color rgb="FF000000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375623"/>
        <bgColor rgb="FF555555"/>
      </patternFill>
    </fill>
    <fill>
      <patternFill patternType="solid">
        <fgColor rgb="FFC9A227"/>
        <bgColor rgb="FF99CC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2E4057"/>
        <bgColor rgb="FF1F38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Border="0" applyAlignment="0" applyProtection="0"/>
    <xf numFmtId="177" fontId="22" fillId="0" borderId="0" applyBorder="0" applyAlignment="0" applyProtection="0"/>
    <xf numFmtId="9" fontId="22" fillId="0" borderId="0" applyBorder="0" applyAlignment="0" applyProtection="0"/>
    <xf numFmtId="178" fontId="22" fillId="0" borderId="0" applyBorder="0" applyAlignment="0" applyProtection="0"/>
    <xf numFmtId="179" fontId="22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4" borderId="8" applyNumberFormat="0" applyAlignment="0" applyProtection="0">
      <alignment vertical="center"/>
    </xf>
    <xf numFmtId="0" fontId="33" fillId="15" borderId="9" applyNumberFormat="0" applyAlignment="0" applyProtection="0">
      <alignment vertical="center"/>
    </xf>
    <xf numFmtId="0" fontId="34" fillId="15" borderId="8" applyNumberFormat="0" applyAlignment="0" applyProtection="0">
      <alignment vertical="center"/>
    </xf>
    <xf numFmtId="0" fontId="35" fillId="16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2" fontId="9" fillId="6" borderId="3" xfId="0" applyNumberFormat="1" applyFont="1" applyFill="1" applyBorder="1" applyAlignment="1">
      <alignment horizontal="center" vertical="center"/>
    </xf>
    <xf numFmtId="3" fontId="9" fillId="6" borderId="3" xfId="0" applyNumberFormat="1" applyFont="1" applyFill="1" applyBorder="1" applyAlignment="1">
      <alignment horizontal="center" vertical="center"/>
    </xf>
    <xf numFmtId="180" fontId="8" fillId="5" borderId="3" xfId="0" applyNumberFormat="1" applyFont="1" applyFill="1" applyBorder="1" applyAlignment="1">
      <alignment horizontal="center" vertical="center"/>
    </xf>
    <xf numFmtId="2" fontId="10" fillId="8" borderId="2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180" fontId="8" fillId="7" borderId="3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/>
    </xf>
    <xf numFmtId="2" fontId="13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 wrapText="1"/>
    </xf>
    <xf numFmtId="2" fontId="14" fillId="7" borderId="3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3" fontId="14" fillId="5" borderId="3" xfId="0" applyNumberFormat="1" applyFont="1" applyFill="1" applyBorder="1" applyAlignment="1">
      <alignment horizontal="center" vertical="center"/>
    </xf>
    <xf numFmtId="181" fontId="3" fillId="6" borderId="2" xfId="0" applyNumberFormat="1" applyFont="1" applyFill="1" applyBorder="1" applyAlignment="1">
      <alignment horizontal="center" vertical="center"/>
    </xf>
    <xf numFmtId="3" fontId="14" fillId="7" borderId="3" xfId="0" applyNumberFormat="1" applyFont="1" applyFill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 wrapText="1"/>
    </xf>
    <xf numFmtId="2" fontId="3" fillId="8" borderId="3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/>
    </xf>
    <xf numFmtId="2" fontId="9" fillId="7" borderId="3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2" fontId="9" fillId="5" borderId="3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2" fontId="15" fillId="2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center" vertical="center"/>
    </xf>
    <xf numFmtId="2" fontId="9" fillId="9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2" fontId="20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21" fillId="7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FF2CC"/>
      <rgbColor rgb="00DEEA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9F9F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FF6600"/>
      <rgbColor rgb="00555555"/>
      <rgbColor rgb="00AAAAAA"/>
      <rgbColor rgb="001F3864"/>
      <rgbColor rgb="00339966"/>
      <rgbColor rgb="00003300"/>
      <rgbColor rgb="00375623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API per Cohort — 2nd Year Academic Performance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API_Trend_Chart!$G$2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API_Trend_Chart!$B$3:$B$5</c:f>
              <c:strCache>
                <c:ptCount val="3"/>
                <c:pt idx="0">
                  <c:v>CAYm1 (2023–24)</c:v>
                </c:pt>
                <c:pt idx="1">
                  <c:v>CAYm2 (2022–23)</c:v>
                </c:pt>
                <c:pt idx="2">
                  <c:v>CAYm3 (2021–22)</c:v>
                </c:pt>
              </c:strCache>
            </c:strRef>
          </c:cat>
          <c:val>
            <c:numRef>
              <c:f>API_Trend_Chart!$G$3:$G$5</c:f>
              <c:numCache>
                <c:formatCode>0.00</c:formatCode>
                <c:ptCount val="3"/>
                <c:pt idx="0">
                  <c:v>6.21818181818182</c:v>
                </c:pt>
                <c:pt idx="1">
                  <c:v>5.79259259259259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2082080"/>
        <c:axId val="38705388"/>
      </c:barChart>
      <c:catAx>
        <c:axId val="120820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Academic Cohort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8705388"/>
        <c:crosses val="autoZero"/>
        <c:auto val="1"/>
        <c:lblAlgn val="ctr"/>
        <c:lblOffset val="100"/>
        <c:noMultiLvlLbl val="0"/>
      </c:catAx>
      <c:valAx>
        <c:axId val="38705388"/>
        <c:scaling>
          <c:orientation val="minMax"/>
          <c:max val="1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API (out of 10)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2082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5d5001-8643-4179-940e-bc2426627fc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Quality (X) vs Progression Rate (Y/Z) —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API_Trend_Chart!$C$2</c:f>
              <c:strCache>
                <c:ptCount val="1"/>
                <c:pt idx="0">
                  <c:v>X (Mean GPA)</c:v>
                </c:pt>
              </c:strCache>
            </c:strRef>
          </c:tx>
          <c:spPr>
            <a:ln w="47520" cap="rnd" cmpd="sng" algn="ctr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API_Trend_Chart!$B$3:$B$5</c:f>
              <c:strCache>
                <c:ptCount val="3"/>
                <c:pt idx="0">
                  <c:v>CAYm1 (2023–24)</c:v>
                </c:pt>
                <c:pt idx="1">
                  <c:v>CAYm2 (2022–23)</c:v>
                </c:pt>
                <c:pt idx="2">
                  <c:v>CAYm3 (2021–22)</c:v>
                </c:pt>
              </c:strCache>
            </c:strRef>
          </c:cat>
          <c:val>
            <c:numRef>
              <c:f>API_Trend_Chart!$C$3:$C$5</c:f>
              <c:numCache>
                <c:formatCode>0.00</c:formatCode>
                <c:ptCount val="3"/>
                <c:pt idx="0">
                  <c:v>7.2</c:v>
                </c:pt>
                <c:pt idx="1">
                  <c:v>6.8</c:v>
                </c:pt>
                <c:pt idx="2">
                  <c:v>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API_Trend_Chart!$F$2</c:f>
              <c:strCache>
                <c:ptCount val="1"/>
                <c:pt idx="0">
                  <c:v>Y/Z</c:v>
                </c:pt>
              </c:strCache>
            </c:strRef>
          </c:tx>
          <c:spPr>
            <a:ln w="47520" cap="rnd" cmpd="sng" algn="ctr">
              <a:solidFill>
                <a:srgbClr val="C9A22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API_Trend_Chart!$B$3:$B$5</c:f>
              <c:strCache>
                <c:ptCount val="3"/>
                <c:pt idx="0">
                  <c:v>CAYm1 (2023–24)</c:v>
                </c:pt>
                <c:pt idx="1">
                  <c:v>CAYm2 (2022–23)</c:v>
                </c:pt>
                <c:pt idx="2">
                  <c:v>CAYm3 (2021–22)</c:v>
                </c:pt>
              </c:strCache>
            </c:strRef>
          </c:cat>
          <c:val>
            <c:numRef>
              <c:f>API_Trend_Chart!$F$3:$F$5</c:f>
              <c:numCache>
                <c:formatCode>0.000</c:formatCode>
                <c:ptCount val="3"/>
                <c:pt idx="0">
                  <c:v>0.863636363636364</c:v>
                </c:pt>
                <c:pt idx="1">
                  <c:v>0.851851851851852</c:v>
                </c:pt>
                <c:pt idx="2">
                  <c:v>0.857142857142857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99806565"/>
        <c:axId val="20808304"/>
      </c:lineChart>
      <c:catAx>
        <c:axId val="998065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Cohort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0808304"/>
        <c:crosses val="autoZero"/>
        <c:auto val="1"/>
        <c:lblAlgn val="ctr"/>
        <c:lblOffset val="100"/>
        <c:noMultiLvlLbl val="0"/>
      </c:catAx>
      <c:valAx>
        <c:axId val="2080830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Value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806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369203-03e9-4b39-a777-0f25b35ce85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699840</xdr:colOff>
      <xdr:row>30</xdr:row>
      <xdr:rowOff>128520</xdr:rowOff>
    </xdr:to>
    <xdr:graphicFrame>
      <xdr:nvGraphicFramePr>
        <xdr:cNvPr id="2" name="Chart 1"/>
        <xdr:cNvGraphicFramePr/>
      </xdr:nvGraphicFramePr>
      <xdr:xfrm>
        <a:off x="0" y="2518410"/>
        <a:ext cx="6323330" cy="415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699840</xdr:colOff>
      <xdr:row>46</xdr:row>
      <xdr:rowOff>128880</xdr:rowOff>
    </xdr:to>
    <xdr:graphicFrame>
      <xdr:nvGraphicFramePr>
        <xdr:cNvPr id="3" name="Chart 2"/>
        <xdr:cNvGraphicFramePr/>
      </xdr:nvGraphicFramePr>
      <xdr:xfrm>
        <a:off x="0" y="5444490"/>
        <a:ext cx="6323330" cy="415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tabSelected="1" workbookViewId="0">
      <pane ySplit="6" topLeftCell="A7" activePane="bottomLeft" state="frozen"/>
      <selection/>
      <selection pane="bottomLeft" activeCell="A1" sqref="A1:H1"/>
    </sheetView>
  </sheetViews>
  <sheetFormatPr defaultColWidth="8.67592592592593" defaultRowHeight="14.4" outlineLevelCol="7"/>
  <cols>
    <col min="1" max="1" width="3" customWidth="1"/>
    <col min="2" max="2" width="32" customWidth="1"/>
    <col min="3" max="3" width="24.5555555555556" customWidth="1"/>
    <col min="4" max="6" width="16" customWidth="1"/>
    <col min="7" max="7" width="14" customWidth="1"/>
    <col min="8" max="8" width="18" customWidth="1"/>
  </cols>
  <sheetData>
    <row r="1" ht="33.75" customHeight="1" spans="1:8">
      <c r="A1" s="74" t="s">
        <v>0</v>
      </c>
      <c r="B1" s="74"/>
      <c r="C1" s="74"/>
      <c r="D1" s="74"/>
      <c r="E1" s="74"/>
      <c r="F1" s="74"/>
      <c r="G1" s="74"/>
      <c r="H1" s="74"/>
    </row>
    <row r="2" ht="19.5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21.75" customHeight="1" spans="1:8">
      <c r="A3" s="51" t="s">
        <v>2</v>
      </c>
      <c r="B3" s="51"/>
      <c r="C3" s="51"/>
      <c r="D3" s="51"/>
      <c r="E3" s="51"/>
      <c r="F3" s="51"/>
      <c r="G3" s="51"/>
      <c r="H3" s="51"/>
    </row>
    <row r="4" ht="21.75" customHeight="1" spans="1:8">
      <c r="B4" s="75" t="s">
        <v>3</v>
      </c>
      <c r="C4" s="75" t="s">
        <v>4</v>
      </c>
      <c r="D4" s="76" t="s">
        <v>5</v>
      </c>
      <c r="E4" s="76"/>
      <c r="F4" s="76"/>
      <c r="G4" s="76"/>
      <c r="H4" s="76"/>
    </row>
    <row r="5" ht="21.75" customHeight="1" spans="1:8">
      <c r="B5" s="31" t="s">
        <v>6</v>
      </c>
      <c r="C5" s="14" t="s">
        <v>7</v>
      </c>
      <c r="D5" s="77" t="s">
        <v>8</v>
      </c>
      <c r="E5" s="77"/>
      <c r="F5" s="77"/>
      <c r="G5" s="77"/>
      <c r="H5" s="77"/>
    </row>
    <row r="6" ht="21.75" customHeight="1" spans="1:8">
      <c r="B6" s="78" t="s">
        <v>9</v>
      </c>
      <c r="C6" s="79" t="s">
        <v>10</v>
      </c>
      <c r="D6" s="80" t="s">
        <v>11</v>
      </c>
      <c r="E6" s="80"/>
      <c r="F6" s="80"/>
      <c r="G6" s="80"/>
      <c r="H6" s="80"/>
    </row>
    <row r="7" ht="21.75" customHeight="1" spans="1:8">
      <c r="B7" s="31" t="s">
        <v>12</v>
      </c>
      <c r="C7" s="14" t="s">
        <v>13</v>
      </c>
      <c r="D7" s="77" t="s">
        <v>14</v>
      </c>
      <c r="E7" s="77"/>
      <c r="F7" s="77"/>
      <c r="G7" s="77"/>
      <c r="H7" s="77"/>
    </row>
    <row r="8" ht="21.75" customHeight="1" spans="1:8">
      <c r="B8" s="78" t="s">
        <v>15</v>
      </c>
      <c r="C8" s="79" t="s">
        <v>16</v>
      </c>
      <c r="D8" s="80" t="s">
        <v>17</v>
      </c>
      <c r="E8" s="80"/>
      <c r="F8" s="80"/>
      <c r="G8" s="80"/>
      <c r="H8" s="80"/>
    </row>
    <row r="9" ht="15.15"/>
    <row r="10" ht="24" customHeight="1" spans="1:8">
      <c r="A10" s="42" t="s">
        <v>18</v>
      </c>
      <c r="B10" s="42"/>
      <c r="C10" s="42"/>
      <c r="D10" s="42"/>
      <c r="E10" s="42"/>
      <c r="F10" s="42"/>
      <c r="G10" s="42"/>
      <c r="H10" s="42"/>
    </row>
    <row r="11" ht="42" customHeight="1" spans="1:8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</row>
    <row r="12" ht="24" customHeight="1" spans="1:8">
      <c r="A12" s="13">
        <v>1</v>
      </c>
      <c r="B12" s="14" t="s">
        <v>27</v>
      </c>
      <c r="C12" s="15">
        <v>7.2</v>
      </c>
      <c r="D12" s="16">
        <v>95</v>
      </c>
      <c r="E12" s="16">
        <v>110</v>
      </c>
      <c r="F12" s="17">
        <f>D12/E12</f>
        <v>0.863636363636364</v>
      </c>
      <c r="G12" s="18">
        <f>C12*F12</f>
        <v>6.21818181818182</v>
      </c>
      <c r="H12" s="81" t="str">
        <f>IF(G12&gt;=8,"High ≥8 — Excellent",IF(G12&gt;=5,"Medium 5–7.9 — Average","Low &lt;5 — Needs Intervention"))</f>
        <v>Medium 5–7.9 — Average</v>
      </c>
    </row>
    <row r="13" ht="24" customHeight="1" spans="1:8">
      <c r="A13" s="20">
        <v>2</v>
      </c>
      <c r="B13" s="21" t="s">
        <v>28</v>
      </c>
      <c r="C13" s="15">
        <v>6.8</v>
      </c>
      <c r="D13" s="16">
        <v>92</v>
      </c>
      <c r="E13" s="16">
        <v>108</v>
      </c>
      <c r="F13" s="22">
        <f>D13/E13</f>
        <v>0.851851851851852</v>
      </c>
      <c r="G13" s="18">
        <f>C13*F13</f>
        <v>5.79259259259259</v>
      </c>
      <c r="H13" s="82" t="str">
        <f>IF(G13&gt;=8,"High ≥8 — Excellent",IF(G13&gt;=5,"Medium 5–7.9 — Average","Low &lt;5 — Needs Intervention"))</f>
        <v>Medium 5–7.9 — Average</v>
      </c>
    </row>
    <row r="14" ht="24" customHeight="1" spans="1:8">
      <c r="A14" s="13">
        <v>3</v>
      </c>
      <c r="B14" s="14" t="s">
        <v>29</v>
      </c>
      <c r="C14" s="15">
        <v>7</v>
      </c>
      <c r="D14" s="16">
        <v>96</v>
      </c>
      <c r="E14" s="16">
        <v>112</v>
      </c>
      <c r="F14" s="17">
        <f>D14/E14</f>
        <v>0.857142857142857</v>
      </c>
      <c r="G14" s="18">
        <f>C14*F14</f>
        <v>6</v>
      </c>
      <c r="H14" s="81" t="str">
        <f>IF(G14&gt;=8,"High ≥8 — Excellent",IF(G14&gt;=5,"Medium 5–7.9 — Average","Low &lt;5 — Needs Intervention"))</f>
        <v>Medium 5–7.9 — Average</v>
      </c>
    </row>
    <row r="15" ht="15.15"/>
    <row r="16" ht="24" customHeight="1" spans="1:8">
      <c r="A16" s="83" t="s">
        <v>30</v>
      </c>
      <c r="B16" s="83"/>
      <c r="C16" s="83"/>
      <c r="D16" s="83"/>
      <c r="E16" s="83"/>
      <c r="F16" s="83"/>
      <c r="G16" s="83"/>
      <c r="H16" s="83"/>
    </row>
    <row r="17" ht="31.5" customHeight="1" spans="1:8">
      <c r="A17" s="84" t="s">
        <v>31</v>
      </c>
      <c r="B17" s="84"/>
      <c r="C17" s="84"/>
      <c r="D17" s="84"/>
      <c r="E17" s="84"/>
      <c r="F17" s="84"/>
      <c r="G17" s="24">
        <f>AVERAGE(G12:G14)</f>
        <v>6.00359147025814</v>
      </c>
      <c r="H17" s="25" t="s">
        <v>32</v>
      </c>
    </row>
    <row r="18" ht="24" customHeight="1" spans="1:8">
      <c r="A18" s="60" t="s">
        <v>33</v>
      </c>
      <c r="B18" s="60"/>
      <c r="C18" s="60"/>
      <c r="D18" s="60"/>
      <c r="E18" s="60"/>
      <c r="F18" s="60"/>
      <c r="G18" s="85" t="str">
        <f>IF(G17&gt;=8,"HIGH ≥8.0 — Excellent",IF(G17&gt;=5,"MEDIUM 5–7.9 — Average","LOW &lt;5.0 — Critical"))</f>
        <v>MEDIUM 5–7.9 — Average</v>
      </c>
      <c r="H18" s="86" t="s">
        <v>34</v>
      </c>
    </row>
    <row r="19" ht="30" customHeight="1" spans="1:8">
      <c r="A19" s="87" t="s">
        <v>35</v>
      </c>
      <c r="B19" s="87"/>
      <c r="C19" s="87"/>
      <c r="D19" s="87"/>
      <c r="E19" s="87"/>
      <c r="F19" s="87"/>
      <c r="G19" s="88">
        <f>G17</f>
        <v>6.00359147025814</v>
      </c>
      <c r="H19" s="89" t="s">
        <v>36</v>
      </c>
    </row>
    <row r="21" ht="36" customHeight="1" spans="1:8">
      <c r="A21" s="90" t="s">
        <v>37</v>
      </c>
      <c r="B21" s="90"/>
      <c r="C21" s="90"/>
      <c r="D21" s="90"/>
      <c r="E21" s="90"/>
      <c r="F21" s="90"/>
      <c r="G21" s="90"/>
      <c r="H21" s="90"/>
    </row>
  </sheetData>
  <mergeCells count="14">
    <mergeCell ref="A1:H1"/>
    <mergeCell ref="A2:H2"/>
    <mergeCell ref="A3:H3"/>
    <mergeCell ref="D4:H4"/>
    <mergeCell ref="D5:H5"/>
    <mergeCell ref="D6:H6"/>
    <mergeCell ref="D7:H7"/>
    <mergeCell ref="D8:H8"/>
    <mergeCell ref="A10:H10"/>
    <mergeCell ref="A16:H16"/>
    <mergeCell ref="A17:F17"/>
    <mergeCell ref="A18:F18"/>
    <mergeCell ref="A19:F19"/>
    <mergeCell ref="A21:H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showGridLines="0" workbookViewId="0">
      <selection activeCell="A1" sqref="A1:H1"/>
    </sheetView>
  </sheetViews>
  <sheetFormatPr defaultColWidth="8.67592592592593" defaultRowHeight="14.4" outlineLevelCol="7"/>
  <cols>
    <col min="1" max="1" width="5" customWidth="1"/>
    <col min="2" max="2" width="28" customWidth="1"/>
    <col min="3" max="7" width="14" customWidth="1"/>
    <col min="8" max="8" width="16" customWidth="1"/>
  </cols>
  <sheetData>
    <row r="1" ht="30" customHeight="1" spans="1:8">
      <c r="A1" s="1" t="s">
        <v>38</v>
      </c>
      <c r="B1" s="1"/>
      <c r="C1" s="1"/>
      <c r="D1" s="1"/>
      <c r="E1" s="1"/>
      <c r="F1" s="1"/>
      <c r="G1" s="1"/>
      <c r="H1" s="1"/>
    </row>
    <row r="2" ht="19.5" customHeight="1" spans="1:8">
      <c r="A2" s="2" t="s">
        <v>39</v>
      </c>
      <c r="B2" s="2"/>
      <c r="C2" s="2"/>
      <c r="D2" s="2"/>
      <c r="E2" s="2"/>
      <c r="F2" s="2"/>
      <c r="G2" s="2"/>
      <c r="H2" s="2"/>
    </row>
    <row r="3" ht="15.15"/>
    <row r="4" ht="21.75" customHeight="1" spans="1:8">
      <c r="A4" s="51" t="s">
        <v>40</v>
      </c>
      <c r="B4" s="51"/>
      <c r="C4" s="51"/>
      <c r="D4" s="51"/>
      <c r="E4" s="51"/>
      <c r="F4" s="51"/>
      <c r="G4" s="51"/>
      <c r="H4" s="51"/>
    </row>
    <row r="5" ht="36" customHeight="1" spans="1:8">
      <c r="A5" s="3" t="s">
        <v>19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46</v>
      </c>
    </row>
    <row r="6" ht="19.5" customHeight="1" spans="1:8">
      <c r="A6" s="20">
        <v>1</v>
      </c>
      <c r="B6" s="52" t="s">
        <v>47</v>
      </c>
      <c r="C6" s="53" t="s">
        <v>48</v>
      </c>
      <c r="D6" s="54">
        <v>7.5</v>
      </c>
      <c r="E6" s="53" t="s">
        <v>48</v>
      </c>
      <c r="F6" s="55">
        <f t="shared" ref="F6:F15" si="0">IF(E6="Yes",D6,"")</f>
        <v>7.5</v>
      </c>
      <c r="G6" s="20"/>
      <c r="H6" s="20"/>
    </row>
    <row r="7" ht="19.5" customHeight="1" spans="1:8">
      <c r="A7" s="13">
        <v>2</v>
      </c>
      <c r="B7" s="56" t="s">
        <v>49</v>
      </c>
      <c r="C7" s="57" t="s">
        <v>48</v>
      </c>
      <c r="D7" s="58">
        <v>8.1</v>
      </c>
      <c r="E7" s="57" t="s">
        <v>48</v>
      </c>
      <c r="F7" s="55">
        <f t="shared" si="0"/>
        <v>8.1</v>
      </c>
      <c r="G7" s="13"/>
      <c r="H7" s="13"/>
    </row>
    <row r="8" ht="19.5" customHeight="1" spans="1:8">
      <c r="A8" s="20">
        <v>3</v>
      </c>
      <c r="B8" s="52" t="s">
        <v>50</v>
      </c>
      <c r="C8" s="53" t="s">
        <v>48</v>
      </c>
      <c r="D8" s="54">
        <v>6.3</v>
      </c>
      <c r="E8" s="53" t="s">
        <v>51</v>
      </c>
      <c r="F8" s="59" t="str">
        <f t="shared" si="0"/>
        <v/>
      </c>
      <c r="G8" s="20"/>
      <c r="H8" s="20"/>
    </row>
    <row r="9" ht="19.5" customHeight="1" spans="1:8">
      <c r="A9" s="13">
        <v>4</v>
      </c>
      <c r="B9" s="56" t="s">
        <v>52</v>
      </c>
      <c r="C9" s="57" t="s">
        <v>48</v>
      </c>
      <c r="D9" s="58">
        <v>7.8</v>
      </c>
      <c r="E9" s="57" t="s">
        <v>48</v>
      </c>
      <c r="F9" s="55">
        <f t="shared" si="0"/>
        <v>7.8</v>
      </c>
      <c r="G9" s="13"/>
      <c r="H9" s="13"/>
    </row>
    <row r="10" ht="19.5" customHeight="1" spans="1:8">
      <c r="A10" s="20">
        <v>5</v>
      </c>
      <c r="B10" s="52" t="s">
        <v>53</v>
      </c>
      <c r="C10" s="53" t="s">
        <v>48</v>
      </c>
      <c r="D10" s="54">
        <v>5.9</v>
      </c>
      <c r="E10" s="53" t="s">
        <v>48</v>
      </c>
      <c r="F10" s="55">
        <f t="shared" si="0"/>
        <v>5.9</v>
      </c>
      <c r="G10" s="20"/>
      <c r="H10" s="20"/>
    </row>
    <row r="11" ht="19.5" customHeight="1" spans="1:8">
      <c r="A11" s="13">
        <v>6</v>
      </c>
      <c r="B11" s="56" t="s">
        <v>54</v>
      </c>
      <c r="C11" s="57" t="s">
        <v>48</v>
      </c>
      <c r="D11" s="58">
        <v>8.5</v>
      </c>
      <c r="E11" s="57" t="s">
        <v>48</v>
      </c>
      <c r="F11" s="55">
        <f t="shared" si="0"/>
        <v>8.5</v>
      </c>
      <c r="G11" s="13"/>
      <c r="H11" s="13"/>
    </row>
    <row r="12" ht="19.5" customHeight="1" spans="1:8">
      <c r="A12" s="20">
        <v>7</v>
      </c>
      <c r="B12" s="52" t="s">
        <v>55</v>
      </c>
      <c r="C12" s="53" t="s">
        <v>48</v>
      </c>
      <c r="D12" s="54">
        <v>7</v>
      </c>
      <c r="E12" s="53" t="s">
        <v>48</v>
      </c>
      <c r="F12" s="55">
        <f t="shared" si="0"/>
        <v>7</v>
      </c>
      <c r="G12" s="20"/>
      <c r="H12" s="20"/>
    </row>
    <row r="13" ht="19.5" customHeight="1" spans="1:8">
      <c r="A13" s="13">
        <v>8</v>
      </c>
      <c r="B13" s="56" t="s">
        <v>56</v>
      </c>
      <c r="C13" s="57" t="s">
        <v>48</v>
      </c>
      <c r="D13" s="58">
        <v>6.7</v>
      </c>
      <c r="E13" s="57" t="s">
        <v>51</v>
      </c>
      <c r="F13" s="59" t="str">
        <f t="shared" si="0"/>
        <v/>
      </c>
      <c r="G13" s="13"/>
      <c r="H13" s="13"/>
    </row>
    <row r="14" ht="19.5" customHeight="1" spans="1:8">
      <c r="A14" s="20">
        <v>9</v>
      </c>
      <c r="B14" s="52" t="s">
        <v>57</v>
      </c>
      <c r="C14" s="53" t="s">
        <v>48</v>
      </c>
      <c r="D14" s="54">
        <v>7.2</v>
      </c>
      <c r="E14" s="53" t="s">
        <v>48</v>
      </c>
      <c r="F14" s="55">
        <f t="shared" si="0"/>
        <v>7.2</v>
      </c>
      <c r="G14" s="20"/>
      <c r="H14" s="20"/>
    </row>
    <row r="15" ht="19.5" customHeight="1" spans="1:8">
      <c r="A15" s="13">
        <v>10</v>
      </c>
      <c r="B15" s="56" t="s">
        <v>58</v>
      </c>
      <c r="C15" s="57" t="s">
        <v>48</v>
      </c>
      <c r="D15" s="58">
        <v>8.3</v>
      </c>
      <c r="E15" s="57" t="s">
        <v>48</v>
      </c>
      <c r="F15" s="55">
        <f t="shared" si="0"/>
        <v>8.3</v>
      </c>
      <c r="G15" s="13"/>
      <c r="H15" s="13"/>
    </row>
    <row r="16" ht="21.75" customHeight="1" spans="1:8">
      <c r="A16" s="60" t="s">
        <v>59</v>
      </c>
      <c r="B16" s="60"/>
      <c r="C16" s="60"/>
      <c r="D16" s="61">
        <f>COUNTIF(C6:C15,"Yes")</f>
        <v>10</v>
      </c>
      <c r="E16" s="62"/>
      <c r="F16" s="62"/>
      <c r="G16" s="62"/>
      <c r="H16" s="62"/>
    </row>
    <row r="17" ht="21.75" customHeight="1" spans="1:8">
      <c r="A17" s="60" t="s">
        <v>60</v>
      </c>
      <c r="B17" s="60"/>
      <c r="C17" s="60"/>
      <c r="D17" s="61">
        <f>COUNTIF(E6:E15,"Yes")</f>
        <v>8</v>
      </c>
      <c r="E17" s="62"/>
      <c r="F17" s="62"/>
      <c r="G17" s="62"/>
      <c r="H17" s="62"/>
    </row>
    <row r="18" ht="24" customHeight="1" spans="1:8">
      <c r="A18" s="63" t="s">
        <v>61</v>
      </c>
      <c r="B18" s="63"/>
      <c r="C18" s="63"/>
      <c r="D18" s="64">
        <f>AVERAGEIF(E6:E15,"Yes",D6:D15)</f>
        <v>7.5375</v>
      </c>
      <c r="E18" s="65"/>
      <c r="F18" s="65"/>
      <c r="G18" s="65"/>
      <c r="H18" s="65"/>
    </row>
    <row r="19" ht="15.15"/>
    <row r="20" ht="21.75" customHeight="1" spans="1:8">
      <c r="A20" s="51" t="s">
        <v>62</v>
      </c>
      <c r="B20" s="51"/>
      <c r="C20" s="51"/>
      <c r="D20" s="51"/>
      <c r="E20" s="51"/>
      <c r="F20" s="51"/>
      <c r="G20" s="51"/>
      <c r="H20" s="51"/>
    </row>
    <row r="21" ht="36" customHeight="1" spans="1:8">
      <c r="A21" s="3" t="s">
        <v>19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45</v>
      </c>
      <c r="G21" s="3" t="s">
        <v>46</v>
      </c>
      <c r="H21" s="3" t="s">
        <v>46</v>
      </c>
    </row>
    <row r="22" ht="19.5" customHeight="1" spans="1:8">
      <c r="A22" s="66">
        <v>1</v>
      </c>
      <c r="B22" s="67" t="s">
        <v>47</v>
      </c>
      <c r="C22" s="68" t="s">
        <v>48</v>
      </c>
      <c r="D22" s="69">
        <v>7.5</v>
      </c>
      <c r="E22" s="68" t="s">
        <v>48</v>
      </c>
      <c r="F22" s="55">
        <f t="shared" ref="F22:F31" si="1">IF(E22="Yes",D22,"")</f>
        <v>7.5</v>
      </c>
      <c r="G22" s="66"/>
      <c r="H22" s="66"/>
    </row>
    <row r="23" ht="19.5" customHeight="1" spans="1:8">
      <c r="A23" s="13">
        <v>2</v>
      </c>
      <c r="B23" s="56" t="s">
        <v>49</v>
      </c>
      <c r="C23" s="57" t="s">
        <v>48</v>
      </c>
      <c r="D23" s="58">
        <v>8.1</v>
      </c>
      <c r="E23" s="57" t="s">
        <v>48</v>
      </c>
      <c r="F23" s="55">
        <f t="shared" si="1"/>
        <v>8.1</v>
      </c>
      <c r="G23" s="13"/>
      <c r="H23" s="13"/>
    </row>
    <row r="24" ht="19.5" customHeight="1" spans="1:8">
      <c r="A24" s="66">
        <v>3</v>
      </c>
      <c r="B24" s="67" t="s">
        <v>50</v>
      </c>
      <c r="C24" s="68" t="s">
        <v>48</v>
      </c>
      <c r="D24" s="69">
        <v>6.3</v>
      </c>
      <c r="E24" s="68" t="s">
        <v>51</v>
      </c>
      <c r="F24" s="59" t="str">
        <f t="shared" si="1"/>
        <v/>
      </c>
      <c r="G24" s="66"/>
      <c r="H24" s="66"/>
    </row>
    <row r="25" ht="19.5" customHeight="1" spans="1:8">
      <c r="A25" s="13">
        <v>4</v>
      </c>
      <c r="B25" s="56" t="s">
        <v>52</v>
      </c>
      <c r="C25" s="57" t="s">
        <v>48</v>
      </c>
      <c r="D25" s="58">
        <v>7.8</v>
      </c>
      <c r="E25" s="57" t="s">
        <v>48</v>
      </c>
      <c r="F25" s="55">
        <f t="shared" si="1"/>
        <v>7.8</v>
      </c>
      <c r="G25" s="13"/>
      <c r="H25" s="13"/>
    </row>
    <row r="26" ht="19.5" customHeight="1" spans="1:8">
      <c r="A26" s="66">
        <v>5</v>
      </c>
      <c r="B26" s="67" t="s">
        <v>53</v>
      </c>
      <c r="C26" s="68" t="s">
        <v>48</v>
      </c>
      <c r="D26" s="69">
        <v>5.9</v>
      </c>
      <c r="E26" s="68" t="s">
        <v>48</v>
      </c>
      <c r="F26" s="55">
        <f t="shared" si="1"/>
        <v>5.9</v>
      </c>
      <c r="G26" s="66"/>
      <c r="H26" s="66"/>
    </row>
    <row r="27" ht="19.5" customHeight="1" spans="1:8">
      <c r="A27" s="13">
        <v>6</v>
      </c>
      <c r="B27" s="56" t="s">
        <v>54</v>
      </c>
      <c r="C27" s="57" t="s">
        <v>48</v>
      </c>
      <c r="D27" s="58">
        <v>8.5</v>
      </c>
      <c r="E27" s="57" t="s">
        <v>48</v>
      </c>
      <c r="F27" s="55">
        <f t="shared" si="1"/>
        <v>8.5</v>
      </c>
      <c r="G27" s="13"/>
      <c r="H27" s="13"/>
    </row>
    <row r="28" ht="19.5" customHeight="1" spans="1:8">
      <c r="A28" s="66">
        <v>7</v>
      </c>
      <c r="B28" s="67" t="s">
        <v>55</v>
      </c>
      <c r="C28" s="68" t="s">
        <v>48</v>
      </c>
      <c r="D28" s="69">
        <v>7</v>
      </c>
      <c r="E28" s="68" t="s">
        <v>48</v>
      </c>
      <c r="F28" s="55">
        <f t="shared" si="1"/>
        <v>7</v>
      </c>
      <c r="G28" s="66"/>
      <c r="H28" s="66"/>
    </row>
    <row r="29" ht="19.5" customHeight="1" spans="1:8">
      <c r="A29" s="13">
        <v>8</v>
      </c>
      <c r="B29" s="56" t="s">
        <v>56</v>
      </c>
      <c r="C29" s="57" t="s">
        <v>48</v>
      </c>
      <c r="D29" s="58">
        <v>6.7</v>
      </c>
      <c r="E29" s="57" t="s">
        <v>51</v>
      </c>
      <c r="F29" s="59" t="str">
        <f t="shared" si="1"/>
        <v/>
      </c>
      <c r="G29" s="13"/>
      <c r="H29" s="13"/>
    </row>
    <row r="30" ht="19.5" customHeight="1" spans="1:8">
      <c r="A30" s="66">
        <v>9</v>
      </c>
      <c r="B30" s="67" t="s">
        <v>57</v>
      </c>
      <c r="C30" s="68" t="s">
        <v>48</v>
      </c>
      <c r="D30" s="69">
        <v>7.2</v>
      </c>
      <c r="E30" s="68" t="s">
        <v>48</v>
      </c>
      <c r="F30" s="55">
        <f t="shared" si="1"/>
        <v>7.2</v>
      </c>
      <c r="G30" s="66"/>
      <c r="H30" s="66"/>
    </row>
    <row r="31" ht="19.5" customHeight="1" spans="1:8">
      <c r="A31" s="13">
        <v>10</v>
      </c>
      <c r="B31" s="56" t="s">
        <v>58</v>
      </c>
      <c r="C31" s="57" t="s">
        <v>48</v>
      </c>
      <c r="D31" s="58">
        <v>8.3</v>
      </c>
      <c r="E31" s="57" t="s">
        <v>48</v>
      </c>
      <c r="F31" s="55">
        <f t="shared" si="1"/>
        <v>8.3</v>
      </c>
      <c r="G31" s="13"/>
      <c r="H31" s="13"/>
    </row>
    <row r="32" ht="21.75" customHeight="1" spans="1:8">
      <c r="A32" s="60" t="s">
        <v>59</v>
      </c>
      <c r="B32" s="60"/>
      <c r="C32" s="60"/>
      <c r="D32" s="61">
        <f>COUNTIF(C22:C31,"Yes")</f>
        <v>10</v>
      </c>
      <c r="E32" s="62"/>
      <c r="F32" s="62"/>
      <c r="G32" s="62"/>
      <c r="H32" s="62"/>
    </row>
    <row r="33" ht="21.75" customHeight="1" spans="1:8">
      <c r="A33" s="60" t="s">
        <v>60</v>
      </c>
      <c r="B33" s="60"/>
      <c r="C33" s="60"/>
      <c r="D33" s="61">
        <f>COUNTIF(E22:E31,"Yes")</f>
        <v>8</v>
      </c>
      <c r="E33" s="62"/>
      <c r="F33" s="62"/>
      <c r="G33" s="62"/>
      <c r="H33" s="62"/>
    </row>
    <row r="34" ht="24" customHeight="1" spans="1:8">
      <c r="A34" s="63" t="s">
        <v>61</v>
      </c>
      <c r="B34" s="63"/>
      <c r="C34" s="63"/>
      <c r="D34" s="64">
        <f>AVERAGEIF(E22:E31,"Yes",D22:D31)</f>
        <v>7.5375</v>
      </c>
      <c r="E34" s="65"/>
      <c r="F34" s="65"/>
      <c r="G34" s="65"/>
      <c r="H34" s="65"/>
    </row>
    <row r="35" ht="15.15"/>
    <row r="36" ht="21.75" customHeight="1" spans="1:8">
      <c r="A36" s="51" t="s">
        <v>63</v>
      </c>
      <c r="B36" s="51"/>
      <c r="C36" s="51"/>
      <c r="D36" s="51"/>
      <c r="E36" s="51"/>
      <c r="F36" s="51"/>
      <c r="G36" s="51"/>
      <c r="H36" s="51"/>
    </row>
    <row r="37" ht="36" customHeight="1" spans="1:8">
      <c r="A37" s="3" t="s">
        <v>19</v>
      </c>
      <c r="B37" s="3" t="s">
        <v>41</v>
      </c>
      <c r="C37" s="3" t="s">
        <v>42</v>
      </c>
      <c r="D37" s="3" t="s">
        <v>43</v>
      </c>
      <c r="E37" s="3" t="s">
        <v>44</v>
      </c>
      <c r="F37" s="3" t="s">
        <v>45</v>
      </c>
      <c r="G37" s="3" t="s">
        <v>46</v>
      </c>
      <c r="H37" s="3" t="s">
        <v>46</v>
      </c>
    </row>
    <row r="38" ht="19.5" customHeight="1" spans="1:8">
      <c r="A38" s="70">
        <v>1</v>
      </c>
      <c r="B38" s="71" t="s">
        <v>47</v>
      </c>
      <c r="C38" s="72" t="s">
        <v>48</v>
      </c>
      <c r="D38" s="73">
        <v>7.5</v>
      </c>
      <c r="E38" s="72" t="s">
        <v>48</v>
      </c>
      <c r="F38" s="55">
        <f t="shared" ref="F38:F47" si="2">IF(E38="Yes",D38,"")</f>
        <v>7.5</v>
      </c>
      <c r="G38" s="70"/>
      <c r="H38" s="70"/>
    </row>
    <row r="39" ht="19.5" customHeight="1" spans="1:8">
      <c r="A39" s="13">
        <v>2</v>
      </c>
      <c r="B39" s="56" t="s">
        <v>49</v>
      </c>
      <c r="C39" s="57" t="s">
        <v>48</v>
      </c>
      <c r="D39" s="58">
        <v>8.1</v>
      </c>
      <c r="E39" s="57" t="s">
        <v>48</v>
      </c>
      <c r="F39" s="55">
        <f t="shared" si="2"/>
        <v>8.1</v>
      </c>
      <c r="G39" s="13"/>
      <c r="H39" s="13"/>
    </row>
    <row r="40" ht="19.5" customHeight="1" spans="1:8">
      <c r="A40" s="70">
        <v>3</v>
      </c>
      <c r="B40" s="71" t="s">
        <v>50</v>
      </c>
      <c r="C40" s="72" t="s">
        <v>48</v>
      </c>
      <c r="D40" s="73">
        <v>6.3</v>
      </c>
      <c r="E40" s="72" t="s">
        <v>51</v>
      </c>
      <c r="F40" s="59" t="str">
        <f t="shared" si="2"/>
        <v/>
      </c>
      <c r="G40" s="70"/>
      <c r="H40" s="70"/>
    </row>
    <row r="41" ht="19.5" customHeight="1" spans="1:8">
      <c r="A41" s="13">
        <v>4</v>
      </c>
      <c r="B41" s="56" t="s">
        <v>52</v>
      </c>
      <c r="C41" s="57" t="s">
        <v>48</v>
      </c>
      <c r="D41" s="58">
        <v>7.8</v>
      </c>
      <c r="E41" s="57" t="s">
        <v>48</v>
      </c>
      <c r="F41" s="55">
        <f t="shared" si="2"/>
        <v>7.8</v>
      </c>
      <c r="G41" s="13"/>
      <c r="H41" s="13"/>
    </row>
    <row r="42" ht="19.5" customHeight="1" spans="1:8">
      <c r="A42" s="70">
        <v>5</v>
      </c>
      <c r="B42" s="71" t="s">
        <v>53</v>
      </c>
      <c r="C42" s="72" t="s">
        <v>48</v>
      </c>
      <c r="D42" s="73">
        <v>5.9</v>
      </c>
      <c r="E42" s="72" t="s">
        <v>48</v>
      </c>
      <c r="F42" s="55">
        <f t="shared" si="2"/>
        <v>5.9</v>
      </c>
      <c r="G42" s="70"/>
      <c r="H42" s="70"/>
    </row>
    <row r="43" ht="19.5" customHeight="1" spans="1:8">
      <c r="A43" s="13">
        <v>6</v>
      </c>
      <c r="B43" s="56" t="s">
        <v>54</v>
      </c>
      <c r="C43" s="57" t="s">
        <v>48</v>
      </c>
      <c r="D43" s="58">
        <v>8.5</v>
      </c>
      <c r="E43" s="57" t="s">
        <v>48</v>
      </c>
      <c r="F43" s="55">
        <f t="shared" si="2"/>
        <v>8.5</v>
      </c>
      <c r="G43" s="13"/>
      <c r="H43" s="13"/>
    </row>
    <row r="44" ht="19.5" customHeight="1" spans="1:8">
      <c r="A44" s="70">
        <v>7</v>
      </c>
      <c r="B44" s="71" t="s">
        <v>55</v>
      </c>
      <c r="C44" s="72" t="s">
        <v>48</v>
      </c>
      <c r="D44" s="73">
        <v>7</v>
      </c>
      <c r="E44" s="72" t="s">
        <v>48</v>
      </c>
      <c r="F44" s="55">
        <f t="shared" si="2"/>
        <v>7</v>
      </c>
      <c r="G44" s="70"/>
      <c r="H44" s="70"/>
    </row>
    <row r="45" ht="19.5" customHeight="1" spans="1:8">
      <c r="A45" s="13">
        <v>8</v>
      </c>
      <c r="B45" s="56" t="s">
        <v>56</v>
      </c>
      <c r="C45" s="57" t="s">
        <v>48</v>
      </c>
      <c r="D45" s="58">
        <v>6.7</v>
      </c>
      <c r="E45" s="57" t="s">
        <v>51</v>
      </c>
      <c r="F45" s="59" t="str">
        <f t="shared" si="2"/>
        <v/>
      </c>
      <c r="G45" s="13"/>
      <c r="H45" s="13"/>
    </row>
    <row r="46" ht="19.5" customHeight="1" spans="1:8">
      <c r="A46" s="70">
        <v>9</v>
      </c>
      <c r="B46" s="71" t="s">
        <v>57</v>
      </c>
      <c r="C46" s="72" t="s">
        <v>48</v>
      </c>
      <c r="D46" s="73">
        <v>7.2</v>
      </c>
      <c r="E46" s="72" t="s">
        <v>48</v>
      </c>
      <c r="F46" s="55">
        <f t="shared" si="2"/>
        <v>7.2</v>
      </c>
      <c r="G46" s="70"/>
      <c r="H46" s="70"/>
    </row>
    <row r="47" ht="19.5" customHeight="1" spans="1:8">
      <c r="A47" s="13">
        <v>10</v>
      </c>
      <c r="B47" s="56" t="s">
        <v>58</v>
      </c>
      <c r="C47" s="57" t="s">
        <v>48</v>
      </c>
      <c r="D47" s="58">
        <v>8.3</v>
      </c>
      <c r="E47" s="57" t="s">
        <v>48</v>
      </c>
      <c r="F47" s="55">
        <f t="shared" si="2"/>
        <v>8.3</v>
      </c>
      <c r="G47" s="13"/>
      <c r="H47" s="13"/>
    </row>
    <row r="48" ht="21.75" customHeight="1" spans="1:8">
      <c r="A48" s="60" t="s">
        <v>59</v>
      </c>
      <c r="B48" s="60"/>
      <c r="C48" s="60"/>
      <c r="D48" s="61">
        <f>COUNTIF(C38:C47,"Yes")</f>
        <v>10</v>
      </c>
      <c r="E48" s="62"/>
      <c r="F48" s="62"/>
      <c r="G48" s="62"/>
      <c r="H48" s="62"/>
    </row>
    <row r="49" ht="21.75" customHeight="1" spans="1:8">
      <c r="A49" s="60" t="s">
        <v>60</v>
      </c>
      <c r="B49" s="60"/>
      <c r="C49" s="60"/>
      <c r="D49" s="61">
        <f>COUNTIF(E38:E47,"Yes")</f>
        <v>8</v>
      </c>
      <c r="E49" s="62"/>
      <c r="F49" s="62"/>
      <c r="G49" s="62"/>
      <c r="H49" s="62"/>
    </row>
    <row r="50" ht="24" customHeight="1" spans="1:8">
      <c r="A50" s="63" t="s">
        <v>61</v>
      </c>
      <c r="B50" s="63"/>
      <c r="C50" s="63"/>
      <c r="D50" s="64">
        <f>AVERAGEIF(E38:E47,"Yes",D38:D47)</f>
        <v>7.5375</v>
      </c>
      <c r="E50" s="65"/>
      <c r="F50" s="65"/>
      <c r="G50" s="65"/>
      <c r="H50" s="65"/>
    </row>
  </sheetData>
  <mergeCells count="14">
    <mergeCell ref="A1:H1"/>
    <mergeCell ref="A2:H2"/>
    <mergeCell ref="A4:H4"/>
    <mergeCell ref="A16:C16"/>
    <mergeCell ref="A17:C17"/>
    <mergeCell ref="A18:C18"/>
    <mergeCell ref="A20:H20"/>
    <mergeCell ref="A32:C32"/>
    <mergeCell ref="A33:C33"/>
    <mergeCell ref="A34:C34"/>
    <mergeCell ref="A36:H36"/>
    <mergeCell ref="A48:C48"/>
    <mergeCell ref="A49:C49"/>
    <mergeCell ref="A50:C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workbookViewId="0">
      <selection activeCell="A1" sqref="A1:G1"/>
    </sheetView>
  </sheetViews>
  <sheetFormatPr defaultColWidth="8.67592592592593" defaultRowHeight="14.4" outlineLevelCol="6"/>
  <cols>
    <col min="1" max="1" width="4" customWidth="1"/>
    <col min="2" max="2" width="36" customWidth="1"/>
    <col min="3" max="6" width="16" customWidth="1"/>
    <col min="7" max="7" width="18" customWidth="1"/>
  </cols>
  <sheetData>
    <row r="1" ht="30" customHeight="1" spans="1:7">
      <c r="A1" s="1" t="s">
        <v>64</v>
      </c>
      <c r="B1" s="1"/>
      <c r="C1" s="1"/>
      <c r="D1" s="1"/>
      <c r="E1" s="1"/>
      <c r="F1" s="1"/>
      <c r="G1" s="1"/>
    </row>
    <row r="2" ht="19.5" customHeight="1" spans="1:7">
      <c r="A2" s="2" t="s">
        <v>65</v>
      </c>
      <c r="B2" s="2"/>
      <c r="C2" s="2"/>
      <c r="D2" s="2"/>
      <c r="E2" s="2"/>
      <c r="F2" s="2"/>
      <c r="G2" s="2"/>
    </row>
    <row r="3" ht="42" customHeight="1" spans="1:7">
      <c r="A3" s="3" t="s">
        <v>19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</row>
    <row r="4" ht="27.75" customHeight="1" spans="1:7">
      <c r="A4" s="26" t="s">
        <v>6</v>
      </c>
      <c r="B4" s="27" t="s">
        <v>72</v>
      </c>
      <c r="C4" s="28">
        <v>7.2</v>
      </c>
      <c r="D4" s="28">
        <v>6.8</v>
      </c>
      <c r="E4" s="28">
        <v>7</v>
      </c>
      <c r="F4" s="29">
        <f>AVERAGE(C4:E4)</f>
        <v>7</v>
      </c>
      <c r="G4" s="30" t="s">
        <v>73</v>
      </c>
    </row>
    <row r="5" ht="27.75" customHeight="1" spans="1:7">
      <c r="A5" s="31" t="s">
        <v>9</v>
      </c>
      <c r="B5" s="32" t="s">
        <v>74</v>
      </c>
      <c r="C5" s="33">
        <v>95</v>
      </c>
      <c r="D5" s="33">
        <v>92</v>
      </c>
      <c r="E5" s="33">
        <v>96</v>
      </c>
      <c r="F5" s="34">
        <f>AVERAGE(C5:E5)</f>
        <v>94.3333333333333</v>
      </c>
      <c r="G5" s="7" t="s">
        <v>75</v>
      </c>
    </row>
    <row r="6" ht="27.75" customHeight="1" spans="1:7">
      <c r="A6" s="26" t="s">
        <v>12</v>
      </c>
      <c r="B6" s="27" t="s">
        <v>76</v>
      </c>
      <c r="C6" s="35">
        <v>110</v>
      </c>
      <c r="D6" s="35">
        <v>108</v>
      </c>
      <c r="E6" s="35">
        <v>112</v>
      </c>
      <c r="F6" s="34">
        <f>AVERAGE(C6:E6)</f>
        <v>110</v>
      </c>
      <c r="G6" s="30" t="s">
        <v>77</v>
      </c>
    </row>
    <row r="7" ht="27.75" customHeight="1" spans="1:7">
      <c r="A7" s="31" t="s">
        <v>78</v>
      </c>
      <c r="B7" s="32" t="s">
        <v>79</v>
      </c>
      <c r="C7" s="36">
        <f>C5/C6</f>
        <v>0.863636363636364</v>
      </c>
      <c r="D7" s="36">
        <f>D5/D6</f>
        <v>0.851851851851852</v>
      </c>
      <c r="E7" s="36">
        <f>E5/E6</f>
        <v>0.857142857142857</v>
      </c>
      <c r="F7" s="29">
        <f>AVERAGE(C7:E7)</f>
        <v>0.857543690877024</v>
      </c>
      <c r="G7" s="7" t="s">
        <v>80</v>
      </c>
    </row>
    <row r="8" ht="27.75" customHeight="1" spans="1:7">
      <c r="A8" s="37" t="s">
        <v>15</v>
      </c>
      <c r="B8" s="38" t="s">
        <v>81</v>
      </c>
      <c r="C8" s="39">
        <f>C4*C7</f>
        <v>6.21818181818182</v>
      </c>
      <c r="D8" s="39">
        <f>D4*D7</f>
        <v>5.79259259259259</v>
      </c>
      <c r="E8" s="39">
        <f>E4*E7</f>
        <v>6</v>
      </c>
      <c r="F8" s="40">
        <f>AVERAGE(C8:E8)</f>
        <v>6.00359147025814</v>
      </c>
      <c r="G8" s="41" t="s">
        <v>82</v>
      </c>
    </row>
    <row r="9" ht="15.15"/>
    <row r="10" ht="31.5" customHeight="1" spans="1:7">
      <c r="A10" s="42" t="s">
        <v>83</v>
      </c>
      <c r="B10" s="42"/>
      <c r="C10" s="42"/>
      <c r="D10" s="42"/>
      <c r="E10" s="42"/>
      <c r="F10" s="42"/>
      <c r="G10" s="42"/>
    </row>
    <row r="11" ht="21.75" customHeight="1" spans="1:7">
      <c r="A11" s="2" t="s">
        <v>84</v>
      </c>
      <c r="B11" s="2"/>
      <c r="C11" s="2"/>
      <c r="D11" s="2"/>
      <c r="E11" s="2"/>
      <c r="F11" s="2"/>
      <c r="G11" s="2"/>
    </row>
    <row r="12" ht="27.75" customHeight="1" spans="1:7">
      <c r="A12" s="3" t="s">
        <v>85</v>
      </c>
      <c r="B12" s="3" t="s">
        <v>86</v>
      </c>
      <c r="C12" s="3" t="s">
        <v>87</v>
      </c>
      <c r="D12" s="3" t="s">
        <v>46</v>
      </c>
      <c r="E12" s="3" t="s">
        <v>46</v>
      </c>
      <c r="F12" s="3" t="s">
        <v>46</v>
      </c>
      <c r="G12" s="3" t="s">
        <v>88</v>
      </c>
    </row>
    <row r="13" ht="24" customHeight="1" spans="1:7">
      <c r="A13" s="43" t="s">
        <v>89</v>
      </c>
      <c r="B13" s="43" t="s">
        <v>90</v>
      </c>
      <c r="C13" s="44" t="s">
        <v>91</v>
      </c>
      <c r="D13" s="44"/>
      <c r="E13" s="44"/>
      <c r="F13" s="44"/>
      <c r="G13" s="43" t="s">
        <v>90</v>
      </c>
    </row>
    <row r="14" ht="24" customHeight="1" spans="1:7">
      <c r="A14" s="45" t="s">
        <v>92</v>
      </c>
      <c r="B14" s="45" t="s">
        <v>93</v>
      </c>
      <c r="C14" s="46" t="s">
        <v>94</v>
      </c>
      <c r="D14" s="46"/>
      <c r="E14" s="46"/>
      <c r="F14" s="46"/>
      <c r="G14" s="45" t="s">
        <v>93</v>
      </c>
    </row>
    <row r="15" ht="24" customHeight="1" spans="1:7">
      <c r="A15" s="47" t="s">
        <v>95</v>
      </c>
      <c r="B15" s="47" t="s">
        <v>96</v>
      </c>
      <c r="C15" s="48" t="s">
        <v>97</v>
      </c>
      <c r="D15" s="48"/>
      <c r="E15" s="48"/>
      <c r="F15" s="48"/>
      <c r="G15" s="47" t="s">
        <v>96</v>
      </c>
    </row>
    <row r="16" ht="15.15"/>
    <row r="17" ht="21.75" customHeight="1" spans="1:7">
      <c r="A17" s="49" t="s">
        <v>98</v>
      </c>
      <c r="B17" s="49"/>
      <c r="C17" s="49"/>
      <c r="D17" s="49"/>
      <c r="E17" s="49"/>
      <c r="F17" s="49"/>
      <c r="G17" s="49"/>
    </row>
    <row r="18" ht="19.5" customHeight="1" spans="1:7">
      <c r="A18" s="50" t="s">
        <v>99</v>
      </c>
      <c r="B18" s="50"/>
      <c r="C18" s="50"/>
      <c r="D18" s="50"/>
      <c r="E18" s="50"/>
      <c r="F18" s="50"/>
      <c r="G18" s="50"/>
    </row>
    <row r="19" ht="19.5" customHeight="1" spans="1:7">
      <c r="A19" s="50" t="s">
        <v>100</v>
      </c>
      <c r="B19" s="50"/>
      <c r="C19" s="50"/>
      <c r="D19" s="50"/>
      <c r="E19" s="50"/>
      <c r="F19" s="50"/>
      <c r="G19" s="50"/>
    </row>
    <row r="20" ht="19.5" customHeight="1" spans="1:7">
      <c r="A20" s="50" t="s">
        <v>101</v>
      </c>
      <c r="B20" s="50"/>
      <c r="C20" s="50"/>
      <c r="D20" s="50"/>
      <c r="E20" s="50"/>
      <c r="F20" s="50"/>
      <c r="G20" s="50"/>
    </row>
    <row r="21" ht="19.5" customHeight="1" spans="1:7">
      <c r="A21" s="50" t="s">
        <v>102</v>
      </c>
      <c r="B21" s="50"/>
      <c r="C21" s="50"/>
      <c r="D21" s="50"/>
      <c r="E21" s="50"/>
      <c r="F21" s="50"/>
      <c r="G21" s="50"/>
    </row>
    <row r="22" ht="19.5" customHeight="1" spans="1:7">
      <c r="A22" s="50" t="s">
        <v>103</v>
      </c>
      <c r="B22" s="50"/>
      <c r="C22" s="50"/>
      <c r="D22" s="50"/>
      <c r="E22" s="50"/>
      <c r="F22" s="50"/>
      <c r="G22" s="50"/>
    </row>
  </sheetData>
  <mergeCells count="13">
    <mergeCell ref="A1:G1"/>
    <mergeCell ref="A2:G2"/>
    <mergeCell ref="A10:G10"/>
    <mergeCell ref="A11:G11"/>
    <mergeCell ref="C13:F13"/>
    <mergeCell ref="C14:F14"/>
    <mergeCell ref="C15:F15"/>
    <mergeCell ref="A17:G17"/>
    <mergeCell ref="A18:G18"/>
    <mergeCell ref="A19:G19"/>
    <mergeCell ref="A20:G20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workbookViewId="0">
      <selection activeCell="A1" sqref="A1:H1"/>
    </sheetView>
  </sheetViews>
  <sheetFormatPr defaultColWidth="8.67592592592593" defaultRowHeight="14.4" outlineLevelRow="5" outlineLevelCol="7"/>
  <cols>
    <col min="1" max="1" width="4" customWidth="1"/>
    <col min="2" max="2" width="22" customWidth="1"/>
    <col min="3" max="6" width="14" customWidth="1"/>
    <col min="7" max="8" width="16" customWidth="1"/>
  </cols>
  <sheetData>
    <row r="1" ht="30" customHeight="1" spans="1:8">
      <c r="A1" s="1" t="s">
        <v>104</v>
      </c>
      <c r="B1" s="1"/>
      <c r="C1" s="1"/>
      <c r="D1" s="1"/>
      <c r="E1" s="1"/>
      <c r="F1" s="1"/>
      <c r="G1" s="1"/>
      <c r="H1" s="1"/>
    </row>
    <row r="2" ht="36" customHeight="1" spans="1:8">
      <c r="A2" s="3" t="s">
        <v>19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78</v>
      </c>
      <c r="G2" s="3" t="s">
        <v>15</v>
      </c>
      <c r="H2" s="3" t="s">
        <v>86</v>
      </c>
    </row>
    <row r="3" ht="24" customHeight="1" spans="1:8">
      <c r="A3" s="13">
        <v>1</v>
      </c>
      <c r="B3" s="14" t="s">
        <v>27</v>
      </c>
      <c r="C3" s="15">
        <v>7.2</v>
      </c>
      <c r="D3" s="16">
        <v>95</v>
      </c>
      <c r="E3" s="16">
        <v>110</v>
      </c>
      <c r="F3" s="17">
        <f>D3/E3</f>
        <v>0.863636363636364</v>
      </c>
      <c r="G3" s="18">
        <f>C3*F3</f>
        <v>6.21818181818182</v>
      </c>
      <c r="H3" s="19" t="str">
        <f>IF(G3&gt;=8,"HIGH",IF(G3&gt;=5,"MEDIUM","LOW"))</f>
        <v>MEDIUM</v>
      </c>
    </row>
    <row r="4" ht="24" customHeight="1" spans="1:8">
      <c r="A4" s="20">
        <v>2</v>
      </c>
      <c r="B4" s="21" t="s">
        <v>28</v>
      </c>
      <c r="C4" s="15">
        <v>6.8</v>
      </c>
      <c r="D4" s="16">
        <v>92</v>
      </c>
      <c r="E4" s="16">
        <v>108</v>
      </c>
      <c r="F4" s="22">
        <f>D4/E4</f>
        <v>0.851851851851852</v>
      </c>
      <c r="G4" s="18">
        <f>C4*F4</f>
        <v>5.79259259259259</v>
      </c>
      <c r="H4" s="19" t="str">
        <f>IF(G4&gt;=8,"HIGH",IF(G4&gt;=5,"MEDIUM","LOW"))</f>
        <v>MEDIUM</v>
      </c>
    </row>
    <row r="5" ht="24" customHeight="1" spans="1:8">
      <c r="A5" s="13">
        <v>3</v>
      </c>
      <c r="B5" s="14" t="s">
        <v>29</v>
      </c>
      <c r="C5" s="15">
        <v>7</v>
      </c>
      <c r="D5" s="16">
        <v>96</v>
      </c>
      <c r="E5" s="16">
        <v>112</v>
      </c>
      <c r="F5" s="17">
        <f>D5/E5</f>
        <v>0.857142857142857</v>
      </c>
      <c r="G5" s="18">
        <f>C5*F5</f>
        <v>6</v>
      </c>
      <c r="H5" s="19" t="str">
        <f>IF(G5&gt;=8,"HIGH",IF(G5&gt;=5,"MEDIUM","LOW"))</f>
        <v>MEDIUM</v>
      </c>
    </row>
    <row r="6" ht="31.5" customHeight="1" spans="1:8">
      <c r="A6" s="23" t="s">
        <v>109</v>
      </c>
      <c r="B6" s="23"/>
      <c r="C6" s="23"/>
      <c r="D6" s="23"/>
      <c r="E6" s="23"/>
      <c r="F6" s="23"/>
      <c r="G6" s="24">
        <f>AVERAGE(G3:G5)</f>
        <v>6.00359147025814</v>
      </c>
      <c r="H6" s="25" t="s">
        <v>36</v>
      </c>
    </row>
  </sheetData>
  <mergeCells count="2">
    <mergeCell ref="A1:H1"/>
    <mergeCell ref="A6:F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customWidth="1"/>
    <col min="2" max="2" width="44" customWidth="1"/>
    <col min="3" max="5" width="16" customWidth="1"/>
    <col min="6" max="6" width="18" customWidth="1"/>
  </cols>
  <sheetData>
    <row r="1" ht="30" customHeight="1" spans="1:6">
      <c r="A1" s="1" t="s">
        <v>110</v>
      </c>
      <c r="B1" s="1"/>
      <c r="C1" s="1"/>
      <c r="D1" s="1"/>
      <c r="E1" s="1"/>
      <c r="F1" s="1"/>
    </row>
    <row r="2" ht="19.5" customHeight="1" spans="1:6">
      <c r="A2" s="2" t="s">
        <v>111</v>
      </c>
      <c r="B2" s="2"/>
      <c r="C2" s="2"/>
      <c r="D2" s="2"/>
      <c r="E2" s="2"/>
      <c r="F2" s="2"/>
    </row>
    <row r="3" ht="36" customHeight="1" spans="1:6">
      <c r="A3" s="3" t="s">
        <v>19</v>
      </c>
      <c r="B3" s="3" t="s">
        <v>112</v>
      </c>
      <c r="C3" s="3" t="s">
        <v>69</v>
      </c>
      <c r="D3" s="3" t="s">
        <v>68</v>
      </c>
      <c r="E3" s="3" t="s">
        <v>67</v>
      </c>
      <c r="F3" s="3" t="s">
        <v>113</v>
      </c>
    </row>
    <row r="4" ht="36" customHeight="1" spans="1:6">
      <c r="A4" s="4">
        <v>1</v>
      </c>
      <c r="B4" s="5" t="s">
        <v>114</v>
      </c>
      <c r="C4" s="6" t="s">
        <v>115</v>
      </c>
      <c r="D4" s="6" t="s">
        <v>115</v>
      </c>
      <c r="E4" s="6" t="s">
        <v>115</v>
      </c>
      <c r="F4" s="7" t="s">
        <v>116</v>
      </c>
    </row>
    <row r="5" ht="36" customHeight="1" spans="1:6">
      <c r="A5" s="8">
        <v>2</v>
      </c>
      <c r="B5" s="9" t="s">
        <v>117</v>
      </c>
      <c r="C5" s="10" t="s">
        <v>115</v>
      </c>
      <c r="D5" s="10" t="s">
        <v>115</v>
      </c>
      <c r="E5" s="10" t="s">
        <v>115</v>
      </c>
      <c r="F5" s="11" t="s">
        <v>118</v>
      </c>
    </row>
    <row r="6" ht="36" customHeight="1" spans="1:6">
      <c r="A6" s="4">
        <v>3</v>
      </c>
      <c r="B6" s="5" t="s">
        <v>119</v>
      </c>
      <c r="C6" s="6" t="s">
        <v>115</v>
      </c>
      <c r="D6" s="6" t="s">
        <v>115</v>
      </c>
      <c r="E6" s="6" t="s">
        <v>115</v>
      </c>
      <c r="F6" s="7" t="s">
        <v>120</v>
      </c>
    </row>
    <row r="7" ht="36" customHeight="1" spans="1:6">
      <c r="A7" s="8">
        <v>4</v>
      </c>
      <c r="B7" s="9" t="s">
        <v>121</v>
      </c>
      <c r="C7" s="10" t="s">
        <v>115</v>
      </c>
      <c r="D7" s="10" t="s">
        <v>115</v>
      </c>
      <c r="E7" s="10" t="s">
        <v>115</v>
      </c>
      <c r="F7" s="11" t="s">
        <v>122</v>
      </c>
    </row>
    <row r="8" ht="36" customHeight="1" spans="1:6">
      <c r="A8" s="4">
        <v>5</v>
      </c>
      <c r="B8" s="5" t="s">
        <v>123</v>
      </c>
      <c r="C8" s="6" t="s">
        <v>115</v>
      </c>
      <c r="D8" s="6" t="s">
        <v>115</v>
      </c>
      <c r="E8" s="6" t="s">
        <v>115</v>
      </c>
      <c r="F8" s="7" t="s">
        <v>124</v>
      </c>
    </row>
    <row r="9" ht="36" customHeight="1" spans="1:6">
      <c r="A9" s="8">
        <v>6</v>
      </c>
      <c r="B9" s="9" t="s">
        <v>125</v>
      </c>
      <c r="C9" s="10" t="s">
        <v>115</v>
      </c>
      <c r="D9" s="10" t="s">
        <v>115</v>
      </c>
      <c r="E9" s="10" t="s">
        <v>115</v>
      </c>
      <c r="F9" s="11" t="s">
        <v>126</v>
      </c>
    </row>
    <row r="10" ht="36" customHeight="1" spans="1:6">
      <c r="A10" s="4">
        <v>7</v>
      </c>
      <c r="B10" s="5" t="s">
        <v>127</v>
      </c>
      <c r="C10" s="6" t="s">
        <v>115</v>
      </c>
      <c r="D10" s="6" t="s">
        <v>115</v>
      </c>
      <c r="E10" s="6" t="s">
        <v>115</v>
      </c>
      <c r="F10" s="7" t="s">
        <v>128</v>
      </c>
    </row>
    <row r="11" ht="36" customHeight="1" spans="1:6">
      <c r="A11" s="8">
        <v>8</v>
      </c>
      <c r="B11" s="9" t="s">
        <v>129</v>
      </c>
      <c r="C11" s="10" t="s">
        <v>115</v>
      </c>
      <c r="D11" s="10" t="s">
        <v>115</v>
      </c>
      <c r="E11" s="10" t="s">
        <v>115</v>
      </c>
      <c r="F11" s="11" t="s">
        <v>130</v>
      </c>
    </row>
    <row r="13" ht="27.75" customHeight="1" spans="1:6">
      <c r="A13" s="12" t="s">
        <v>131</v>
      </c>
      <c r="B13" s="12"/>
      <c r="C13" s="12"/>
      <c r="D13" s="12"/>
      <c r="E13" s="12"/>
      <c r="F13" s="12"/>
    </row>
  </sheetData>
  <mergeCells count="3">
    <mergeCell ref="A1:F1"/>
    <mergeCell ref="A2:F2"/>
    <mergeCell ref="A13:F1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API2_Calculator</vt:lpstr>
      <vt:lpstr>Student_GPA_Entry</vt:lpstr>
      <vt:lpstr>SAR_Table</vt:lpstr>
      <vt:lpstr>API_Trend_Chart</vt:lpstr>
      <vt:lpstr>Documentation_Checklist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1</cp:revision>
  <dcterms:created xsi:type="dcterms:W3CDTF">2026-06-29T07:41:00Z</dcterms:created>
  <dcterms:modified xsi:type="dcterms:W3CDTF">2026-07-20T11:59:17Z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4D9E06620345402886975CB21386514E_12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