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s_Details" sheetId="1" state="visible" r:id="rId1"/>
    <sheet xmlns:r="http://schemas.openxmlformats.org/officeDocument/2006/relationships" name="Yearly_Summary" sheetId="2" state="visible" r:id="rId2"/>
    <sheet xmlns:r="http://schemas.openxmlformats.org/officeDocument/2006/relationships" name="Marks_Calculator" sheetId="3" state="visible" r:id="rId3"/>
    <sheet xmlns:r="http://schemas.openxmlformats.org/officeDocument/2006/relationships" name="Evidence_Tracker" sheetId="4" state="visible" r:id="rId4"/>
    <sheet xmlns:r="http://schemas.openxmlformats.org/officeDocument/2006/relationships" name="ReadMe" sheetId="5" state="visible" r:id="rId5"/>
    <sheet xmlns:r="http://schemas.openxmlformats.org/officeDocument/2006/relationships" name="MoU_CSR_Tracker" sheetId="6" state="visible" r:id="rId6"/>
    <sheet xmlns:r="http://schemas.openxmlformats.org/officeDocument/2006/relationships" name="UC_Tracker" sheetId="7" state="visible" r:id="rId7"/>
    <sheet xmlns:r="http://schemas.openxmlformats.org/officeDocument/2006/relationships" name="Financial_Evidence_Tracker" sheetId="8" state="visible" r:id="rId8"/>
    <sheet xmlns:r="http://schemas.openxmlformats.org/officeDocument/2006/relationships" name="RD_Tracker" sheetId="9" state="visible" r:id="rId9"/>
    <sheet xmlns:r="http://schemas.openxmlformats.org/officeDocument/2006/relationships" name="NBA_Marks_Dashboard" sheetId="10" state="visible" r:id="rId10"/>
    <sheet xmlns:r="http://schemas.openxmlformats.org/officeDocument/2006/relationships" name="Consultancy_Tracker" sheetId="11" state="visible" r:id="rId11"/>
    <sheet xmlns:r="http://schemas.openxmlformats.org/officeDocument/2006/relationships" name="Faculty_Consultancy_Report" sheetId="12" state="visible" r:id="rId12"/>
    <sheet xmlns:r="http://schemas.openxmlformats.org/officeDocument/2006/relationships" name="Consultancy_Title_Repository" sheetId="13" state="visible" r:id="rId13"/>
    <sheet xmlns:r="http://schemas.openxmlformats.org/officeDocument/2006/relationships" name="Institution_SeedMoney_Tracker" sheetId="14" state="visible" r:id="rId14"/>
    <sheet xmlns:r="http://schemas.openxmlformats.org/officeDocument/2006/relationships" name="SeedMoney_Tracker" sheetId="15" state="visible" r:id="rId15"/>
    <sheet xmlns:r="http://schemas.openxmlformats.org/officeDocument/2006/relationships" name="Seed_Summary" sheetId="16" state="visible" r:id="rId16"/>
    <sheet xmlns:r="http://schemas.openxmlformats.org/officeDocument/2006/relationships" name="Seed_ReadMe" sheetId="17" state="visible" r:id="rId17"/>
    <sheet xmlns:r="http://schemas.openxmlformats.org/officeDocument/2006/relationships" name="Academic_Research" sheetId="18" state="visible" r:id="rId18"/>
    <sheet xmlns:r="http://schemas.openxmlformats.org/officeDocument/2006/relationships" name="PhD_Students" sheetId="19" state="visible" r:id="rId19"/>
    <sheet xmlns:r="http://schemas.openxmlformats.org/officeDocument/2006/relationships" name="Development_Activities" sheetId="20" state="visible" r:id="rId20"/>
    <sheet xmlns:r="http://schemas.openxmlformats.org/officeDocument/2006/relationships" name="6.2_Inputs" sheetId="21" state="visible" r:id="rId21"/>
    <sheet xmlns:r="http://schemas.openxmlformats.org/officeDocument/2006/relationships" name="R&amp;D_6.2_Dashboard" sheetId="22" state="visible" r:id="rId2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sz val="13"/>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wrapText="1"/>
    </xf>
    <xf numFmtId="0" fontId="1" fillId="0" borderId="0" pivotButton="0" quotePrefix="0" xfId="0"/>
    <xf numFmtId="0" fontId="0" fillId="0" borderId="0" applyAlignment="1" pivotButton="0" quotePrefix="0" xfId="0">
      <alignment horizontal="left"/>
    </xf>
    <xf numFmtId="0" fontId="2" fillId="0" borderId="0" pivotButton="0" quotePrefix="0" xfId="0"/>
    <xf numFmtId="0" fontId="1" fillId="0" borderId="0" applyAlignment="1" pivotButton="0" quotePrefix="0" xfId="0">
      <alignment horizontal="left"/>
    </xf>
    <xf numFmtId="0" fontId="0" fillId="0" borderId="0" applyAlignment="1" pivotButton="0" quotePrefix="0" xfId="0">
      <alignment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ables/table1.xml><?xml version="1.0" encoding="utf-8"?>
<table xmlns="http://schemas.openxmlformats.org/spreadsheetml/2006/main" id="1" name="ProjectsTable" displayName="ProjectsTable" ref="A1:J500" headerRowCount="1">
  <autoFilter ref="A1:J500"/>
  <tableColumns count="10">
    <tableColumn id="1" name="S. No."/>
    <tableColumn id="2" name="PI Name"/>
    <tableColumn id="3" name="Co-PI Name"/>
    <tableColumn id="4" name="Department"/>
    <tableColumn id="5" name="Project Title"/>
    <tableColumn id="6" name="Funding Agency"/>
    <tableColumn id="7" name="Sanctioned Amount (INR)"/>
    <tableColumn id="8" name="Duration (Years)"/>
    <tableColumn id="9" name="Sanctioned Year"/>
    <tableColumn id="10" name="CAY (CAYm1/CAYm2/CAYm3)"/>
  </tableColumns>
  <tableStyleInfo name="TableStyleMedium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S. No.</t>
        </is>
      </c>
      <c r="B1" s="1" t="inlineStr">
        <is>
          <t>PI Name</t>
        </is>
      </c>
      <c r="C1" s="1" t="inlineStr">
        <is>
          <t>Co-PI Name</t>
        </is>
      </c>
      <c r="D1" s="1" t="inlineStr">
        <is>
          <t>Department</t>
        </is>
      </c>
      <c r="E1" s="1" t="inlineStr">
        <is>
          <t>Project Title</t>
        </is>
      </c>
      <c r="F1" s="1" t="inlineStr">
        <is>
          <t>Funding Agency</t>
        </is>
      </c>
      <c r="G1" s="1" t="inlineStr">
        <is>
          <t>Sanctioned Amount (INR)</t>
        </is>
      </c>
      <c r="H1" s="1" t="inlineStr">
        <is>
          <t>Duration (Years)</t>
        </is>
      </c>
      <c r="I1" s="1" t="inlineStr">
        <is>
          <t>Sanctioned Year</t>
        </is>
      </c>
      <c r="J1" s="1" t="inlineStr">
        <is>
          <t>CAY (CAYm1/CAYm2/CAYm3)</t>
        </is>
      </c>
    </row>
    <row r="2">
      <c r="A2" t="n">
        <v>1</v>
      </c>
      <c r="B2" t="inlineStr">
        <is>
          <t>Prof. A</t>
        </is>
      </c>
      <c r="C2" t="inlineStr">
        <is>
          <t>Dr. B</t>
        </is>
      </c>
      <c r="D2" t="inlineStr">
        <is>
          <t>ECE</t>
        </is>
      </c>
      <c r="E2" t="inlineStr">
        <is>
          <t>IoT for Smart Health</t>
        </is>
      </c>
      <c r="F2" t="inlineStr">
        <is>
          <t>DST</t>
        </is>
      </c>
      <c r="G2" t="n">
        <v>2200000</v>
      </c>
      <c r="H2" t="n">
        <v>3</v>
      </c>
      <c r="I2" t="n">
        <v>2023</v>
      </c>
      <c r="J2" t="inlineStr">
        <is>
          <t>CAYm1</t>
        </is>
      </c>
    </row>
    <row r="3">
      <c r="A3" t="n">
        <v>2</v>
      </c>
      <c r="B3" t="inlineStr">
        <is>
          <t>Dr. C</t>
        </is>
      </c>
      <c r="D3" t="inlineStr">
        <is>
          <t>CSE</t>
        </is>
      </c>
      <c r="E3" t="inlineStr">
        <is>
          <t>AI in Agriculture</t>
        </is>
      </c>
      <c r="F3" t="inlineStr">
        <is>
          <t>Infosys CSR</t>
        </is>
      </c>
      <c r="G3" t="n">
        <v>1850000</v>
      </c>
      <c r="H3" t="n">
        <v>2</v>
      </c>
      <c r="I3" t="n">
        <v>2022</v>
      </c>
      <c r="J3" t="inlineStr">
        <is>
          <t>CAYm2</t>
        </is>
      </c>
    </row>
    <row r="4">
      <c r="A4" t="n">
        <v>3</v>
      </c>
      <c r="B4" t="inlineStr">
        <is>
          <t>Prof. D</t>
        </is>
      </c>
      <c r="C4" t="inlineStr">
        <is>
          <t>Dr. E</t>
        </is>
      </c>
      <c r="D4" t="inlineStr">
        <is>
          <t>ME</t>
        </is>
      </c>
      <c r="E4" t="inlineStr">
        <is>
          <t>Sustainable Energy</t>
        </is>
      </c>
      <c r="F4" t="inlineStr">
        <is>
          <t>UGC</t>
        </is>
      </c>
      <c r="G4" t="n">
        <v>900000</v>
      </c>
      <c r="H4" t="n">
        <v>2</v>
      </c>
      <c r="I4" t="n">
        <v>2021</v>
      </c>
      <c r="J4" t="inlineStr">
        <is>
          <t>CAYm3</t>
        </is>
      </c>
    </row>
  </sheetData>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showErrorMessage="1" showDropDown="1" showInputMessage="1" allowBlank="1" type="list">
      <formula1>"CAYm1,CAYm2,CAYm3"</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2" t="inlineStr">
        <is>
          <t>Academic Year</t>
        </is>
      </c>
      <c r="B1" s="2" t="inlineStr">
        <is>
          <t>Total Funding (INR)</t>
        </is>
      </c>
      <c r="C1" s="2" t="inlineStr">
        <is>
          <t>No. of Projects</t>
        </is>
      </c>
      <c r="D1" s="2" t="inlineStr">
        <is>
          <t>Highest Value Project (INR)</t>
        </is>
      </c>
      <c r="E1" s="2" t="inlineStr">
        <is>
          <t>NBA Marks (Auto)</t>
        </is>
      </c>
    </row>
    <row r="2">
      <c r="A2" s="3" t="inlineStr">
        <is>
          <t>CAYm1</t>
        </is>
      </c>
      <c r="B2">
        <f>SUMIF(Projects_Details!J2:J500,"CAYm1",Projects_Details!G2:G500)</f>
        <v/>
      </c>
      <c r="C2">
        <f>COUNTIF(Projects_Details!J2:J500,"CAYm1")</f>
        <v/>
      </c>
      <c r="D2">
        <f>IF(C2=0,0,MAXIFS(Projects_Details!G2:G500,Projects_Details!J2:J500,"CAYm1"))</f>
        <v/>
      </c>
      <c r="E2">
        <f>IF(B2&gt;2000000,15,
IF(B2&gt;1600000,12,
IF(B2&gt;1200000,9,
IF(B2&gt;800000,6,
IF(B2&gt;400000,3,
IF(B2&gt;100000,1,0))))))</f>
        <v/>
      </c>
    </row>
    <row r="3">
      <c r="A3" s="3" t="inlineStr">
        <is>
          <t>CAYm2</t>
        </is>
      </c>
      <c r="B3">
        <f>SUMIF(Projects_Details!J2:J500,"CAYm2",Projects_Details!G2:G500)</f>
        <v/>
      </c>
      <c r="C3">
        <f>COUNTIF(Projects_Details!J2:J500,"CAYm2")</f>
        <v/>
      </c>
      <c r="D3">
        <f>IF(C3=0,0,MAXIFS(Projects_Details!G2:G500,Projects_Details!J2:J500,"CAYm2"))</f>
        <v/>
      </c>
      <c r="E3">
        <f>IF(B3&gt;2000000,15,
IF(B3&gt;1600000,12,
IF(B3&gt;1200000,9,
IF(B3&gt;800000,6,
IF(B3&gt;400000,3,
IF(B3&gt;100000,1,0))))))</f>
        <v/>
      </c>
    </row>
    <row r="4">
      <c r="A4" s="3" t="inlineStr">
        <is>
          <t>CAYm3</t>
        </is>
      </c>
      <c r="B4">
        <f>SUMIF(Projects_Details!J2:J500,"CAYm3",Projects_Details!G2:G500)</f>
        <v/>
      </c>
      <c r="C4">
        <f>COUNTIF(Projects_Details!J2:J500,"CAYm3")</f>
        <v/>
      </c>
      <c r="D4">
        <f>IF(C4=0,0,MAXIFS(Projects_Details!G2:G500,Projects_Details!J2:J500,"CAYm3"))</f>
        <v/>
      </c>
      <c r="E4">
        <f>IF(B4&gt;2000000,15,
IF(B4&gt;1600000,12,
IF(B4&gt;1200000,9,
IF(B4&gt;800000,6,
IF(B4&gt;400000,3,
IF(B4&gt;100000,1,0))))))</f>
        <v/>
      </c>
    </row>
    <row r="5">
      <c r="A5" s="3" t="inlineStr">
        <is>
          <t>Cumulative</t>
        </is>
      </c>
      <c r="B5">
        <f>SUM(B2:B4)</f>
        <v/>
      </c>
      <c r="C5">
        <f>SUM(C2:C4)</f>
        <v/>
      </c>
      <c r="D5">
        <f>MAX(D2:D4)</f>
        <v/>
      </c>
      <c r="E5">
        <f>IF(B5&gt;2000000,15,
IF(B5&gt;1600000,12,
IF(B5&gt;1200000,9,
IF(B5&gt;800000,6,
IF(B5&gt;400000,3,
IF(B5&gt;100000,1,0))))))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42" customWidth="1" min="1" max="1"/>
    <col width="24" customWidth="1" min="2" max="2"/>
    <col width="22" customWidth="1" min="3" max="3"/>
  </cols>
  <sheetData>
    <row r="1">
      <c r="A1" s="2" t="inlineStr">
        <is>
          <t>Description</t>
        </is>
      </c>
      <c r="B1" s="2" t="inlineStr">
        <is>
          <t>Amount (INR)</t>
        </is>
      </c>
      <c r="C1" s="2" t="inlineStr">
        <is>
          <t>NBA Marks (Auto)</t>
        </is>
      </c>
    </row>
    <row r="2">
      <c r="A2" t="inlineStr">
        <is>
          <t>Enter cumulative sanctioned amount here</t>
        </is>
      </c>
      <c r="C2">
        <f>IF(B2&gt;2000000,15,
IF(B2&gt;1600000,12,
IF(B2&gt;1200000,9,
IF(B2&gt;800000,6,
IF(B2&gt;400000,3,
IF(B2&gt;100000,1,0))))))</f>
        <v/>
      </c>
    </row>
    <row r="3">
      <c r="A3" t="inlineStr">
        <is>
          <t>Note:</t>
        </is>
      </c>
      <c r="B3" t="inlineStr">
        <is>
          <t>Thresholds (INR): &gt;20L=15, &gt;16L=12, &gt;12L=9, &gt;8L=6, &gt;4L=3, &gt;1L=1, else=0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s>
  <sheetData>
    <row r="1">
      <c r="A1" s="2" t="inlineStr">
        <is>
          <t>Project Title</t>
        </is>
      </c>
      <c r="B1" s="2" t="inlineStr">
        <is>
          <t>Funding Agency</t>
        </is>
      </c>
      <c r="C1" s="2" t="inlineStr">
        <is>
          <t>Sanction Letter (Link/Ref No.)</t>
        </is>
      </c>
      <c r="D1" s="2" t="inlineStr">
        <is>
          <t>Utilization Certificate (Y/N)</t>
        </is>
      </c>
      <c r="E1" s="2" t="inlineStr">
        <is>
          <t>MoU/Agreement (Y/N)</t>
        </is>
      </c>
      <c r="F1" s="2" t="inlineStr">
        <is>
          <t>Progress/Final Report (Y/N)</t>
        </is>
      </c>
      <c r="G1" s="2" t="inlineStr">
        <is>
          <t>Remarks</t>
        </is>
      </c>
    </row>
    <row r="2">
      <c r="A2" t="inlineStr">
        <is>
          <t>IoT for Smart Health</t>
        </is>
      </c>
      <c r="B2" t="inlineStr">
        <is>
          <t>DST</t>
        </is>
      </c>
      <c r="C2" t="inlineStr">
        <is>
          <t>Doc123.pdf</t>
        </is>
      </c>
      <c r="D2" t="inlineStr">
        <is>
          <t>Yes</t>
        </is>
      </c>
      <c r="E2" t="inlineStr">
        <is>
          <t>Yes</t>
        </is>
      </c>
      <c r="F2" t="inlineStr">
        <is>
          <t>Yes</t>
        </is>
      </c>
      <c r="G2" t="inlineStr">
        <is>
          <t>Completed</t>
        </is>
      </c>
    </row>
    <row r="3">
      <c r="A3" t="inlineStr">
        <is>
          <t>AI in Agriculture</t>
        </is>
      </c>
      <c r="B3" t="inlineStr">
        <is>
          <t>Infosys CSR</t>
        </is>
      </c>
      <c r="C3" t="inlineStr">
        <is>
          <t>Doc456.pdf</t>
        </is>
      </c>
      <c r="D3" t="inlineStr">
        <is>
          <t>Yes</t>
        </is>
      </c>
      <c r="E3" t="inlineStr">
        <is>
          <t>Yes</t>
        </is>
      </c>
      <c r="F3" t="inlineStr">
        <is>
          <t>Ongoing</t>
        </is>
      </c>
      <c r="G3" t="inlineStr">
        <is>
          <t>Mid-term report submitted</t>
        </is>
      </c>
    </row>
    <row r="4">
      <c r="A4" t="inlineStr">
        <is>
          <t>Sustainable Energy</t>
        </is>
      </c>
      <c r="B4" t="inlineStr">
        <is>
          <t>UGC</t>
        </is>
      </c>
      <c r="C4" t="inlineStr">
        <is>
          <t>Doc789.pdf</t>
        </is>
      </c>
      <c r="D4" t="inlineStr">
        <is>
          <t>Yes</t>
        </is>
      </c>
      <c r="F4" t="inlineStr">
        <is>
          <t>Yes</t>
        </is>
      </c>
      <c r="G4" t="inlineStr">
        <is>
          <t>Completed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t="inlineStr">
        <is>
          <t>How to use this template:</t>
        </is>
      </c>
    </row>
    <row r="2">
      <c r="A2" t="inlineStr">
        <is>
          <t>1) Fill 'Projects_Details' with one row per sponsored research project. Use the dropdown in column J to select CAYm1/CAYm2/CAYm3.</t>
        </is>
      </c>
    </row>
    <row r="3">
      <c r="A3" t="inlineStr">
        <is>
          <t>2) 'Yearly_Summary' auto-calculates Year-wise totals, counts, highest-value project, and NBA marks.</t>
        </is>
      </c>
    </row>
    <row r="4">
      <c r="A4" t="inlineStr">
        <is>
          <t>3) 'Marks_Calculator' lets you manually test marks for any cumulative amount you enter in cell B2.</t>
        </is>
      </c>
    </row>
    <row r="5">
      <c r="A5" t="inlineStr">
        <is>
          <t>4) 'Evidence_Tracker' helps you keep links/refs to sanction letters, UCs, MoUs, and reports for NBA verification.</t>
        </is>
      </c>
    </row>
    <row r="6">
      <c r="A6" t="inlineStr">
        <is>
          <t>Notes: Amount thresholds are in INR (1 Lakh = 100,000). Ensure sanctioned amounts exclude consultancy or in-house R&amp;D to avoid duplication with 6.2.5 and 6.2.6.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2" t="inlineStr">
        <is>
          <t>Project Title</t>
        </is>
      </c>
      <c r="B1" s="2" t="inlineStr">
        <is>
          <t>Industry/CSR Partner</t>
        </is>
      </c>
      <c r="C1" s="2" t="inlineStr">
        <is>
          <t>MoU/Agreement Ref. No.</t>
        </is>
      </c>
      <c r="D1" s="2" t="inlineStr">
        <is>
          <t>Date Signed</t>
        </is>
      </c>
      <c r="E1" s="2" t="inlineStr">
        <is>
          <t>Funding Amount (Lakhs)</t>
        </is>
      </c>
      <c r="F1" s="2" t="inlineStr">
        <is>
          <t>Duration (Years)</t>
        </is>
      </c>
      <c r="G1" s="2" t="inlineStr">
        <is>
          <t>Link to Copy (PDF/Doc)</t>
        </is>
      </c>
      <c r="H1" s="2" t="inlineStr">
        <is>
          <t>Remarks</t>
        </is>
      </c>
    </row>
    <row r="2">
      <c r="A2" t="inlineStr">
        <is>
          <t>AI in Agriculture</t>
        </is>
      </c>
      <c r="B2" t="inlineStr">
        <is>
          <t>Infosys CSR</t>
        </is>
      </c>
      <c r="C2" t="inlineStr">
        <is>
          <t>MoU-CSR-2022-01</t>
        </is>
      </c>
      <c r="D2" t="inlineStr">
        <is>
          <t>2022-06-15</t>
        </is>
      </c>
      <c r="E2" t="n">
        <v>18.5</v>
      </c>
      <c r="F2" t="n">
        <v>2</v>
      </c>
      <c r="G2" t="inlineStr">
        <is>
          <t>MoU_AI_Agri.pdf</t>
        </is>
      </c>
      <c r="H2" t="inlineStr">
        <is>
          <t>Ongoing</t>
        </is>
      </c>
    </row>
    <row r="3">
      <c r="A3" t="inlineStr">
        <is>
          <t>Green Energy Research</t>
        </is>
      </c>
      <c r="B3" t="inlineStr">
        <is>
          <t>Reliance Foundation</t>
        </is>
      </c>
      <c r="C3" t="inlineStr">
        <is>
          <t>MoU-CSR-2021-05</t>
        </is>
      </c>
      <c r="D3" t="inlineStr">
        <is>
          <t>2021-09-10</t>
        </is>
      </c>
      <c r="E3" t="n">
        <v>12</v>
      </c>
      <c r="F3" t="n">
        <v>3</v>
      </c>
      <c r="G3" t="inlineStr">
        <is>
          <t>MoU_GreenEnergy.pdf</t>
        </is>
      </c>
      <c r="H3" t="inlineStr">
        <is>
          <t>Prototype Developed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s>
  <sheetData>
    <row r="1">
      <c r="A1" s="2" t="inlineStr">
        <is>
          <t>Project Title</t>
        </is>
      </c>
      <c r="B1" s="2" t="inlineStr">
        <is>
          <t>Funding Agency</t>
        </is>
      </c>
      <c r="C1" s="2" t="inlineStr">
        <is>
          <t>UC Reference No.</t>
        </is>
      </c>
      <c r="D1" s="2" t="inlineStr">
        <is>
          <t>Period Covered</t>
        </is>
      </c>
      <c r="E1" s="2" t="inlineStr">
        <is>
          <t>Amount Utilized (₹)</t>
        </is>
      </c>
      <c r="F1" s="2" t="inlineStr">
        <is>
          <t>Date of Submission</t>
        </is>
      </c>
      <c r="G1" s="2" t="inlineStr">
        <is>
          <t>Verified By (Head/Finance Officer)</t>
        </is>
      </c>
      <c r="H1" s="2" t="inlineStr">
        <is>
          <t>Link to UC (PDF/Doc)</t>
        </is>
      </c>
      <c r="I1" s="2" t="inlineStr">
        <is>
          <t>Remarks</t>
        </is>
      </c>
    </row>
    <row r="2">
      <c r="A2" t="inlineStr">
        <is>
          <t>IoT for Smart Health</t>
        </is>
      </c>
      <c r="B2" t="inlineStr">
        <is>
          <t>DST</t>
        </is>
      </c>
      <c r="C2" t="inlineStr">
        <is>
          <t>UC-DST-2023-01</t>
        </is>
      </c>
      <c r="D2" t="inlineStr">
        <is>
          <t>2022-23</t>
        </is>
      </c>
      <c r="E2" t="n">
        <v>1200000</v>
      </c>
      <c r="F2" t="inlineStr">
        <is>
          <t>2023-03-31</t>
        </is>
      </c>
      <c r="G2" t="inlineStr">
        <is>
          <t>Finance Officer</t>
        </is>
      </c>
      <c r="H2" t="inlineStr">
        <is>
          <t>UC_IoT_DST.pdf</t>
        </is>
      </c>
      <c r="I2" t="inlineStr">
        <is>
          <t>Acknowledged by DST</t>
        </is>
      </c>
    </row>
    <row r="3">
      <c r="A3" t="inlineStr">
        <is>
          <t>AI in Agriculture</t>
        </is>
      </c>
      <c r="B3" t="inlineStr">
        <is>
          <t>Infosys CSR</t>
        </is>
      </c>
      <c r="C3" t="inlineStr">
        <is>
          <t>UC-CSR-2022-04</t>
        </is>
      </c>
      <c r="D3" t="inlineStr">
        <is>
          <t>2021-22</t>
        </is>
      </c>
      <c r="E3" t="n">
        <v>1000000</v>
      </c>
      <c r="F3" t="inlineStr">
        <is>
          <t>2022-03-20</t>
        </is>
      </c>
      <c r="G3" t="inlineStr">
        <is>
          <t>Director</t>
        </is>
      </c>
      <c r="H3" t="inlineStr">
        <is>
          <t>UC_AI_CSR.pdf</t>
        </is>
      </c>
      <c r="I3" t="inlineStr">
        <is>
          <t>Second installment released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s>
  <sheetData>
    <row r="1">
      <c r="A1" s="2" t="inlineStr">
        <is>
          <t>Project Title</t>
        </is>
      </c>
      <c r="B1" s="2" t="inlineStr">
        <is>
          <t>Funding Agency</t>
        </is>
      </c>
      <c r="C1" s="2" t="inlineStr">
        <is>
          <t>Amount Sanctioned (₹ Lakhs)</t>
        </is>
      </c>
      <c r="D1" s="2" t="inlineStr">
        <is>
          <t>Amount Received (₹ Lakhs)</t>
        </is>
      </c>
      <c r="E1" s="2" t="inlineStr">
        <is>
          <t>Amount Utilized (₹ Lakhs)</t>
        </is>
      </c>
      <c r="F1" s="2" t="inlineStr">
        <is>
          <t>Bank Statement Ref/Date</t>
        </is>
      </c>
      <c r="G1" s="2" t="inlineStr">
        <is>
          <t>Audit Report Ref/Date</t>
        </is>
      </c>
      <c r="H1" s="2" t="inlineStr">
        <is>
          <t>Link to Document (PDF/Doc)</t>
        </is>
      </c>
      <c r="I1" s="2" t="inlineStr">
        <is>
          <t>Remarks</t>
        </is>
      </c>
    </row>
    <row r="2">
      <c r="A2" t="inlineStr">
        <is>
          <t>IoT for Smart Health</t>
        </is>
      </c>
      <c r="B2" t="inlineStr">
        <is>
          <t>DST</t>
        </is>
      </c>
      <c r="C2" t="n">
        <v>22</v>
      </c>
      <c r="D2" t="n">
        <v>22</v>
      </c>
      <c r="E2" t="n">
        <v>21.5</v>
      </c>
      <c r="F2" t="inlineStr">
        <is>
          <t>BankStmt_DST_2023.pdf</t>
        </is>
      </c>
      <c r="G2" t="inlineStr">
        <is>
          <t>Audit_DST_2023.pdf</t>
        </is>
      </c>
      <c r="H2" t="inlineStr">
        <is>
          <t>Link_DST_Fin.pdf</t>
        </is>
      </c>
      <c r="I2" t="inlineStr">
        <is>
          <t>Utilized fully, minor balance carried forward</t>
        </is>
      </c>
    </row>
    <row r="3">
      <c r="A3" t="inlineStr">
        <is>
          <t>AI in Agriculture</t>
        </is>
      </c>
      <c r="B3" t="inlineStr">
        <is>
          <t>Infosys CSR</t>
        </is>
      </c>
      <c r="C3" t="n">
        <v>18.5</v>
      </c>
      <c r="D3" t="n">
        <v>18.5</v>
      </c>
      <c r="E3" t="n">
        <v>18</v>
      </c>
      <c r="F3" t="inlineStr">
        <is>
          <t>BankStmt_CSR_2022.pdf</t>
        </is>
      </c>
      <c r="G3" t="inlineStr">
        <is>
          <t>Audit_CSR_2022.pdf</t>
        </is>
      </c>
      <c r="H3" t="inlineStr">
        <is>
          <t>Link_CSR_Fin.pdf</t>
        </is>
      </c>
      <c r="I3" t="inlineStr">
        <is>
          <t>Second installment pending at audit time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s>
  <sheetData>
    <row r="1">
      <c r="A1" s="2" t="inlineStr">
        <is>
          <t>S. No.</t>
        </is>
      </c>
      <c r="B1" s="2" t="inlineStr">
        <is>
          <t>PI Name</t>
        </is>
      </c>
      <c r="C1" s="2" t="inlineStr">
        <is>
          <t>Co-PI Name</t>
        </is>
      </c>
      <c r="D1" s="2" t="inlineStr">
        <is>
          <t>Department</t>
        </is>
      </c>
      <c r="E1" s="2" t="inlineStr">
        <is>
          <t>Project Title</t>
        </is>
      </c>
      <c r="F1" s="2" t="inlineStr">
        <is>
          <t>Funding Type (Seed/Internal)</t>
        </is>
      </c>
      <c r="G1" s="2" t="inlineStr">
        <is>
          <t>Sanctioned Amount (₹ Lakhs)</t>
        </is>
      </c>
      <c r="H1" s="2" t="inlineStr">
        <is>
          <t>Duration</t>
        </is>
      </c>
      <c r="I1" s="2" t="inlineStr">
        <is>
          <t>Sanctioned Year</t>
        </is>
      </c>
      <c r="J1" s="2" t="inlineStr">
        <is>
          <t>CAY (CAYm1/CAYm2/CAYm3)</t>
        </is>
      </c>
      <c r="K1" s="2" t="inlineStr">
        <is>
          <t>Amount Released (₹)</t>
        </is>
      </c>
      <c r="L1" s="2" t="inlineStr">
        <is>
          <t>Amount Utilized (₹)</t>
        </is>
      </c>
    </row>
    <row r="2">
      <c r="A2" t="n">
        <v>1</v>
      </c>
      <c r="B2" t="inlineStr">
        <is>
          <t>Prof. X</t>
        </is>
      </c>
      <c r="D2" t="inlineStr">
        <is>
          <t>CSE</t>
        </is>
      </c>
      <c r="E2" t="inlineStr">
        <is>
          <t>Dept. Seed Grant on Edge AI</t>
        </is>
      </c>
      <c r="F2" t="inlineStr">
        <is>
          <t>Seed</t>
        </is>
      </c>
      <c r="G2" t="n">
        <v>3</v>
      </c>
      <c r="H2" t="inlineStr">
        <is>
          <t>1 year</t>
        </is>
      </c>
      <c r="I2" t="n">
        <v>2023</v>
      </c>
      <c r="J2" t="inlineStr">
        <is>
          <t>CAYm1</t>
        </is>
      </c>
      <c r="K2" t="n">
        <v>300000</v>
      </c>
      <c r="L2" t="n">
        <v>250000</v>
      </c>
    </row>
    <row r="3">
      <c r="A3" t="n">
        <v>2</v>
      </c>
      <c r="B3" t="inlineStr">
        <is>
          <t>Dr. Y</t>
        </is>
      </c>
      <c r="C3" t="inlineStr">
        <is>
          <t>Dr. Z</t>
        </is>
      </c>
      <c r="D3" t="inlineStr">
        <is>
          <t>EEE</t>
        </is>
      </c>
      <c r="E3" t="inlineStr">
        <is>
          <t>Prototype Fund - Smart Inverter</t>
        </is>
      </c>
      <c r="F3" t="inlineStr">
        <is>
          <t>Internal</t>
        </is>
      </c>
      <c r="G3" t="n">
        <v>2</v>
      </c>
      <c r="H3" t="inlineStr">
        <is>
          <t>1 year</t>
        </is>
      </c>
      <c r="I3" t="n">
        <v>2022</v>
      </c>
      <c r="J3" t="inlineStr">
        <is>
          <t>CAYm2</t>
        </is>
      </c>
      <c r="K3" t="n">
        <v>200000</v>
      </c>
      <c r="L3" t="n">
        <v>180000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s>
  <sheetData>
    <row r="1">
      <c r="A1" s="4" t="inlineStr">
        <is>
          <t>NBA Marks Dashboard – Consolidated View (Sponsored Research + Consultancy + R&amp;D)</t>
        </is>
      </c>
    </row>
    <row r="3">
      <c r="A3" s="5" t="inlineStr">
        <is>
          <t>Category</t>
        </is>
      </c>
      <c r="B3" s="2" t="inlineStr">
        <is>
          <t>CAYm1 Total (₹)</t>
        </is>
      </c>
      <c r="C3" s="2" t="inlineStr">
        <is>
          <t>CAYm2 Total (₹)</t>
        </is>
      </c>
      <c r="D3" s="2" t="inlineStr">
        <is>
          <t>CAYm3 Total (₹)</t>
        </is>
      </c>
      <c r="E3" s="2" t="inlineStr">
        <is>
          <t>Cumulative (₹)</t>
        </is>
      </c>
      <c r="F3" s="2" t="inlineStr">
        <is>
          <t>NBA Marks (Auto)</t>
        </is>
      </c>
      <c r="G3" s="2" t="inlineStr">
        <is>
          <t>Notes</t>
        </is>
      </c>
    </row>
    <row r="4">
      <c r="A4" s="3" t="inlineStr">
        <is>
          <t>Sponsored Research</t>
        </is>
      </c>
      <c r="B4">
        <f>IFERROR(Yearly_Summary!B2, SUMIF(Projects_Details!J2:J500,"CAYm1",Projects_Details!G2:G500))</f>
        <v/>
      </c>
      <c r="C4">
        <f>IFERROR(Yearly_Summary!B3, SUMIF(Projects_Details!J2:J500,"CAYm2",Projects_Details!G2:G500))</f>
        <v/>
      </c>
      <c r="D4">
        <f>IFERROR(Yearly_Summary!B4, SUMIF(Projects_Details!J2:J500,"CAYm3",Projects_Details!G2:G500))</f>
        <v/>
      </c>
      <c r="E4">
        <f>SUM(B4:D4)</f>
        <v/>
      </c>
      <c r="F4">
        <f>IF(E4&gt;2000000,15,IF(E4&gt;1600000,12,IF(E4&gt;1200000,9,IF(E4&gt;800000,6,IF(E4&gt;400000,3,IF(E4&gt;100000,1,0))))))</f>
        <v/>
      </c>
      <c r="G4" t="inlineStr">
        <is>
          <t>Externally funded research only (exclude consultancy &amp; in-house R&amp;D)</t>
        </is>
      </c>
    </row>
    <row r="5">
      <c r="A5" s="3" t="inlineStr">
        <is>
          <t>Consultancy</t>
        </is>
      </c>
      <c r="B5">
        <f>SUMIF(Consultancy_Tracker!J2:J500,"CAYm1",Consultancy_Tracker!K2:K500)</f>
        <v/>
      </c>
      <c r="C5">
        <f>SUMIF(Consultancy_Tracker!J2:J500,"CAYm2",Consultancy_Tracker!K2:K500)</f>
        <v/>
      </c>
      <c r="D5">
        <f>SUMIF(Consultancy_Tracker!J2:J500,"CAYm3",Consultancy_Tracker!K2:K500)</f>
        <v/>
      </c>
      <c r="E5">
        <f>SUM(B5:D5)</f>
        <v/>
      </c>
      <c r="F5">
        <f>IF(E5&gt;2000000,15,IF(E5&gt;1600000,12,IF(E5&gt;1200000,9,IF(E5&gt;800000,6,IF(E5&gt;400000,3,IF(E5&gt;100000,1,0))))))</f>
        <v/>
      </c>
      <c r="G5" t="inlineStr">
        <is>
          <t>Exclude funded research &amp; in-house R&amp;D (no duplication with 6.2.4/6.2.6)</t>
        </is>
      </c>
    </row>
    <row r="6">
      <c r="A6" s="3" t="inlineStr">
        <is>
          <t>R&amp;D / Seed Money (Internal)</t>
        </is>
      </c>
      <c r="B6">
        <f>SUMIF(RD_Tracker!J2:J500,"CAYm1",RD_Tracker!K2:K500)</f>
        <v/>
      </c>
      <c r="C6">
        <f>SUMIF(RD_Tracker!J2:J500,"CAYm2",RD_Tracker!K2:K500)</f>
        <v/>
      </c>
      <c r="D6">
        <f>SUMIF(RD_Tracker!J2:J500,"CAYm3",RD_Tracker!K2:K500)</f>
        <v/>
      </c>
      <c r="E6">
        <f>SUM(B6:D6)</f>
        <v/>
      </c>
      <c r="F6" t="inlineStr">
        <is>
          <t>—</t>
        </is>
      </c>
      <c r="G6" t="inlineStr">
        <is>
          <t>Internal funding; scored under a different sub-criterion (6.2.6).</t>
        </is>
      </c>
    </row>
    <row r="8">
      <c r="A8" s="2" t="inlineStr">
        <is>
          <t>Grand Total (Sponsored + Consultancy + R&amp;D)</t>
        </is>
      </c>
      <c r="B8" s="2">
        <f>SUM(B4:B6)</f>
        <v/>
      </c>
      <c r="C8" s="2">
        <f>SUM(C4:C6)</f>
        <v/>
      </c>
      <c r="D8" s="2">
        <f>SUM(D4:D6)</f>
        <v/>
      </c>
      <c r="E8" s="2">
        <f>SUM(E4:E6)</f>
        <v/>
      </c>
    </row>
    <row r="10">
      <c r="A10" t="inlineStr">
        <is>
          <t>Notes:</t>
        </is>
      </c>
    </row>
    <row r="11">
      <c r="A11" t="inlineStr">
        <is>
          <t>1) Sponsored Research and Consultancy are each scored out of 15 marks based on cumulative receipts over CAYm1–CAYm3.</t>
        </is>
      </c>
    </row>
    <row r="12">
      <c r="A12" t="inlineStr">
        <is>
          <t>2) R&amp;D/Seed Money (internal) is shown for completeness but is evaluated under a separate NBA sub-criterion (6.2.6).</t>
        </is>
      </c>
    </row>
    <row r="13">
      <c r="A13" t="inlineStr">
        <is>
          <t>3) Ensure no duplication across categories; a project must appear in only one bucket.</t>
        </is>
      </c>
    </row>
    <row r="14">
      <c r="A14" t="inlineStr">
        <is>
          <t>4) Amount thresholds assume INR; 1 Lakh = 100,000.</t>
        </is>
      </c>
    </row>
  </sheetData>
  <mergeCells count="1">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500"/>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18" customWidth="1" min="7" max="7"/>
    <col width="28" customWidth="1" min="8" max="8"/>
    <col width="28" customWidth="1" min="9" max="9"/>
    <col width="28" customWidth="1" min="10" max="10"/>
    <col width="28" customWidth="1" min="11" max="11"/>
    <col width="28" customWidth="1" min="12" max="12"/>
    <col width="28" customWidth="1" min="13" max="13"/>
  </cols>
  <sheetData>
    <row r="1">
      <c r="A1" s="2" t="inlineStr">
        <is>
          <t>S. No.</t>
        </is>
      </c>
      <c r="B1" s="2" t="inlineStr">
        <is>
          <t>PI Name</t>
        </is>
      </c>
      <c r="C1" s="2" t="inlineStr">
        <is>
          <t>Co-PI Name</t>
        </is>
      </c>
      <c r="D1" s="2" t="inlineStr">
        <is>
          <t>Department</t>
        </is>
      </c>
      <c r="E1" s="2" t="inlineStr">
        <is>
          <t>Project Title</t>
        </is>
      </c>
      <c r="F1" s="2" t="inlineStr">
        <is>
          <t>Client/Funding Agency</t>
        </is>
      </c>
      <c r="G1" s="2" t="inlineStr">
        <is>
          <t>Agency Type</t>
        </is>
      </c>
      <c r="H1" s="2" t="inlineStr">
        <is>
          <t>Sanctioned Amount (₹ Lakhs)</t>
        </is>
      </c>
      <c r="I1" s="2" t="inlineStr">
        <is>
          <t>Duration</t>
        </is>
      </c>
      <c r="J1" s="2" t="inlineStr">
        <is>
          <t>Sanctioned Year</t>
        </is>
      </c>
      <c r="K1" s="2" t="inlineStr">
        <is>
          <t>CAYm1 Amount Received (₹)</t>
        </is>
      </c>
      <c r="L1" s="2" t="inlineStr">
        <is>
          <t>CAYm1 Amount Received (₹)</t>
        </is>
      </c>
      <c r="M1" s="2" t="inlineStr">
        <is>
          <t>CAYm2 Amount Received (₹)</t>
        </is>
      </c>
      <c r="N1" s="2" t="inlineStr">
        <is>
          <t>CAYm3 Amount Received (₹)</t>
        </is>
      </c>
      <c r="O1" s="2" t="inlineStr">
        <is>
          <t>Total Amount Received (₹)</t>
        </is>
      </c>
      <c r="P1" s="2" t="inlineStr">
        <is>
          <t>Total Amount (₹ Lakhs)</t>
        </is>
      </c>
      <c r="Q1" s="2" t="inlineStr">
        <is>
          <t>CAYm2 Amount Received (₹)</t>
        </is>
      </c>
      <c r="R1" s="2" t="inlineStr">
        <is>
          <t>CAYm3 Amount Received (₹)</t>
        </is>
      </c>
      <c r="S1" s="2" t="inlineStr">
        <is>
          <t>Total Amount Received (₹ Lakhs)</t>
        </is>
      </c>
    </row>
    <row r="2">
      <c r="A2" t="n">
        <v>1</v>
      </c>
      <c r="B2" t="inlineStr">
        <is>
          <t>Prof. A</t>
        </is>
      </c>
      <c r="C2" t="inlineStr">
        <is>
          <t>Dr. B</t>
        </is>
      </c>
      <c r="D2" t="inlineStr">
        <is>
          <t>Civil</t>
        </is>
      </c>
      <c r="E2" t="inlineStr">
        <is>
          <t>Structural Audit of XYZ</t>
        </is>
      </c>
      <c r="F2" t="inlineStr">
        <is>
          <t>XYZ Constructions Pvt. Ltd.</t>
        </is>
      </c>
      <c r="G2" t="inlineStr">
        <is>
          <t>Industry</t>
        </is>
      </c>
      <c r="H2" t="n">
        <v>5</v>
      </c>
      <c r="I2" t="inlineStr">
        <is>
          <t>1 year</t>
        </is>
      </c>
      <c r="J2" t="n">
        <v>2023</v>
      </c>
      <c r="K2" t="n">
        <v>300000</v>
      </c>
      <c r="O2">
        <f>SUM(K2:M2)</f>
        <v/>
      </c>
      <c r="P2">
        <f>N2/100000</f>
        <v/>
      </c>
      <c r="Q2" t="n">
        <v>200000</v>
      </c>
      <c r="R2" t="n">
        <v>0</v>
      </c>
      <c r="S2">
        <f>ROUND(SUM(J2:L2)/100000,2)</f>
        <v/>
      </c>
    </row>
    <row r="3">
      <c r="A3" t="n">
        <v>2</v>
      </c>
      <c r="B3" t="inlineStr">
        <is>
          <t>Dr. C</t>
        </is>
      </c>
      <c r="D3" t="inlineStr">
        <is>
          <t>Mechanical</t>
        </is>
      </c>
      <c r="E3" t="inlineStr">
        <is>
          <t>Material Testing for ABC</t>
        </is>
      </c>
      <c r="F3" t="inlineStr">
        <is>
          <t>ABC Industries</t>
        </is>
      </c>
      <c r="G3" t="inlineStr">
        <is>
          <t>Industry</t>
        </is>
      </c>
      <c r="H3" t="n">
        <v>3.5</v>
      </c>
      <c r="I3" t="inlineStr">
        <is>
          <t>6 months</t>
        </is>
      </c>
      <c r="J3" t="n">
        <v>2022</v>
      </c>
      <c r="K3" t="n">
        <v>0</v>
      </c>
      <c r="O3">
        <f>SUM(K3:M3)</f>
        <v/>
      </c>
      <c r="P3">
        <f>N3/100000</f>
        <v/>
      </c>
      <c r="Q3" t="n">
        <v>250000</v>
      </c>
      <c r="R3" t="n">
        <v>100000</v>
      </c>
      <c r="S3">
        <f>ROUND(SUM(J3:L3)/100000,2)</f>
        <v/>
      </c>
    </row>
    <row r="4">
      <c r="A4" t="n">
        <v>3</v>
      </c>
      <c r="B4" t="inlineStr">
        <is>
          <t>Prof. D</t>
        </is>
      </c>
      <c r="C4" t="inlineStr">
        <is>
          <t>Dr. E</t>
        </is>
      </c>
      <c r="D4" t="inlineStr">
        <is>
          <t>IT</t>
        </is>
      </c>
      <c r="E4" t="inlineStr">
        <is>
          <t>Software Audit for PQR Ltd.</t>
        </is>
      </c>
      <c r="F4" t="inlineStr">
        <is>
          <t>PQR Ltd.</t>
        </is>
      </c>
      <c r="G4" t="inlineStr">
        <is>
          <t>Industry</t>
        </is>
      </c>
      <c r="H4" t="n">
        <v>12</v>
      </c>
      <c r="I4" t="inlineStr">
        <is>
          <t>1.5 years</t>
        </is>
      </c>
      <c r="J4" t="n">
        <v>2021</v>
      </c>
      <c r="K4" t="n">
        <v>600000</v>
      </c>
      <c r="O4">
        <f>SUM(K4:M4)</f>
        <v/>
      </c>
      <c r="P4">
        <f>N4/100000</f>
        <v/>
      </c>
      <c r="Q4" t="n">
        <v>400000</v>
      </c>
      <c r="R4" t="n">
        <v>200000</v>
      </c>
      <c r="S4">
        <f>ROUND(SUM(J4:L4)/100000,2)</f>
        <v/>
      </c>
    </row>
    <row r="5">
      <c r="A5" t="inlineStr">
        <is>
          <t>Summary (Consultancy Revenue)</t>
        </is>
      </c>
      <c r="O5">
        <f>SUM(K5:M5)</f>
        <v/>
      </c>
      <c r="P5">
        <f>N5/100000</f>
        <v/>
      </c>
    </row>
    <row r="6">
      <c r="A6" s="2" t="inlineStr">
        <is>
          <t>Academic Year</t>
        </is>
      </c>
      <c r="B6" s="2" t="inlineStr">
        <is>
          <t>Total Consultancy Revenue (₹)</t>
        </is>
      </c>
      <c r="C6" s="2" t="inlineStr">
        <is>
          <t>NBA Marks (Auto)</t>
        </is>
      </c>
      <c r="O6">
        <f>SUM(K6:M6)</f>
        <v/>
      </c>
      <c r="P6">
        <f>N6/100000</f>
        <v/>
      </c>
    </row>
    <row r="7">
      <c r="A7" t="inlineStr">
        <is>
          <t>CAYm1</t>
        </is>
      </c>
      <c r="B7">
        <f>SUM(K2:K500)</f>
        <v/>
      </c>
      <c r="C7">
        <f>IF(B7&gt;2000000,15,
IF(B7&gt;1600000,12,
IF(B7&gt;1200000,9,
IF(B7&gt;800000,6,
IF(B7&gt;400000,3,
IF(B7&gt;100000,1,0))))))</f>
        <v/>
      </c>
      <c r="O7">
        <f>SUM(K7:M7)</f>
        <v/>
      </c>
      <c r="P7">
        <f>N7/100000</f>
        <v/>
      </c>
    </row>
    <row r="8">
      <c r="A8" t="inlineStr">
        <is>
          <t>CAYm2</t>
        </is>
      </c>
      <c r="B8">
        <f>SUM(L2:L500)</f>
        <v/>
      </c>
      <c r="C8">
        <f>IF(B8&gt;2000000,15,
IF(B8&gt;1600000,12,
IF(B8&gt;1200000,9,
IF(B8&gt;800000,6,
IF(B8&gt;400000,3,
IF(B8&gt;100000,1,0))))))</f>
        <v/>
      </c>
      <c r="O8">
        <f>SUM(K8:M8)</f>
        <v/>
      </c>
      <c r="P8">
        <f>N8/100000</f>
        <v/>
      </c>
    </row>
    <row r="9">
      <c r="A9" t="inlineStr">
        <is>
          <t>CAYm3</t>
        </is>
      </c>
      <c r="B9">
        <f>SUM(M2:M500)</f>
        <v/>
      </c>
      <c r="C9">
        <f>IF(B9&gt;2000000,15,
IF(B9&gt;1600000,12,
IF(B9&gt;1200000,9,
IF(B9&gt;800000,6,
IF(B9&gt;400000,3,
IF(B9&gt;100000,1,0))))))</f>
        <v/>
      </c>
      <c r="O9">
        <f>SUM(K9:M9)</f>
        <v/>
      </c>
      <c r="P9">
        <f>N9/100000</f>
        <v/>
      </c>
    </row>
    <row r="10">
      <c r="A10" t="inlineStr">
        <is>
          <t>Cumulative</t>
        </is>
      </c>
      <c r="B10">
        <f>SUM(B7:B9)</f>
        <v/>
      </c>
      <c r="C10">
        <f>IF(B10&gt;2000000,15,
IF(B10&gt;1600000,12,
IF(B10&gt;1200000,9,
IF(B10&gt;800000,6,
IF(B10&gt;400000,3,
IF(B10&gt;100000,1,0))))))</f>
        <v/>
      </c>
      <c r="O10">
        <f>SUM(K10:M10)</f>
        <v/>
      </c>
      <c r="P10">
        <f>N10/100000</f>
        <v/>
      </c>
    </row>
    <row r="11">
      <c r="O11">
        <f>SUM(K11:M11)</f>
        <v/>
      </c>
      <c r="P11">
        <f>N11/100000</f>
        <v/>
      </c>
    </row>
    <row r="12">
      <c r="O12">
        <f>SUM(K12:M12)</f>
        <v/>
      </c>
      <c r="P12">
        <f>N12/100000</f>
        <v/>
      </c>
    </row>
    <row r="13">
      <c r="O13">
        <f>SUM(K13:M13)</f>
        <v/>
      </c>
      <c r="P13">
        <f>N13/100000</f>
        <v/>
      </c>
    </row>
    <row r="14">
      <c r="O14">
        <f>SUM(K14:M14)</f>
        <v/>
      </c>
      <c r="P14">
        <f>N14/100000</f>
        <v/>
      </c>
    </row>
    <row r="15">
      <c r="O15">
        <f>SUM(K15:M15)</f>
        <v/>
      </c>
      <c r="P15">
        <f>N15/100000</f>
        <v/>
      </c>
    </row>
    <row r="16">
      <c r="O16">
        <f>SUM(K16:M16)</f>
        <v/>
      </c>
      <c r="P16">
        <f>N16/100000</f>
        <v/>
      </c>
    </row>
    <row r="17">
      <c r="O17">
        <f>SUM(K17:M17)</f>
        <v/>
      </c>
      <c r="P17">
        <f>N17/100000</f>
        <v/>
      </c>
    </row>
    <row r="18">
      <c r="O18">
        <f>SUM(K18:M18)</f>
        <v/>
      </c>
      <c r="P18">
        <f>N18/100000</f>
        <v/>
      </c>
    </row>
    <row r="19">
      <c r="O19">
        <f>SUM(K19:M19)</f>
        <v/>
      </c>
      <c r="P19">
        <f>N19/100000</f>
        <v/>
      </c>
    </row>
    <row r="20">
      <c r="O20">
        <f>SUM(K20:M20)</f>
        <v/>
      </c>
      <c r="P20">
        <f>N20/100000</f>
        <v/>
      </c>
    </row>
    <row r="21">
      <c r="O21">
        <f>SUM(K21:M21)</f>
        <v/>
      </c>
      <c r="P21">
        <f>N21/100000</f>
        <v/>
      </c>
    </row>
    <row r="22">
      <c r="O22">
        <f>SUM(K22:M22)</f>
        <v/>
      </c>
      <c r="P22">
        <f>N22/100000</f>
        <v/>
      </c>
    </row>
    <row r="23">
      <c r="O23">
        <f>SUM(K23:M23)</f>
        <v/>
      </c>
      <c r="P23">
        <f>N23/100000</f>
        <v/>
      </c>
    </row>
    <row r="24">
      <c r="O24">
        <f>SUM(K24:M24)</f>
        <v/>
      </c>
      <c r="P24">
        <f>N24/100000</f>
        <v/>
      </c>
    </row>
    <row r="25">
      <c r="O25">
        <f>SUM(K25:M25)</f>
        <v/>
      </c>
      <c r="P25">
        <f>N25/100000</f>
        <v/>
      </c>
    </row>
    <row r="26">
      <c r="O26">
        <f>SUM(K26:M26)</f>
        <v/>
      </c>
      <c r="P26">
        <f>N26/100000</f>
        <v/>
      </c>
    </row>
    <row r="27">
      <c r="O27">
        <f>SUM(K27:M27)</f>
        <v/>
      </c>
      <c r="P27">
        <f>N27/100000</f>
        <v/>
      </c>
    </row>
    <row r="28">
      <c r="O28">
        <f>SUM(K28:M28)</f>
        <v/>
      </c>
      <c r="P28">
        <f>N28/100000</f>
        <v/>
      </c>
    </row>
    <row r="29">
      <c r="O29">
        <f>SUM(K29:M29)</f>
        <v/>
      </c>
      <c r="P29">
        <f>N29/100000</f>
        <v/>
      </c>
    </row>
    <row r="30">
      <c r="O30">
        <f>SUM(K30:M30)</f>
        <v/>
      </c>
      <c r="P30">
        <f>N30/100000</f>
        <v/>
      </c>
    </row>
    <row r="31">
      <c r="O31">
        <f>SUM(K31:M31)</f>
        <v/>
      </c>
      <c r="P31">
        <f>N31/100000</f>
        <v/>
      </c>
    </row>
    <row r="32">
      <c r="O32">
        <f>SUM(K32:M32)</f>
        <v/>
      </c>
      <c r="P32">
        <f>N32/100000</f>
        <v/>
      </c>
    </row>
    <row r="33">
      <c r="O33">
        <f>SUM(K33:M33)</f>
        <v/>
      </c>
      <c r="P33">
        <f>N33/100000</f>
        <v/>
      </c>
    </row>
    <row r="34">
      <c r="O34">
        <f>SUM(K34:M34)</f>
        <v/>
      </c>
      <c r="P34">
        <f>N34/100000</f>
        <v/>
      </c>
    </row>
    <row r="35">
      <c r="O35">
        <f>SUM(K35:M35)</f>
        <v/>
      </c>
      <c r="P35">
        <f>N35/100000</f>
        <v/>
      </c>
    </row>
    <row r="36">
      <c r="O36">
        <f>SUM(K36:M36)</f>
        <v/>
      </c>
      <c r="P36">
        <f>N36/100000</f>
        <v/>
      </c>
    </row>
    <row r="37">
      <c r="O37">
        <f>SUM(K37:M37)</f>
        <v/>
      </c>
      <c r="P37">
        <f>N37/100000</f>
        <v/>
      </c>
    </row>
    <row r="38">
      <c r="O38">
        <f>SUM(K38:M38)</f>
        <v/>
      </c>
      <c r="P38">
        <f>N38/100000</f>
        <v/>
      </c>
    </row>
    <row r="39">
      <c r="O39">
        <f>SUM(K39:M39)</f>
        <v/>
      </c>
      <c r="P39">
        <f>N39/100000</f>
        <v/>
      </c>
    </row>
    <row r="40">
      <c r="O40">
        <f>SUM(K40:M40)</f>
        <v/>
      </c>
      <c r="P40">
        <f>N40/100000</f>
        <v/>
      </c>
    </row>
    <row r="41">
      <c r="O41">
        <f>SUM(K41:M41)</f>
        <v/>
      </c>
      <c r="P41">
        <f>N41/100000</f>
        <v/>
      </c>
    </row>
    <row r="42">
      <c r="O42">
        <f>SUM(K42:M42)</f>
        <v/>
      </c>
      <c r="P42">
        <f>N42/100000</f>
        <v/>
      </c>
    </row>
    <row r="43">
      <c r="O43">
        <f>SUM(K43:M43)</f>
        <v/>
      </c>
      <c r="P43">
        <f>N43/100000</f>
        <v/>
      </c>
    </row>
    <row r="44">
      <c r="O44">
        <f>SUM(K44:M44)</f>
        <v/>
      </c>
      <c r="P44">
        <f>N44/100000</f>
        <v/>
      </c>
    </row>
    <row r="45">
      <c r="O45">
        <f>SUM(K45:M45)</f>
        <v/>
      </c>
      <c r="P45">
        <f>N45/100000</f>
        <v/>
      </c>
    </row>
    <row r="46">
      <c r="O46">
        <f>SUM(K46:M46)</f>
        <v/>
      </c>
      <c r="P46">
        <f>N46/100000</f>
        <v/>
      </c>
    </row>
    <row r="47">
      <c r="O47">
        <f>SUM(K47:M47)</f>
        <v/>
      </c>
      <c r="P47">
        <f>N47/100000</f>
        <v/>
      </c>
    </row>
    <row r="48">
      <c r="O48">
        <f>SUM(K48:M48)</f>
        <v/>
      </c>
      <c r="P48">
        <f>N48/100000</f>
        <v/>
      </c>
    </row>
    <row r="49">
      <c r="O49">
        <f>SUM(K49:M49)</f>
        <v/>
      </c>
      <c r="P49">
        <f>N49/100000</f>
        <v/>
      </c>
    </row>
    <row r="50">
      <c r="O50">
        <f>SUM(K50:M50)</f>
        <v/>
      </c>
      <c r="P50">
        <f>N50/100000</f>
        <v/>
      </c>
    </row>
    <row r="51">
      <c r="O51">
        <f>SUM(K51:M51)</f>
        <v/>
      </c>
      <c r="P51">
        <f>N51/100000</f>
        <v/>
      </c>
    </row>
    <row r="52">
      <c r="O52">
        <f>SUM(K52:M52)</f>
        <v/>
      </c>
      <c r="P52">
        <f>N52/100000</f>
        <v/>
      </c>
    </row>
    <row r="53">
      <c r="O53">
        <f>SUM(K53:M53)</f>
        <v/>
      </c>
      <c r="P53">
        <f>N53/100000</f>
        <v/>
      </c>
    </row>
    <row r="54">
      <c r="O54">
        <f>SUM(K54:M54)</f>
        <v/>
      </c>
      <c r="P54">
        <f>N54/100000</f>
        <v/>
      </c>
    </row>
    <row r="55">
      <c r="O55">
        <f>SUM(K55:M55)</f>
        <v/>
      </c>
      <c r="P55">
        <f>N55/100000</f>
        <v/>
      </c>
    </row>
    <row r="56">
      <c r="O56">
        <f>SUM(K56:M56)</f>
        <v/>
      </c>
      <c r="P56">
        <f>N56/100000</f>
        <v/>
      </c>
    </row>
    <row r="57">
      <c r="O57">
        <f>SUM(K57:M57)</f>
        <v/>
      </c>
      <c r="P57">
        <f>N57/100000</f>
        <v/>
      </c>
    </row>
    <row r="58">
      <c r="O58">
        <f>SUM(K58:M58)</f>
        <v/>
      </c>
      <c r="P58">
        <f>N58/100000</f>
        <v/>
      </c>
    </row>
    <row r="59">
      <c r="O59">
        <f>SUM(K59:M59)</f>
        <v/>
      </c>
      <c r="P59">
        <f>N59/100000</f>
        <v/>
      </c>
    </row>
    <row r="60">
      <c r="O60">
        <f>SUM(K60:M60)</f>
        <v/>
      </c>
      <c r="P60">
        <f>N60/100000</f>
        <v/>
      </c>
    </row>
    <row r="61">
      <c r="O61">
        <f>SUM(K61:M61)</f>
        <v/>
      </c>
      <c r="P61">
        <f>N61/100000</f>
        <v/>
      </c>
    </row>
    <row r="62">
      <c r="O62">
        <f>SUM(K62:M62)</f>
        <v/>
      </c>
      <c r="P62">
        <f>N62/100000</f>
        <v/>
      </c>
    </row>
    <row r="63">
      <c r="O63">
        <f>SUM(K63:M63)</f>
        <v/>
      </c>
      <c r="P63">
        <f>N63/100000</f>
        <v/>
      </c>
    </row>
    <row r="64">
      <c r="O64">
        <f>SUM(K64:M64)</f>
        <v/>
      </c>
      <c r="P64">
        <f>N64/100000</f>
        <v/>
      </c>
    </row>
    <row r="65">
      <c r="O65">
        <f>SUM(K65:M65)</f>
        <v/>
      </c>
      <c r="P65">
        <f>N65/100000</f>
        <v/>
      </c>
    </row>
    <row r="66">
      <c r="O66">
        <f>SUM(K66:M66)</f>
        <v/>
      </c>
      <c r="P66">
        <f>N66/100000</f>
        <v/>
      </c>
    </row>
    <row r="67">
      <c r="O67">
        <f>SUM(K67:M67)</f>
        <v/>
      </c>
      <c r="P67">
        <f>N67/100000</f>
        <v/>
      </c>
    </row>
    <row r="68">
      <c r="O68">
        <f>SUM(K68:M68)</f>
        <v/>
      </c>
      <c r="P68">
        <f>N68/100000</f>
        <v/>
      </c>
    </row>
    <row r="69">
      <c r="O69">
        <f>SUM(K69:M69)</f>
        <v/>
      </c>
      <c r="P69">
        <f>N69/100000</f>
        <v/>
      </c>
    </row>
    <row r="70">
      <c r="O70">
        <f>SUM(K70:M70)</f>
        <v/>
      </c>
      <c r="P70">
        <f>N70/100000</f>
        <v/>
      </c>
    </row>
    <row r="71">
      <c r="O71">
        <f>SUM(K71:M71)</f>
        <v/>
      </c>
      <c r="P71">
        <f>N71/100000</f>
        <v/>
      </c>
    </row>
    <row r="72">
      <c r="O72">
        <f>SUM(K72:M72)</f>
        <v/>
      </c>
      <c r="P72">
        <f>N72/100000</f>
        <v/>
      </c>
    </row>
    <row r="73">
      <c r="O73">
        <f>SUM(K73:M73)</f>
        <v/>
      </c>
      <c r="P73">
        <f>N73/100000</f>
        <v/>
      </c>
    </row>
    <row r="74">
      <c r="O74">
        <f>SUM(K74:M74)</f>
        <v/>
      </c>
      <c r="P74">
        <f>N74/100000</f>
        <v/>
      </c>
    </row>
    <row r="75">
      <c r="O75">
        <f>SUM(K75:M75)</f>
        <v/>
      </c>
      <c r="P75">
        <f>N75/100000</f>
        <v/>
      </c>
    </row>
    <row r="76">
      <c r="O76">
        <f>SUM(K76:M76)</f>
        <v/>
      </c>
      <c r="P76">
        <f>N76/100000</f>
        <v/>
      </c>
    </row>
    <row r="77">
      <c r="O77">
        <f>SUM(K77:M77)</f>
        <v/>
      </c>
      <c r="P77">
        <f>N77/100000</f>
        <v/>
      </c>
    </row>
    <row r="78">
      <c r="O78">
        <f>SUM(K78:M78)</f>
        <v/>
      </c>
      <c r="P78">
        <f>N78/100000</f>
        <v/>
      </c>
    </row>
    <row r="79">
      <c r="O79">
        <f>SUM(K79:M79)</f>
        <v/>
      </c>
      <c r="P79">
        <f>N79/100000</f>
        <v/>
      </c>
    </row>
    <row r="80">
      <c r="O80">
        <f>SUM(K80:M80)</f>
        <v/>
      </c>
      <c r="P80">
        <f>N80/100000</f>
        <v/>
      </c>
    </row>
    <row r="81">
      <c r="O81">
        <f>SUM(K81:M81)</f>
        <v/>
      </c>
      <c r="P81">
        <f>N81/100000</f>
        <v/>
      </c>
    </row>
    <row r="82">
      <c r="O82">
        <f>SUM(K82:M82)</f>
        <v/>
      </c>
      <c r="P82">
        <f>N82/100000</f>
        <v/>
      </c>
    </row>
    <row r="83">
      <c r="O83">
        <f>SUM(K83:M83)</f>
        <v/>
      </c>
      <c r="P83">
        <f>N83/100000</f>
        <v/>
      </c>
    </row>
    <row r="84">
      <c r="O84">
        <f>SUM(K84:M84)</f>
        <v/>
      </c>
      <c r="P84">
        <f>N84/100000</f>
        <v/>
      </c>
    </row>
    <row r="85">
      <c r="O85">
        <f>SUM(K85:M85)</f>
        <v/>
      </c>
      <c r="P85">
        <f>N85/100000</f>
        <v/>
      </c>
    </row>
    <row r="86">
      <c r="O86">
        <f>SUM(K86:M86)</f>
        <v/>
      </c>
      <c r="P86">
        <f>N86/100000</f>
        <v/>
      </c>
    </row>
    <row r="87">
      <c r="O87">
        <f>SUM(K87:M87)</f>
        <v/>
      </c>
      <c r="P87">
        <f>N87/100000</f>
        <v/>
      </c>
    </row>
    <row r="88">
      <c r="O88">
        <f>SUM(K88:M88)</f>
        <v/>
      </c>
      <c r="P88">
        <f>N88/100000</f>
        <v/>
      </c>
    </row>
    <row r="89">
      <c r="O89">
        <f>SUM(K89:M89)</f>
        <v/>
      </c>
      <c r="P89">
        <f>N89/100000</f>
        <v/>
      </c>
    </row>
    <row r="90">
      <c r="O90">
        <f>SUM(K90:M90)</f>
        <v/>
      </c>
      <c r="P90">
        <f>N90/100000</f>
        <v/>
      </c>
    </row>
    <row r="91">
      <c r="O91">
        <f>SUM(K91:M91)</f>
        <v/>
      </c>
      <c r="P91">
        <f>N91/100000</f>
        <v/>
      </c>
    </row>
    <row r="92">
      <c r="O92">
        <f>SUM(K92:M92)</f>
        <v/>
      </c>
      <c r="P92">
        <f>N92/100000</f>
        <v/>
      </c>
    </row>
    <row r="93">
      <c r="O93">
        <f>SUM(K93:M93)</f>
        <v/>
      </c>
      <c r="P93">
        <f>N93/100000</f>
        <v/>
      </c>
    </row>
    <row r="94">
      <c r="O94">
        <f>SUM(K94:M94)</f>
        <v/>
      </c>
      <c r="P94">
        <f>N94/100000</f>
        <v/>
      </c>
    </row>
    <row r="95">
      <c r="O95">
        <f>SUM(K95:M95)</f>
        <v/>
      </c>
      <c r="P95">
        <f>N95/100000</f>
        <v/>
      </c>
    </row>
    <row r="96">
      <c r="O96">
        <f>SUM(K96:M96)</f>
        <v/>
      </c>
      <c r="P96">
        <f>N96/100000</f>
        <v/>
      </c>
    </row>
    <row r="97">
      <c r="O97">
        <f>SUM(K97:M97)</f>
        <v/>
      </c>
      <c r="P97">
        <f>N97/100000</f>
        <v/>
      </c>
    </row>
    <row r="98">
      <c r="O98">
        <f>SUM(K98:M98)</f>
        <v/>
      </c>
      <c r="P98">
        <f>N98/100000</f>
        <v/>
      </c>
    </row>
    <row r="99">
      <c r="O99">
        <f>SUM(K99:M99)</f>
        <v/>
      </c>
      <c r="P99">
        <f>N99/100000</f>
        <v/>
      </c>
    </row>
    <row r="100">
      <c r="O100">
        <f>SUM(K100:M100)</f>
        <v/>
      </c>
      <c r="P100">
        <f>N100/100000</f>
        <v/>
      </c>
    </row>
    <row r="101">
      <c r="O101">
        <f>SUM(K101:M101)</f>
        <v/>
      </c>
      <c r="P101">
        <f>N101/100000</f>
        <v/>
      </c>
    </row>
    <row r="102">
      <c r="O102">
        <f>SUM(K102:M102)</f>
        <v/>
      </c>
      <c r="P102">
        <f>N102/100000</f>
        <v/>
      </c>
    </row>
    <row r="103">
      <c r="O103">
        <f>SUM(K103:M103)</f>
        <v/>
      </c>
      <c r="P103">
        <f>N103/100000</f>
        <v/>
      </c>
    </row>
    <row r="104">
      <c r="O104">
        <f>SUM(K104:M104)</f>
        <v/>
      </c>
      <c r="P104">
        <f>N104/100000</f>
        <v/>
      </c>
    </row>
    <row r="105">
      <c r="O105">
        <f>SUM(K105:M105)</f>
        <v/>
      </c>
      <c r="P105">
        <f>N105/100000</f>
        <v/>
      </c>
    </row>
    <row r="106">
      <c r="O106">
        <f>SUM(K106:M106)</f>
        <v/>
      </c>
      <c r="P106">
        <f>N106/100000</f>
        <v/>
      </c>
    </row>
    <row r="107">
      <c r="O107">
        <f>SUM(K107:M107)</f>
        <v/>
      </c>
      <c r="P107">
        <f>N107/100000</f>
        <v/>
      </c>
    </row>
    <row r="108">
      <c r="O108">
        <f>SUM(K108:M108)</f>
        <v/>
      </c>
      <c r="P108">
        <f>N108/100000</f>
        <v/>
      </c>
    </row>
    <row r="109">
      <c r="O109">
        <f>SUM(K109:M109)</f>
        <v/>
      </c>
      <c r="P109">
        <f>N109/100000</f>
        <v/>
      </c>
    </row>
    <row r="110">
      <c r="O110">
        <f>SUM(K110:M110)</f>
        <v/>
      </c>
      <c r="P110">
        <f>N110/100000</f>
        <v/>
      </c>
    </row>
    <row r="111">
      <c r="O111">
        <f>SUM(K111:M111)</f>
        <v/>
      </c>
      <c r="P111">
        <f>N111/100000</f>
        <v/>
      </c>
    </row>
    <row r="112">
      <c r="O112">
        <f>SUM(K112:M112)</f>
        <v/>
      </c>
      <c r="P112">
        <f>N112/100000</f>
        <v/>
      </c>
    </row>
    <row r="113">
      <c r="O113">
        <f>SUM(K113:M113)</f>
        <v/>
      </c>
      <c r="P113">
        <f>N113/100000</f>
        <v/>
      </c>
    </row>
    <row r="114">
      <c r="O114">
        <f>SUM(K114:M114)</f>
        <v/>
      </c>
      <c r="P114">
        <f>N114/100000</f>
        <v/>
      </c>
    </row>
    <row r="115">
      <c r="O115">
        <f>SUM(K115:M115)</f>
        <v/>
      </c>
      <c r="P115">
        <f>N115/100000</f>
        <v/>
      </c>
    </row>
    <row r="116">
      <c r="O116">
        <f>SUM(K116:M116)</f>
        <v/>
      </c>
      <c r="P116">
        <f>N116/100000</f>
        <v/>
      </c>
    </row>
    <row r="117">
      <c r="O117">
        <f>SUM(K117:M117)</f>
        <v/>
      </c>
      <c r="P117">
        <f>N117/100000</f>
        <v/>
      </c>
    </row>
    <row r="118">
      <c r="O118">
        <f>SUM(K118:M118)</f>
        <v/>
      </c>
      <c r="P118">
        <f>N118/100000</f>
        <v/>
      </c>
    </row>
    <row r="119">
      <c r="O119">
        <f>SUM(K119:M119)</f>
        <v/>
      </c>
      <c r="P119">
        <f>N119/100000</f>
        <v/>
      </c>
    </row>
    <row r="120">
      <c r="O120">
        <f>SUM(K120:M120)</f>
        <v/>
      </c>
      <c r="P120">
        <f>N120/100000</f>
        <v/>
      </c>
    </row>
    <row r="121">
      <c r="O121">
        <f>SUM(K121:M121)</f>
        <v/>
      </c>
      <c r="P121">
        <f>N121/100000</f>
        <v/>
      </c>
    </row>
    <row r="122">
      <c r="O122">
        <f>SUM(K122:M122)</f>
        <v/>
      </c>
      <c r="P122">
        <f>N122/100000</f>
        <v/>
      </c>
    </row>
    <row r="123">
      <c r="O123">
        <f>SUM(K123:M123)</f>
        <v/>
      </c>
      <c r="P123">
        <f>N123/100000</f>
        <v/>
      </c>
    </row>
    <row r="124">
      <c r="O124">
        <f>SUM(K124:M124)</f>
        <v/>
      </c>
      <c r="P124">
        <f>N124/100000</f>
        <v/>
      </c>
    </row>
    <row r="125">
      <c r="O125">
        <f>SUM(K125:M125)</f>
        <v/>
      </c>
      <c r="P125">
        <f>N125/100000</f>
        <v/>
      </c>
    </row>
    <row r="126">
      <c r="O126">
        <f>SUM(K126:M126)</f>
        <v/>
      </c>
      <c r="P126">
        <f>N126/100000</f>
        <v/>
      </c>
    </row>
    <row r="127">
      <c r="O127">
        <f>SUM(K127:M127)</f>
        <v/>
      </c>
      <c r="P127">
        <f>N127/100000</f>
        <v/>
      </c>
    </row>
    <row r="128">
      <c r="O128">
        <f>SUM(K128:M128)</f>
        <v/>
      </c>
      <c r="P128">
        <f>N128/100000</f>
        <v/>
      </c>
    </row>
    <row r="129">
      <c r="O129">
        <f>SUM(K129:M129)</f>
        <v/>
      </c>
      <c r="P129">
        <f>N129/100000</f>
        <v/>
      </c>
    </row>
    <row r="130">
      <c r="O130">
        <f>SUM(K130:M130)</f>
        <v/>
      </c>
      <c r="P130">
        <f>N130/100000</f>
        <v/>
      </c>
    </row>
    <row r="131">
      <c r="O131">
        <f>SUM(K131:M131)</f>
        <v/>
      </c>
      <c r="P131">
        <f>N131/100000</f>
        <v/>
      </c>
    </row>
    <row r="132">
      <c r="O132">
        <f>SUM(K132:M132)</f>
        <v/>
      </c>
      <c r="P132">
        <f>N132/100000</f>
        <v/>
      </c>
    </row>
    <row r="133">
      <c r="O133">
        <f>SUM(K133:M133)</f>
        <v/>
      </c>
      <c r="P133">
        <f>N133/100000</f>
        <v/>
      </c>
    </row>
    <row r="134">
      <c r="O134">
        <f>SUM(K134:M134)</f>
        <v/>
      </c>
      <c r="P134">
        <f>N134/100000</f>
        <v/>
      </c>
    </row>
    <row r="135">
      <c r="O135">
        <f>SUM(K135:M135)</f>
        <v/>
      </c>
      <c r="P135">
        <f>N135/100000</f>
        <v/>
      </c>
    </row>
    <row r="136">
      <c r="O136">
        <f>SUM(K136:M136)</f>
        <v/>
      </c>
      <c r="P136">
        <f>N136/100000</f>
        <v/>
      </c>
    </row>
    <row r="137">
      <c r="O137">
        <f>SUM(K137:M137)</f>
        <v/>
      </c>
      <c r="P137">
        <f>N137/100000</f>
        <v/>
      </c>
    </row>
    <row r="138">
      <c r="O138">
        <f>SUM(K138:M138)</f>
        <v/>
      </c>
      <c r="P138">
        <f>N138/100000</f>
        <v/>
      </c>
    </row>
    <row r="139">
      <c r="O139">
        <f>SUM(K139:M139)</f>
        <v/>
      </c>
      <c r="P139">
        <f>N139/100000</f>
        <v/>
      </c>
    </row>
    <row r="140">
      <c r="O140">
        <f>SUM(K140:M140)</f>
        <v/>
      </c>
      <c r="P140">
        <f>N140/100000</f>
        <v/>
      </c>
    </row>
    <row r="141">
      <c r="O141">
        <f>SUM(K141:M141)</f>
        <v/>
      </c>
      <c r="P141">
        <f>N141/100000</f>
        <v/>
      </c>
    </row>
    <row r="142">
      <c r="O142">
        <f>SUM(K142:M142)</f>
        <v/>
      </c>
      <c r="P142">
        <f>N142/100000</f>
        <v/>
      </c>
    </row>
    <row r="143">
      <c r="O143">
        <f>SUM(K143:M143)</f>
        <v/>
      </c>
      <c r="P143">
        <f>N143/100000</f>
        <v/>
      </c>
    </row>
    <row r="144">
      <c r="O144">
        <f>SUM(K144:M144)</f>
        <v/>
      </c>
      <c r="P144">
        <f>N144/100000</f>
        <v/>
      </c>
    </row>
    <row r="145">
      <c r="O145">
        <f>SUM(K145:M145)</f>
        <v/>
      </c>
      <c r="P145">
        <f>N145/100000</f>
        <v/>
      </c>
    </row>
    <row r="146">
      <c r="O146">
        <f>SUM(K146:M146)</f>
        <v/>
      </c>
      <c r="P146">
        <f>N146/100000</f>
        <v/>
      </c>
    </row>
    <row r="147">
      <c r="O147">
        <f>SUM(K147:M147)</f>
        <v/>
      </c>
      <c r="P147">
        <f>N147/100000</f>
        <v/>
      </c>
    </row>
    <row r="148">
      <c r="O148">
        <f>SUM(K148:M148)</f>
        <v/>
      </c>
      <c r="P148">
        <f>N148/100000</f>
        <v/>
      </c>
    </row>
    <row r="149">
      <c r="O149">
        <f>SUM(K149:M149)</f>
        <v/>
      </c>
      <c r="P149">
        <f>N149/100000</f>
        <v/>
      </c>
    </row>
    <row r="150">
      <c r="O150">
        <f>SUM(K150:M150)</f>
        <v/>
      </c>
      <c r="P150">
        <f>N150/100000</f>
        <v/>
      </c>
    </row>
    <row r="151">
      <c r="O151">
        <f>SUM(K151:M151)</f>
        <v/>
      </c>
      <c r="P151">
        <f>N151/100000</f>
        <v/>
      </c>
    </row>
    <row r="152">
      <c r="O152">
        <f>SUM(K152:M152)</f>
        <v/>
      </c>
      <c r="P152">
        <f>N152/100000</f>
        <v/>
      </c>
    </row>
    <row r="153">
      <c r="O153">
        <f>SUM(K153:M153)</f>
        <v/>
      </c>
      <c r="P153">
        <f>N153/100000</f>
        <v/>
      </c>
    </row>
    <row r="154">
      <c r="O154">
        <f>SUM(K154:M154)</f>
        <v/>
      </c>
      <c r="P154">
        <f>N154/100000</f>
        <v/>
      </c>
    </row>
    <row r="155">
      <c r="O155">
        <f>SUM(K155:M155)</f>
        <v/>
      </c>
      <c r="P155">
        <f>N155/100000</f>
        <v/>
      </c>
    </row>
    <row r="156">
      <c r="O156">
        <f>SUM(K156:M156)</f>
        <v/>
      </c>
      <c r="P156">
        <f>N156/100000</f>
        <v/>
      </c>
    </row>
    <row r="157">
      <c r="O157">
        <f>SUM(K157:M157)</f>
        <v/>
      </c>
      <c r="P157">
        <f>N157/100000</f>
        <v/>
      </c>
    </row>
    <row r="158">
      <c r="O158">
        <f>SUM(K158:M158)</f>
        <v/>
      </c>
      <c r="P158">
        <f>N158/100000</f>
        <v/>
      </c>
    </row>
    <row r="159">
      <c r="O159">
        <f>SUM(K159:M159)</f>
        <v/>
      </c>
      <c r="P159">
        <f>N159/100000</f>
        <v/>
      </c>
    </row>
    <row r="160">
      <c r="O160">
        <f>SUM(K160:M160)</f>
        <v/>
      </c>
      <c r="P160">
        <f>N160/100000</f>
        <v/>
      </c>
    </row>
    <row r="161">
      <c r="O161">
        <f>SUM(K161:M161)</f>
        <v/>
      </c>
      <c r="P161">
        <f>N161/100000</f>
        <v/>
      </c>
    </row>
    <row r="162">
      <c r="O162">
        <f>SUM(K162:M162)</f>
        <v/>
      </c>
      <c r="P162">
        <f>N162/100000</f>
        <v/>
      </c>
    </row>
    <row r="163">
      <c r="O163">
        <f>SUM(K163:M163)</f>
        <v/>
      </c>
      <c r="P163">
        <f>N163/100000</f>
        <v/>
      </c>
    </row>
    <row r="164">
      <c r="O164">
        <f>SUM(K164:M164)</f>
        <v/>
      </c>
      <c r="P164">
        <f>N164/100000</f>
        <v/>
      </c>
    </row>
    <row r="165">
      <c r="O165">
        <f>SUM(K165:M165)</f>
        <v/>
      </c>
      <c r="P165">
        <f>N165/100000</f>
        <v/>
      </c>
    </row>
    <row r="166">
      <c r="O166">
        <f>SUM(K166:M166)</f>
        <v/>
      </c>
      <c r="P166">
        <f>N166/100000</f>
        <v/>
      </c>
    </row>
    <row r="167">
      <c r="O167">
        <f>SUM(K167:M167)</f>
        <v/>
      </c>
      <c r="P167">
        <f>N167/100000</f>
        <v/>
      </c>
    </row>
    <row r="168">
      <c r="O168">
        <f>SUM(K168:M168)</f>
        <v/>
      </c>
      <c r="P168">
        <f>N168/100000</f>
        <v/>
      </c>
    </row>
    <row r="169">
      <c r="O169">
        <f>SUM(K169:M169)</f>
        <v/>
      </c>
      <c r="P169">
        <f>N169/100000</f>
        <v/>
      </c>
    </row>
    <row r="170">
      <c r="O170">
        <f>SUM(K170:M170)</f>
        <v/>
      </c>
      <c r="P170">
        <f>N170/100000</f>
        <v/>
      </c>
    </row>
    <row r="171">
      <c r="O171">
        <f>SUM(K171:M171)</f>
        <v/>
      </c>
      <c r="P171">
        <f>N171/100000</f>
        <v/>
      </c>
    </row>
    <row r="172">
      <c r="O172">
        <f>SUM(K172:M172)</f>
        <v/>
      </c>
      <c r="P172">
        <f>N172/100000</f>
        <v/>
      </c>
    </row>
    <row r="173">
      <c r="O173">
        <f>SUM(K173:M173)</f>
        <v/>
      </c>
      <c r="P173">
        <f>N173/100000</f>
        <v/>
      </c>
    </row>
    <row r="174">
      <c r="O174">
        <f>SUM(K174:M174)</f>
        <v/>
      </c>
      <c r="P174">
        <f>N174/100000</f>
        <v/>
      </c>
    </row>
    <row r="175">
      <c r="O175">
        <f>SUM(K175:M175)</f>
        <v/>
      </c>
      <c r="P175">
        <f>N175/100000</f>
        <v/>
      </c>
    </row>
    <row r="176">
      <c r="O176">
        <f>SUM(K176:M176)</f>
        <v/>
      </c>
      <c r="P176">
        <f>N176/100000</f>
        <v/>
      </c>
    </row>
    <row r="177">
      <c r="O177">
        <f>SUM(K177:M177)</f>
        <v/>
      </c>
      <c r="P177">
        <f>N177/100000</f>
        <v/>
      </c>
    </row>
    <row r="178">
      <c r="O178">
        <f>SUM(K178:M178)</f>
        <v/>
      </c>
      <c r="P178">
        <f>N178/100000</f>
        <v/>
      </c>
    </row>
    <row r="179">
      <c r="O179">
        <f>SUM(K179:M179)</f>
        <v/>
      </c>
      <c r="P179">
        <f>N179/100000</f>
        <v/>
      </c>
    </row>
    <row r="180">
      <c r="O180">
        <f>SUM(K180:M180)</f>
        <v/>
      </c>
      <c r="P180">
        <f>N180/100000</f>
        <v/>
      </c>
    </row>
    <row r="181">
      <c r="O181">
        <f>SUM(K181:M181)</f>
        <v/>
      </c>
      <c r="P181">
        <f>N181/100000</f>
        <v/>
      </c>
    </row>
    <row r="182">
      <c r="O182">
        <f>SUM(K182:M182)</f>
        <v/>
      </c>
      <c r="P182">
        <f>N182/100000</f>
        <v/>
      </c>
    </row>
    <row r="183">
      <c r="O183">
        <f>SUM(K183:M183)</f>
        <v/>
      </c>
      <c r="P183">
        <f>N183/100000</f>
        <v/>
      </c>
    </row>
    <row r="184">
      <c r="O184">
        <f>SUM(K184:M184)</f>
        <v/>
      </c>
      <c r="P184">
        <f>N184/100000</f>
        <v/>
      </c>
    </row>
    <row r="185">
      <c r="O185">
        <f>SUM(K185:M185)</f>
        <v/>
      </c>
      <c r="P185">
        <f>N185/100000</f>
        <v/>
      </c>
    </row>
    <row r="186">
      <c r="O186">
        <f>SUM(K186:M186)</f>
        <v/>
      </c>
      <c r="P186">
        <f>N186/100000</f>
        <v/>
      </c>
    </row>
    <row r="187">
      <c r="O187">
        <f>SUM(K187:M187)</f>
        <v/>
      </c>
      <c r="P187">
        <f>N187/100000</f>
        <v/>
      </c>
    </row>
    <row r="188">
      <c r="O188">
        <f>SUM(K188:M188)</f>
        <v/>
      </c>
      <c r="P188">
        <f>N188/100000</f>
        <v/>
      </c>
    </row>
    <row r="189">
      <c r="O189">
        <f>SUM(K189:M189)</f>
        <v/>
      </c>
      <c r="P189">
        <f>N189/100000</f>
        <v/>
      </c>
    </row>
    <row r="190">
      <c r="O190">
        <f>SUM(K190:M190)</f>
        <v/>
      </c>
      <c r="P190">
        <f>N190/100000</f>
        <v/>
      </c>
    </row>
    <row r="191">
      <c r="O191">
        <f>SUM(K191:M191)</f>
        <v/>
      </c>
      <c r="P191">
        <f>N191/100000</f>
        <v/>
      </c>
    </row>
    <row r="192">
      <c r="O192">
        <f>SUM(K192:M192)</f>
        <v/>
      </c>
      <c r="P192">
        <f>N192/100000</f>
        <v/>
      </c>
    </row>
    <row r="193">
      <c r="O193">
        <f>SUM(K193:M193)</f>
        <v/>
      </c>
      <c r="P193">
        <f>N193/100000</f>
        <v/>
      </c>
    </row>
    <row r="194">
      <c r="O194">
        <f>SUM(K194:M194)</f>
        <v/>
      </c>
      <c r="P194">
        <f>N194/100000</f>
        <v/>
      </c>
    </row>
    <row r="195">
      <c r="O195">
        <f>SUM(K195:M195)</f>
        <v/>
      </c>
      <c r="P195">
        <f>N195/100000</f>
        <v/>
      </c>
    </row>
    <row r="196">
      <c r="O196">
        <f>SUM(K196:M196)</f>
        <v/>
      </c>
      <c r="P196">
        <f>N196/100000</f>
        <v/>
      </c>
    </row>
    <row r="197">
      <c r="O197">
        <f>SUM(K197:M197)</f>
        <v/>
      </c>
      <c r="P197">
        <f>N197/100000</f>
        <v/>
      </c>
    </row>
    <row r="198">
      <c r="O198">
        <f>SUM(K198:M198)</f>
        <v/>
      </c>
      <c r="P198">
        <f>N198/100000</f>
        <v/>
      </c>
    </row>
    <row r="199">
      <c r="O199">
        <f>SUM(K199:M199)</f>
        <v/>
      </c>
      <c r="P199">
        <f>N199/100000</f>
        <v/>
      </c>
    </row>
    <row r="200">
      <c r="O200">
        <f>SUM(K200:M200)</f>
        <v/>
      </c>
      <c r="P200">
        <f>N200/100000</f>
        <v/>
      </c>
    </row>
    <row r="201">
      <c r="O201">
        <f>SUM(K201:M201)</f>
        <v/>
      </c>
      <c r="P201">
        <f>N201/100000</f>
        <v/>
      </c>
    </row>
    <row r="202">
      <c r="O202">
        <f>SUM(K202:M202)</f>
        <v/>
      </c>
      <c r="P202">
        <f>N202/100000</f>
        <v/>
      </c>
    </row>
    <row r="203">
      <c r="O203">
        <f>SUM(K203:M203)</f>
        <v/>
      </c>
      <c r="P203">
        <f>N203/100000</f>
        <v/>
      </c>
    </row>
    <row r="204">
      <c r="O204">
        <f>SUM(K204:M204)</f>
        <v/>
      </c>
      <c r="P204">
        <f>N204/100000</f>
        <v/>
      </c>
    </row>
    <row r="205">
      <c r="O205">
        <f>SUM(K205:M205)</f>
        <v/>
      </c>
      <c r="P205">
        <f>N205/100000</f>
        <v/>
      </c>
    </row>
    <row r="206">
      <c r="O206">
        <f>SUM(K206:M206)</f>
        <v/>
      </c>
      <c r="P206">
        <f>N206/100000</f>
        <v/>
      </c>
    </row>
    <row r="207">
      <c r="O207">
        <f>SUM(K207:M207)</f>
        <v/>
      </c>
      <c r="P207">
        <f>N207/100000</f>
        <v/>
      </c>
    </row>
    <row r="208">
      <c r="O208">
        <f>SUM(K208:M208)</f>
        <v/>
      </c>
      <c r="P208">
        <f>N208/100000</f>
        <v/>
      </c>
    </row>
    <row r="209">
      <c r="O209">
        <f>SUM(K209:M209)</f>
        <v/>
      </c>
      <c r="P209">
        <f>N209/100000</f>
        <v/>
      </c>
    </row>
    <row r="210">
      <c r="O210">
        <f>SUM(K210:M210)</f>
        <v/>
      </c>
      <c r="P210">
        <f>N210/100000</f>
        <v/>
      </c>
    </row>
    <row r="211">
      <c r="O211">
        <f>SUM(K211:M211)</f>
        <v/>
      </c>
      <c r="P211">
        <f>N211/100000</f>
        <v/>
      </c>
    </row>
    <row r="212">
      <c r="O212">
        <f>SUM(K212:M212)</f>
        <v/>
      </c>
      <c r="P212">
        <f>N212/100000</f>
        <v/>
      </c>
    </row>
    <row r="213">
      <c r="O213">
        <f>SUM(K213:M213)</f>
        <v/>
      </c>
      <c r="P213">
        <f>N213/100000</f>
        <v/>
      </c>
    </row>
    <row r="214">
      <c r="O214">
        <f>SUM(K214:M214)</f>
        <v/>
      </c>
      <c r="P214">
        <f>N214/100000</f>
        <v/>
      </c>
    </row>
    <row r="215">
      <c r="O215">
        <f>SUM(K215:M215)</f>
        <v/>
      </c>
      <c r="P215">
        <f>N215/100000</f>
        <v/>
      </c>
    </row>
    <row r="216">
      <c r="O216">
        <f>SUM(K216:M216)</f>
        <v/>
      </c>
      <c r="P216">
        <f>N216/100000</f>
        <v/>
      </c>
    </row>
    <row r="217">
      <c r="O217">
        <f>SUM(K217:M217)</f>
        <v/>
      </c>
      <c r="P217">
        <f>N217/100000</f>
        <v/>
      </c>
    </row>
    <row r="218">
      <c r="O218">
        <f>SUM(K218:M218)</f>
        <v/>
      </c>
      <c r="P218">
        <f>N218/100000</f>
        <v/>
      </c>
    </row>
    <row r="219">
      <c r="O219">
        <f>SUM(K219:M219)</f>
        <v/>
      </c>
      <c r="P219">
        <f>N219/100000</f>
        <v/>
      </c>
    </row>
    <row r="220">
      <c r="O220">
        <f>SUM(K220:M220)</f>
        <v/>
      </c>
      <c r="P220">
        <f>N220/100000</f>
        <v/>
      </c>
    </row>
    <row r="221">
      <c r="O221">
        <f>SUM(K221:M221)</f>
        <v/>
      </c>
      <c r="P221">
        <f>N221/100000</f>
        <v/>
      </c>
    </row>
    <row r="222">
      <c r="O222">
        <f>SUM(K222:M222)</f>
        <v/>
      </c>
      <c r="P222">
        <f>N222/100000</f>
        <v/>
      </c>
    </row>
    <row r="223">
      <c r="O223">
        <f>SUM(K223:M223)</f>
        <v/>
      </c>
      <c r="P223">
        <f>N223/100000</f>
        <v/>
      </c>
    </row>
    <row r="224">
      <c r="O224">
        <f>SUM(K224:M224)</f>
        <v/>
      </c>
      <c r="P224">
        <f>N224/100000</f>
        <v/>
      </c>
    </row>
    <row r="225">
      <c r="O225">
        <f>SUM(K225:M225)</f>
        <v/>
      </c>
      <c r="P225">
        <f>N225/100000</f>
        <v/>
      </c>
    </row>
    <row r="226">
      <c r="O226">
        <f>SUM(K226:M226)</f>
        <v/>
      </c>
      <c r="P226">
        <f>N226/100000</f>
        <v/>
      </c>
    </row>
    <row r="227">
      <c r="O227">
        <f>SUM(K227:M227)</f>
        <v/>
      </c>
      <c r="P227">
        <f>N227/100000</f>
        <v/>
      </c>
    </row>
    <row r="228">
      <c r="O228">
        <f>SUM(K228:M228)</f>
        <v/>
      </c>
      <c r="P228">
        <f>N228/100000</f>
        <v/>
      </c>
    </row>
    <row r="229">
      <c r="O229">
        <f>SUM(K229:M229)</f>
        <v/>
      </c>
      <c r="P229">
        <f>N229/100000</f>
        <v/>
      </c>
    </row>
    <row r="230">
      <c r="O230">
        <f>SUM(K230:M230)</f>
        <v/>
      </c>
      <c r="P230">
        <f>N230/100000</f>
        <v/>
      </c>
    </row>
    <row r="231">
      <c r="O231">
        <f>SUM(K231:M231)</f>
        <v/>
      </c>
      <c r="P231">
        <f>N231/100000</f>
        <v/>
      </c>
    </row>
    <row r="232">
      <c r="O232">
        <f>SUM(K232:M232)</f>
        <v/>
      </c>
      <c r="P232">
        <f>N232/100000</f>
        <v/>
      </c>
    </row>
    <row r="233">
      <c r="O233">
        <f>SUM(K233:M233)</f>
        <v/>
      </c>
      <c r="P233">
        <f>N233/100000</f>
        <v/>
      </c>
    </row>
    <row r="234">
      <c r="O234">
        <f>SUM(K234:M234)</f>
        <v/>
      </c>
      <c r="P234">
        <f>N234/100000</f>
        <v/>
      </c>
    </row>
    <row r="235">
      <c r="O235">
        <f>SUM(K235:M235)</f>
        <v/>
      </c>
      <c r="P235">
        <f>N235/100000</f>
        <v/>
      </c>
    </row>
    <row r="236">
      <c r="O236">
        <f>SUM(K236:M236)</f>
        <v/>
      </c>
      <c r="P236">
        <f>N236/100000</f>
        <v/>
      </c>
    </row>
    <row r="237">
      <c r="O237">
        <f>SUM(K237:M237)</f>
        <v/>
      </c>
      <c r="P237">
        <f>N237/100000</f>
        <v/>
      </c>
    </row>
    <row r="238">
      <c r="O238">
        <f>SUM(K238:M238)</f>
        <v/>
      </c>
      <c r="P238">
        <f>N238/100000</f>
        <v/>
      </c>
    </row>
    <row r="239">
      <c r="O239">
        <f>SUM(K239:M239)</f>
        <v/>
      </c>
      <c r="P239">
        <f>N239/100000</f>
        <v/>
      </c>
    </row>
    <row r="240">
      <c r="O240">
        <f>SUM(K240:M240)</f>
        <v/>
      </c>
      <c r="P240">
        <f>N240/100000</f>
        <v/>
      </c>
    </row>
    <row r="241">
      <c r="O241">
        <f>SUM(K241:M241)</f>
        <v/>
      </c>
      <c r="P241">
        <f>N241/100000</f>
        <v/>
      </c>
    </row>
    <row r="242">
      <c r="O242">
        <f>SUM(K242:M242)</f>
        <v/>
      </c>
      <c r="P242">
        <f>N242/100000</f>
        <v/>
      </c>
    </row>
    <row r="243">
      <c r="O243">
        <f>SUM(K243:M243)</f>
        <v/>
      </c>
      <c r="P243">
        <f>N243/100000</f>
        <v/>
      </c>
    </row>
    <row r="244">
      <c r="O244">
        <f>SUM(K244:M244)</f>
        <v/>
      </c>
      <c r="P244">
        <f>N244/100000</f>
        <v/>
      </c>
    </row>
    <row r="245">
      <c r="O245">
        <f>SUM(K245:M245)</f>
        <v/>
      </c>
      <c r="P245">
        <f>N245/100000</f>
        <v/>
      </c>
    </row>
    <row r="246">
      <c r="O246">
        <f>SUM(K246:M246)</f>
        <v/>
      </c>
      <c r="P246">
        <f>N246/100000</f>
        <v/>
      </c>
    </row>
    <row r="247">
      <c r="O247">
        <f>SUM(K247:M247)</f>
        <v/>
      </c>
      <c r="P247">
        <f>N247/100000</f>
        <v/>
      </c>
    </row>
    <row r="248">
      <c r="O248">
        <f>SUM(K248:M248)</f>
        <v/>
      </c>
      <c r="P248">
        <f>N248/100000</f>
        <v/>
      </c>
    </row>
    <row r="249">
      <c r="O249">
        <f>SUM(K249:M249)</f>
        <v/>
      </c>
      <c r="P249">
        <f>N249/100000</f>
        <v/>
      </c>
    </row>
    <row r="250">
      <c r="O250">
        <f>SUM(K250:M250)</f>
        <v/>
      </c>
      <c r="P250">
        <f>N250/100000</f>
        <v/>
      </c>
    </row>
    <row r="251">
      <c r="O251">
        <f>SUM(K251:M251)</f>
        <v/>
      </c>
      <c r="P251">
        <f>N251/100000</f>
        <v/>
      </c>
    </row>
    <row r="252">
      <c r="O252">
        <f>SUM(K252:M252)</f>
        <v/>
      </c>
      <c r="P252">
        <f>N252/100000</f>
        <v/>
      </c>
    </row>
    <row r="253">
      <c r="O253">
        <f>SUM(K253:M253)</f>
        <v/>
      </c>
      <c r="P253">
        <f>N253/100000</f>
        <v/>
      </c>
    </row>
    <row r="254">
      <c r="O254">
        <f>SUM(K254:M254)</f>
        <v/>
      </c>
      <c r="P254">
        <f>N254/100000</f>
        <v/>
      </c>
    </row>
    <row r="255">
      <c r="O255">
        <f>SUM(K255:M255)</f>
        <v/>
      </c>
      <c r="P255">
        <f>N255/100000</f>
        <v/>
      </c>
    </row>
    <row r="256">
      <c r="O256">
        <f>SUM(K256:M256)</f>
        <v/>
      </c>
      <c r="P256">
        <f>N256/100000</f>
        <v/>
      </c>
    </row>
    <row r="257">
      <c r="O257">
        <f>SUM(K257:M257)</f>
        <v/>
      </c>
      <c r="P257">
        <f>N257/100000</f>
        <v/>
      </c>
    </row>
    <row r="258">
      <c r="O258">
        <f>SUM(K258:M258)</f>
        <v/>
      </c>
      <c r="P258">
        <f>N258/100000</f>
        <v/>
      </c>
    </row>
    <row r="259">
      <c r="O259">
        <f>SUM(K259:M259)</f>
        <v/>
      </c>
      <c r="P259">
        <f>N259/100000</f>
        <v/>
      </c>
    </row>
    <row r="260">
      <c r="O260">
        <f>SUM(K260:M260)</f>
        <v/>
      </c>
      <c r="P260">
        <f>N260/100000</f>
        <v/>
      </c>
    </row>
    <row r="261">
      <c r="O261">
        <f>SUM(K261:M261)</f>
        <v/>
      </c>
      <c r="P261">
        <f>N261/100000</f>
        <v/>
      </c>
    </row>
    <row r="262">
      <c r="O262">
        <f>SUM(K262:M262)</f>
        <v/>
      </c>
      <c r="P262">
        <f>N262/100000</f>
        <v/>
      </c>
    </row>
    <row r="263">
      <c r="O263">
        <f>SUM(K263:M263)</f>
        <v/>
      </c>
      <c r="P263">
        <f>N263/100000</f>
        <v/>
      </c>
    </row>
    <row r="264">
      <c r="O264">
        <f>SUM(K264:M264)</f>
        <v/>
      </c>
      <c r="P264">
        <f>N264/100000</f>
        <v/>
      </c>
    </row>
    <row r="265">
      <c r="O265">
        <f>SUM(K265:M265)</f>
        <v/>
      </c>
      <c r="P265">
        <f>N265/100000</f>
        <v/>
      </c>
    </row>
    <row r="266">
      <c r="O266">
        <f>SUM(K266:M266)</f>
        <v/>
      </c>
      <c r="P266">
        <f>N266/100000</f>
        <v/>
      </c>
    </row>
    <row r="267">
      <c r="O267">
        <f>SUM(K267:M267)</f>
        <v/>
      </c>
      <c r="P267">
        <f>N267/100000</f>
        <v/>
      </c>
    </row>
    <row r="268">
      <c r="O268">
        <f>SUM(K268:M268)</f>
        <v/>
      </c>
      <c r="P268">
        <f>N268/100000</f>
        <v/>
      </c>
    </row>
    <row r="269">
      <c r="O269">
        <f>SUM(K269:M269)</f>
        <v/>
      </c>
      <c r="P269">
        <f>N269/100000</f>
        <v/>
      </c>
    </row>
    <row r="270">
      <c r="O270">
        <f>SUM(K270:M270)</f>
        <v/>
      </c>
      <c r="P270">
        <f>N270/100000</f>
        <v/>
      </c>
    </row>
    <row r="271">
      <c r="O271">
        <f>SUM(K271:M271)</f>
        <v/>
      </c>
      <c r="P271">
        <f>N271/100000</f>
        <v/>
      </c>
    </row>
    <row r="272">
      <c r="O272">
        <f>SUM(K272:M272)</f>
        <v/>
      </c>
      <c r="P272">
        <f>N272/100000</f>
        <v/>
      </c>
    </row>
    <row r="273">
      <c r="O273">
        <f>SUM(K273:M273)</f>
        <v/>
      </c>
      <c r="P273">
        <f>N273/100000</f>
        <v/>
      </c>
    </row>
    <row r="274">
      <c r="O274">
        <f>SUM(K274:M274)</f>
        <v/>
      </c>
      <c r="P274">
        <f>N274/100000</f>
        <v/>
      </c>
    </row>
    <row r="275">
      <c r="O275">
        <f>SUM(K275:M275)</f>
        <v/>
      </c>
      <c r="P275">
        <f>N275/100000</f>
        <v/>
      </c>
    </row>
    <row r="276">
      <c r="O276">
        <f>SUM(K276:M276)</f>
        <v/>
      </c>
      <c r="P276">
        <f>N276/100000</f>
        <v/>
      </c>
    </row>
    <row r="277">
      <c r="O277">
        <f>SUM(K277:M277)</f>
        <v/>
      </c>
      <c r="P277">
        <f>N277/100000</f>
        <v/>
      </c>
    </row>
    <row r="278">
      <c r="O278">
        <f>SUM(K278:M278)</f>
        <v/>
      </c>
      <c r="P278">
        <f>N278/100000</f>
        <v/>
      </c>
    </row>
    <row r="279">
      <c r="O279">
        <f>SUM(K279:M279)</f>
        <v/>
      </c>
      <c r="P279">
        <f>N279/100000</f>
        <v/>
      </c>
    </row>
    <row r="280">
      <c r="O280">
        <f>SUM(K280:M280)</f>
        <v/>
      </c>
      <c r="P280">
        <f>N280/100000</f>
        <v/>
      </c>
    </row>
    <row r="281">
      <c r="O281">
        <f>SUM(K281:M281)</f>
        <v/>
      </c>
      <c r="P281">
        <f>N281/100000</f>
        <v/>
      </c>
    </row>
    <row r="282">
      <c r="O282">
        <f>SUM(K282:M282)</f>
        <v/>
      </c>
      <c r="P282">
        <f>N282/100000</f>
        <v/>
      </c>
    </row>
    <row r="283">
      <c r="O283">
        <f>SUM(K283:M283)</f>
        <v/>
      </c>
      <c r="P283">
        <f>N283/100000</f>
        <v/>
      </c>
    </row>
    <row r="284">
      <c r="O284">
        <f>SUM(K284:M284)</f>
        <v/>
      </c>
      <c r="P284">
        <f>N284/100000</f>
        <v/>
      </c>
    </row>
    <row r="285">
      <c r="O285">
        <f>SUM(K285:M285)</f>
        <v/>
      </c>
      <c r="P285">
        <f>N285/100000</f>
        <v/>
      </c>
    </row>
    <row r="286">
      <c r="O286">
        <f>SUM(K286:M286)</f>
        <v/>
      </c>
      <c r="P286">
        <f>N286/100000</f>
        <v/>
      </c>
    </row>
    <row r="287">
      <c r="O287">
        <f>SUM(K287:M287)</f>
        <v/>
      </c>
      <c r="P287">
        <f>N287/100000</f>
        <v/>
      </c>
    </row>
    <row r="288">
      <c r="O288">
        <f>SUM(K288:M288)</f>
        <v/>
      </c>
      <c r="P288">
        <f>N288/100000</f>
        <v/>
      </c>
    </row>
    <row r="289">
      <c r="O289">
        <f>SUM(K289:M289)</f>
        <v/>
      </c>
      <c r="P289">
        <f>N289/100000</f>
        <v/>
      </c>
    </row>
    <row r="290">
      <c r="O290">
        <f>SUM(K290:M290)</f>
        <v/>
      </c>
      <c r="P290">
        <f>N290/100000</f>
        <v/>
      </c>
    </row>
    <row r="291">
      <c r="O291">
        <f>SUM(K291:M291)</f>
        <v/>
      </c>
      <c r="P291">
        <f>N291/100000</f>
        <v/>
      </c>
    </row>
    <row r="292">
      <c r="O292">
        <f>SUM(K292:M292)</f>
        <v/>
      </c>
      <c r="P292">
        <f>N292/100000</f>
        <v/>
      </c>
    </row>
    <row r="293">
      <c r="O293">
        <f>SUM(K293:M293)</f>
        <v/>
      </c>
      <c r="P293">
        <f>N293/100000</f>
        <v/>
      </c>
    </row>
    <row r="294">
      <c r="O294">
        <f>SUM(K294:M294)</f>
        <v/>
      </c>
      <c r="P294">
        <f>N294/100000</f>
        <v/>
      </c>
    </row>
    <row r="295">
      <c r="O295">
        <f>SUM(K295:M295)</f>
        <v/>
      </c>
      <c r="P295">
        <f>N295/100000</f>
        <v/>
      </c>
    </row>
    <row r="296">
      <c r="O296">
        <f>SUM(K296:M296)</f>
        <v/>
      </c>
      <c r="P296">
        <f>N296/100000</f>
        <v/>
      </c>
    </row>
    <row r="297">
      <c r="O297">
        <f>SUM(K297:M297)</f>
        <v/>
      </c>
      <c r="P297">
        <f>N297/100000</f>
        <v/>
      </c>
    </row>
    <row r="298">
      <c r="O298">
        <f>SUM(K298:M298)</f>
        <v/>
      </c>
      <c r="P298">
        <f>N298/100000</f>
        <v/>
      </c>
    </row>
    <row r="299">
      <c r="O299">
        <f>SUM(K299:M299)</f>
        <v/>
      </c>
      <c r="P299">
        <f>N299/100000</f>
        <v/>
      </c>
    </row>
    <row r="300">
      <c r="O300">
        <f>SUM(K300:M300)</f>
        <v/>
      </c>
      <c r="P300">
        <f>N300/100000</f>
        <v/>
      </c>
    </row>
    <row r="301">
      <c r="O301">
        <f>SUM(K301:M301)</f>
        <v/>
      </c>
      <c r="P301">
        <f>N301/100000</f>
        <v/>
      </c>
    </row>
    <row r="302">
      <c r="O302">
        <f>SUM(K302:M302)</f>
        <v/>
      </c>
      <c r="P302">
        <f>N302/100000</f>
        <v/>
      </c>
    </row>
    <row r="303">
      <c r="O303">
        <f>SUM(K303:M303)</f>
        <v/>
      </c>
      <c r="P303">
        <f>N303/100000</f>
        <v/>
      </c>
    </row>
    <row r="304">
      <c r="O304">
        <f>SUM(K304:M304)</f>
        <v/>
      </c>
      <c r="P304">
        <f>N304/100000</f>
        <v/>
      </c>
    </row>
    <row r="305">
      <c r="O305">
        <f>SUM(K305:M305)</f>
        <v/>
      </c>
      <c r="P305">
        <f>N305/100000</f>
        <v/>
      </c>
    </row>
    <row r="306">
      <c r="O306">
        <f>SUM(K306:M306)</f>
        <v/>
      </c>
      <c r="P306">
        <f>N306/100000</f>
        <v/>
      </c>
    </row>
    <row r="307">
      <c r="O307">
        <f>SUM(K307:M307)</f>
        <v/>
      </c>
      <c r="P307">
        <f>N307/100000</f>
        <v/>
      </c>
    </row>
    <row r="308">
      <c r="O308">
        <f>SUM(K308:M308)</f>
        <v/>
      </c>
      <c r="P308">
        <f>N308/100000</f>
        <v/>
      </c>
    </row>
    <row r="309">
      <c r="O309">
        <f>SUM(K309:M309)</f>
        <v/>
      </c>
      <c r="P309">
        <f>N309/100000</f>
        <v/>
      </c>
    </row>
    <row r="310">
      <c r="O310">
        <f>SUM(K310:M310)</f>
        <v/>
      </c>
      <c r="P310">
        <f>N310/100000</f>
        <v/>
      </c>
    </row>
    <row r="311">
      <c r="O311">
        <f>SUM(K311:M311)</f>
        <v/>
      </c>
      <c r="P311">
        <f>N311/100000</f>
        <v/>
      </c>
    </row>
    <row r="312">
      <c r="O312">
        <f>SUM(K312:M312)</f>
        <v/>
      </c>
      <c r="P312">
        <f>N312/100000</f>
        <v/>
      </c>
    </row>
    <row r="313">
      <c r="O313">
        <f>SUM(K313:M313)</f>
        <v/>
      </c>
      <c r="P313">
        <f>N313/100000</f>
        <v/>
      </c>
    </row>
    <row r="314">
      <c r="O314">
        <f>SUM(K314:M314)</f>
        <v/>
      </c>
      <c r="P314">
        <f>N314/100000</f>
        <v/>
      </c>
    </row>
    <row r="315">
      <c r="O315">
        <f>SUM(K315:M315)</f>
        <v/>
      </c>
      <c r="P315">
        <f>N315/100000</f>
        <v/>
      </c>
    </row>
    <row r="316">
      <c r="O316">
        <f>SUM(K316:M316)</f>
        <v/>
      </c>
      <c r="P316">
        <f>N316/100000</f>
        <v/>
      </c>
    </row>
    <row r="317">
      <c r="O317">
        <f>SUM(K317:M317)</f>
        <v/>
      </c>
      <c r="P317">
        <f>N317/100000</f>
        <v/>
      </c>
    </row>
    <row r="318">
      <c r="O318">
        <f>SUM(K318:M318)</f>
        <v/>
      </c>
      <c r="P318">
        <f>N318/100000</f>
        <v/>
      </c>
    </row>
    <row r="319">
      <c r="O319">
        <f>SUM(K319:M319)</f>
        <v/>
      </c>
      <c r="P319">
        <f>N319/100000</f>
        <v/>
      </c>
    </row>
    <row r="320">
      <c r="O320">
        <f>SUM(K320:M320)</f>
        <v/>
      </c>
      <c r="P320">
        <f>N320/100000</f>
        <v/>
      </c>
    </row>
    <row r="321">
      <c r="O321">
        <f>SUM(K321:M321)</f>
        <v/>
      </c>
      <c r="P321">
        <f>N321/100000</f>
        <v/>
      </c>
    </row>
    <row r="322">
      <c r="O322">
        <f>SUM(K322:M322)</f>
        <v/>
      </c>
      <c r="P322">
        <f>N322/100000</f>
        <v/>
      </c>
    </row>
    <row r="323">
      <c r="O323">
        <f>SUM(K323:M323)</f>
        <v/>
      </c>
      <c r="P323">
        <f>N323/100000</f>
        <v/>
      </c>
    </row>
    <row r="324">
      <c r="O324">
        <f>SUM(K324:M324)</f>
        <v/>
      </c>
      <c r="P324">
        <f>N324/100000</f>
        <v/>
      </c>
    </row>
    <row r="325">
      <c r="O325">
        <f>SUM(K325:M325)</f>
        <v/>
      </c>
      <c r="P325">
        <f>N325/100000</f>
        <v/>
      </c>
    </row>
    <row r="326">
      <c r="O326">
        <f>SUM(K326:M326)</f>
        <v/>
      </c>
      <c r="P326">
        <f>N326/100000</f>
        <v/>
      </c>
    </row>
    <row r="327">
      <c r="O327">
        <f>SUM(K327:M327)</f>
        <v/>
      </c>
      <c r="P327">
        <f>N327/100000</f>
        <v/>
      </c>
    </row>
    <row r="328">
      <c r="O328">
        <f>SUM(K328:M328)</f>
        <v/>
      </c>
      <c r="P328">
        <f>N328/100000</f>
        <v/>
      </c>
    </row>
    <row r="329">
      <c r="O329">
        <f>SUM(K329:M329)</f>
        <v/>
      </c>
      <c r="P329">
        <f>N329/100000</f>
        <v/>
      </c>
    </row>
    <row r="330">
      <c r="O330">
        <f>SUM(K330:M330)</f>
        <v/>
      </c>
      <c r="P330">
        <f>N330/100000</f>
        <v/>
      </c>
    </row>
    <row r="331">
      <c r="O331">
        <f>SUM(K331:M331)</f>
        <v/>
      </c>
      <c r="P331">
        <f>N331/100000</f>
        <v/>
      </c>
    </row>
    <row r="332">
      <c r="O332">
        <f>SUM(K332:M332)</f>
        <v/>
      </c>
      <c r="P332">
        <f>N332/100000</f>
        <v/>
      </c>
    </row>
    <row r="333">
      <c r="O333">
        <f>SUM(K333:M333)</f>
        <v/>
      </c>
      <c r="P333">
        <f>N333/100000</f>
        <v/>
      </c>
    </row>
    <row r="334">
      <c r="O334">
        <f>SUM(K334:M334)</f>
        <v/>
      </c>
      <c r="P334">
        <f>N334/100000</f>
        <v/>
      </c>
    </row>
    <row r="335">
      <c r="O335">
        <f>SUM(K335:M335)</f>
        <v/>
      </c>
      <c r="P335">
        <f>N335/100000</f>
        <v/>
      </c>
    </row>
    <row r="336">
      <c r="O336">
        <f>SUM(K336:M336)</f>
        <v/>
      </c>
      <c r="P336">
        <f>N336/100000</f>
        <v/>
      </c>
    </row>
    <row r="337">
      <c r="O337">
        <f>SUM(K337:M337)</f>
        <v/>
      </c>
      <c r="P337">
        <f>N337/100000</f>
        <v/>
      </c>
    </row>
    <row r="338">
      <c r="O338">
        <f>SUM(K338:M338)</f>
        <v/>
      </c>
      <c r="P338">
        <f>N338/100000</f>
        <v/>
      </c>
    </row>
    <row r="339">
      <c r="O339">
        <f>SUM(K339:M339)</f>
        <v/>
      </c>
      <c r="P339">
        <f>N339/100000</f>
        <v/>
      </c>
    </row>
    <row r="340">
      <c r="O340">
        <f>SUM(K340:M340)</f>
        <v/>
      </c>
      <c r="P340">
        <f>N340/100000</f>
        <v/>
      </c>
    </row>
    <row r="341">
      <c r="O341">
        <f>SUM(K341:M341)</f>
        <v/>
      </c>
      <c r="P341">
        <f>N341/100000</f>
        <v/>
      </c>
    </row>
    <row r="342">
      <c r="O342">
        <f>SUM(K342:M342)</f>
        <v/>
      </c>
      <c r="P342">
        <f>N342/100000</f>
        <v/>
      </c>
    </row>
    <row r="343">
      <c r="O343">
        <f>SUM(K343:M343)</f>
        <v/>
      </c>
      <c r="P343">
        <f>N343/100000</f>
        <v/>
      </c>
    </row>
    <row r="344">
      <c r="O344">
        <f>SUM(K344:M344)</f>
        <v/>
      </c>
      <c r="P344">
        <f>N344/100000</f>
        <v/>
      </c>
    </row>
    <row r="345">
      <c r="O345">
        <f>SUM(K345:M345)</f>
        <v/>
      </c>
      <c r="P345">
        <f>N345/100000</f>
        <v/>
      </c>
    </row>
    <row r="346">
      <c r="O346">
        <f>SUM(K346:M346)</f>
        <v/>
      </c>
      <c r="P346">
        <f>N346/100000</f>
        <v/>
      </c>
    </row>
    <row r="347">
      <c r="O347">
        <f>SUM(K347:M347)</f>
        <v/>
      </c>
      <c r="P347">
        <f>N347/100000</f>
        <v/>
      </c>
    </row>
    <row r="348">
      <c r="O348">
        <f>SUM(K348:M348)</f>
        <v/>
      </c>
      <c r="P348">
        <f>N348/100000</f>
        <v/>
      </c>
    </row>
    <row r="349">
      <c r="O349">
        <f>SUM(K349:M349)</f>
        <v/>
      </c>
      <c r="P349">
        <f>N349/100000</f>
        <v/>
      </c>
    </row>
    <row r="350">
      <c r="O350">
        <f>SUM(K350:M350)</f>
        <v/>
      </c>
      <c r="P350">
        <f>N350/100000</f>
        <v/>
      </c>
    </row>
    <row r="351">
      <c r="O351">
        <f>SUM(K351:M351)</f>
        <v/>
      </c>
      <c r="P351">
        <f>N351/100000</f>
        <v/>
      </c>
    </row>
    <row r="352">
      <c r="O352">
        <f>SUM(K352:M352)</f>
        <v/>
      </c>
      <c r="P352">
        <f>N352/100000</f>
        <v/>
      </c>
    </row>
    <row r="353">
      <c r="O353">
        <f>SUM(K353:M353)</f>
        <v/>
      </c>
      <c r="P353">
        <f>N353/100000</f>
        <v/>
      </c>
    </row>
    <row r="354">
      <c r="O354">
        <f>SUM(K354:M354)</f>
        <v/>
      </c>
      <c r="P354">
        <f>N354/100000</f>
        <v/>
      </c>
    </row>
    <row r="355">
      <c r="O355">
        <f>SUM(K355:M355)</f>
        <v/>
      </c>
      <c r="P355">
        <f>N355/100000</f>
        <v/>
      </c>
    </row>
    <row r="356">
      <c r="O356">
        <f>SUM(K356:M356)</f>
        <v/>
      </c>
      <c r="P356">
        <f>N356/100000</f>
        <v/>
      </c>
    </row>
    <row r="357">
      <c r="O357">
        <f>SUM(K357:M357)</f>
        <v/>
      </c>
      <c r="P357">
        <f>N357/100000</f>
        <v/>
      </c>
    </row>
    <row r="358">
      <c r="O358">
        <f>SUM(K358:M358)</f>
        <v/>
      </c>
      <c r="P358">
        <f>N358/100000</f>
        <v/>
      </c>
    </row>
    <row r="359">
      <c r="O359">
        <f>SUM(K359:M359)</f>
        <v/>
      </c>
      <c r="P359">
        <f>N359/100000</f>
        <v/>
      </c>
    </row>
    <row r="360">
      <c r="O360">
        <f>SUM(K360:M360)</f>
        <v/>
      </c>
      <c r="P360">
        <f>N360/100000</f>
        <v/>
      </c>
    </row>
    <row r="361">
      <c r="O361">
        <f>SUM(K361:M361)</f>
        <v/>
      </c>
      <c r="P361">
        <f>N361/100000</f>
        <v/>
      </c>
    </row>
    <row r="362">
      <c r="O362">
        <f>SUM(K362:M362)</f>
        <v/>
      </c>
      <c r="P362">
        <f>N362/100000</f>
        <v/>
      </c>
    </row>
    <row r="363">
      <c r="O363">
        <f>SUM(K363:M363)</f>
        <v/>
      </c>
      <c r="P363">
        <f>N363/100000</f>
        <v/>
      </c>
    </row>
    <row r="364">
      <c r="O364">
        <f>SUM(K364:M364)</f>
        <v/>
      </c>
      <c r="P364">
        <f>N364/100000</f>
        <v/>
      </c>
    </row>
    <row r="365">
      <c r="O365">
        <f>SUM(K365:M365)</f>
        <v/>
      </c>
      <c r="P365">
        <f>N365/100000</f>
        <v/>
      </c>
    </row>
    <row r="366">
      <c r="O366">
        <f>SUM(K366:M366)</f>
        <v/>
      </c>
      <c r="P366">
        <f>N366/100000</f>
        <v/>
      </c>
    </row>
    <row r="367">
      <c r="O367">
        <f>SUM(K367:M367)</f>
        <v/>
      </c>
      <c r="P367">
        <f>N367/100000</f>
        <v/>
      </c>
    </row>
    <row r="368">
      <c r="O368">
        <f>SUM(K368:M368)</f>
        <v/>
      </c>
      <c r="P368">
        <f>N368/100000</f>
        <v/>
      </c>
    </row>
    <row r="369">
      <c r="O369">
        <f>SUM(K369:M369)</f>
        <v/>
      </c>
      <c r="P369">
        <f>N369/100000</f>
        <v/>
      </c>
    </row>
    <row r="370">
      <c r="O370">
        <f>SUM(K370:M370)</f>
        <v/>
      </c>
      <c r="P370">
        <f>N370/100000</f>
        <v/>
      </c>
    </row>
    <row r="371">
      <c r="O371">
        <f>SUM(K371:M371)</f>
        <v/>
      </c>
      <c r="P371">
        <f>N371/100000</f>
        <v/>
      </c>
    </row>
    <row r="372">
      <c r="O372">
        <f>SUM(K372:M372)</f>
        <v/>
      </c>
      <c r="P372">
        <f>N372/100000</f>
        <v/>
      </c>
    </row>
    <row r="373">
      <c r="O373">
        <f>SUM(K373:M373)</f>
        <v/>
      </c>
      <c r="P373">
        <f>N373/100000</f>
        <v/>
      </c>
    </row>
    <row r="374">
      <c r="O374">
        <f>SUM(K374:M374)</f>
        <v/>
      </c>
      <c r="P374">
        <f>N374/100000</f>
        <v/>
      </c>
    </row>
    <row r="375">
      <c r="O375">
        <f>SUM(K375:M375)</f>
        <v/>
      </c>
      <c r="P375">
        <f>N375/100000</f>
        <v/>
      </c>
    </row>
    <row r="376">
      <c r="O376">
        <f>SUM(K376:M376)</f>
        <v/>
      </c>
      <c r="P376">
        <f>N376/100000</f>
        <v/>
      </c>
    </row>
    <row r="377">
      <c r="O377">
        <f>SUM(K377:M377)</f>
        <v/>
      </c>
      <c r="P377">
        <f>N377/100000</f>
        <v/>
      </c>
    </row>
    <row r="378">
      <c r="O378">
        <f>SUM(K378:M378)</f>
        <v/>
      </c>
      <c r="P378">
        <f>N378/100000</f>
        <v/>
      </c>
    </row>
    <row r="379">
      <c r="O379">
        <f>SUM(K379:M379)</f>
        <v/>
      </c>
      <c r="P379">
        <f>N379/100000</f>
        <v/>
      </c>
    </row>
    <row r="380">
      <c r="O380">
        <f>SUM(K380:M380)</f>
        <v/>
      </c>
      <c r="P380">
        <f>N380/100000</f>
        <v/>
      </c>
    </row>
    <row r="381">
      <c r="O381">
        <f>SUM(K381:M381)</f>
        <v/>
      </c>
      <c r="P381">
        <f>N381/100000</f>
        <v/>
      </c>
    </row>
    <row r="382">
      <c r="O382">
        <f>SUM(K382:M382)</f>
        <v/>
      </c>
      <c r="P382">
        <f>N382/100000</f>
        <v/>
      </c>
    </row>
    <row r="383">
      <c r="O383">
        <f>SUM(K383:M383)</f>
        <v/>
      </c>
      <c r="P383">
        <f>N383/100000</f>
        <v/>
      </c>
    </row>
    <row r="384">
      <c r="O384">
        <f>SUM(K384:M384)</f>
        <v/>
      </c>
      <c r="P384">
        <f>N384/100000</f>
        <v/>
      </c>
    </row>
    <row r="385">
      <c r="O385">
        <f>SUM(K385:M385)</f>
        <v/>
      </c>
      <c r="P385">
        <f>N385/100000</f>
        <v/>
      </c>
    </row>
    <row r="386">
      <c r="O386">
        <f>SUM(K386:M386)</f>
        <v/>
      </c>
      <c r="P386">
        <f>N386/100000</f>
        <v/>
      </c>
    </row>
    <row r="387">
      <c r="O387">
        <f>SUM(K387:M387)</f>
        <v/>
      </c>
      <c r="P387">
        <f>N387/100000</f>
        <v/>
      </c>
    </row>
    <row r="388">
      <c r="O388">
        <f>SUM(K388:M388)</f>
        <v/>
      </c>
      <c r="P388">
        <f>N388/100000</f>
        <v/>
      </c>
    </row>
    <row r="389">
      <c r="O389">
        <f>SUM(K389:M389)</f>
        <v/>
      </c>
      <c r="P389">
        <f>N389/100000</f>
        <v/>
      </c>
    </row>
    <row r="390">
      <c r="O390">
        <f>SUM(K390:M390)</f>
        <v/>
      </c>
      <c r="P390">
        <f>N390/100000</f>
        <v/>
      </c>
    </row>
    <row r="391">
      <c r="O391">
        <f>SUM(K391:M391)</f>
        <v/>
      </c>
      <c r="P391">
        <f>N391/100000</f>
        <v/>
      </c>
    </row>
    <row r="392">
      <c r="O392">
        <f>SUM(K392:M392)</f>
        <v/>
      </c>
      <c r="P392">
        <f>N392/100000</f>
        <v/>
      </c>
    </row>
    <row r="393">
      <c r="O393">
        <f>SUM(K393:M393)</f>
        <v/>
      </c>
      <c r="P393">
        <f>N393/100000</f>
        <v/>
      </c>
    </row>
    <row r="394">
      <c r="O394">
        <f>SUM(K394:M394)</f>
        <v/>
      </c>
      <c r="P394">
        <f>N394/100000</f>
        <v/>
      </c>
    </row>
    <row r="395">
      <c r="O395">
        <f>SUM(K395:M395)</f>
        <v/>
      </c>
      <c r="P395">
        <f>N395/100000</f>
        <v/>
      </c>
    </row>
    <row r="396">
      <c r="O396">
        <f>SUM(K396:M396)</f>
        <v/>
      </c>
      <c r="P396">
        <f>N396/100000</f>
        <v/>
      </c>
    </row>
    <row r="397">
      <c r="O397">
        <f>SUM(K397:M397)</f>
        <v/>
      </c>
      <c r="P397">
        <f>N397/100000</f>
        <v/>
      </c>
    </row>
    <row r="398">
      <c r="O398">
        <f>SUM(K398:M398)</f>
        <v/>
      </c>
      <c r="P398">
        <f>N398/100000</f>
        <v/>
      </c>
    </row>
    <row r="399">
      <c r="O399">
        <f>SUM(K399:M399)</f>
        <v/>
      </c>
      <c r="P399">
        <f>N399/100000</f>
        <v/>
      </c>
    </row>
    <row r="400">
      <c r="O400">
        <f>SUM(K400:M400)</f>
        <v/>
      </c>
      <c r="P400">
        <f>N400/100000</f>
        <v/>
      </c>
    </row>
    <row r="401">
      <c r="O401">
        <f>SUM(K401:M401)</f>
        <v/>
      </c>
      <c r="P401">
        <f>N401/100000</f>
        <v/>
      </c>
    </row>
    <row r="402">
      <c r="O402">
        <f>SUM(K402:M402)</f>
        <v/>
      </c>
      <c r="P402">
        <f>N402/100000</f>
        <v/>
      </c>
    </row>
    <row r="403">
      <c r="O403">
        <f>SUM(K403:M403)</f>
        <v/>
      </c>
      <c r="P403">
        <f>N403/100000</f>
        <v/>
      </c>
    </row>
    <row r="404">
      <c r="O404">
        <f>SUM(K404:M404)</f>
        <v/>
      </c>
      <c r="P404">
        <f>N404/100000</f>
        <v/>
      </c>
    </row>
    <row r="405">
      <c r="O405">
        <f>SUM(K405:M405)</f>
        <v/>
      </c>
      <c r="P405">
        <f>N405/100000</f>
        <v/>
      </c>
    </row>
    <row r="406">
      <c r="O406">
        <f>SUM(K406:M406)</f>
        <v/>
      </c>
      <c r="P406">
        <f>N406/100000</f>
        <v/>
      </c>
    </row>
    <row r="407">
      <c r="O407">
        <f>SUM(K407:M407)</f>
        <v/>
      </c>
      <c r="P407">
        <f>N407/100000</f>
        <v/>
      </c>
    </row>
    <row r="408">
      <c r="O408">
        <f>SUM(K408:M408)</f>
        <v/>
      </c>
      <c r="P408">
        <f>N408/100000</f>
        <v/>
      </c>
    </row>
    <row r="409">
      <c r="O409">
        <f>SUM(K409:M409)</f>
        <v/>
      </c>
      <c r="P409">
        <f>N409/100000</f>
        <v/>
      </c>
    </row>
    <row r="410">
      <c r="O410">
        <f>SUM(K410:M410)</f>
        <v/>
      </c>
      <c r="P410">
        <f>N410/100000</f>
        <v/>
      </c>
    </row>
    <row r="411">
      <c r="O411">
        <f>SUM(K411:M411)</f>
        <v/>
      </c>
      <c r="P411">
        <f>N411/100000</f>
        <v/>
      </c>
    </row>
    <row r="412">
      <c r="O412">
        <f>SUM(K412:M412)</f>
        <v/>
      </c>
      <c r="P412">
        <f>N412/100000</f>
        <v/>
      </c>
    </row>
    <row r="413">
      <c r="O413">
        <f>SUM(K413:M413)</f>
        <v/>
      </c>
      <c r="P413">
        <f>N413/100000</f>
        <v/>
      </c>
    </row>
    <row r="414">
      <c r="O414">
        <f>SUM(K414:M414)</f>
        <v/>
      </c>
      <c r="P414">
        <f>N414/100000</f>
        <v/>
      </c>
    </row>
    <row r="415">
      <c r="O415">
        <f>SUM(K415:M415)</f>
        <v/>
      </c>
      <c r="P415">
        <f>N415/100000</f>
        <v/>
      </c>
    </row>
    <row r="416">
      <c r="O416">
        <f>SUM(K416:M416)</f>
        <v/>
      </c>
      <c r="P416">
        <f>N416/100000</f>
        <v/>
      </c>
    </row>
    <row r="417">
      <c r="O417">
        <f>SUM(K417:M417)</f>
        <v/>
      </c>
      <c r="P417">
        <f>N417/100000</f>
        <v/>
      </c>
    </row>
    <row r="418">
      <c r="O418">
        <f>SUM(K418:M418)</f>
        <v/>
      </c>
      <c r="P418">
        <f>N418/100000</f>
        <v/>
      </c>
    </row>
    <row r="419">
      <c r="O419">
        <f>SUM(K419:M419)</f>
        <v/>
      </c>
      <c r="P419">
        <f>N419/100000</f>
        <v/>
      </c>
    </row>
    <row r="420">
      <c r="O420">
        <f>SUM(K420:M420)</f>
        <v/>
      </c>
      <c r="P420">
        <f>N420/100000</f>
        <v/>
      </c>
    </row>
    <row r="421">
      <c r="O421">
        <f>SUM(K421:M421)</f>
        <v/>
      </c>
      <c r="P421">
        <f>N421/100000</f>
        <v/>
      </c>
    </row>
    <row r="422">
      <c r="O422">
        <f>SUM(K422:M422)</f>
        <v/>
      </c>
      <c r="P422">
        <f>N422/100000</f>
        <v/>
      </c>
    </row>
    <row r="423">
      <c r="O423">
        <f>SUM(K423:M423)</f>
        <v/>
      </c>
      <c r="P423">
        <f>N423/100000</f>
        <v/>
      </c>
    </row>
    <row r="424">
      <c r="O424">
        <f>SUM(K424:M424)</f>
        <v/>
      </c>
      <c r="P424">
        <f>N424/100000</f>
        <v/>
      </c>
    </row>
    <row r="425">
      <c r="O425">
        <f>SUM(K425:M425)</f>
        <v/>
      </c>
      <c r="P425">
        <f>N425/100000</f>
        <v/>
      </c>
    </row>
    <row r="426">
      <c r="O426">
        <f>SUM(K426:M426)</f>
        <v/>
      </c>
      <c r="P426">
        <f>N426/100000</f>
        <v/>
      </c>
    </row>
    <row r="427">
      <c r="O427">
        <f>SUM(K427:M427)</f>
        <v/>
      </c>
      <c r="P427">
        <f>N427/100000</f>
        <v/>
      </c>
    </row>
    <row r="428">
      <c r="O428">
        <f>SUM(K428:M428)</f>
        <v/>
      </c>
      <c r="P428">
        <f>N428/100000</f>
        <v/>
      </c>
    </row>
    <row r="429">
      <c r="O429">
        <f>SUM(K429:M429)</f>
        <v/>
      </c>
      <c r="P429">
        <f>N429/100000</f>
        <v/>
      </c>
    </row>
    <row r="430">
      <c r="O430">
        <f>SUM(K430:M430)</f>
        <v/>
      </c>
      <c r="P430">
        <f>N430/100000</f>
        <v/>
      </c>
    </row>
    <row r="431">
      <c r="O431">
        <f>SUM(K431:M431)</f>
        <v/>
      </c>
      <c r="P431">
        <f>N431/100000</f>
        <v/>
      </c>
    </row>
    <row r="432">
      <c r="O432">
        <f>SUM(K432:M432)</f>
        <v/>
      </c>
      <c r="P432">
        <f>N432/100000</f>
        <v/>
      </c>
    </row>
    <row r="433">
      <c r="O433">
        <f>SUM(K433:M433)</f>
        <v/>
      </c>
      <c r="P433">
        <f>N433/100000</f>
        <v/>
      </c>
    </row>
    <row r="434">
      <c r="O434">
        <f>SUM(K434:M434)</f>
        <v/>
      </c>
      <c r="P434">
        <f>N434/100000</f>
        <v/>
      </c>
    </row>
    <row r="435">
      <c r="O435">
        <f>SUM(K435:M435)</f>
        <v/>
      </c>
      <c r="P435">
        <f>N435/100000</f>
        <v/>
      </c>
    </row>
    <row r="436">
      <c r="O436">
        <f>SUM(K436:M436)</f>
        <v/>
      </c>
      <c r="P436">
        <f>N436/100000</f>
        <v/>
      </c>
    </row>
    <row r="437">
      <c r="O437">
        <f>SUM(K437:M437)</f>
        <v/>
      </c>
      <c r="P437">
        <f>N437/100000</f>
        <v/>
      </c>
    </row>
    <row r="438">
      <c r="O438">
        <f>SUM(K438:M438)</f>
        <v/>
      </c>
      <c r="P438">
        <f>N438/100000</f>
        <v/>
      </c>
    </row>
    <row r="439">
      <c r="O439">
        <f>SUM(K439:M439)</f>
        <v/>
      </c>
      <c r="P439">
        <f>N439/100000</f>
        <v/>
      </c>
    </row>
    <row r="440">
      <c r="O440">
        <f>SUM(K440:M440)</f>
        <v/>
      </c>
      <c r="P440">
        <f>N440/100000</f>
        <v/>
      </c>
    </row>
    <row r="441">
      <c r="O441">
        <f>SUM(K441:M441)</f>
        <v/>
      </c>
      <c r="P441">
        <f>N441/100000</f>
        <v/>
      </c>
    </row>
    <row r="442">
      <c r="O442">
        <f>SUM(K442:M442)</f>
        <v/>
      </c>
      <c r="P442">
        <f>N442/100000</f>
        <v/>
      </c>
    </row>
    <row r="443">
      <c r="O443">
        <f>SUM(K443:M443)</f>
        <v/>
      </c>
      <c r="P443">
        <f>N443/100000</f>
        <v/>
      </c>
    </row>
    <row r="444">
      <c r="O444">
        <f>SUM(K444:M444)</f>
        <v/>
      </c>
      <c r="P444">
        <f>N444/100000</f>
        <v/>
      </c>
    </row>
    <row r="445">
      <c r="O445">
        <f>SUM(K445:M445)</f>
        <v/>
      </c>
      <c r="P445">
        <f>N445/100000</f>
        <v/>
      </c>
    </row>
    <row r="446">
      <c r="O446">
        <f>SUM(K446:M446)</f>
        <v/>
      </c>
      <c r="P446">
        <f>N446/100000</f>
        <v/>
      </c>
    </row>
    <row r="447">
      <c r="O447">
        <f>SUM(K447:M447)</f>
        <v/>
      </c>
      <c r="P447">
        <f>N447/100000</f>
        <v/>
      </c>
    </row>
    <row r="448">
      <c r="O448">
        <f>SUM(K448:M448)</f>
        <v/>
      </c>
      <c r="P448">
        <f>N448/100000</f>
        <v/>
      </c>
    </row>
    <row r="449">
      <c r="O449">
        <f>SUM(K449:M449)</f>
        <v/>
      </c>
      <c r="P449">
        <f>N449/100000</f>
        <v/>
      </c>
    </row>
    <row r="450">
      <c r="O450">
        <f>SUM(K450:M450)</f>
        <v/>
      </c>
      <c r="P450">
        <f>N450/100000</f>
        <v/>
      </c>
    </row>
    <row r="451">
      <c r="O451">
        <f>SUM(K451:M451)</f>
        <v/>
      </c>
      <c r="P451">
        <f>N451/100000</f>
        <v/>
      </c>
    </row>
    <row r="452">
      <c r="O452">
        <f>SUM(K452:M452)</f>
        <v/>
      </c>
      <c r="P452">
        <f>N452/100000</f>
        <v/>
      </c>
    </row>
    <row r="453">
      <c r="O453">
        <f>SUM(K453:M453)</f>
        <v/>
      </c>
      <c r="P453">
        <f>N453/100000</f>
        <v/>
      </c>
    </row>
    <row r="454">
      <c r="O454">
        <f>SUM(K454:M454)</f>
        <v/>
      </c>
      <c r="P454">
        <f>N454/100000</f>
        <v/>
      </c>
    </row>
    <row r="455">
      <c r="O455">
        <f>SUM(K455:M455)</f>
        <v/>
      </c>
      <c r="P455">
        <f>N455/100000</f>
        <v/>
      </c>
    </row>
    <row r="456">
      <c r="O456">
        <f>SUM(K456:M456)</f>
        <v/>
      </c>
      <c r="P456">
        <f>N456/100000</f>
        <v/>
      </c>
    </row>
    <row r="457">
      <c r="O457">
        <f>SUM(K457:M457)</f>
        <v/>
      </c>
      <c r="P457">
        <f>N457/100000</f>
        <v/>
      </c>
    </row>
    <row r="458">
      <c r="O458">
        <f>SUM(K458:M458)</f>
        <v/>
      </c>
      <c r="P458">
        <f>N458/100000</f>
        <v/>
      </c>
    </row>
    <row r="459">
      <c r="O459">
        <f>SUM(K459:M459)</f>
        <v/>
      </c>
      <c r="P459">
        <f>N459/100000</f>
        <v/>
      </c>
    </row>
    <row r="460">
      <c r="O460">
        <f>SUM(K460:M460)</f>
        <v/>
      </c>
      <c r="P460">
        <f>N460/100000</f>
        <v/>
      </c>
    </row>
    <row r="461">
      <c r="O461">
        <f>SUM(K461:M461)</f>
        <v/>
      </c>
      <c r="P461">
        <f>N461/100000</f>
        <v/>
      </c>
    </row>
    <row r="462">
      <c r="O462">
        <f>SUM(K462:M462)</f>
        <v/>
      </c>
      <c r="P462">
        <f>N462/100000</f>
        <v/>
      </c>
    </row>
    <row r="463">
      <c r="O463">
        <f>SUM(K463:M463)</f>
        <v/>
      </c>
      <c r="P463">
        <f>N463/100000</f>
        <v/>
      </c>
    </row>
    <row r="464">
      <c r="O464">
        <f>SUM(K464:M464)</f>
        <v/>
      </c>
      <c r="P464">
        <f>N464/100000</f>
        <v/>
      </c>
    </row>
    <row r="465">
      <c r="O465">
        <f>SUM(K465:M465)</f>
        <v/>
      </c>
      <c r="P465">
        <f>N465/100000</f>
        <v/>
      </c>
    </row>
    <row r="466">
      <c r="O466">
        <f>SUM(K466:M466)</f>
        <v/>
      </c>
      <c r="P466">
        <f>N466/100000</f>
        <v/>
      </c>
    </row>
    <row r="467">
      <c r="O467">
        <f>SUM(K467:M467)</f>
        <v/>
      </c>
      <c r="P467">
        <f>N467/100000</f>
        <v/>
      </c>
    </row>
    <row r="468">
      <c r="O468">
        <f>SUM(K468:M468)</f>
        <v/>
      </c>
      <c r="P468">
        <f>N468/100000</f>
        <v/>
      </c>
    </row>
    <row r="469">
      <c r="O469">
        <f>SUM(K469:M469)</f>
        <v/>
      </c>
      <c r="P469">
        <f>N469/100000</f>
        <v/>
      </c>
    </row>
    <row r="470">
      <c r="O470">
        <f>SUM(K470:M470)</f>
        <v/>
      </c>
      <c r="P470">
        <f>N470/100000</f>
        <v/>
      </c>
    </row>
    <row r="471">
      <c r="O471">
        <f>SUM(K471:M471)</f>
        <v/>
      </c>
      <c r="P471">
        <f>N471/100000</f>
        <v/>
      </c>
    </row>
    <row r="472">
      <c r="O472">
        <f>SUM(K472:M472)</f>
        <v/>
      </c>
      <c r="P472">
        <f>N472/100000</f>
        <v/>
      </c>
    </row>
    <row r="473">
      <c r="O473">
        <f>SUM(K473:M473)</f>
        <v/>
      </c>
      <c r="P473">
        <f>N473/100000</f>
        <v/>
      </c>
    </row>
    <row r="474">
      <c r="O474">
        <f>SUM(K474:M474)</f>
        <v/>
      </c>
      <c r="P474">
        <f>N474/100000</f>
        <v/>
      </c>
    </row>
    <row r="475">
      <c r="O475">
        <f>SUM(K475:M475)</f>
        <v/>
      </c>
      <c r="P475">
        <f>N475/100000</f>
        <v/>
      </c>
    </row>
    <row r="476">
      <c r="O476">
        <f>SUM(K476:M476)</f>
        <v/>
      </c>
      <c r="P476">
        <f>N476/100000</f>
        <v/>
      </c>
    </row>
    <row r="477">
      <c r="O477">
        <f>SUM(K477:M477)</f>
        <v/>
      </c>
      <c r="P477">
        <f>N477/100000</f>
        <v/>
      </c>
    </row>
    <row r="478">
      <c r="O478">
        <f>SUM(K478:M478)</f>
        <v/>
      </c>
      <c r="P478">
        <f>N478/100000</f>
        <v/>
      </c>
    </row>
    <row r="479">
      <c r="O479">
        <f>SUM(K479:M479)</f>
        <v/>
      </c>
      <c r="P479">
        <f>N479/100000</f>
        <v/>
      </c>
    </row>
    <row r="480">
      <c r="O480">
        <f>SUM(K480:M480)</f>
        <v/>
      </c>
      <c r="P480">
        <f>N480/100000</f>
        <v/>
      </c>
    </row>
    <row r="481">
      <c r="O481">
        <f>SUM(K481:M481)</f>
        <v/>
      </c>
      <c r="P481">
        <f>N481/100000</f>
        <v/>
      </c>
    </row>
    <row r="482">
      <c r="O482">
        <f>SUM(K482:M482)</f>
        <v/>
      </c>
      <c r="P482">
        <f>N482/100000</f>
        <v/>
      </c>
    </row>
    <row r="483">
      <c r="O483">
        <f>SUM(K483:M483)</f>
        <v/>
      </c>
      <c r="P483">
        <f>N483/100000</f>
        <v/>
      </c>
    </row>
    <row r="484">
      <c r="O484">
        <f>SUM(K484:M484)</f>
        <v/>
      </c>
      <c r="P484">
        <f>N484/100000</f>
        <v/>
      </c>
    </row>
    <row r="485">
      <c r="O485">
        <f>SUM(K485:M485)</f>
        <v/>
      </c>
      <c r="P485">
        <f>N485/100000</f>
        <v/>
      </c>
    </row>
    <row r="486">
      <c r="O486">
        <f>SUM(K486:M486)</f>
        <v/>
      </c>
      <c r="P486">
        <f>N486/100000</f>
        <v/>
      </c>
    </row>
    <row r="487">
      <c r="O487">
        <f>SUM(K487:M487)</f>
        <v/>
      </c>
      <c r="P487">
        <f>N487/100000</f>
        <v/>
      </c>
    </row>
    <row r="488">
      <c r="O488">
        <f>SUM(K488:M488)</f>
        <v/>
      </c>
      <c r="P488">
        <f>N488/100000</f>
        <v/>
      </c>
    </row>
    <row r="489">
      <c r="O489">
        <f>SUM(K489:M489)</f>
        <v/>
      </c>
      <c r="P489">
        <f>N489/100000</f>
        <v/>
      </c>
    </row>
    <row r="490">
      <c r="O490">
        <f>SUM(K490:M490)</f>
        <v/>
      </c>
      <c r="P490">
        <f>N490/100000</f>
        <v/>
      </c>
    </row>
    <row r="491">
      <c r="O491">
        <f>SUM(K491:M491)</f>
        <v/>
      </c>
      <c r="P491">
        <f>N491/100000</f>
        <v/>
      </c>
    </row>
    <row r="492">
      <c r="O492">
        <f>SUM(K492:M492)</f>
        <v/>
      </c>
      <c r="P492">
        <f>N492/100000</f>
        <v/>
      </c>
    </row>
    <row r="493">
      <c r="O493">
        <f>SUM(K493:M493)</f>
        <v/>
      </c>
      <c r="P493">
        <f>N493/100000</f>
        <v/>
      </c>
    </row>
    <row r="494">
      <c r="O494">
        <f>SUM(K494:M494)</f>
        <v/>
      </c>
      <c r="P494">
        <f>N494/100000</f>
        <v/>
      </c>
    </row>
    <row r="495">
      <c r="O495">
        <f>SUM(K495:M495)</f>
        <v/>
      </c>
      <c r="P495">
        <f>N495/100000</f>
        <v/>
      </c>
    </row>
    <row r="496">
      <c r="O496">
        <f>SUM(K496:M496)</f>
        <v/>
      </c>
      <c r="P496">
        <f>N496/100000</f>
        <v/>
      </c>
    </row>
    <row r="497">
      <c r="O497">
        <f>SUM(K497:M497)</f>
        <v/>
      </c>
      <c r="P497">
        <f>N497/100000</f>
        <v/>
      </c>
    </row>
    <row r="498">
      <c r="O498">
        <f>SUM(K498:M498)</f>
        <v/>
      </c>
      <c r="P498">
        <f>N498/100000</f>
        <v/>
      </c>
    </row>
    <row r="499">
      <c r="O499">
        <f>SUM(K499:M499)</f>
        <v/>
      </c>
      <c r="P499">
        <f>N499/100000</f>
        <v/>
      </c>
    </row>
    <row r="500">
      <c r="O500">
        <f>SUM(K500:M500)</f>
        <v/>
      </c>
      <c r="P500">
        <f>N500/100000</f>
        <v/>
      </c>
    </row>
  </sheetData>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showErrorMessage="1" showDropDown="1" showInputMessage="1" allowBlank="1" type="list">
      <formula1>"Industry,CSR,Govt.,PSU,NGO"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s>
  <sheetData>
    <row r="1">
      <c r="A1" s="2" t="inlineStr">
        <is>
          <t>PI Name</t>
        </is>
      </c>
      <c r="B1" s="2" t="inlineStr">
        <is>
          <t>CAYm1 Consultancy Revenue (₹)</t>
        </is>
      </c>
      <c r="C1" s="2" t="inlineStr">
        <is>
          <t>CAYm2 Consultancy Revenue (₹)</t>
        </is>
      </c>
      <c r="D1" s="2" t="inlineStr">
        <is>
          <t>CAYm3 Consultancy Revenue (₹)</t>
        </is>
      </c>
      <c r="E1" s="2" t="inlineStr">
        <is>
          <t>Total Consultancy Revenue (₹)</t>
        </is>
      </c>
      <c r="F1" s="2" t="inlineStr">
        <is>
          <t>Total Consultancy Revenue (₹ Lakhs)</t>
        </is>
      </c>
    </row>
    <row r="2">
      <c r="A2" t="inlineStr">
        <is>
          <t>Prof. A</t>
        </is>
      </c>
      <c r="B2" t="n">
        <v>0</v>
      </c>
      <c r="C2" t="n">
        <v>200000</v>
      </c>
      <c r="D2" t="n">
        <v>0</v>
      </c>
      <c r="E2" t="n">
        <v>200000</v>
      </c>
      <c r="F2" t="n">
        <v>2</v>
      </c>
    </row>
    <row r="3">
      <c r="A3" t="inlineStr">
        <is>
          <t>Dr. C</t>
        </is>
      </c>
      <c r="B3" t="n">
        <v>0</v>
      </c>
      <c r="C3" t="n">
        <v>250000</v>
      </c>
      <c r="D3" t="n">
        <v>100000</v>
      </c>
      <c r="E3" t="n">
        <v>350000</v>
      </c>
      <c r="F3" t="n">
        <v>3.5</v>
      </c>
    </row>
    <row r="4">
      <c r="A4" t="inlineStr">
        <is>
          <t>Prof. D</t>
        </is>
      </c>
      <c r="B4" t="n">
        <v>0</v>
      </c>
      <c r="C4" t="n">
        <v>400000</v>
      </c>
      <c r="D4" t="n">
        <v>200000</v>
      </c>
      <c r="E4" t="n">
        <v>600000</v>
      </c>
      <c r="F4" t="n">
        <v>6</v>
      </c>
    </row>
    <row r="5">
      <c r="A5" t="inlineStr">
        <is>
          <t>Total Consultancy Revenue (₹)</t>
        </is>
      </c>
      <c r="B5" t="n">
        <v>0</v>
      </c>
      <c r="C5" t="n">
        <v>0</v>
      </c>
      <c r="D5" t="n">
        <v>0</v>
      </c>
      <c r="E5" t="n">
        <v>0</v>
      </c>
      <c r="F5" t="n">
        <v>0</v>
      </c>
    </row>
    <row r="6">
      <c r="A6">
        <f>SUM(K2:K500)</f>
        <v/>
      </c>
      <c r="B6" t="n">
        <v>0</v>
      </c>
      <c r="C6" t="n">
        <v>0</v>
      </c>
      <c r="D6" t="n">
        <v>0</v>
      </c>
      <c r="E6" t="n">
        <v>0</v>
      </c>
      <c r="F6" t="n">
        <v>0</v>
      </c>
    </row>
    <row r="7">
      <c r="A7">
        <f>SUM(L2:L500)</f>
        <v/>
      </c>
      <c r="B7" t="n">
        <v>0</v>
      </c>
      <c r="C7" t="n">
        <v>0</v>
      </c>
      <c r="D7" t="n">
        <v>0</v>
      </c>
      <c r="E7" t="n">
        <v>0</v>
      </c>
      <c r="F7" t="n">
        <v>0</v>
      </c>
    </row>
    <row r="8">
      <c r="A8">
        <f>SUM(M2:M500)</f>
        <v/>
      </c>
      <c r="B8" t="n">
        <v>0</v>
      </c>
      <c r="C8" t="n">
        <v>0</v>
      </c>
      <c r="D8" t="n">
        <v>0</v>
      </c>
      <c r="E8" t="n">
        <v>0</v>
      </c>
      <c r="F8" t="n">
        <v>0</v>
      </c>
    </row>
    <row r="9">
      <c r="A9">
        <f>SUM(B7:B9)</f>
        <v/>
      </c>
      <c r="B9" t="n">
        <v>0</v>
      </c>
      <c r="C9" t="n">
        <v>0</v>
      </c>
      <c r="D9" t="n">
        <v>0</v>
      </c>
      <c r="E9" t="n">
        <v>0</v>
      </c>
      <c r="F9"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32" customWidth="1" min="1" max="1"/>
    <col width="32" customWidth="1" min="2" max="2"/>
    <col width="32" customWidth="1" min="3" max="3"/>
    <col width="32" customWidth="1" min="4" max="4"/>
    <col width="32" customWidth="1" min="5" max="5"/>
    <col width="32" customWidth="1" min="6" max="6"/>
    <col width="32" customWidth="1" min="7" max="7"/>
    <col width="32" customWidth="1" min="8" max="8"/>
  </cols>
  <sheetData>
    <row r="1">
      <c r="A1" s="2" t="inlineStr">
        <is>
          <t>S. No.</t>
        </is>
      </c>
      <c r="B1" s="2" t="inlineStr">
        <is>
          <t>Project Title</t>
        </is>
      </c>
      <c r="C1" s="2" t="inlineStr">
        <is>
          <t>Department</t>
        </is>
      </c>
      <c r="D1" s="2" t="inlineStr">
        <is>
          <t>PI Name</t>
        </is>
      </c>
      <c r="E1" s="2" t="inlineStr">
        <is>
          <t>Client/Funding Agency</t>
        </is>
      </c>
      <c r="F1" s="2" t="inlineStr">
        <is>
          <t>Sanctioned Year</t>
        </is>
      </c>
      <c r="G1" s="2" t="inlineStr">
        <is>
          <t>Tags / Keywords (Testing, Audit, Training, Prototype, Software, etc.)</t>
        </is>
      </c>
      <c r="H1" s="2" t="inlineStr">
        <is>
          <t>Remarks</t>
        </is>
      </c>
    </row>
    <row r="2">
      <c r="A2" t="n">
        <v>1</v>
      </c>
      <c r="B2" t="inlineStr">
        <is>
          <t>Structural Audit of XYZ Commercial Complex</t>
        </is>
      </c>
      <c r="C2" t="inlineStr">
        <is>
          <t>Civil Engg</t>
        </is>
      </c>
      <c r="D2" t="inlineStr">
        <is>
          <t>Prof. A</t>
        </is>
      </c>
      <c r="E2" t="inlineStr">
        <is>
          <t>XYZ Constructions Pvt. Ltd.</t>
        </is>
      </c>
      <c r="F2" t="n">
        <v>2023</v>
      </c>
      <c r="G2" t="inlineStr">
        <is>
          <t>Structural Audit, Safety, Civil</t>
        </is>
      </c>
      <c r="H2" t="inlineStr">
        <is>
          <t>Completed</t>
        </is>
      </c>
    </row>
    <row r="3">
      <c r="A3" t="n">
        <v>2</v>
      </c>
      <c r="B3" t="inlineStr">
        <is>
          <t>Material Testing and Failure Analysis for Automotive Components</t>
        </is>
      </c>
      <c r="C3" t="inlineStr">
        <is>
          <t>Mechanical Engg</t>
        </is>
      </c>
      <c r="D3" t="inlineStr">
        <is>
          <t>Dr. C</t>
        </is>
      </c>
      <c r="E3" t="inlineStr">
        <is>
          <t>ABC Industries</t>
        </is>
      </c>
      <c r="F3" t="n">
        <v>2022</v>
      </c>
      <c r="G3" t="inlineStr">
        <is>
          <t>Testing, Materials, Automotive</t>
        </is>
      </c>
      <c r="H3" t="inlineStr">
        <is>
          <t>Ongoing</t>
        </is>
      </c>
    </row>
    <row r="4">
      <c r="A4" t="n">
        <v>3</v>
      </c>
      <c r="B4" t="inlineStr">
        <is>
          <t>Cybersecurity Penetration Testing for PQR Ltd.</t>
        </is>
      </c>
      <c r="C4" t="inlineStr">
        <is>
          <t>CSE</t>
        </is>
      </c>
      <c r="D4" t="inlineStr">
        <is>
          <t>Prof. D</t>
        </is>
      </c>
      <c r="E4" t="inlineStr">
        <is>
          <t>PQR Ltd.</t>
        </is>
      </c>
      <c r="F4" t="n">
        <v>2021</v>
      </c>
      <c r="G4" t="inlineStr">
        <is>
          <t>Cybersecurity, Software Audit, IT</t>
        </is>
      </c>
      <c r="H4" t="inlineStr">
        <is>
          <t>Completed</t>
        </is>
      </c>
    </row>
    <row r="5">
      <c r="A5" t="n">
        <v>4</v>
      </c>
      <c r="B5" t="inlineStr">
        <is>
          <t>Energy Audit and Efficiency Recommendations for DEF Manufacturing Unit</t>
        </is>
      </c>
      <c r="C5" t="inlineStr">
        <is>
          <t>Mechanical Engg</t>
        </is>
      </c>
      <c r="D5" t="inlineStr">
        <is>
          <t>Dr. E</t>
        </is>
      </c>
      <c r="E5" t="inlineStr">
        <is>
          <t>DEF Manufacturing Ltd.</t>
        </is>
      </c>
      <c r="F5" t="n">
        <v>2023</v>
      </c>
      <c r="G5" t="inlineStr">
        <is>
          <t>Energy Audit, Efficiency, Mechanical</t>
        </is>
      </c>
      <c r="H5" t="inlineStr">
        <is>
          <t>Report Submitted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51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22" max="22"/>
  </cols>
  <sheetData>
    <row r="1">
      <c r="A1" s="2" t="inlineStr">
        <is>
          <t>S. No.</t>
        </is>
      </c>
      <c r="B1" s="2" t="inlineStr">
        <is>
          <t>Faculty Name (PI)</t>
        </is>
      </c>
      <c r="C1" s="2" t="inlineStr">
        <is>
          <t>Department</t>
        </is>
      </c>
      <c r="D1" s="2" t="inlineStr">
        <is>
          <t>Project Title</t>
        </is>
      </c>
      <c r="E1" s="2" t="inlineStr">
        <is>
          <t>Support for Activity</t>
        </is>
      </c>
      <c r="F1" s="2" t="inlineStr">
        <is>
          <t>Duration (Months)</t>
        </is>
      </c>
      <c r="G1" s="2" t="inlineStr">
        <is>
          <t>Sanctioned Amount (₹ Lakhs)</t>
        </is>
      </c>
      <c r="H1" s="2" t="inlineStr">
        <is>
          <t>Utilized Amount (₹ Lakhs)</t>
        </is>
      </c>
      <c r="I1" s="2" t="inlineStr">
        <is>
          <t>CAYm1 Amount Received (₹)</t>
        </is>
      </c>
      <c r="J1" s="2" t="inlineStr">
        <is>
          <t>CAYm2 Amount Received (₹)</t>
        </is>
      </c>
      <c r="K1" s="2" t="inlineStr">
        <is>
          <t>CAYm3 Amount Received (₹)</t>
        </is>
      </c>
      <c r="L1" s="2" t="inlineStr">
        <is>
          <t>Total Amount Received (₹)</t>
        </is>
      </c>
      <c r="M1" s="2" t="inlineStr">
        <is>
          <t>Total Amount Received (₹ Lakhs)</t>
        </is>
      </c>
      <c r="N1" s="2" t="inlineStr">
        <is>
          <t>Sanctioned Year</t>
        </is>
      </c>
      <c r="O1" s="2" t="inlineStr">
        <is>
          <t>CAY (CAYm1/CAYm2/CAYm3)</t>
        </is>
      </c>
      <c r="P1" s="2" t="inlineStr">
        <is>
          <t>Publications (Count)</t>
        </is>
      </c>
      <c r="Q1" s="2" t="inlineStr">
        <is>
          <t>Prototypes (Count)</t>
        </is>
      </c>
      <c r="R1" s="2" t="inlineStr">
        <is>
          <t>Ph.D. Graduated (Count)</t>
        </is>
      </c>
      <c r="S1" s="2" t="inlineStr">
        <is>
          <t>M.E./M.Tech. Graduated (Count)</t>
        </is>
      </c>
      <c r="T1" s="2" t="inlineStr">
        <is>
          <t>Revenue Generated Later (₹)</t>
        </is>
      </c>
      <c r="U1" s="2" t="inlineStr">
        <is>
          <t>Remarks</t>
        </is>
      </c>
      <c r="V1" s="2" t="inlineStr">
        <is>
          <t>Outcomes (Summary)</t>
        </is>
      </c>
    </row>
    <row r="2">
      <c r="A2" t="n">
        <v>1</v>
      </c>
      <c r="B2" t="inlineStr">
        <is>
          <t>Prof. Alpha</t>
        </is>
      </c>
      <c r="C2" t="inlineStr">
        <is>
          <t>CSE</t>
        </is>
      </c>
      <c r="D2" t="inlineStr">
        <is>
          <t>Seed: Lightweight CNN for Edge Devices</t>
        </is>
      </c>
      <c r="G2" t="n">
        <v>3</v>
      </c>
      <c r="H2" t="n">
        <v>2.8</v>
      </c>
      <c r="L2">
        <f>SUM(I2:K2)</f>
        <v/>
      </c>
      <c r="M2">
        <f>L2/100000</f>
        <v/>
      </c>
      <c r="N2" t="n">
        <v>2023</v>
      </c>
      <c r="O2" t="inlineStr">
        <is>
          <t>CAYm1</t>
        </is>
      </c>
      <c r="P2" t="n">
        <v>2</v>
      </c>
      <c r="Q2" t="n">
        <v>1</v>
      </c>
      <c r="R2" t="n">
        <v>0</v>
      </c>
      <c r="S2" t="n">
        <v>1</v>
      </c>
      <c r="T2" t="n">
        <v>50000</v>
      </c>
      <c r="U2" t="inlineStr">
        <is>
          <t>On time</t>
        </is>
      </c>
    </row>
    <row r="3">
      <c r="A3" t="n">
        <v>2</v>
      </c>
      <c r="B3" t="inlineStr">
        <is>
          <t>Dr. Beta</t>
        </is>
      </c>
      <c r="C3" t="inlineStr">
        <is>
          <t>ECE</t>
        </is>
      </c>
      <c r="D3" t="inlineStr">
        <is>
          <t>Seed: IoT Health Monitor Prototype</t>
        </is>
      </c>
      <c r="G3" t="n">
        <v>2.5</v>
      </c>
      <c r="H3" t="n">
        <v>2.5</v>
      </c>
      <c r="L3">
        <f>SUM(I3:K3)</f>
        <v/>
      </c>
      <c r="M3">
        <f>L3/100000</f>
        <v/>
      </c>
      <c r="N3" t="n">
        <v>2022</v>
      </c>
      <c r="O3" t="inlineStr">
        <is>
          <t>CAYm2</t>
        </is>
      </c>
      <c r="P3" t="n">
        <v>1</v>
      </c>
      <c r="Q3" t="n">
        <v>1</v>
      </c>
      <c r="R3" t="n">
        <v>0</v>
      </c>
      <c r="S3" t="n">
        <v>2</v>
      </c>
      <c r="U3" t="inlineStr">
        <is>
          <t>Completed</t>
        </is>
      </c>
    </row>
    <row r="4">
      <c r="A4" t="n">
        <v>3</v>
      </c>
      <c r="B4" t="inlineStr">
        <is>
          <t>Prof. Gamma</t>
        </is>
      </c>
      <c r="C4" t="inlineStr">
        <is>
          <t>ME</t>
        </is>
      </c>
      <c r="D4" t="inlineStr">
        <is>
          <t>Seed: Micro Wind Turbine Prototype</t>
        </is>
      </c>
      <c r="G4" t="n">
        <v>1.2</v>
      </c>
      <c r="H4" t="n">
        <v>1</v>
      </c>
      <c r="L4">
        <f>SUM(I4:K4)</f>
        <v/>
      </c>
      <c r="M4">
        <f>L4/100000</f>
        <v/>
      </c>
      <c r="N4" t="n">
        <v>2021</v>
      </c>
      <c r="O4" t="inlineStr">
        <is>
          <t>CAYm3</t>
        </is>
      </c>
      <c r="P4" t="n">
        <v>0</v>
      </c>
      <c r="Q4" t="n">
        <v>1</v>
      </c>
      <c r="R4" t="n">
        <v>0</v>
      </c>
      <c r="S4" t="n">
        <v>0</v>
      </c>
      <c r="U4" t="inlineStr">
        <is>
          <t>Ongoing paper under review</t>
        </is>
      </c>
    </row>
    <row r="5">
      <c r="L5">
        <f>SUM(I5:K5)</f>
        <v/>
      </c>
      <c r="M5">
        <f>L5/100000</f>
        <v/>
      </c>
    </row>
    <row r="6">
      <c r="L6">
        <f>SUM(I6:K6)</f>
        <v/>
      </c>
      <c r="M6">
        <f>L6/100000</f>
        <v/>
      </c>
    </row>
    <row r="7">
      <c r="L7">
        <f>SUM(I7:K7)</f>
        <v/>
      </c>
      <c r="M7">
        <f>L7/100000</f>
        <v/>
      </c>
    </row>
    <row r="8">
      <c r="L8">
        <f>SUM(I8:K8)</f>
        <v/>
      </c>
      <c r="M8">
        <f>L8/100000</f>
        <v/>
      </c>
    </row>
    <row r="9">
      <c r="L9">
        <f>SUM(I9:K9)</f>
        <v/>
      </c>
      <c r="M9">
        <f>L9/100000</f>
        <v/>
      </c>
    </row>
    <row r="10">
      <c r="L10">
        <f>SUM(I10:K10)</f>
        <v/>
      </c>
      <c r="M10">
        <f>L10/100000</f>
        <v/>
      </c>
    </row>
    <row r="11">
      <c r="L11">
        <f>SUM(I11:K11)</f>
        <v/>
      </c>
      <c r="M11">
        <f>L11/100000</f>
        <v/>
      </c>
    </row>
    <row r="12">
      <c r="L12">
        <f>SUM(I12:K12)</f>
        <v/>
      </c>
      <c r="M12">
        <f>L12/100000</f>
        <v/>
      </c>
    </row>
    <row r="13">
      <c r="L13">
        <f>SUM(I13:K13)</f>
        <v/>
      </c>
      <c r="M13">
        <f>L13/100000</f>
        <v/>
      </c>
    </row>
    <row r="14">
      <c r="L14">
        <f>SUM(I14:K14)</f>
        <v/>
      </c>
      <c r="M14">
        <f>L14/100000</f>
        <v/>
      </c>
    </row>
    <row r="15">
      <c r="L15">
        <f>SUM(I15:K15)</f>
        <v/>
      </c>
      <c r="M15">
        <f>L15/100000</f>
        <v/>
      </c>
    </row>
    <row r="16">
      <c r="L16">
        <f>SUM(I16:K16)</f>
        <v/>
      </c>
      <c r="M16">
        <f>L16/100000</f>
        <v/>
      </c>
    </row>
    <row r="17">
      <c r="L17">
        <f>SUM(I17:K17)</f>
        <v/>
      </c>
      <c r="M17">
        <f>L17/100000</f>
        <v/>
      </c>
    </row>
    <row r="18">
      <c r="L18">
        <f>SUM(I18:K18)</f>
        <v/>
      </c>
      <c r="M18">
        <f>L18/100000</f>
        <v/>
      </c>
    </row>
    <row r="19">
      <c r="L19">
        <f>SUM(I19:K19)</f>
        <v/>
      </c>
      <c r="M19">
        <f>L19/100000</f>
        <v/>
      </c>
    </row>
    <row r="20">
      <c r="L20">
        <f>SUM(I20:K20)</f>
        <v/>
      </c>
      <c r="M20">
        <f>L20/100000</f>
        <v/>
      </c>
    </row>
    <row r="21">
      <c r="L21">
        <f>SUM(I21:K21)</f>
        <v/>
      </c>
      <c r="M21">
        <f>L21/100000</f>
        <v/>
      </c>
    </row>
    <row r="22">
      <c r="L22">
        <f>SUM(I22:K22)</f>
        <v/>
      </c>
      <c r="M22">
        <f>L22/100000</f>
        <v/>
      </c>
    </row>
    <row r="23">
      <c r="L23">
        <f>SUM(I23:K23)</f>
        <v/>
      </c>
      <c r="M23">
        <f>L23/100000</f>
        <v/>
      </c>
    </row>
    <row r="24">
      <c r="L24">
        <f>SUM(I24:K24)</f>
        <v/>
      </c>
      <c r="M24">
        <f>L24/100000</f>
        <v/>
      </c>
    </row>
    <row r="25">
      <c r="L25">
        <f>SUM(I25:K25)</f>
        <v/>
      </c>
      <c r="M25">
        <f>L25/100000</f>
        <v/>
      </c>
    </row>
    <row r="26">
      <c r="L26">
        <f>SUM(I26:K26)</f>
        <v/>
      </c>
      <c r="M26">
        <f>L26/100000</f>
        <v/>
      </c>
    </row>
    <row r="27">
      <c r="L27">
        <f>SUM(I27:K27)</f>
        <v/>
      </c>
      <c r="M27">
        <f>L27/100000</f>
        <v/>
      </c>
    </row>
    <row r="28">
      <c r="L28">
        <f>SUM(I28:K28)</f>
        <v/>
      </c>
      <c r="M28">
        <f>L28/100000</f>
        <v/>
      </c>
    </row>
    <row r="29">
      <c r="L29">
        <f>SUM(I29:K29)</f>
        <v/>
      </c>
      <c r="M29">
        <f>L29/100000</f>
        <v/>
      </c>
    </row>
    <row r="30">
      <c r="L30">
        <f>SUM(I30:K30)</f>
        <v/>
      </c>
      <c r="M30">
        <f>L30/100000</f>
        <v/>
      </c>
    </row>
    <row r="31">
      <c r="L31">
        <f>SUM(I31:K31)</f>
        <v/>
      </c>
      <c r="M31">
        <f>L31/100000</f>
        <v/>
      </c>
    </row>
    <row r="32">
      <c r="L32">
        <f>SUM(I32:K32)</f>
        <v/>
      </c>
      <c r="M32">
        <f>L32/100000</f>
        <v/>
      </c>
    </row>
    <row r="33">
      <c r="L33">
        <f>SUM(I33:K33)</f>
        <v/>
      </c>
      <c r="M33">
        <f>L33/100000</f>
        <v/>
      </c>
    </row>
    <row r="34">
      <c r="L34">
        <f>SUM(I34:K34)</f>
        <v/>
      </c>
      <c r="M34">
        <f>L34/100000</f>
        <v/>
      </c>
    </row>
    <row r="35">
      <c r="L35">
        <f>SUM(I35:K35)</f>
        <v/>
      </c>
      <c r="M35">
        <f>L35/100000</f>
        <v/>
      </c>
    </row>
    <row r="36">
      <c r="L36">
        <f>SUM(I36:K36)</f>
        <v/>
      </c>
      <c r="M36">
        <f>L36/100000</f>
        <v/>
      </c>
    </row>
    <row r="37">
      <c r="L37">
        <f>SUM(I37:K37)</f>
        <v/>
      </c>
      <c r="M37">
        <f>L37/100000</f>
        <v/>
      </c>
    </row>
    <row r="38">
      <c r="L38">
        <f>SUM(I38:K38)</f>
        <v/>
      </c>
      <c r="M38">
        <f>L38/100000</f>
        <v/>
      </c>
    </row>
    <row r="39">
      <c r="L39">
        <f>SUM(I39:K39)</f>
        <v/>
      </c>
      <c r="M39">
        <f>L39/100000</f>
        <v/>
      </c>
    </row>
    <row r="40">
      <c r="L40">
        <f>SUM(I40:K40)</f>
        <v/>
      </c>
      <c r="M40">
        <f>L40/100000</f>
        <v/>
      </c>
    </row>
    <row r="41">
      <c r="L41">
        <f>SUM(I41:K41)</f>
        <v/>
      </c>
      <c r="M41">
        <f>L41/100000</f>
        <v/>
      </c>
    </row>
    <row r="42">
      <c r="L42">
        <f>SUM(I42:K42)</f>
        <v/>
      </c>
      <c r="M42">
        <f>L42/100000</f>
        <v/>
      </c>
    </row>
    <row r="43">
      <c r="L43">
        <f>SUM(I43:K43)</f>
        <v/>
      </c>
      <c r="M43">
        <f>L43/100000</f>
        <v/>
      </c>
    </row>
    <row r="44">
      <c r="L44">
        <f>SUM(I44:K44)</f>
        <v/>
      </c>
      <c r="M44">
        <f>L44/100000</f>
        <v/>
      </c>
    </row>
    <row r="45">
      <c r="L45">
        <f>SUM(I45:K45)</f>
        <v/>
      </c>
      <c r="M45">
        <f>L45/100000</f>
        <v/>
      </c>
    </row>
    <row r="46">
      <c r="L46">
        <f>SUM(I46:K46)</f>
        <v/>
      </c>
      <c r="M46">
        <f>L46/100000</f>
        <v/>
      </c>
    </row>
    <row r="47">
      <c r="L47">
        <f>SUM(I47:K47)</f>
        <v/>
      </c>
      <c r="M47">
        <f>L47/100000</f>
        <v/>
      </c>
    </row>
    <row r="48">
      <c r="L48">
        <f>SUM(I48:K48)</f>
        <v/>
      </c>
      <c r="M48">
        <f>L48/100000</f>
        <v/>
      </c>
    </row>
    <row r="49">
      <c r="L49">
        <f>SUM(I49:K49)</f>
        <v/>
      </c>
      <c r="M49">
        <f>L49/100000</f>
        <v/>
      </c>
    </row>
    <row r="50">
      <c r="L50">
        <f>SUM(I50:K50)</f>
        <v/>
      </c>
      <c r="M50">
        <f>L50/100000</f>
        <v/>
      </c>
    </row>
    <row r="51">
      <c r="L51">
        <f>SUM(I51:K51)</f>
        <v/>
      </c>
      <c r="M51">
        <f>L51/100000</f>
        <v/>
      </c>
    </row>
    <row r="52">
      <c r="L52">
        <f>SUM(I52:K52)</f>
        <v/>
      </c>
      <c r="M52">
        <f>L52/100000</f>
        <v/>
      </c>
    </row>
    <row r="53">
      <c r="L53">
        <f>SUM(I53:K53)</f>
        <v/>
      </c>
      <c r="M53">
        <f>L53/100000</f>
        <v/>
      </c>
    </row>
    <row r="54">
      <c r="L54">
        <f>SUM(I54:K54)</f>
        <v/>
      </c>
      <c r="M54">
        <f>L54/100000</f>
        <v/>
      </c>
    </row>
    <row r="55">
      <c r="L55">
        <f>SUM(I55:K55)</f>
        <v/>
      </c>
      <c r="M55">
        <f>L55/100000</f>
        <v/>
      </c>
    </row>
    <row r="56">
      <c r="L56">
        <f>SUM(I56:K56)</f>
        <v/>
      </c>
      <c r="M56">
        <f>L56/100000</f>
        <v/>
      </c>
    </row>
    <row r="57">
      <c r="L57">
        <f>SUM(I57:K57)</f>
        <v/>
      </c>
      <c r="M57">
        <f>L57/100000</f>
        <v/>
      </c>
    </row>
    <row r="58">
      <c r="L58">
        <f>SUM(I58:K58)</f>
        <v/>
      </c>
      <c r="M58">
        <f>L58/100000</f>
        <v/>
      </c>
    </row>
    <row r="59">
      <c r="L59">
        <f>SUM(I59:K59)</f>
        <v/>
      </c>
      <c r="M59">
        <f>L59/100000</f>
        <v/>
      </c>
    </row>
    <row r="60">
      <c r="L60">
        <f>SUM(I60:K60)</f>
        <v/>
      </c>
      <c r="M60">
        <f>L60/100000</f>
        <v/>
      </c>
    </row>
    <row r="61">
      <c r="L61">
        <f>SUM(I61:K61)</f>
        <v/>
      </c>
      <c r="M61">
        <f>L61/100000</f>
        <v/>
      </c>
    </row>
    <row r="62">
      <c r="L62">
        <f>SUM(I62:K62)</f>
        <v/>
      </c>
      <c r="M62">
        <f>L62/100000</f>
        <v/>
      </c>
    </row>
    <row r="63">
      <c r="L63">
        <f>SUM(I63:K63)</f>
        <v/>
      </c>
      <c r="M63">
        <f>L63/100000</f>
        <v/>
      </c>
    </row>
    <row r="64">
      <c r="L64">
        <f>SUM(I64:K64)</f>
        <v/>
      </c>
      <c r="M64">
        <f>L64/100000</f>
        <v/>
      </c>
    </row>
    <row r="65">
      <c r="L65">
        <f>SUM(I65:K65)</f>
        <v/>
      </c>
      <c r="M65">
        <f>L65/100000</f>
        <v/>
      </c>
    </row>
    <row r="66">
      <c r="L66">
        <f>SUM(I66:K66)</f>
        <v/>
      </c>
      <c r="M66">
        <f>L66/100000</f>
        <v/>
      </c>
    </row>
    <row r="67">
      <c r="L67">
        <f>SUM(I67:K67)</f>
        <v/>
      </c>
      <c r="M67">
        <f>L67/100000</f>
        <v/>
      </c>
    </row>
    <row r="68">
      <c r="L68">
        <f>SUM(I68:K68)</f>
        <v/>
      </c>
      <c r="M68">
        <f>L68/100000</f>
        <v/>
      </c>
    </row>
    <row r="69">
      <c r="L69">
        <f>SUM(I69:K69)</f>
        <v/>
      </c>
      <c r="M69">
        <f>L69/100000</f>
        <v/>
      </c>
    </row>
    <row r="70">
      <c r="L70">
        <f>SUM(I70:K70)</f>
        <v/>
      </c>
      <c r="M70">
        <f>L70/100000</f>
        <v/>
      </c>
    </row>
    <row r="71">
      <c r="L71">
        <f>SUM(I71:K71)</f>
        <v/>
      </c>
      <c r="M71">
        <f>L71/100000</f>
        <v/>
      </c>
    </row>
    <row r="72">
      <c r="L72">
        <f>SUM(I72:K72)</f>
        <v/>
      </c>
      <c r="M72">
        <f>L72/100000</f>
        <v/>
      </c>
    </row>
    <row r="73">
      <c r="L73">
        <f>SUM(I73:K73)</f>
        <v/>
      </c>
      <c r="M73">
        <f>L73/100000</f>
        <v/>
      </c>
    </row>
    <row r="74">
      <c r="L74">
        <f>SUM(I74:K74)</f>
        <v/>
      </c>
      <c r="M74">
        <f>L74/100000</f>
        <v/>
      </c>
    </row>
    <row r="75">
      <c r="L75">
        <f>SUM(I75:K75)</f>
        <v/>
      </c>
      <c r="M75">
        <f>L75/100000</f>
        <v/>
      </c>
    </row>
    <row r="76">
      <c r="L76">
        <f>SUM(I76:K76)</f>
        <v/>
      </c>
      <c r="M76">
        <f>L76/100000</f>
        <v/>
      </c>
    </row>
    <row r="77">
      <c r="L77">
        <f>SUM(I77:K77)</f>
        <v/>
      </c>
      <c r="M77">
        <f>L77/100000</f>
        <v/>
      </c>
    </row>
    <row r="78">
      <c r="L78">
        <f>SUM(I78:K78)</f>
        <v/>
      </c>
      <c r="M78">
        <f>L78/100000</f>
        <v/>
      </c>
    </row>
    <row r="79">
      <c r="L79">
        <f>SUM(I79:K79)</f>
        <v/>
      </c>
      <c r="M79">
        <f>L79/100000</f>
        <v/>
      </c>
    </row>
    <row r="80">
      <c r="L80">
        <f>SUM(I80:K80)</f>
        <v/>
      </c>
      <c r="M80">
        <f>L80/100000</f>
        <v/>
      </c>
    </row>
    <row r="81">
      <c r="L81">
        <f>SUM(I81:K81)</f>
        <v/>
      </c>
      <c r="M81">
        <f>L81/100000</f>
        <v/>
      </c>
    </row>
    <row r="82">
      <c r="L82">
        <f>SUM(I82:K82)</f>
        <v/>
      </c>
      <c r="M82">
        <f>L82/100000</f>
        <v/>
      </c>
    </row>
    <row r="83">
      <c r="L83">
        <f>SUM(I83:K83)</f>
        <v/>
      </c>
      <c r="M83">
        <f>L83/100000</f>
        <v/>
      </c>
    </row>
    <row r="84">
      <c r="L84">
        <f>SUM(I84:K84)</f>
        <v/>
      </c>
      <c r="M84">
        <f>L84/100000</f>
        <v/>
      </c>
    </row>
    <row r="85">
      <c r="L85">
        <f>SUM(I85:K85)</f>
        <v/>
      </c>
      <c r="M85">
        <f>L85/100000</f>
        <v/>
      </c>
    </row>
    <row r="86">
      <c r="L86">
        <f>SUM(I86:K86)</f>
        <v/>
      </c>
      <c r="M86">
        <f>L86/100000</f>
        <v/>
      </c>
    </row>
    <row r="87">
      <c r="L87">
        <f>SUM(I87:K87)</f>
        <v/>
      </c>
      <c r="M87">
        <f>L87/100000</f>
        <v/>
      </c>
    </row>
    <row r="88">
      <c r="L88">
        <f>SUM(I88:K88)</f>
        <v/>
      </c>
      <c r="M88">
        <f>L88/100000</f>
        <v/>
      </c>
    </row>
    <row r="89">
      <c r="L89">
        <f>SUM(I89:K89)</f>
        <v/>
      </c>
      <c r="M89">
        <f>L89/100000</f>
        <v/>
      </c>
    </row>
    <row r="90">
      <c r="L90">
        <f>SUM(I90:K90)</f>
        <v/>
      </c>
      <c r="M90">
        <f>L90/100000</f>
        <v/>
      </c>
    </row>
    <row r="91">
      <c r="L91">
        <f>SUM(I91:K91)</f>
        <v/>
      </c>
      <c r="M91">
        <f>L91/100000</f>
        <v/>
      </c>
    </row>
    <row r="92">
      <c r="L92">
        <f>SUM(I92:K92)</f>
        <v/>
      </c>
      <c r="M92">
        <f>L92/100000</f>
        <v/>
      </c>
    </row>
    <row r="93">
      <c r="L93">
        <f>SUM(I93:K93)</f>
        <v/>
      </c>
      <c r="M93">
        <f>L93/100000</f>
        <v/>
      </c>
    </row>
    <row r="94">
      <c r="L94">
        <f>SUM(I94:K94)</f>
        <v/>
      </c>
      <c r="M94">
        <f>L94/100000</f>
        <v/>
      </c>
    </row>
    <row r="95">
      <c r="L95">
        <f>SUM(I95:K95)</f>
        <v/>
      </c>
      <c r="M95">
        <f>L95/100000</f>
        <v/>
      </c>
    </row>
    <row r="96">
      <c r="L96">
        <f>SUM(I96:K96)</f>
        <v/>
      </c>
      <c r="M96">
        <f>L96/100000</f>
        <v/>
      </c>
    </row>
    <row r="97">
      <c r="L97">
        <f>SUM(I97:K97)</f>
        <v/>
      </c>
      <c r="M97">
        <f>L97/100000</f>
        <v/>
      </c>
    </row>
    <row r="98">
      <c r="L98">
        <f>SUM(I98:K98)</f>
        <v/>
      </c>
      <c r="M98">
        <f>L98/100000</f>
        <v/>
      </c>
    </row>
    <row r="99">
      <c r="L99">
        <f>SUM(I99:K99)</f>
        <v/>
      </c>
      <c r="M99">
        <f>L99/100000</f>
        <v/>
      </c>
    </row>
    <row r="100">
      <c r="L100">
        <f>SUM(I100:K100)</f>
        <v/>
      </c>
      <c r="M100">
        <f>L100/100000</f>
        <v/>
      </c>
    </row>
    <row r="101">
      <c r="L101">
        <f>SUM(I101:K101)</f>
        <v/>
      </c>
      <c r="M101">
        <f>L101/100000</f>
        <v/>
      </c>
    </row>
    <row r="102">
      <c r="L102">
        <f>SUM(I102:K102)</f>
        <v/>
      </c>
      <c r="M102">
        <f>L102/100000</f>
        <v/>
      </c>
    </row>
    <row r="103">
      <c r="L103">
        <f>SUM(I103:K103)</f>
        <v/>
      </c>
      <c r="M103">
        <f>L103/100000</f>
        <v/>
      </c>
    </row>
    <row r="104">
      <c r="L104">
        <f>SUM(I104:K104)</f>
        <v/>
      </c>
      <c r="M104">
        <f>L104/100000</f>
        <v/>
      </c>
    </row>
    <row r="105">
      <c r="L105">
        <f>SUM(I105:K105)</f>
        <v/>
      </c>
      <c r="M105">
        <f>L105/100000</f>
        <v/>
      </c>
    </row>
    <row r="106">
      <c r="L106">
        <f>SUM(I106:K106)</f>
        <v/>
      </c>
      <c r="M106">
        <f>L106/100000</f>
        <v/>
      </c>
    </row>
    <row r="107">
      <c r="L107">
        <f>SUM(I107:K107)</f>
        <v/>
      </c>
      <c r="M107">
        <f>L107/100000</f>
        <v/>
      </c>
    </row>
    <row r="108">
      <c r="L108">
        <f>SUM(I108:K108)</f>
        <v/>
      </c>
      <c r="M108">
        <f>L108/100000</f>
        <v/>
      </c>
    </row>
    <row r="109">
      <c r="L109">
        <f>SUM(I109:K109)</f>
        <v/>
      </c>
      <c r="M109">
        <f>L109/100000</f>
        <v/>
      </c>
    </row>
    <row r="110">
      <c r="L110">
        <f>SUM(I110:K110)</f>
        <v/>
      </c>
      <c r="M110">
        <f>L110/100000</f>
        <v/>
      </c>
    </row>
    <row r="111">
      <c r="L111">
        <f>SUM(I111:K111)</f>
        <v/>
      </c>
      <c r="M111">
        <f>L111/100000</f>
        <v/>
      </c>
    </row>
    <row r="112">
      <c r="L112">
        <f>SUM(I112:K112)</f>
        <v/>
      </c>
      <c r="M112">
        <f>L112/100000</f>
        <v/>
      </c>
    </row>
    <row r="113">
      <c r="L113">
        <f>SUM(I113:K113)</f>
        <v/>
      </c>
      <c r="M113">
        <f>L113/100000</f>
        <v/>
      </c>
    </row>
    <row r="114">
      <c r="L114">
        <f>SUM(I114:K114)</f>
        <v/>
      </c>
      <c r="M114">
        <f>L114/100000</f>
        <v/>
      </c>
    </row>
    <row r="115">
      <c r="L115">
        <f>SUM(I115:K115)</f>
        <v/>
      </c>
      <c r="M115">
        <f>L115/100000</f>
        <v/>
      </c>
    </row>
    <row r="116">
      <c r="L116">
        <f>SUM(I116:K116)</f>
        <v/>
      </c>
      <c r="M116">
        <f>L116/100000</f>
        <v/>
      </c>
    </row>
    <row r="117">
      <c r="L117">
        <f>SUM(I117:K117)</f>
        <v/>
      </c>
      <c r="M117">
        <f>L117/100000</f>
        <v/>
      </c>
    </row>
    <row r="118">
      <c r="L118">
        <f>SUM(I118:K118)</f>
        <v/>
      </c>
      <c r="M118">
        <f>L118/100000</f>
        <v/>
      </c>
    </row>
    <row r="119">
      <c r="L119">
        <f>SUM(I119:K119)</f>
        <v/>
      </c>
      <c r="M119">
        <f>L119/100000</f>
        <v/>
      </c>
    </row>
    <row r="120">
      <c r="L120">
        <f>SUM(I120:K120)</f>
        <v/>
      </c>
      <c r="M120">
        <f>L120/100000</f>
        <v/>
      </c>
    </row>
    <row r="121">
      <c r="L121">
        <f>SUM(I121:K121)</f>
        <v/>
      </c>
      <c r="M121">
        <f>L121/100000</f>
        <v/>
      </c>
    </row>
    <row r="122">
      <c r="L122">
        <f>SUM(I122:K122)</f>
        <v/>
      </c>
      <c r="M122">
        <f>L122/100000</f>
        <v/>
      </c>
    </row>
    <row r="123">
      <c r="L123">
        <f>SUM(I123:K123)</f>
        <v/>
      </c>
      <c r="M123">
        <f>L123/100000</f>
        <v/>
      </c>
    </row>
    <row r="124">
      <c r="L124">
        <f>SUM(I124:K124)</f>
        <v/>
      </c>
      <c r="M124">
        <f>L124/100000</f>
        <v/>
      </c>
    </row>
    <row r="125">
      <c r="L125">
        <f>SUM(I125:K125)</f>
        <v/>
      </c>
      <c r="M125">
        <f>L125/100000</f>
        <v/>
      </c>
    </row>
    <row r="126">
      <c r="L126">
        <f>SUM(I126:K126)</f>
        <v/>
      </c>
      <c r="M126">
        <f>L126/100000</f>
        <v/>
      </c>
    </row>
    <row r="127">
      <c r="L127">
        <f>SUM(I127:K127)</f>
        <v/>
      </c>
      <c r="M127">
        <f>L127/100000</f>
        <v/>
      </c>
    </row>
    <row r="128">
      <c r="L128">
        <f>SUM(I128:K128)</f>
        <v/>
      </c>
      <c r="M128">
        <f>L128/100000</f>
        <v/>
      </c>
    </row>
    <row r="129">
      <c r="L129">
        <f>SUM(I129:K129)</f>
        <v/>
      </c>
      <c r="M129">
        <f>L129/100000</f>
        <v/>
      </c>
    </row>
    <row r="130">
      <c r="L130">
        <f>SUM(I130:K130)</f>
        <v/>
      </c>
      <c r="M130">
        <f>L130/100000</f>
        <v/>
      </c>
    </row>
    <row r="131">
      <c r="L131">
        <f>SUM(I131:K131)</f>
        <v/>
      </c>
      <c r="M131">
        <f>L131/100000</f>
        <v/>
      </c>
    </row>
    <row r="132">
      <c r="L132">
        <f>SUM(I132:K132)</f>
        <v/>
      </c>
      <c r="M132">
        <f>L132/100000</f>
        <v/>
      </c>
    </row>
    <row r="133">
      <c r="L133">
        <f>SUM(I133:K133)</f>
        <v/>
      </c>
      <c r="M133">
        <f>L133/100000</f>
        <v/>
      </c>
    </row>
    <row r="134">
      <c r="L134">
        <f>SUM(I134:K134)</f>
        <v/>
      </c>
      <c r="M134">
        <f>L134/100000</f>
        <v/>
      </c>
    </row>
    <row r="135">
      <c r="L135">
        <f>SUM(I135:K135)</f>
        <v/>
      </c>
      <c r="M135">
        <f>L135/100000</f>
        <v/>
      </c>
    </row>
    <row r="136">
      <c r="L136">
        <f>SUM(I136:K136)</f>
        <v/>
      </c>
      <c r="M136">
        <f>L136/100000</f>
        <v/>
      </c>
    </row>
    <row r="137">
      <c r="L137">
        <f>SUM(I137:K137)</f>
        <v/>
      </c>
      <c r="M137">
        <f>L137/100000</f>
        <v/>
      </c>
    </row>
    <row r="138">
      <c r="L138">
        <f>SUM(I138:K138)</f>
        <v/>
      </c>
      <c r="M138">
        <f>L138/100000</f>
        <v/>
      </c>
    </row>
    <row r="139">
      <c r="L139">
        <f>SUM(I139:K139)</f>
        <v/>
      </c>
      <c r="M139">
        <f>L139/100000</f>
        <v/>
      </c>
    </row>
    <row r="140">
      <c r="L140">
        <f>SUM(I140:K140)</f>
        <v/>
      </c>
      <c r="M140">
        <f>L140/100000</f>
        <v/>
      </c>
    </row>
    <row r="141">
      <c r="L141">
        <f>SUM(I141:K141)</f>
        <v/>
      </c>
      <c r="M141">
        <f>L141/100000</f>
        <v/>
      </c>
    </row>
    <row r="142">
      <c r="L142">
        <f>SUM(I142:K142)</f>
        <v/>
      </c>
      <c r="M142">
        <f>L142/100000</f>
        <v/>
      </c>
    </row>
    <row r="143">
      <c r="L143">
        <f>SUM(I143:K143)</f>
        <v/>
      </c>
      <c r="M143">
        <f>L143/100000</f>
        <v/>
      </c>
    </row>
    <row r="144">
      <c r="L144">
        <f>SUM(I144:K144)</f>
        <v/>
      </c>
      <c r="M144">
        <f>L144/100000</f>
        <v/>
      </c>
    </row>
    <row r="145">
      <c r="L145">
        <f>SUM(I145:K145)</f>
        <v/>
      </c>
      <c r="M145">
        <f>L145/100000</f>
        <v/>
      </c>
    </row>
    <row r="146">
      <c r="L146">
        <f>SUM(I146:K146)</f>
        <v/>
      </c>
      <c r="M146">
        <f>L146/100000</f>
        <v/>
      </c>
    </row>
    <row r="147">
      <c r="L147">
        <f>SUM(I147:K147)</f>
        <v/>
      </c>
      <c r="M147">
        <f>L147/100000</f>
        <v/>
      </c>
    </row>
    <row r="148">
      <c r="L148">
        <f>SUM(I148:K148)</f>
        <v/>
      </c>
      <c r="M148">
        <f>L148/100000</f>
        <v/>
      </c>
    </row>
    <row r="149">
      <c r="L149">
        <f>SUM(I149:K149)</f>
        <v/>
      </c>
      <c r="M149">
        <f>L149/100000</f>
        <v/>
      </c>
    </row>
    <row r="150">
      <c r="L150">
        <f>SUM(I150:K150)</f>
        <v/>
      </c>
      <c r="M150">
        <f>L150/100000</f>
        <v/>
      </c>
    </row>
    <row r="151">
      <c r="L151">
        <f>SUM(I151:K151)</f>
        <v/>
      </c>
      <c r="M151">
        <f>L151/100000</f>
        <v/>
      </c>
    </row>
    <row r="152">
      <c r="L152">
        <f>SUM(I152:K152)</f>
        <v/>
      </c>
      <c r="M152">
        <f>L152/100000</f>
        <v/>
      </c>
    </row>
    <row r="153">
      <c r="L153">
        <f>SUM(I153:K153)</f>
        <v/>
      </c>
      <c r="M153">
        <f>L153/100000</f>
        <v/>
      </c>
    </row>
    <row r="154">
      <c r="L154">
        <f>SUM(I154:K154)</f>
        <v/>
      </c>
      <c r="M154">
        <f>L154/100000</f>
        <v/>
      </c>
    </row>
    <row r="155">
      <c r="L155">
        <f>SUM(I155:K155)</f>
        <v/>
      </c>
      <c r="M155">
        <f>L155/100000</f>
        <v/>
      </c>
    </row>
    <row r="156">
      <c r="L156">
        <f>SUM(I156:K156)</f>
        <v/>
      </c>
      <c r="M156">
        <f>L156/100000</f>
        <v/>
      </c>
    </row>
    <row r="157">
      <c r="L157">
        <f>SUM(I157:K157)</f>
        <v/>
      </c>
      <c r="M157">
        <f>L157/100000</f>
        <v/>
      </c>
    </row>
    <row r="158">
      <c r="L158">
        <f>SUM(I158:K158)</f>
        <v/>
      </c>
      <c r="M158">
        <f>L158/100000</f>
        <v/>
      </c>
    </row>
    <row r="159">
      <c r="L159">
        <f>SUM(I159:K159)</f>
        <v/>
      </c>
      <c r="M159">
        <f>L159/100000</f>
        <v/>
      </c>
    </row>
    <row r="160">
      <c r="L160">
        <f>SUM(I160:K160)</f>
        <v/>
      </c>
      <c r="M160">
        <f>L160/100000</f>
        <v/>
      </c>
    </row>
    <row r="161">
      <c r="L161">
        <f>SUM(I161:K161)</f>
        <v/>
      </c>
      <c r="M161">
        <f>L161/100000</f>
        <v/>
      </c>
    </row>
    <row r="162">
      <c r="L162">
        <f>SUM(I162:K162)</f>
        <v/>
      </c>
      <c r="M162">
        <f>L162/100000</f>
        <v/>
      </c>
    </row>
    <row r="163">
      <c r="L163">
        <f>SUM(I163:K163)</f>
        <v/>
      </c>
      <c r="M163">
        <f>L163/100000</f>
        <v/>
      </c>
    </row>
    <row r="164">
      <c r="L164">
        <f>SUM(I164:K164)</f>
        <v/>
      </c>
      <c r="M164">
        <f>L164/100000</f>
        <v/>
      </c>
    </row>
    <row r="165">
      <c r="L165">
        <f>SUM(I165:K165)</f>
        <v/>
      </c>
      <c r="M165">
        <f>L165/100000</f>
        <v/>
      </c>
    </row>
    <row r="166">
      <c r="L166">
        <f>SUM(I166:K166)</f>
        <v/>
      </c>
      <c r="M166">
        <f>L166/100000</f>
        <v/>
      </c>
    </row>
    <row r="167">
      <c r="L167">
        <f>SUM(I167:K167)</f>
        <v/>
      </c>
      <c r="M167">
        <f>L167/100000</f>
        <v/>
      </c>
    </row>
    <row r="168">
      <c r="L168">
        <f>SUM(I168:K168)</f>
        <v/>
      </c>
      <c r="M168">
        <f>L168/100000</f>
        <v/>
      </c>
    </row>
    <row r="169">
      <c r="L169">
        <f>SUM(I169:K169)</f>
        <v/>
      </c>
      <c r="M169">
        <f>L169/100000</f>
        <v/>
      </c>
    </row>
    <row r="170">
      <c r="L170">
        <f>SUM(I170:K170)</f>
        <v/>
      </c>
      <c r="M170">
        <f>L170/100000</f>
        <v/>
      </c>
    </row>
    <row r="171">
      <c r="L171">
        <f>SUM(I171:K171)</f>
        <v/>
      </c>
      <c r="M171">
        <f>L171/100000</f>
        <v/>
      </c>
    </row>
    <row r="172">
      <c r="L172">
        <f>SUM(I172:K172)</f>
        <v/>
      </c>
      <c r="M172">
        <f>L172/100000</f>
        <v/>
      </c>
    </row>
    <row r="173">
      <c r="L173">
        <f>SUM(I173:K173)</f>
        <v/>
      </c>
      <c r="M173">
        <f>L173/100000</f>
        <v/>
      </c>
    </row>
    <row r="174">
      <c r="L174">
        <f>SUM(I174:K174)</f>
        <v/>
      </c>
      <c r="M174">
        <f>L174/100000</f>
        <v/>
      </c>
    </row>
    <row r="175">
      <c r="L175">
        <f>SUM(I175:K175)</f>
        <v/>
      </c>
      <c r="M175">
        <f>L175/100000</f>
        <v/>
      </c>
    </row>
    <row r="176">
      <c r="L176">
        <f>SUM(I176:K176)</f>
        <v/>
      </c>
      <c r="M176">
        <f>L176/100000</f>
        <v/>
      </c>
    </row>
    <row r="177">
      <c r="L177">
        <f>SUM(I177:K177)</f>
        <v/>
      </c>
      <c r="M177">
        <f>L177/100000</f>
        <v/>
      </c>
    </row>
    <row r="178">
      <c r="L178">
        <f>SUM(I178:K178)</f>
        <v/>
      </c>
      <c r="M178">
        <f>L178/100000</f>
        <v/>
      </c>
    </row>
    <row r="179">
      <c r="L179">
        <f>SUM(I179:K179)</f>
        <v/>
      </c>
      <c r="M179">
        <f>L179/100000</f>
        <v/>
      </c>
    </row>
    <row r="180">
      <c r="L180">
        <f>SUM(I180:K180)</f>
        <v/>
      </c>
      <c r="M180">
        <f>L180/100000</f>
        <v/>
      </c>
    </row>
    <row r="181">
      <c r="L181">
        <f>SUM(I181:K181)</f>
        <v/>
      </c>
      <c r="M181">
        <f>L181/100000</f>
        <v/>
      </c>
    </row>
    <row r="182">
      <c r="L182">
        <f>SUM(I182:K182)</f>
        <v/>
      </c>
      <c r="M182">
        <f>L182/100000</f>
        <v/>
      </c>
    </row>
    <row r="183">
      <c r="L183">
        <f>SUM(I183:K183)</f>
        <v/>
      </c>
      <c r="M183">
        <f>L183/100000</f>
        <v/>
      </c>
    </row>
    <row r="184">
      <c r="L184">
        <f>SUM(I184:K184)</f>
        <v/>
      </c>
      <c r="M184">
        <f>L184/100000</f>
        <v/>
      </c>
    </row>
    <row r="185">
      <c r="L185">
        <f>SUM(I185:K185)</f>
        <v/>
      </c>
      <c r="M185">
        <f>L185/100000</f>
        <v/>
      </c>
    </row>
    <row r="186">
      <c r="L186">
        <f>SUM(I186:K186)</f>
        <v/>
      </c>
      <c r="M186">
        <f>L186/100000</f>
        <v/>
      </c>
    </row>
    <row r="187">
      <c r="L187">
        <f>SUM(I187:K187)</f>
        <v/>
      </c>
      <c r="M187">
        <f>L187/100000</f>
        <v/>
      </c>
    </row>
    <row r="188">
      <c r="L188">
        <f>SUM(I188:K188)</f>
        <v/>
      </c>
      <c r="M188">
        <f>L188/100000</f>
        <v/>
      </c>
    </row>
    <row r="189">
      <c r="L189">
        <f>SUM(I189:K189)</f>
        <v/>
      </c>
      <c r="M189">
        <f>L189/100000</f>
        <v/>
      </c>
    </row>
    <row r="190">
      <c r="L190">
        <f>SUM(I190:K190)</f>
        <v/>
      </c>
      <c r="M190">
        <f>L190/100000</f>
        <v/>
      </c>
    </row>
    <row r="191">
      <c r="L191">
        <f>SUM(I191:K191)</f>
        <v/>
      </c>
      <c r="M191">
        <f>L191/100000</f>
        <v/>
      </c>
    </row>
    <row r="192">
      <c r="L192">
        <f>SUM(I192:K192)</f>
        <v/>
      </c>
      <c r="M192">
        <f>L192/100000</f>
        <v/>
      </c>
    </row>
    <row r="193">
      <c r="L193">
        <f>SUM(I193:K193)</f>
        <v/>
      </c>
      <c r="M193">
        <f>L193/100000</f>
        <v/>
      </c>
    </row>
    <row r="194">
      <c r="L194">
        <f>SUM(I194:K194)</f>
        <v/>
      </c>
      <c r="M194">
        <f>L194/100000</f>
        <v/>
      </c>
    </row>
    <row r="195">
      <c r="L195">
        <f>SUM(I195:K195)</f>
        <v/>
      </c>
      <c r="M195">
        <f>L195/100000</f>
        <v/>
      </c>
    </row>
    <row r="196">
      <c r="L196">
        <f>SUM(I196:K196)</f>
        <v/>
      </c>
      <c r="M196">
        <f>L196/100000</f>
        <v/>
      </c>
    </row>
    <row r="197">
      <c r="L197">
        <f>SUM(I197:K197)</f>
        <v/>
      </c>
      <c r="M197">
        <f>L197/100000</f>
        <v/>
      </c>
    </row>
    <row r="198">
      <c r="L198">
        <f>SUM(I198:K198)</f>
        <v/>
      </c>
      <c r="M198">
        <f>L198/100000</f>
        <v/>
      </c>
    </row>
    <row r="199">
      <c r="L199">
        <f>SUM(I199:K199)</f>
        <v/>
      </c>
      <c r="M199">
        <f>L199/100000</f>
        <v/>
      </c>
    </row>
    <row r="200">
      <c r="L200">
        <f>SUM(I200:K200)</f>
        <v/>
      </c>
      <c r="M200">
        <f>L200/100000</f>
        <v/>
      </c>
    </row>
    <row r="201">
      <c r="L201">
        <f>SUM(I201:K201)</f>
        <v/>
      </c>
      <c r="M201">
        <f>L201/100000</f>
        <v/>
      </c>
    </row>
    <row r="202">
      <c r="L202">
        <f>SUM(I202:K202)</f>
        <v/>
      </c>
      <c r="M202">
        <f>L202/100000</f>
        <v/>
      </c>
    </row>
    <row r="203">
      <c r="L203">
        <f>SUM(I203:K203)</f>
        <v/>
      </c>
      <c r="M203">
        <f>L203/100000</f>
        <v/>
      </c>
    </row>
    <row r="204">
      <c r="L204">
        <f>SUM(I204:K204)</f>
        <v/>
      </c>
      <c r="M204">
        <f>L204/100000</f>
        <v/>
      </c>
    </row>
    <row r="205">
      <c r="L205">
        <f>SUM(I205:K205)</f>
        <v/>
      </c>
      <c r="M205">
        <f>L205/100000</f>
        <v/>
      </c>
    </row>
    <row r="206">
      <c r="L206">
        <f>SUM(I206:K206)</f>
        <v/>
      </c>
      <c r="M206">
        <f>L206/100000</f>
        <v/>
      </c>
    </row>
    <row r="207">
      <c r="L207">
        <f>SUM(I207:K207)</f>
        <v/>
      </c>
      <c r="M207">
        <f>L207/100000</f>
        <v/>
      </c>
    </row>
    <row r="208">
      <c r="L208">
        <f>SUM(I208:K208)</f>
        <v/>
      </c>
      <c r="M208">
        <f>L208/100000</f>
        <v/>
      </c>
    </row>
    <row r="209">
      <c r="L209">
        <f>SUM(I209:K209)</f>
        <v/>
      </c>
      <c r="M209">
        <f>L209/100000</f>
        <v/>
      </c>
    </row>
    <row r="210">
      <c r="L210">
        <f>SUM(I210:K210)</f>
        <v/>
      </c>
      <c r="M210">
        <f>L210/100000</f>
        <v/>
      </c>
    </row>
    <row r="211">
      <c r="L211">
        <f>SUM(I211:K211)</f>
        <v/>
      </c>
      <c r="M211">
        <f>L211/100000</f>
        <v/>
      </c>
    </row>
    <row r="212">
      <c r="L212">
        <f>SUM(I212:K212)</f>
        <v/>
      </c>
      <c r="M212">
        <f>L212/100000</f>
        <v/>
      </c>
    </row>
    <row r="213">
      <c r="L213">
        <f>SUM(I213:K213)</f>
        <v/>
      </c>
      <c r="M213">
        <f>L213/100000</f>
        <v/>
      </c>
    </row>
    <row r="214">
      <c r="L214">
        <f>SUM(I214:K214)</f>
        <v/>
      </c>
      <c r="M214">
        <f>L214/100000</f>
        <v/>
      </c>
    </row>
    <row r="215">
      <c r="L215">
        <f>SUM(I215:K215)</f>
        <v/>
      </c>
      <c r="M215">
        <f>L215/100000</f>
        <v/>
      </c>
    </row>
    <row r="216">
      <c r="L216">
        <f>SUM(I216:K216)</f>
        <v/>
      </c>
      <c r="M216">
        <f>L216/100000</f>
        <v/>
      </c>
    </row>
    <row r="217">
      <c r="L217">
        <f>SUM(I217:K217)</f>
        <v/>
      </c>
      <c r="M217">
        <f>L217/100000</f>
        <v/>
      </c>
    </row>
    <row r="218">
      <c r="L218">
        <f>SUM(I218:K218)</f>
        <v/>
      </c>
      <c r="M218">
        <f>L218/100000</f>
        <v/>
      </c>
    </row>
    <row r="219">
      <c r="L219">
        <f>SUM(I219:K219)</f>
        <v/>
      </c>
      <c r="M219">
        <f>L219/100000</f>
        <v/>
      </c>
    </row>
    <row r="220">
      <c r="L220">
        <f>SUM(I220:K220)</f>
        <v/>
      </c>
      <c r="M220">
        <f>L220/100000</f>
        <v/>
      </c>
    </row>
    <row r="221">
      <c r="L221">
        <f>SUM(I221:K221)</f>
        <v/>
      </c>
      <c r="M221">
        <f>L221/100000</f>
        <v/>
      </c>
    </row>
    <row r="222">
      <c r="L222">
        <f>SUM(I222:K222)</f>
        <v/>
      </c>
      <c r="M222">
        <f>L222/100000</f>
        <v/>
      </c>
    </row>
    <row r="223">
      <c r="L223">
        <f>SUM(I223:K223)</f>
        <v/>
      </c>
      <c r="M223">
        <f>L223/100000</f>
        <v/>
      </c>
    </row>
    <row r="224">
      <c r="L224">
        <f>SUM(I224:K224)</f>
        <v/>
      </c>
      <c r="M224">
        <f>L224/100000</f>
        <v/>
      </c>
    </row>
    <row r="225">
      <c r="L225">
        <f>SUM(I225:K225)</f>
        <v/>
      </c>
      <c r="M225">
        <f>L225/100000</f>
        <v/>
      </c>
    </row>
    <row r="226">
      <c r="L226">
        <f>SUM(I226:K226)</f>
        <v/>
      </c>
      <c r="M226">
        <f>L226/100000</f>
        <v/>
      </c>
    </row>
    <row r="227">
      <c r="L227">
        <f>SUM(I227:K227)</f>
        <v/>
      </c>
      <c r="M227">
        <f>L227/100000</f>
        <v/>
      </c>
    </row>
    <row r="228">
      <c r="L228">
        <f>SUM(I228:K228)</f>
        <v/>
      </c>
      <c r="M228">
        <f>L228/100000</f>
        <v/>
      </c>
    </row>
    <row r="229">
      <c r="L229">
        <f>SUM(I229:K229)</f>
        <v/>
      </c>
      <c r="M229">
        <f>L229/100000</f>
        <v/>
      </c>
    </row>
    <row r="230">
      <c r="L230">
        <f>SUM(I230:K230)</f>
        <v/>
      </c>
      <c r="M230">
        <f>L230/100000</f>
        <v/>
      </c>
    </row>
    <row r="231">
      <c r="L231">
        <f>SUM(I231:K231)</f>
        <v/>
      </c>
      <c r="M231">
        <f>L231/100000</f>
        <v/>
      </c>
    </row>
    <row r="232">
      <c r="L232">
        <f>SUM(I232:K232)</f>
        <v/>
      </c>
      <c r="M232">
        <f>L232/100000</f>
        <v/>
      </c>
    </row>
    <row r="233">
      <c r="L233">
        <f>SUM(I233:K233)</f>
        <v/>
      </c>
      <c r="M233">
        <f>L233/100000</f>
        <v/>
      </c>
    </row>
    <row r="234">
      <c r="L234">
        <f>SUM(I234:K234)</f>
        <v/>
      </c>
      <c r="M234">
        <f>L234/100000</f>
        <v/>
      </c>
    </row>
    <row r="235">
      <c r="L235">
        <f>SUM(I235:K235)</f>
        <v/>
      </c>
      <c r="M235">
        <f>L235/100000</f>
        <v/>
      </c>
    </row>
    <row r="236">
      <c r="L236">
        <f>SUM(I236:K236)</f>
        <v/>
      </c>
      <c r="M236">
        <f>L236/100000</f>
        <v/>
      </c>
    </row>
    <row r="237">
      <c r="L237">
        <f>SUM(I237:K237)</f>
        <v/>
      </c>
      <c r="M237">
        <f>L237/100000</f>
        <v/>
      </c>
    </row>
    <row r="238">
      <c r="L238">
        <f>SUM(I238:K238)</f>
        <v/>
      </c>
      <c r="M238">
        <f>L238/100000</f>
        <v/>
      </c>
    </row>
    <row r="239">
      <c r="L239">
        <f>SUM(I239:K239)</f>
        <v/>
      </c>
      <c r="M239">
        <f>L239/100000</f>
        <v/>
      </c>
    </row>
    <row r="240">
      <c r="L240">
        <f>SUM(I240:K240)</f>
        <v/>
      </c>
      <c r="M240">
        <f>L240/100000</f>
        <v/>
      </c>
    </row>
    <row r="241">
      <c r="L241">
        <f>SUM(I241:K241)</f>
        <v/>
      </c>
      <c r="M241">
        <f>L241/100000</f>
        <v/>
      </c>
    </row>
    <row r="242">
      <c r="L242">
        <f>SUM(I242:K242)</f>
        <v/>
      </c>
      <c r="M242">
        <f>L242/100000</f>
        <v/>
      </c>
    </row>
    <row r="243">
      <c r="L243">
        <f>SUM(I243:K243)</f>
        <v/>
      </c>
      <c r="M243">
        <f>L243/100000</f>
        <v/>
      </c>
    </row>
    <row r="244">
      <c r="L244">
        <f>SUM(I244:K244)</f>
        <v/>
      </c>
      <c r="M244">
        <f>L244/100000</f>
        <v/>
      </c>
    </row>
    <row r="245">
      <c r="L245">
        <f>SUM(I245:K245)</f>
        <v/>
      </c>
      <c r="M245">
        <f>L245/100000</f>
        <v/>
      </c>
    </row>
    <row r="246">
      <c r="L246">
        <f>SUM(I246:K246)</f>
        <v/>
      </c>
      <c r="M246">
        <f>L246/100000</f>
        <v/>
      </c>
    </row>
    <row r="247">
      <c r="L247">
        <f>SUM(I247:K247)</f>
        <v/>
      </c>
      <c r="M247">
        <f>L247/100000</f>
        <v/>
      </c>
    </row>
    <row r="248">
      <c r="L248">
        <f>SUM(I248:K248)</f>
        <v/>
      </c>
      <c r="M248">
        <f>L248/100000</f>
        <v/>
      </c>
    </row>
    <row r="249">
      <c r="L249">
        <f>SUM(I249:K249)</f>
        <v/>
      </c>
      <c r="M249">
        <f>L249/100000</f>
        <v/>
      </c>
    </row>
    <row r="250">
      <c r="L250">
        <f>SUM(I250:K250)</f>
        <v/>
      </c>
      <c r="M250">
        <f>L250/100000</f>
        <v/>
      </c>
    </row>
    <row r="251">
      <c r="L251">
        <f>SUM(I251:K251)</f>
        <v/>
      </c>
      <c r="M251">
        <f>L251/100000</f>
        <v/>
      </c>
    </row>
    <row r="252">
      <c r="L252">
        <f>SUM(I252:K252)</f>
        <v/>
      </c>
      <c r="M252">
        <f>L252/100000</f>
        <v/>
      </c>
    </row>
    <row r="253">
      <c r="L253">
        <f>SUM(I253:K253)</f>
        <v/>
      </c>
      <c r="M253">
        <f>L253/100000</f>
        <v/>
      </c>
    </row>
    <row r="254">
      <c r="L254">
        <f>SUM(I254:K254)</f>
        <v/>
      </c>
      <c r="M254">
        <f>L254/100000</f>
        <v/>
      </c>
    </row>
    <row r="255">
      <c r="L255">
        <f>SUM(I255:K255)</f>
        <v/>
      </c>
      <c r="M255">
        <f>L255/100000</f>
        <v/>
      </c>
    </row>
    <row r="256">
      <c r="L256">
        <f>SUM(I256:K256)</f>
        <v/>
      </c>
      <c r="M256">
        <f>L256/100000</f>
        <v/>
      </c>
    </row>
    <row r="257">
      <c r="L257">
        <f>SUM(I257:K257)</f>
        <v/>
      </c>
      <c r="M257">
        <f>L257/100000</f>
        <v/>
      </c>
    </row>
    <row r="258">
      <c r="L258">
        <f>SUM(I258:K258)</f>
        <v/>
      </c>
      <c r="M258">
        <f>L258/100000</f>
        <v/>
      </c>
    </row>
    <row r="259">
      <c r="L259">
        <f>SUM(I259:K259)</f>
        <v/>
      </c>
      <c r="M259">
        <f>L259/100000</f>
        <v/>
      </c>
    </row>
    <row r="260">
      <c r="L260">
        <f>SUM(I260:K260)</f>
        <v/>
      </c>
      <c r="M260">
        <f>L260/100000</f>
        <v/>
      </c>
    </row>
    <row r="261">
      <c r="L261">
        <f>SUM(I261:K261)</f>
        <v/>
      </c>
      <c r="M261">
        <f>L261/100000</f>
        <v/>
      </c>
    </row>
    <row r="262">
      <c r="L262">
        <f>SUM(I262:K262)</f>
        <v/>
      </c>
      <c r="M262">
        <f>L262/100000</f>
        <v/>
      </c>
    </row>
    <row r="263">
      <c r="L263">
        <f>SUM(I263:K263)</f>
        <v/>
      </c>
      <c r="M263">
        <f>L263/100000</f>
        <v/>
      </c>
    </row>
    <row r="264">
      <c r="L264">
        <f>SUM(I264:K264)</f>
        <v/>
      </c>
      <c r="M264">
        <f>L264/100000</f>
        <v/>
      </c>
    </row>
    <row r="265">
      <c r="L265">
        <f>SUM(I265:K265)</f>
        <v/>
      </c>
      <c r="M265">
        <f>L265/100000</f>
        <v/>
      </c>
    </row>
    <row r="266">
      <c r="L266">
        <f>SUM(I266:K266)</f>
        <v/>
      </c>
      <c r="M266">
        <f>L266/100000</f>
        <v/>
      </c>
    </row>
    <row r="267">
      <c r="L267">
        <f>SUM(I267:K267)</f>
        <v/>
      </c>
      <c r="M267">
        <f>L267/100000</f>
        <v/>
      </c>
    </row>
    <row r="268">
      <c r="L268">
        <f>SUM(I268:K268)</f>
        <v/>
      </c>
      <c r="M268">
        <f>L268/100000</f>
        <v/>
      </c>
    </row>
    <row r="269">
      <c r="L269">
        <f>SUM(I269:K269)</f>
        <v/>
      </c>
      <c r="M269">
        <f>L269/100000</f>
        <v/>
      </c>
    </row>
    <row r="270">
      <c r="L270">
        <f>SUM(I270:K270)</f>
        <v/>
      </c>
      <c r="M270">
        <f>L270/100000</f>
        <v/>
      </c>
    </row>
    <row r="271">
      <c r="L271">
        <f>SUM(I271:K271)</f>
        <v/>
      </c>
      <c r="M271">
        <f>L271/100000</f>
        <v/>
      </c>
    </row>
    <row r="272">
      <c r="L272">
        <f>SUM(I272:K272)</f>
        <v/>
      </c>
      <c r="M272">
        <f>L272/100000</f>
        <v/>
      </c>
    </row>
    <row r="273">
      <c r="L273">
        <f>SUM(I273:K273)</f>
        <v/>
      </c>
      <c r="M273">
        <f>L273/100000</f>
        <v/>
      </c>
    </row>
    <row r="274">
      <c r="L274">
        <f>SUM(I274:K274)</f>
        <v/>
      </c>
      <c r="M274">
        <f>L274/100000</f>
        <v/>
      </c>
    </row>
    <row r="275">
      <c r="L275">
        <f>SUM(I275:K275)</f>
        <v/>
      </c>
      <c r="M275">
        <f>L275/100000</f>
        <v/>
      </c>
    </row>
    <row r="276">
      <c r="L276">
        <f>SUM(I276:K276)</f>
        <v/>
      </c>
      <c r="M276">
        <f>L276/100000</f>
        <v/>
      </c>
    </row>
    <row r="277">
      <c r="L277">
        <f>SUM(I277:K277)</f>
        <v/>
      </c>
      <c r="M277">
        <f>L277/100000</f>
        <v/>
      </c>
    </row>
    <row r="278">
      <c r="L278">
        <f>SUM(I278:K278)</f>
        <v/>
      </c>
      <c r="M278">
        <f>L278/100000</f>
        <v/>
      </c>
    </row>
    <row r="279">
      <c r="L279">
        <f>SUM(I279:K279)</f>
        <v/>
      </c>
      <c r="M279">
        <f>L279/100000</f>
        <v/>
      </c>
    </row>
    <row r="280">
      <c r="L280">
        <f>SUM(I280:K280)</f>
        <v/>
      </c>
      <c r="M280">
        <f>L280/100000</f>
        <v/>
      </c>
    </row>
    <row r="281">
      <c r="L281">
        <f>SUM(I281:K281)</f>
        <v/>
      </c>
      <c r="M281">
        <f>L281/100000</f>
        <v/>
      </c>
    </row>
    <row r="282">
      <c r="L282">
        <f>SUM(I282:K282)</f>
        <v/>
      </c>
      <c r="M282">
        <f>L282/100000</f>
        <v/>
      </c>
    </row>
    <row r="283">
      <c r="L283">
        <f>SUM(I283:K283)</f>
        <v/>
      </c>
      <c r="M283">
        <f>L283/100000</f>
        <v/>
      </c>
    </row>
    <row r="284">
      <c r="L284">
        <f>SUM(I284:K284)</f>
        <v/>
      </c>
      <c r="M284">
        <f>L284/100000</f>
        <v/>
      </c>
    </row>
    <row r="285">
      <c r="L285">
        <f>SUM(I285:K285)</f>
        <v/>
      </c>
      <c r="M285">
        <f>L285/100000</f>
        <v/>
      </c>
    </row>
    <row r="286">
      <c r="L286">
        <f>SUM(I286:K286)</f>
        <v/>
      </c>
      <c r="M286">
        <f>L286/100000</f>
        <v/>
      </c>
    </row>
    <row r="287">
      <c r="L287">
        <f>SUM(I287:K287)</f>
        <v/>
      </c>
      <c r="M287">
        <f>L287/100000</f>
        <v/>
      </c>
    </row>
    <row r="288">
      <c r="L288">
        <f>SUM(I288:K288)</f>
        <v/>
      </c>
      <c r="M288">
        <f>L288/100000</f>
        <v/>
      </c>
    </row>
    <row r="289">
      <c r="L289">
        <f>SUM(I289:K289)</f>
        <v/>
      </c>
      <c r="M289">
        <f>L289/100000</f>
        <v/>
      </c>
    </row>
    <row r="290">
      <c r="L290">
        <f>SUM(I290:K290)</f>
        <v/>
      </c>
      <c r="M290">
        <f>L290/100000</f>
        <v/>
      </c>
    </row>
    <row r="291">
      <c r="L291">
        <f>SUM(I291:K291)</f>
        <v/>
      </c>
      <c r="M291">
        <f>L291/100000</f>
        <v/>
      </c>
    </row>
    <row r="292">
      <c r="L292">
        <f>SUM(I292:K292)</f>
        <v/>
      </c>
      <c r="M292">
        <f>L292/100000</f>
        <v/>
      </c>
    </row>
    <row r="293">
      <c r="L293">
        <f>SUM(I293:K293)</f>
        <v/>
      </c>
      <c r="M293">
        <f>L293/100000</f>
        <v/>
      </c>
    </row>
    <row r="294">
      <c r="L294">
        <f>SUM(I294:K294)</f>
        <v/>
      </c>
      <c r="M294">
        <f>L294/100000</f>
        <v/>
      </c>
    </row>
    <row r="295">
      <c r="L295">
        <f>SUM(I295:K295)</f>
        <v/>
      </c>
      <c r="M295">
        <f>L295/100000</f>
        <v/>
      </c>
    </row>
    <row r="296">
      <c r="L296">
        <f>SUM(I296:K296)</f>
        <v/>
      </c>
      <c r="M296">
        <f>L296/100000</f>
        <v/>
      </c>
    </row>
    <row r="297">
      <c r="L297">
        <f>SUM(I297:K297)</f>
        <v/>
      </c>
      <c r="M297">
        <f>L297/100000</f>
        <v/>
      </c>
    </row>
    <row r="298">
      <c r="L298">
        <f>SUM(I298:K298)</f>
        <v/>
      </c>
      <c r="M298">
        <f>L298/100000</f>
        <v/>
      </c>
    </row>
    <row r="299">
      <c r="L299">
        <f>SUM(I299:K299)</f>
        <v/>
      </c>
      <c r="M299">
        <f>L299/100000</f>
        <v/>
      </c>
    </row>
    <row r="300">
      <c r="L300">
        <f>SUM(I300:K300)</f>
        <v/>
      </c>
      <c r="M300">
        <f>L300/100000</f>
        <v/>
      </c>
    </row>
    <row r="301">
      <c r="L301">
        <f>SUM(I301:K301)</f>
        <v/>
      </c>
      <c r="M301">
        <f>L301/100000</f>
        <v/>
      </c>
    </row>
    <row r="302">
      <c r="L302">
        <f>SUM(I302:K302)</f>
        <v/>
      </c>
      <c r="M302">
        <f>L302/100000</f>
        <v/>
      </c>
    </row>
    <row r="303">
      <c r="L303">
        <f>SUM(I303:K303)</f>
        <v/>
      </c>
      <c r="M303">
        <f>L303/100000</f>
        <v/>
      </c>
    </row>
    <row r="304">
      <c r="L304">
        <f>SUM(I304:K304)</f>
        <v/>
      </c>
      <c r="M304">
        <f>L304/100000</f>
        <v/>
      </c>
    </row>
    <row r="305">
      <c r="L305">
        <f>SUM(I305:K305)</f>
        <v/>
      </c>
      <c r="M305">
        <f>L305/100000</f>
        <v/>
      </c>
    </row>
    <row r="306">
      <c r="L306">
        <f>SUM(I306:K306)</f>
        <v/>
      </c>
      <c r="M306">
        <f>L306/100000</f>
        <v/>
      </c>
    </row>
    <row r="307">
      <c r="L307">
        <f>SUM(I307:K307)</f>
        <v/>
      </c>
      <c r="M307">
        <f>L307/100000</f>
        <v/>
      </c>
    </row>
    <row r="308">
      <c r="L308">
        <f>SUM(I308:K308)</f>
        <v/>
      </c>
      <c r="M308">
        <f>L308/100000</f>
        <v/>
      </c>
    </row>
    <row r="309">
      <c r="L309">
        <f>SUM(I309:K309)</f>
        <v/>
      </c>
      <c r="M309">
        <f>L309/100000</f>
        <v/>
      </c>
    </row>
    <row r="310">
      <c r="L310">
        <f>SUM(I310:K310)</f>
        <v/>
      </c>
      <c r="M310">
        <f>L310/100000</f>
        <v/>
      </c>
    </row>
    <row r="311">
      <c r="L311">
        <f>SUM(I311:K311)</f>
        <v/>
      </c>
      <c r="M311">
        <f>L311/100000</f>
        <v/>
      </c>
    </row>
    <row r="312">
      <c r="L312">
        <f>SUM(I312:K312)</f>
        <v/>
      </c>
      <c r="M312">
        <f>L312/100000</f>
        <v/>
      </c>
    </row>
    <row r="313">
      <c r="L313">
        <f>SUM(I313:K313)</f>
        <v/>
      </c>
      <c r="M313">
        <f>L313/100000</f>
        <v/>
      </c>
    </row>
    <row r="314">
      <c r="L314">
        <f>SUM(I314:K314)</f>
        <v/>
      </c>
      <c r="M314">
        <f>L314/100000</f>
        <v/>
      </c>
    </row>
    <row r="315">
      <c r="L315">
        <f>SUM(I315:K315)</f>
        <v/>
      </c>
      <c r="M315">
        <f>L315/100000</f>
        <v/>
      </c>
    </row>
    <row r="316">
      <c r="L316">
        <f>SUM(I316:K316)</f>
        <v/>
      </c>
      <c r="M316">
        <f>L316/100000</f>
        <v/>
      </c>
    </row>
    <row r="317">
      <c r="L317">
        <f>SUM(I317:K317)</f>
        <v/>
      </c>
      <c r="M317">
        <f>L317/100000</f>
        <v/>
      </c>
    </row>
    <row r="318">
      <c r="L318">
        <f>SUM(I318:K318)</f>
        <v/>
      </c>
      <c r="M318">
        <f>L318/100000</f>
        <v/>
      </c>
    </row>
    <row r="319">
      <c r="L319">
        <f>SUM(I319:K319)</f>
        <v/>
      </c>
      <c r="M319">
        <f>L319/100000</f>
        <v/>
      </c>
    </row>
    <row r="320">
      <c r="L320">
        <f>SUM(I320:K320)</f>
        <v/>
      </c>
      <c r="M320">
        <f>L320/100000</f>
        <v/>
      </c>
    </row>
    <row r="321">
      <c r="L321">
        <f>SUM(I321:K321)</f>
        <v/>
      </c>
      <c r="M321">
        <f>L321/100000</f>
        <v/>
      </c>
    </row>
    <row r="322">
      <c r="L322">
        <f>SUM(I322:K322)</f>
        <v/>
      </c>
      <c r="M322">
        <f>L322/100000</f>
        <v/>
      </c>
    </row>
    <row r="323">
      <c r="L323">
        <f>SUM(I323:K323)</f>
        <v/>
      </c>
      <c r="M323">
        <f>L323/100000</f>
        <v/>
      </c>
    </row>
    <row r="324">
      <c r="L324">
        <f>SUM(I324:K324)</f>
        <v/>
      </c>
      <c r="M324">
        <f>L324/100000</f>
        <v/>
      </c>
    </row>
    <row r="325">
      <c r="L325">
        <f>SUM(I325:K325)</f>
        <v/>
      </c>
      <c r="M325">
        <f>L325/100000</f>
        <v/>
      </c>
    </row>
    <row r="326">
      <c r="L326">
        <f>SUM(I326:K326)</f>
        <v/>
      </c>
      <c r="M326">
        <f>L326/100000</f>
        <v/>
      </c>
    </row>
    <row r="327">
      <c r="L327">
        <f>SUM(I327:K327)</f>
        <v/>
      </c>
      <c r="M327">
        <f>L327/100000</f>
        <v/>
      </c>
    </row>
    <row r="328">
      <c r="L328">
        <f>SUM(I328:K328)</f>
        <v/>
      </c>
      <c r="M328">
        <f>L328/100000</f>
        <v/>
      </c>
    </row>
    <row r="329">
      <c r="L329">
        <f>SUM(I329:K329)</f>
        <v/>
      </c>
      <c r="M329">
        <f>L329/100000</f>
        <v/>
      </c>
    </row>
    <row r="330">
      <c r="L330">
        <f>SUM(I330:K330)</f>
        <v/>
      </c>
      <c r="M330">
        <f>L330/100000</f>
        <v/>
      </c>
    </row>
    <row r="331">
      <c r="L331">
        <f>SUM(I331:K331)</f>
        <v/>
      </c>
      <c r="M331">
        <f>L331/100000</f>
        <v/>
      </c>
    </row>
    <row r="332">
      <c r="L332">
        <f>SUM(I332:K332)</f>
        <v/>
      </c>
      <c r="M332">
        <f>L332/100000</f>
        <v/>
      </c>
    </row>
    <row r="333">
      <c r="L333">
        <f>SUM(I333:K333)</f>
        <v/>
      </c>
      <c r="M333">
        <f>L333/100000</f>
        <v/>
      </c>
    </row>
    <row r="334">
      <c r="L334">
        <f>SUM(I334:K334)</f>
        <v/>
      </c>
      <c r="M334">
        <f>L334/100000</f>
        <v/>
      </c>
    </row>
    <row r="335">
      <c r="L335">
        <f>SUM(I335:K335)</f>
        <v/>
      </c>
      <c r="M335">
        <f>L335/100000</f>
        <v/>
      </c>
    </row>
    <row r="336">
      <c r="L336">
        <f>SUM(I336:K336)</f>
        <v/>
      </c>
      <c r="M336">
        <f>L336/100000</f>
        <v/>
      </c>
    </row>
    <row r="337">
      <c r="L337">
        <f>SUM(I337:K337)</f>
        <v/>
      </c>
      <c r="M337">
        <f>L337/100000</f>
        <v/>
      </c>
    </row>
    <row r="338">
      <c r="L338">
        <f>SUM(I338:K338)</f>
        <v/>
      </c>
      <c r="M338">
        <f>L338/100000</f>
        <v/>
      </c>
    </row>
    <row r="339">
      <c r="L339">
        <f>SUM(I339:K339)</f>
        <v/>
      </c>
      <c r="M339">
        <f>L339/100000</f>
        <v/>
      </c>
    </row>
    <row r="340">
      <c r="L340">
        <f>SUM(I340:K340)</f>
        <v/>
      </c>
      <c r="M340">
        <f>L340/100000</f>
        <v/>
      </c>
    </row>
    <row r="341">
      <c r="L341">
        <f>SUM(I341:K341)</f>
        <v/>
      </c>
      <c r="M341">
        <f>L341/100000</f>
        <v/>
      </c>
    </row>
    <row r="342">
      <c r="L342">
        <f>SUM(I342:K342)</f>
        <v/>
      </c>
      <c r="M342">
        <f>L342/100000</f>
        <v/>
      </c>
    </row>
    <row r="343">
      <c r="L343">
        <f>SUM(I343:K343)</f>
        <v/>
      </c>
      <c r="M343">
        <f>L343/100000</f>
        <v/>
      </c>
    </row>
    <row r="344">
      <c r="L344">
        <f>SUM(I344:K344)</f>
        <v/>
      </c>
      <c r="M344">
        <f>L344/100000</f>
        <v/>
      </c>
    </row>
    <row r="345">
      <c r="L345">
        <f>SUM(I345:K345)</f>
        <v/>
      </c>
      <c r="M345">
        <f>L345/100000</f>
        <v/>
      </c>
    </row>
    <row r="346">
      <c r="L346">
        <f>SUM(I346:K346)</f>
        <v/>
      </c>
      <c r="M346">
        <f>L346/100000</f>
        <v/>
      </c>
    </row>
    <row r="347">
      <c r="L347">
        <f>SUM(I347:K347)</f>
        <v/>
      </c>
      <c r="M347">
        <f>L347/100000</f>
        <v/>
      </c>
    </row>
    <row r="348">
      <c r="L348">
        <f>SUM(I348:K348)</f>
        <v/>
      </c>
      <c r="M348">
        <f>L348/100000</f>
        <v/>
      </c>
    </row>
    <row r="349">
      <c r="L349">
        <f>SUM(I349:K349)</f>
        <v/>
      </c>
      <c r="M349">
        <f>L349/100000</f>
        <v/>
      </c>
    </row>
    <row r="350">
      <c r="L350">
        <f>SUM(I350:K350)</f>
        <v/>
      </c>
      <c r="M350">
        <f>L350/100000</f>
        <v/>
      </c>
    </row>
    <row r="351">
      <c r="L351">
        <f>SUM(I351:K351)</f>
        <v/>
      </c>
      <c r="M351">
        <f>L351/100000</f>
        <v/>
      </c>
    </row>
    <row r="352">
      <c r="L352">
        <f>SUM(I352:K352)</f>
        <v/>
      </c>
      <c r="M352">
        <f>L352/100000</f>
        <v/>
      </c>
    </row>
    <row r="353">
      <c r="L353">
        <f>SUM(I353:K353)</f>
        <v/>
      </c>
      <c r="M353">
        <f>L353/100000</f>
        <v/>
      </c>
    </row>
    <row r="354">
      <c r="L354">
        <f>SUM(I354:K354)</f>
        <v/>
      </c>
      <c r="M354">
        <f>L354/100000</f>
        <v/>
      </c>
    </row>
    <row r="355">
      <c r="L355">
        <f>SUM(I355:K355)</f>
        <v/>
      </c>
      <c r="M355">
        <f>L355/100000</f>
        <v/>
      </c>
    </row>
    <row r="356">
      <c r="L356">
        <f>SUM(I356:K356)</f>
        <v/>
      </c>
      <c r="M356">
        <f>L356/100000</f>
        <v/>
      </c>
    </row>
    <row r="357">
      <c r="L357">
        <f>SUM(I357:K357)</f>
        <v/>
      </c>
      <c r="M357">
        <f>L357/100000</f>
        <v/>
      </c>
    </row>
    <row r="358">
      <c r="L358">
        <f>SUM(I358:K358)</f>
        <v/>
      </c>
      <c r="M358">
        <f>L358/100000</f>
        <v/>
      </c>
    </row>
    <row r="359">
      <c r="L359">
        <f>SUM(I359:K359)</f>
        <v/>
      </c>
      <c r="M359">
        <f>L359/100000</f>
        <v/>
      </c>
    </row>
    <row r="360">
      <c r="L360">
        <f>SUM(I360:K360)</f>
        <v/>
      </c>
      <c r="M360">
        <f>L360/100000</f>
        <v/>
      </c>
    </row>
    <row r="361">
      <c r="L361">
        <f>SUM(I361:K361)</f>
        <v/>
      </c>
      <c r="M361">
        <f>L361/100000</f>
        <v/>
      </c>
    </row>
    <row r="362">
      <c r="L362">
        <f>SUM(I362:K362)</f>
        <v/>
      </c>
      <c r="M362">
        <f>L362/100000</f>
        <v/>
      </c>
    </row>
    <row r="363">
      <c r="L363">
        <f>SUM(I363:K363)</f>
        <v/>
      </c>
      <c r="M363">
        <f>L363/100000</f>
        <v/>
      </c>
    </row>
    <row r="364">
      <c r="L364">
        <f>SUM(I364:K364)</f>
        <v/>
      </c>
      <c r="M364">
        <f>L364/100000</f>
        <v/>
      </c>
    </row>
    <row r="365">
      <c r="L365">
        <f>SUM(I365:K365)</f>
        <v/>
      </c>
      <c r="M365">
        <f>L365/100000</f>
        <v/>
      </c>
    </row>
    <row r="366">
      <c r="L366">
        <f>SUM(I366:K366)</f>
        <v/>
      </c>
      <c r="M366">
        <f>L366/100000</f>
        <v/>
      </c>
    </row>
    <row r="367">
      <c r="L367">
        <f>SUM(I367:K367)</f>
        <v/>
      </c>
      <c r="M367">
        <f>L367/100000</f>
        <v/>
      </c>
    </row>
    <row r="368">
      <c r="L368">
        <f>SUM(I368:K368)</f>
        <v/>
      </c>
      <c r="M368">
        <f>L368/100000</f>
        <v/>
      </c>
    </row>
    <row r="369">
      <c r="L369">
        <f>SUM(I369:K369)</f>
        <v/>
      </c>
      <c r="M369">
        <f>L369/100000</f>
        <v/>
      </c>
    </row>
    <row r="370">
      <c r="L370">
        <f>SUM(I370:K370)</f>
        <v/>
      </c>
      <c r="M370">
        <f>L370/100000</f>
        <v/>
      </c>
    </row>
    <row r="371">
      <c r="L371">
        <f>SUM(I371:K371)</f>
        <v/>
      </c>
      <c r="M371">
        <f>L371/100000</f>
        <v/>
      </c>
    </row>
    <row r="372">
      <c r="L372">
        <f>SUM(I372:K372)</f>
        <v/>
      </c>
      <c r="M372">
        <f>L372/100000</f>
        <v/>
      </c>
    </row>
    <row r="373">
      <c r="L373">
        <f>SUM(I373:K373)</f>
        <v/>
      </c>
      <c r="M373">
        <f>L373/100000</f>
        <v/>
      </c>
    </row>
    <row r="374">
      <c r="L374">
        <f>SUM(I374:K374)</f>
        <v/>
      </c>
      <c r="M374">
        <f>L374/100000</f>
        <v/>
      </c>
    </row>
    <row r="375">
      <c r="L375">
        <f>SUM(I375:K375)</f>
        <v/>
      </c>
      <c r="M375">
        <f>L375/100000</f>
        <v/>
      </c>
    </row>
    <row r="376">
      <c r="L376">
        <f>SUM(I376:K376)</f>
        <v/>
      </c>
      <c r="M376">
        <f>L376/100000</f>
        <v/>
      </c>
    </row>
    <row r="377">
      <c r="L377">
        <f>SUM(I377:K377)</f>
        <v/>
      </c>
      <c r="M377">
        <f>L377/100000</f>
        <v/>
      </c>
    </row>
    <row r="378">
      <c r="L378">
        <f>SUM(I378:K378)</f>
        <v/>
      </c>
      <c r="M378">
        <f>L378/100000</f>
        <v/>
      </c>
    </row>
    <row r="379">
      <c r="L379">
        <f>SUM(I379:K379)</f>
        <v/>
      </c>
      <c r="M379">
        <f>L379/100000</f>
        <v/>
      </c>
    </row>
    <row r="380">
      <c r="L380">
        <f>SUM(I380:K380)</f>
        <v/>
      </c>
      <c r="M380">
        <f>L380/100000</f>
        <v/>
      </c>
    </row>
    <row r="381">
      <c r="L381">
        <f>SUM(I381:K381)</f>
        <v/>
      </c>
      <c r="M381">
        <f>L381/100000</f>
        <v/>
      </c>
    </row>
    <row r="382">
      <c r="L382">
        <f>SUM(I382:K382)</f>
        <v/>
      </c>
      <c r="M382">
        <f>L382/100000</f>
        <v/>
      </c>
    </row>
    <row r="383">
      <c r="L383">
        <f>SUM(I383:K383)</f>
        <v/>
      </c>
      <c r="M383">
        <f>L383/100000</f>
        <v/>
      </c>
    </row>
    <row r="384">
      <c r="L384">
        <f>SUM(I384:K384)</f>
        <v/>
      </c>
      <c r="M384">
        <f>L384/100000</f>
        <v/>
      </c>
    </row>
    <row r="385">
      <c r="L385">
        <f>SUM(I385:K385)</f>
        <v/>
      </c>
      <c r="M385">
        <f>L385/100000</f>
        <v/>
      </c>
    </row>
    <row r="386">
      <c r="L386">
        <f>SUM(I386:K386)</f>
        <v/>
      </c>
      <c r="M386">
        <f>L386/100000</f>
        <v/>
      </c>
    </row>
    <row r="387">
      <c r="L387">
        <f>SUM(I387:K387)</f>
        <v/>
      </c>
      <c r="M387">
        <f>L387/100000</f>
        <v/>
      </c>
    </row>
    <row r="388">
      <c r="L388">
        <f>SUM(I388:K388)</f>
        <v/>
      </c>
      <c r="M388">
        <f>L388/100000</f>
        <v/>
      </c>
    </row>
    <row r="389">
      <c r="L389">
        <f>SUM(I389:K389)</f>
        <v/>
      </c>
      <c r="M389">
        <f>L389/100000</f>
        <v/>
      </c>
    </row>
    <row r="390">
      <c r="L390">
        <f>SUM(I390:K390)</f>
        <v/>
      </c>
      <c r="M390">
        <f>L390/100000</f>
        <v/>
      </c>
    </row>
    <row r="391">
      <c r="L391">
        <f>SUM(I391:K391)</f>
        <v/>
      </c>
      <c r="M391">
        <f>L391/100000</f>
        <v/>
      </c>
    </row>
    <row r="392">
      <c r="L392">
        <f>SUM(I392:K392)</f>
        <v/>
      </c>
      <c r="M392">
        <f>L392/100000</f>
        <v/>
      </c>
    </row>
    <row r="393">
      <c r="L393">
        <f>SUM(I393:K393)</f>
        <v/>
      </c>
      <c r="M393">
        <f>L393/100000</f>
        <v/>
      </c>
    </row>
    <row r="394">
      <c r="L394">
        <f>SUM(I394:K394)</f>
        <v/>
      </c>
      <c r="M394">
        <f>L394/100000</f>
        <v/>
      </c>
    </row>
    <row r="395">
      <c r="L395">
        <f>SUM(I395:K395)</f>
        <v/>
      </c>
      <c r="M395">
        <f>L395/100000</f>
        <v/>
      </c>
    </row>
    <row r="396">
      <c r="L396">
        <f>SUM(I396:K396)</f>
        <v/>
      </c>
      <c r="M396">
        <f>L396/100000</f>
        <v/>
      </c>
    </row>
    <row r="397">
      <c r="L397">
        <f>SUM(I397:K397)</f>
        <v/>
      </c>
      <c r="M397">
        <f>L397/100000</f>
        <v/>
      </c>
    </row>
    <row r="398">
      <c r="L398">
        <f>SUM(I398:K398)</f>
        <v/>
      </c>
      <c r="M398">
        <f>L398/100000</f>
        <v/>
      </c>
    </row>
    <row r="399">
      <c r="L399">
        <f>SUM(I399:K399)</f>
        <v/>
      </c>
      <c r="M399">
        <f>L399/100000</f>
        <v/>
      </c>
    </row>
    <row r="400">
      <c r="L400">
        <f>SUM(I400:K400)</f>
        <v/>
      </c>
      <c r="M400">
        <f>L400/100000</f>
        <v/>
      </c>
    </row>
    <row r="401">
      <c r="L401">
        <f>SUM(I401:K401)</f>
        <v/>
      </c>
      <c r="M401">
        <f>L401/100000</f>
        <v/>
      </c>
    </row>
    <row r="402">
      <c r="L402">
        <f>SUM(I402:K402)</f>
        <v/>
      </c>
      <c r="M402">
        <f>L402/100000</f>
        <v/>
      </c>
    </row>
    <row r="403">
      <c r="L403">
        <f>SUM(I403:K403)</f>
        <v/>
      </c>
      <c r="M403">
        <f>L403/100000</f>
        <v/>
      </c>
    </row>
    <row r="404">
      <c r="L404">
        <f>SUM(I404:K404)</f>
        <v/>
      </c>
      <c r="M404">
        <f>L404/100000</f>
        <v/>
      </c>
    </row>
    <row r="405">
      <c r="L405">
        <f>SUM(I405:K405)</f>
        <v/>
      </c>
      <c r="M405">
        <f>L405/100000</f>
        <v/>
      </c>
    </row>
    <row r="406">
      <c r="L406">
        <f>SUM(I406:K406)</f>
        <v/>
      </c>
      <c r="M406">
        <f>L406/100000</f>
        <v/>
      </c>
    </row>
    <row r="407">
      <c r="L407">
        <f>SUM(I407:K407)</f>
        <v/>
      </c>
      <c r="M407">
        <f>L407/100000</f>
        <v/>
      </c>
    </row>
    <row r="408">
      <c r="L408">
        <f>SUM(I408:K408)</f>
        <v/>
      </c>
      <c r="M408">
        <f>L408/100000</f>
        <v/>
      </c>
    </row>
    <row r="409">
      <c r="L409">
        <f>SUM(I409:K409)</f>
        <v/>
      </c>
      <c r="M409">
        <f>L409/100000</f>
        <v/>
      </c>
    </row>
    <row r="410">
      <c r="L410">
        <f>SUM(I410:K410)</f>
        <v/>
      </c>
      <c r="M410">
        <f>L410/100000</f>
        <v/>
      </c>
    </row>
    <row r="411">
      <c r="L411">
        <f>SUM(I411:K411)</f>
        <v/>
      </c>
      <c r="M411">
        <f>L411/100000</f>
        <v/>
      </c>
    </row>
    <row r="412">
      <c r="L412">
        <f>SUM(I412:K412)</f>
        <v/>
      </c>
      <c r="M412">
        <f>L412/100000</f>
        <v/>
      </c>
    </row>
    <row r="413">
      <c r="L413">
        <f>SUM(I413:K413)</f>
        <v/>
      </c>
      <c r="M413">
        <f>L413/100000</f>
        <v/>
      </c>
    </row>
    <row r="414">
      <c r="L414">
        <f>SUM(I414:K414)</f>
        <v/>
      </c>
      <c r="M414">
        <f>L414/100000</f>
        <v/>
      </c>
    </row>
    <row r="415">
      <c r="L415">
        <f>SUM(I415:K415)</f>
        <v/>
      </c>
      <c r="M415">
        <f>L415/100000</f>
        <v/>
      </c>
    </row>
    <row r="416">
      <c r="L416">
        <f>SUM(I416:K416)</f>
        <v/>
      </c>
      <c r="M416">
        <f>L416/100000</f>
        <v/>
      </c>
    </row>
    <row r="417">
      <c r="L417">
        <f>SUM(I417:K417)</f>
        <v/>
      </c>
      <c r="M417">
        <f>L417/100000</f>
        <v/>
      </c>
    </row>
    <row r="418">
      <c r="L418">
        <f>SUM(I418:K418)</f>
        <v/>
      </c>
      <c r="M418">
        <f>L418/100000</f>
        <v/>
      </c>
    </row>
    <row r="419">
      <c r="L419">
        <f>SUM(I419:K419)</f>
        <v/>
      </c>
      <c r="M419">
        <f>L419/100000</f>
        <v/>
      </c>
    </row>
    <row r="420">
      <c r="L420">
        <f>SUM(I420:K420)</f>
        <v/>
      </c>
      <c r="M420">
        <f>L420/100000</f>
        <v/>
      </c>
    </row>
    <row r="421">
      <c r="L421">
        <f>SUM(I421:K421)</f>
        <v/>
      </c>
      <c r="M421">
        <f>L421/100000</f>
        <v/>
      </c>
    </row>
    <row r="422">
      <c r="L422">
        <f>SUM(I422:K422)</f>
        <v/>
      </c>
      <c r="M422">
        <f>L422/100000</f>
        <v/>
      </c>
    </row>
    <row r="423">
      <c r="L423">
        <f>SUM(I423:K423)</f>
        <v/>
      </c>
      <c r="M423">
        <f>L423/100000</f>
        <v/>
      </c>
    </row>
    <row r="424">
      <c r="L424">
        <f>SUM(I424:K424)</f>
        <v/>
      </c>
      <c r="M424">
        <f>L424/100000</f>
        <v/>
      </c>
    </row>
    <row r="425">
      <c r="L425">
        <f>SUM(I425:K425)</f>
        <v/>
      </c>
      <c r="M425">
        <f>L425/100000</f>
        <v/>
      </c>
    </row>
    <row r="426">
      <c r="L426">
        <f>SUM(I426:K426)</f>
        <v/>
      </c>
      <c r="M426">
        <f>L426/100000</f>
        <v/>
      </c>
    </row>
    <row r="427">
      <c r="L427">
        <f>SUM(I427:K427)</f>
        <v/>
      </c>
      <c r="M427">
        <f>L427/100000</f>
        <v/>
      </c>
    </row>
    <row r="428">
      <c r="L428">
        <f>SUM(I428:K428)</f>
        <v/>
      </c>
      <c r="M428">
        <f>L428/100000</f>
        <v/>
      </c>
    </row>
    <row r="429">
      <c r="L429">
        <f>SUM(I429:K429)</f>
        <v/>
      </c>
      <c r="M429">
        <f>L429/100000</f>
        <v/>
      </c>
    </row>
    <row r="430">
      <c r="L430">
        <f>SUM(I430:K430)</f>
        <v/>
      </c>
      <c r="M430">
        <f>L430/100000</f>
        <v/>
      </c>
    </row>
    <row r="431">
      <c r="L431">
        <f>SUM(I431:K431)</f>
        <v/>
      </c>
      <c r="M431">
        <f>L431/100000</f>
        <v/>
      </c>
    </row>
    <row r="432">
      <c r="L432">
        <f>SUM(I432:K432)</f>
        <v/>
      </c>
      <c r="M432">
        <f>L432/100000</f>
        <v/>
      </c>
    </row>
    <row r="433">
      <c r="L433">
        <f>SUM(I433:K433)</f>
        <v/>
      </c>
      <c r="M433">
        <f>L433/100000</f>
        <v/>
      </c>
    </row>
    <row r="434">
      <c r="L434">
        <f>SUM(I434:K434)</f>
        <v/>
      </c>
      <c r="M434">
        <f>L434/100000</f>
        <v/>
      </c>
    </row>
    <row r="435">
      <c r="L435">
        <f>SUM(I435:K435)</f>
        <v/>
      </c>
      <c r="M435">
        <f>L435/100000</f>
        <v/>
      </c>
    </row>
    <row r="436">
      <c r="L436">
        <f>SUM(I436:K436)</f>
        <v/>
      </c>
      <c r="M436">
        <f>L436/100000</f>
        <v/>
      </c>
    </row>
    <row r="437">
      <c r="L437">
        <f>SUM(I437:K437)</f>
        <v/>
      </c>
      <c r="M437">
        <f>L437/100000</f>
        <v/>
      </c>
    </row>
    <row r="438">
      <c r="L438">
        <f>SUM(I438:K438)</f>
        <v/>
      </c>
      <c r="M438">
        <f>L438/100000</f>
        <v/>
      </c>
    </row>
    <row r="439">
      <c r="L439">
        <f>SUM(I439:K439)</f>
        <v/>
      </c>
      <c r="M439">
        <f>L439/100000</f>
        <v/>
      </c>
    </row>
    <row r="440">
      <c r="L440">
        <f>SUM(I440:K440)</f>
        <v/>
      </c>
      <c r="M440">
        <f>L440/100000</f>
        <v/>
      </c>
    </row>
    <row r="441">
      <c r="L441">
        <f>SUM(I441:K441)</f>
        <v/>
      </c>
      <c r="M441">
        <f>L441/100000</f>
        <v/>
      </c>
    </row>
    <row r="442">
      <c r="L442">
        <f>SUM(I442:K442)</f>
        <v/>
      </c>
      <c r="M442">
        <f>L442/100000</f>
        <v/>
      </c>
    </row>
    <row r="443">
      <c r="L443">
        <f>SUM(I443:K443)</f>
        <v/>
      </c>
      <c r="M443">
        <f>L443/100000</f>
        <v/>
      </c>
    </row>
    <row r="444">
      <c r="L444">
        <f>SUM(I444:K444)</f>
        <v/>
      </c>
      <c r="M444">
        <f>L444/100000</f>
        <v/>
      </c>
    </row>
    <row r="445">
      <c r="L445">
        <f>SUM(I445:K445)</f>
        <v/>
      </c>
      <c r="M445">
        <f>L445/100000</f>
        <v/>
      </c>
    </row>
    <row r="446">
      <c r="L446">
        <f>SUM(I446:K446)</f>
        <v/>
      </c>
      <c r="M446">
        <f>L446/100000</f>
        <v/>
      </c>
    </row>
    <row r="447">
      <c r="L447">
        <f>SUM(I447:K447)</f>
        <v/>
      </c>
      <c r="M447">
        <f>L447/100000</f>
        <v/>
      </c>
    </row>
    <row r="448">
      <c r="L448">
        <f>SUM(I448:K448)</f>
        <v/>
      </c>
      <c r="M448">
        <f>L448/100000</f>
        <v/>
      </c>
    </row>
    <row r="449">
      <c r="L449">
        <f>SUM(I449:K449)</f>
        <v/>
      </c>
      <c r="M449">
        <f>L449/100000</f>
        <v/>
      </c>
    </row>
    <row r="450">
      <c r="L450">
        <f>SUM(I450:K450)</f>
        <v/>
      </c>
      <c r="M450">
        <f>L450/100000</f>
        <v/>
      </c>
    </row>
    <row r="451">
      <c r="L451">
        <f>SUM(I451:K451)</f>
        <v/>
      </c>
      <c r="M451">
        <f>L451/100000</f>
        <v/>
      </c>
    </row>
    <row r="452">
      <c r="L452">
        <f>SUM(I452:K452)</f>
        <v/>
      </c>
      <c r="M452">
        <f>L452/100000</f>
        <v/>
      </c>
    </row>
    <row r="453">
      <c r="L453">
        <f>SUM(I453:K453)</f>
        <v/>
      </c>
      <c r="M453">
        <f>L453/100000</f>
        <v/>
      </c>
    </row>
    <row r="454">
      <c r="L454">
        <f>SUM(I454:K454)</f>
        <v/>
      </c>
      <c r="M454">
        <f>L454/100000</f>
        <v/>
      </c>
    </row>
    <row r="455">
      <c r="L455">
        <f>SUM(I455:K455)</f>
        <v/>
      </c>
      <c r="M455">
        <f>L455/100000</f>
        <v/>
      </c>
    </row>
    <row r="456">
      <c r="L456">
        <f>SUM(I456:K456)</f>
        <v/>
      </c>
      <c r="M456">
        <f>L456/100000</f>
        <v/>
      </c>
    </row>
    <row r="457">
      <c r="L457">
        <f>SUM(I457:K457)</f>
        <v/>
      </c>
      <c r="M457">
        <f>L457/100000</f>
        <v/>
      </c>
    </row>
    <row r="458">
      <c r="L458">
        <f>SUM(I458:K458)</f>
        <v/>
      </c>
      <c r="M458">
        <f>L458/100000</f>
        <v/>
      </c>
    </row>
    <row r="459">
      <c r="L459">
        <f>SUM(I459:K459)</f>
        <v/>
      </c>
      <c r="M459">
        <f>L459/100000</f>
        <v/>
      </c>
    </row>
    <row r="460">
      <c r="L460">
        <f>SUM(I460:K460)</f>
        <v/>
      </c>
      <c r="M460">
        <f>L460/100000</f>
        <v/>
      </c>
    </row>
    <row r="461">
      <c r="L461">
        <f>SUM(I461:K461)</f>
        <v/>
      </c>
      <c r="M461">
        <f>L461/100000</f>
        <v/>
      </c>
    </row>
    <row r="462">
      <c r="L462">
        <f>SUM(I462:K462)</f>
        <v/>
      </c>
      <c r="M462">
        <f>L462/100000</f>
        <v/>
      </c>
    </row>
    <row r="463">
      <c r="L463">
        <f>SUM(I463:K463)</f>
        <v/>
      </c>
      <c r="M463">
        <f>L463/100000</f>
        <v/>
      </c>
    </row>
    <row r="464">
      <c r="L464">
        <f>SUM(I464:K464)</f>
        <v/>
      </c>
      <c r="M464">
        <f>L464/100000</f>
        <v/>
      </c>
    </row>
    <row r="465">
      <c r="L465">
        <f>SUM(I465:K465)</f>
        <v/>
      </c>
      <c r="M465">
        <f>L465/100000</f>
        <v/>
      </c>
    </row>
    <row r="466">
      <c r="L466">
        <f>SUM(I466:K466)</f>
        <v/>
      </c>
      <c r="M466">
        <f>L466/100000</f>
        <v/>
      </c>
    </row>
    <row r="467">
      <c r="L467">
        <f>SUM(I467:K467)</f>
        <v/>
      </c>
      <c r="M467">
        <f>L467/100000</f>
        <v/>
      </c>
    </row>
    <row r="468">
      <c r="L468">
        <f>SUM(I468:K468)</f>
        <v/>
      </c>
      <c r="M468">
        <f>L468/100000</f>
        <v/>
      </c>
    </row>
    <row r="469">
      <c r="L469">
        <f>SUM(I469:K469)</f>
        <v/>
      </c>
      <c r="M469">
        <f>L469/100000</f>
        <v/>
      </c>
    </row>
    <row r="470">
      <c r="L470">
        <f>SUM(I470:K470)</f>
        <v/>
      </c>
      <c r="M470">
        <f>L470/100000</f>
        <v/>
      </c>
    </row>
    <row r="471">
      <c r="L471">
        <f>SUM(I471:K471)</f>
        <v/>
      </c>
      <c r="M471">
        <f>L471/100000</f>
        <v/>
      </c>
    </row>
    <row r="472">
      <c r="L472">
        <f>SUM(I472:K472)</f>
        <v/>
      </c>
      <c r="M472">
        <f>L472/100000</f>
        <v/>
      </c>
    </row>
    <row r="473">
      <c r="L473">
        <f>SUM(I473:K473)</f>
        <v/>
      </c>
      <c r="M473">
        <f>L473/100000</f>
        <v/>
      </c>
    </row>
    <row r="474">
      <c r="L474">
        <f>SUM(I474:K474)</f>
        <v/>
      </c>
      <c r="M474">
        <f>L474/100000</f>
        <v/>
      </c>
    </row>
    <row r="475">
      <c r="L475">
        <f>SUM(I475:K475)</f>
        <v/>
      </c>
      <c r="M475">
        <f>L475/100000</f>
        <v/>
      </c>
    </row>
    <row r="476">
      <c r="L476">
        <f>SUM(I476:K476)</f>
        <v/>
      </c>
      <c r="M476">
        <f>L476/100000</f>
        <v/>
      </c>
    </row>
    <row r="477">
      <c r="L477">
        <f>SUM(I477:K477)</f>
        <v/>
      </c>
      <c r="M477">
        <f>L477/100000</f>
        <v/>
      </c>
    </row>
    <row r="478">
      <c r="L478">
        <f>SUM(I478:K478)</f>
        <v/>
      </c>
      <c r="M478">
        <f>L478/100000</f>
        <v/>
      </c>
    </row>
    <row r="479">
      <c r="L479">
        <f>SUM(I479:K479)</f>
        <v/>
      </c>
      <c r="M479">
        <f>L479/100000</f>
        <v/>
      </c>
    </row>
    <row r="480">
      <c r="L480">
        <f>SUM(I480:K480)</f>
        <v/>
      </c>
      <c r="M480">
        <f>L480/100000</f>
        <v/>
      </c>
    </row>
    <row r="481">
      <c r="L481">
        <f>SUM(I481:K481)</f>
        <v/>
      </c>
      <c r="M481">
        <f>L481/100000</f>
        <v/>
      </c>
    </row>
    <row r="482">
      <c r="L482">
        <f>SUM(I482:K482)</f>
        <v/>
      </c>
      <c r="M482">
        <f>L482/100000</f>
        <v/>
      </c>
    </row>
    <row r="483">
      <c r="L483">
        <f>SUM(I483:K483)</f>
        <v/>
      </c>
      <c r="M483">
        <f>L483/100000</f>
        <v/>
      </c>
    </row>
    <row r="484">
      <c r="L484">
        <f>SUM(I484:K484)</f>
        <v/>
      </c>
      <c r="M484">
        <f>L484/100000</f>
        <v/>
      </c>
    </row>
    <row r="485">
      <c r="L485">
        <f>SUM(I485:K485)</f>
        <v/>
      </c>
      <c r="M485">
        <f>L485/100000</f>
        <v/>
      </c>
    </row>
    <row r="486">
      <c r="L486">
        <f>SUM(I486:K486)</f>
        <v/>
      </c>
      <c r="M486">
        <f>L486/100000</f>
        <v/>
      </c>
    </row>
    <row r="487">
      <c r="L487">
        <f>SUM(I487:K487)</f>
        <v/>
      </c>
      <c r="M487">
        <f>L487/100000</f>
        <v/>
      </c>
    </row>
    <row r="488">
      <c r="L488">
        <f>SUM(I488:K488)</f>
        <v/>
      </c>
      <c r="M488">
        <f>L488/100000</f>
        <v/>
      </c>
    </row>
    <row r="489">
      <c r="L489">
        <f>SUM(I489:K489)</f>
        <v/>
      </c>
      <c r="M489">
        <f>L489/100000</f>
        <v/>
      </c>
    </row>
    <row r="490">
      <c r="L490">
        <f>SUM(I490:K490)</f>
        <v/>
      </c>
      <c r="M490">
        <f>L490/100000</f>
        <v/>
      </c>
    </row>
    <row r="491">
      <c r="L491">
        <f>SUM(I491:K491)</f>
        <v/>
      </c>
      <c r="M491">
        <f>L491/100000</f>
        <v/>
      </c>
    </row>
    <row r="492">
      <c r="L492">
        <f>SUM(I492:K492)</f>
        <v/>
      </c>
      <c r="M492">
        <f>L492/100000</f>
        <v/>
      </c>
    </row>
    <row r="493">
      <c r="L493">
        <f>SUM(I493:K493)</f>
        <v/>
      </c>
      <c r="M493">
        <f>L493/100000</f>
        <v/>
      </c>
    </row>
    <row r="494">
      <c r="L494">
        <f>SUM(I494:K494)</f>
        <v/>
      </c>
      <c r="M494">
        <f>L494/100000</f>
        <v/>
      </c>
    </row>
    <row r="495">
      <c r="L495">
        <f>SUM(I495:K495)</f>
        <v/>
      </c>
      <c r="M495">
        <f>L495/100000</f>
        <v/>
      </c>
    </row>
    <row r="496">
      <c r="L496">
        <f>SUM(I496:K496)</f>
        <v/>
      </c>
      <c r="M496">
        <f>L496/100000</f>
        <v/>
      </c>
    </row>
    <row r="497">
      <c r="L497">
        <f>SUM(I497:K497)</f>
        <v/>
      </c>
      <c r="M497">
        <f>L497/100000</f>
        <v/>
      </c>
    </row>
    <row r="498">
      <c r="L498">
        <f>SUM(I498:K498)</f>
        <v/>
      </c>
      <c r="M498">
        <f>L498/100000</f>
        <v/>
      </c>
    </row>
    <row r="499">
      <c r="L499">
        <f>SUM(I499:K499)</f>
        <v/>
      </c>
      <c r="M499">
        <f>L499/100000</f>
        <v/>
      </c>
    </row>
    <row r="500">
      <c r="L500">
        <f>SUM(I500:K500)</f>
        <v/>
      </c>
      <c r="M500">
        <f>L500/100000</f>
        <v/>
      </c>
    </row>
    <row r="505">
      <c r="A505" s="2" t="inlineStr">
        <is>
          <t>Summary – Institution Seed Money (Internal Research Grants)</t>
        </is>
      </c>
    </row>
    <row r="506">
      <c r="A506" s="2" t="inlineStr">
        <is>
          <t>Academic Year</t>
        </is>
      </c>
      <c r="B506" s="2" t="inlineStr">
        <is>
          <t>Sanctioned Total (₹ Lakhs)</t>
        </is>
      </c>
      <c r="C506" s="2" t="inlineStr">
        <is>
          <t>Utilized Total (₹ Lakhs)</t>
        </is>
      </c>
      <c r="D506" s="2" t="inlineStr">
        <is>
          <t>Received Total (₹ Lakhs)</t>
        </is>
      </c>
    </row>
    <row r="507">
      <c r="A507" t="inlineStr">
        <is>
          <t>CAYm1</t>
        </is>
      </c>
      <c r="B507">
        <f>SUMIF(H2:H500,"CAYm1",E2:E500)</f>
        <v/>
      </c>
      <c r="C507">
        <f>SUMIF(H2:H500,"CAYm1",F2:F500)</f>
        <v/>
      </c>
      <c r="D507">
        <f>SUM(I2:I500)/100000</f>
        <v/>
      </c>
    </row>
    <row r="508">
      <c r="A508" t="inlineStr">
        <is>
          <t>CAYm2</t>
        </is>
      </c>
      <c r="B508">
        <f>SUMIF(H2:H500,"CAYm2",E2:E500)</f>
        <v/>
      </c>
      <c r="C508">
        <f>SUMIF(H2:H500,"CAYm2",F2:F500)</f>
        <v/>
      </c>
      <c r="D508">
        <f>SUM(J2:J500)/100000</f>
        <v/>
      </c>
    </row>
    <row r="509">
      <c r="A509" t="inlineStr">
        <is>
          <t>CAYm3</t>
        </is>
      </c>
      <c r="B509">
        <f>SUMIF(H2:H500,"CAYm3",E2:E500)</f>
        <v/>
      </c>
      <c r="C509">
        <f>SUMIF(H2:H500,"CAYm3",F2:F500)</f>
        <v/>
      </c>
      <c r="D509">
        <f>SUM(K2:K500)/100000</f>
        <v/>
      </c>
    </row>
    <row r="510">
      <c r="A510" t="inlineStr">
        <is>
          <t>Total</t>
        </is>
      </c>
      <c r="B510">
        <f>SUM(B507:B509)</f>
        <v/>
      </c>
      <c r="C510">
        <f>SUM(C507:C509)</f>
        <v/>
      </c>
      <c r="D510">
        <f>SUM(D507:D509)</f>
        <v/>
      </c>
    </row>
    <row r="512">
      <c r="A512" s="2" t="inlineStr">
        <is>
          <t>Marks – Received (3) + Utilized (2)</t>
        </is>
      </c>
    </row>
    <row r="513">
      <c r="A513" t="inlineStr">
        <is>
          <t>Received Marks (3)</t>
        </is>
      </c>
      <c r="B513">
        <f>IF(D510&gt;6,3,IF(D510&gt;4,2,IF(D510&gt;2,1,0)))</f>
        <v/>
      </c>
    </row>
    <row r="514">
      <c r="A514" t="inlineStr">
        <is>
          <t>Utilized Marks (2)</t>
        </is>
      </c>
      <c r="B514">
        <f>IF(B510=0,0,MIN(2,2*(C510/B510)))</f>
        <v/>
      </c>
    </row>
    <row r="515">
      <c r="A515" t="inlineStr">
        <is>
          <t>Total Marks (out of 5)</t>
        </is>
      </c>
      <c r="B515">
        <f>B513+B514</f>
        <v/>
      </c>
    </row>
    <row r="517">
      <c r="A517" s="6" t="inlineStr">
        <is>
          <t>Notes: 1) Amounts are in ₹ Lakhs. 2) Received marks follow NBA thresholds; Utilized marks scale with utilization ratio (100% ⇒ 2). 3) Avoid duplication with 6.2.4/6.2.5.</t>
        </is>
      </c>
    </row>
  </sheetData>
  <mergeCells count="3">
    <mergeCell ref="A505:H505"/>
    <mergeCell ref="A512:H512"/>
    <mergeCell ref="A517:H517"/>
  </mergeCells>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showErrorMessage="1" showDropDown="1" showInputMessage="1" allowBlank="1" type="list">
      <formula1>"CAYm1,CAYm2,CAYm3"</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X1000"/>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s>
  <sheetData>
    <row r="1">
      <c r="A1" t="inlineStr">
        <is>
          <t>S. No.</t>
        </is>
      </c>
      <c r="B1" t="inlineStr">
        <is>
          <t>Faculty Name (PI)</t>
        </is>
      </c>
      <c r="C1" t="inlineStr">
        <is>
          <t>Department</t>
        </is>
      </c>
      <c r="D1" t="inlineStr">
        <is>
          <t>Project Title</t>
        </is>
      </c>
      <c r="E1" t="inlineStr">
        <is>
          <t>Support for Activity</t>
        </is>
      </c>
      <c r="F1" t="inlineStr">
        <is>
          <t>Duration (Months)</t>
        </is>
      </c>
      <c r="G1" t="inlineStr">
        <is>
          <t>Sanctioned Amount (₹ Lakhs)</t>
        </is>
      </c>
      <c r="H1" t="inlineStr">
        <is>
          <t>Utilized Amount (₹ Lakhs)</t>
        </is>
      </c>
      <c r="I1" t="inlineStr">
        <is>
          <t>Sanctioned Year</t>
        </is>
      </c>
      <c r="J1" t="inlineStr">
        <is>
          <t>CAY (CAYm1/CAYm2/CAYm3)</t>
        </is>
      </c>
      <c r="K1" t="inlineStr">
        <is>
          <t>Publications (No.)</t>
        </is>
      </c>
      <c r="L1" t="inlineStr">
        <is>
          <t>Prototypes (No.)</t>
        </is>
      </c>
      <c r="M1" t="inlineStr">
        <is>
          <t>Ph.D. Graduated (No.)</t>
        </is>
      </c>
      <c r="N1" t="inlineStr">
        <is>
          <t>M.E./M.Tech. Graduated (No.)</t>
        </is>
      </c>
      <c r="O1" t="inlineStr">
        <is>
          <t>Revenue Generated (₹)</t>
        </is>
      </c>
      <c r="P1" t="inlineStr">
        <is>
          <t>Outcome Type</t>
        </is>
      </c>
      <c r="Q1" t="inlineStr">
        <is>
          <t>DOI/Patent/Thesis ID</t>
        </is>
      </c>
      <c r="R1" t="inlineStr">
        <is>
          <t>Outcome Link (PDF/URL)</t>
        </is>
      </c>
      <c r="S1" t="inlineStr">
        <is>
          <t>Outcomes (Summary)</t>
        </is>
      </c>
      <c r="T1" t="inlineStr">
        <is>
          <t>CAYm1 Amount Received (₹)</t>
        </is>
      </c>
      <c r="U1" t="inlineStr">
        <is>
          <t>CAYm2 Amount Received (₹)</t>
        </is>
      </c>
      <c r="V1" t="inlineStr">
        <is>
          <t>CAYm3 Amount Received (₹)</t>
        </is>
      </c>
      <c r="W1" t="inlineStr">
        <is>
          <t>Total Amount Received (₹)</t>
        </is>
      </c>
      <c r="X1" t="inlineStr">
        <is>
          <t>Total Amount Received (₹ Lakhs)</t>
        </is>
      </c>
    </row>
    <row r="2">
      <c r="A2" t="n">
        <v>1</v>
      </c>
      <c r="B2" t="inlineStr">
        <is>
          <t>Prof. Alpha</t>
        </is>
      </c>
      <c r="C2" t="inlineStr">
        <is>
          <t>CSE</t>
        </is>
      </c>
      <c r="D2" t="inlineStr">
        <is>
          <t>AI-based Crop Prediction</t>
        </is>
      </c>
      <c r="E2" t="inlineStr">
        <is>
          <t>Prototype Development</t>
        </is>
      </c>
      <c r="F2" t="n">
        <v>6</v>
      </c>
      <c r="G2" t="n">
        <v>3</v>
      </c>
      <c r="H2" t="n">
        <v>2.8</v>
      </c>
      <c r="I2" t="n">
        <v>2023</v>
      </c>
      <c r="J2" t="inlineStr">
        <is>
          <t>CAYm1</t>
        </is>
      </c>
      <c r="K2" t="n">
        <v>2</v>
      </c>
      <c r="L2" t="n">
        <v>1</v>
      </c>
      <c r="M2" t="n">
        <v>0</v>
      </c>
      <c r="N2" t="n">
        <v>1</v>
      </c>
      <c r="O2" t="n">
        <v>50000</v>
      </c>
      <c r="P2" t="inlineStr">
        <is>
          <t>Publication</t>
        </is>
      </c>
      <c r="Q2" t="inlineStr">
        <is>
          <t>10.1016/j.xxx.2024.001</t>
        </is>
      </c>
      <c r="R2" t="inlineStr">
        <is>
          <t>https://doi.org/10.1016/j.xxx.2024.001</t>
        </is>
      </c>
      <c r="S2" t="inlineStr">
        <is>
          <t>2 Scopus papers; 1 prototype (TRL-4); 1 M.Tech</t>
        </is>
      </c>
      <c r="T2" t="n">
        <v>180000</v>
      </c>
      <c r="U2" t="n">
        <v>100000</v>
      </c>
      <c r="W2">
        <f>SUM(T2:V2)</f>
        <v/>
      </c>
      <c r="X2">
        <f>W2/100000</f>
        <v/>
      </c>
    </row>
    <row r="3">
      <c r="A3" t="n">
        <v>2</v>
      </c>
      <c r="B3" t="inlineStr">
        <is>
          <t>Dr. Beta</t>
        </is>
      </c>
      <c r="C3" t="inlineStr">
        <is>
          <t>ECE</t>
        </is>
      </c>
      <c r="D3" t="inlineStr">
        <is>
          <t>IoT for Smart Health</t>
        </is>
      </c>
      <c r="E3" t="inlineStr">
        <is>
          <t>Lab Setup &amp; Validation</t>
        </is>
      </c>
      <c r="F3" t="n">
        <v>8</v>
      </c>
      <c r="G3" t="n">
        <v>2.5</v>
      </c>
      <c r="H3" t="n">
        <v>2.5</v>
      </c>
      <c r="I3" t="n">
        <v>2022</v>
      </c>
      <c r="J3" t="inlineStr">
        <is>
          <t>CAYm2</t>
        </is>
      </c>
      <c r="K3" t="n">
        <v>1</v>
      </c>
      <c r="L3" t="n">
        <v>1</v>
      </c>
      <c r="M3" t="n">
        <v>0</v>
      </c>
      <c r="N3" t="n">
        <v>2</v>
      </c>
      <c r="P3" t="inlineStr">
        <is>
          <t>Prototype</t>
        </is>
      </c>
      <c r="S3" t="inlineStr">
        <is>
          <t>1 paper; 1 prototype; 2 M.Tech</t>
        </is>
      </c>
      <c r="U3" t="n">
        <v>150000</v>
      </c>
      <c r="V3" t="n">
        <v>100000</v>
      </c>
      <c r="W3">
        <f>SUM(T3:V3)</f>
        <v/>
      </c>
      <c r="X3">
        <f>W3/100000</f>
        <v/>
      </c>
    </row>
    <row r="4">
      <c r="A4" t="n">
        <v>3</v>
      </c>
      <c r="B4" t="inlineStr">
        <is>
          <t>Prof. Gamma</t>
        </is>
      </c>
      <c r="C4" t="inlineStr">
        <is>
          <t>ME</t>
        </is>
      </c>
      <c r="D4" t="inlineStr">
        <is>
          <t>Micro Wind Turbine Prototype</t>
        </is>
      </c>
      <c r="E4" t="inlineStr">
        <is>
          <t>Design &amp; Fabrication</t>
        </is>
      </c>
      <c r="F4" t="n">
        <v>10</v>
      </c>
      <c r="G4" t="n">
        <v>1.2</v>
      </c>
      <c r="H4" t="n">
        <v>1</v>
      </c>
      <c r="I4" t="n">
        <v>2021</v>
      </c>
      <c r="J4" t="inlineStr">
        <is>
          <t>CAYm3</t>
        </is>
      </c>
      <c r="K4" t="n">
        <v>0</v>
      </c>
      <c r="L4" t="n">
        <v>1</v>
      </c>
      <c r="M4" t="n">
        <v>0</v>
      </c>
      <c r="N4" t="n">
        <v>0</v>
      </c>
      <c r="P4" t="inlineStr">
        <is>
          <t>Dissertation-ME/MTech</t>
        </is>
      </c>
      <c r="S4" t="inlineStr">
        <is>
          <t>1 prototype; thesis under review</t>
        </is>
      </c>
      <c r="V4" t="n">
        <v>100000</v>
      </c>
      <c r="W4">
        <f>SUM(T4:V4)</f>
        <v/>
      </c>
      <c r="X4">
        <f>W4/100000</f>
        <v/>
      </c>
    </row>
    <row r="5">
      <c r="W5">
        <f>SUM(T5:V5)</f>
        <v/>
      </c>
      <c r="X5">
        <f>W5/100000</f>
        <v/>
      </c>
    </row>
    <row r="6">
      <c r="W6">
        <f>SUM(T6:V6)</f>
        <v/>
      </c>
      <c r="X6">
        <f>W6/100000</f>
        <v/>
      </c>
    </row>
    <row r="7">
      <c r="W7">
        <f>SUM(T7:V7)</f>
        <v/>
      </c>
      <c r="X7">
        <f>W7/100000</f>
        <v/>
      </c>
    </row>
    <row r="8">
      <c r="W8">
        <f>SUM(T8:V8)</f>
        <v/>
      </c>
      <c r="X8">
        <f>W8/100000</f>
        <v/>
      </c>
    </row>
    <row r="9">
      <c r="W9">
        <f>SUM(T9:V9)</f>
        <v/>
      </c>
      <c r="X9">
        <f>W9/100000</f>
        <v/>
      </c>
    </row>
    <row r="10">
      <c r="W10">
        <f>SUM(T10:V10)</f>
        <v/>
      </c>
      <c r="X10">
        <f>W10/100000</f>
        <v/>
      </c>
    </row>
    <row r="11">
      <c r="W11">
        <f>SUM(T11:V11)</f>
        <v/>
      </c>
      <c r="X11">
        <f>W11/100000</f>
        <v/>
      </c>
    </row>
    <row r="12">
      <c r="W12">
        <f>SUM(T12:V12)</f>
        <v/>
      </c>
      <c r="X12">
        <f>W12/100000</f>
        <v/>
      </c>
    </row>
    <row r="13">
      <c r="W13">
        <f>SUM(T13:V13)</f>
        <v/>
      </c>
      <c r="X13">
        <f>W13/100000</f>
        <v/>
      </c>
    </row>
    <row r="14">
      <c r="W14">
        <f>SUM(T14:V14)</f>
        <v/>
      </c>
      <c r="X14">
        <f>W14/100000</f>
        <v/>
      </c>
    </row>
    <row r="15">
      <c r="W15">
        <f>SUM(T15:V15)</f>
        <v/>
      </c>
      <c r="X15">
        <f>W15/100000</f>
        <v/>
      </c>
    </row>
    <row r="16">
      <c r="W16">
        <f>SUM(T16:V16)</f>
        <v/>
      </c>
      <c r="X16">
        <f>W16/100000</f>
        <v/>
      </c>
    </row>
    <row r="17">
      <c r="W17">
        <f>SUM(T17:V17)</f>
        <v/>
      </c>
      <c r="X17">
        <f>W17/100000</f>
        <v/>
      </c>
    </row>
    <row r="18">
      <c r="W18">
        <f>SUM(T18:V18)</f>
        <v/>
      </c>
      <c r="X18">
        <f>W18/100000</f>
        <v/>
      </c>
    </row>
    <row r="19">
      <c r="W19">
        <f>SUM(T19:V19)</f>
        <v/>
      </c>
      <c r="X19">
        <f>W19/100000</f>
        <v/>
      </c>
    </row>
    <row r="20">
      <c r="W20">
        <f>SUM(T20:V20)</f>
        <v/>
      </c>
      <c r="X20">
        <f>W20/100000</f>
        <v/>
      </c>
    </row>
    <row r="21">
      <c r="W21">
        <f>SUM(T21:V21)</f>
        <v/>
      </c>
      <c r="X21">
        <f>W21/100000</f>
        <v/>
      </c>
    </row>
    <row r="22">
      <c r="W22">
        <f>SUM(T22:V22)</f>
        <v/>
      </c>
      <c r="X22">
        <f>W22/100000</f>
        <v/>
      </c>
    </row>
    <row r="23">
      <c r="W23">
        <f>SUM(T23:V23)</f>
        <v/>
      </c>
      <c r="X23">
        <f>W23/100000</f>
        <v/>
      </c>
    </row>
    <row r="24">
      <c r="W24">
        <f>SUM(T24:V24)</f>
        <v/>
      </c>
      <c r="X24">
        <f>W24/100000</f>
        <v/>
      </c>
    </row>
    <row r="25">
      <c r="W25">
        <f>SUM(T25:V25)</f>
        <v/>
      </c>
      <c r="X25">
        <f>W25/100000</f>
        <v/>
      </c>
    </row>
    <row r="26">
      <c r="W26">
        <f>SUM(T26:V26)</f>
        <v/>
      </c>
      <c r="X26">
        <f>W26/100000</f>
        <v/>
      </c>
    </row>
    <row r="27">
      <c r="W27">
        <f>SUM(T27:V27)</f>
        <v/>
      </c>
      <c r="X27">
        <f>W27/100000</f>
        <v/>
      </c>
    </row>
    <row r="28">
      <c r="W28">
        <f>SUM(T28:V28)</f>
        <v/>
      </c>
      <c r="X28">
        <f>W28/100000</f>
        <v/>
      </c>
    </row>
    <row r="29">
      <c r="W29">
        <f>SUM(T29:V29)</f>
        <v/>
      </c>
      <c r="X29">
        <f>W29/100000</f>
        <v/>
      </c>
    </row>
    <row r="30">
      <c r="W30">
        <f>SUM(T30:V30)</f>
        <v/>
      </c>
      <c r="X30">
        <f>W30/100000</f>
        <v/>
      </c>
    </row>
    <row r="31">
      <c r="W31">
        <f>SUM(T31:V31)</f>
        <v/>
      </c>
      <c r="X31">
        <f>W31/100000</f>
        <v/>
      </c>
    </row>
    <row r="32">
      <c r="W32">
        <f>SUM(T32:V32)</f>
        <v/>
      </c>
      <c r="X32">
        <f>W32/100000</f>
        <v/>
      </c>
    </row>
    <row r="33">
      <c r="W33">
        <f>SUM(T33:V33)</f>
        <v/>
      </c>
      <c r="X33">
        <f>W33/100000</f>
        <v/>
      </c>
    </row>
    <row r="34">
      <c r="W34">
        <f>SUM(T34:V34)</f>
        <v/>
      </c>
      <c r="X34">
        <f>W34/100000</f>
        <v/>
      </c>
    </row>
    <row r="35">
      <c r="W35">
        <f>SUM(T35:V35)</f>
        <v/>
      </c>
      <c r="X35">
        <f>W35/100000</f>
        <v/>
      </c>
    </row>
    <row r="36">
      <c r="W36">
        <f>SUM(T36:V36)</f>
        <v/>
      </c>
      <c r="X36">
        <f>W36/100000</f>
        <v/>
      </c>
    </row>
    <row r="37">
      <c r="W37">
        <f>SUM(T37:V37)</f>
        <v/>
      </c>
      <c r="X37">
        <f>W37/100000</f>
        <v/>
      </c>
    </row>
    <row r="38">
      <c r="W38">
        <f>SUM(T38:V38)</f>
        <v/>
      </c>
      <c r="X38">
        <f>W38/100000</f>
        <v/>
      </c>
    </row>
    <row r="39">
      <c r="W39">
        <f>SUM(T39:V39)</f>
        <v/>
      </c>
      <c r="X39">
        <f>W39/100000</f>
        <v/>
      </c>
    </row>
    <row r="40">
      <c r="W40">
        <f>SUM(T40:V40)</f>
        <v/>
      </c>
      <c r="X40">
        <f>W40/100000</f>
        <v/>
      </c>
    </row>
    <row r="41">
      <c r="W41">
        <f>SUM(T41:V41)</f>
        <v/>
      </c>
      <c r="X41">
        <f>W41/100000</f>
        <v/>
      </c>
    </row>
    <row r="42">
      <c r="W42">
        <f>SUM(T42:V42)</f>
        <v/>
      </c>
      <c r="X42">
        <f>W42/100000</f>
        <v/>
      </c>
    </row>
    <row r="43">
      <c r="W43">
        <f>SUM(T43:V43)</f>
        <v/>
      </c>
      <c r="X43">
        <f>W43/100000</f>
        <v/>
      </c>
    </row>
    <row r="44">
      <c r="W44">
        <f>SUM(T44:V44)</f>
        <v/>
      </c>
      <c r="X44">
        <f>W44/100000</f>
        <v/>
      </c>
    </row>
    <row r="45">
      <c r="W45">
        <f>SUM(T45:V45)</f>
        <v/>
      </c>
      <c r="X45">
        <f>W45/100000</f>
        <v/>
      </c>
    </row>
    <row r="46">
      <c r="W46">
        <f>SUM(T46:V46)</f>
        <v/>
      </c>
      <c r="X46">
        <f>W46/100000</f>
        <v/>
      </c>
    </row>
    <row r="47">
      <c r="W47">
        <f>SUM(T47:V47)</f>
        <v/>
      </c>
      <c r="X47">
        <f>W47/100000</f>
        <v/>
      </c>
    </row>
    <row r="48">
      <c r="W48">
        <f>SUM(T48:V48)</f>
        <v/>
      </c>
      <c r="X48">
        <f>W48/100000</f>
        <v/>
      </c>
    </row>
    <row r="49">
      <c r="W49">
        <f>SUM(T49:V49)</f>
        <v/>
      </c>
      <c r="X49">
        <f>W49/100000</f>
        <v/>
      </c>
    </row>
    <row r="50">
      <c r="W50">
        <f>SUM(T50:V50)</f>
        <v/>
      </c>
      <c r="X50">
        <f>W50/100000</f>
        <v/>
      </c>
    </row>
    <row r="51">
      <c r="W51">
        <f>SUM(T51:V51)</f>
        <v/>
      </c>
      <c r="X51">
        <f>W51/100000</f>
        <v/>
      </c>
    </row>
    <row r="52">
      <c r="W52">
        <f>SUM(T52:V52)</f>
        <v/>
      </c>
      <c r="X52">
        <f>W52/100000</f>
        <v/>
      </c>
    </row>
    <row r="53">
      <c r="W53">
        <f>SUM(T53:V53)</f>
        <v/>
      </c>
      <c r="X53">
        <f>W53/100000</f>
        <v/>
      </c>
    </row>
    <row r="54">
      <c r="W54">
        <f>SUM(T54:V54)</f>
        <v/>
      </c>
      <c r="X54">
        <f>W54/100000</f>
        <v/>
      </c>
    </row>
    <row r="55">
      <c r="W55">
        <f>SUM(T55:V55)</f>
        <v/>
      </c>
      <c r="X55">
        <f>W55/100000</f>
        <v/>
      </c>
    </row>
    <row r="56">
      <c r="W56">
        <f>SUM(T56:V56)</f>
        <v/>
      </c>
      <c r="X56">
        <f>W56/100000</f>
        <v/>
      </c>
    </row>
    <row r="57">
      <c r="W57">
        <f>SUM(T57:V57)</f>
        <v/>
      </c>
      <c r="X57">
        <f>W57/100000</f>
        <v/>
      </c>
    </row>
    <row r="58">
      <c r="W58">
        <f>SUM(T58:V58)</f>
        <v/>
      </c>
      <c r="X58">
        <f>W58/100000</f>
        <v/>
      </c>
    </row>
    <row r="59">
      <c r="W59">
        <f>SUM(T59:V59)</f>
        <v/>
      </c>
      <c r="X59">
        <f>W59/100000</f>
        <v/>
      </c>
    </row>
    <row r="60">
      <c r="W60">
        <f>SUM(T60:V60)</f>
        <v/>
      </c>
      <c r="X60">
        <f>W60/100000</f>
        <v/>
      </c>
    </row>
    <row r="61">
      <c r="W61">
        <f>SUM(T61:V61)</f>
        <v/>
      </c>
      <c r="X61">
        <f>W61/100000</f>
        <v/>
      </c>
    </row>
    <row r="62">
      <c r="W62">
        <f>SUM(T62:V62)</f>
        <v/>
      </c>
      <c r="X62">
        <f>W62/100000</f>
        <v/>
      </c>
    </row>
    <row r="63">
      <c r="W63">
        <f>SUM(T63:V63)</f>
        <v/>
      </c>
      <c r="X63">
        <f>W63/100000</f>
        <v/>
      </c>
    </row>
    <row r="64">
      <c r="W64">
        <f>SUM(T64:V64)</f>
        <v/>
      </c>
      <c r="X64">
        <f>W64/100000</f>
        <v/>
      </c>
    </row>
    <row r="65">
      <c r="W65">
        <f>SUM(T65:V65)</f>
        <v/>
      </c>
      <c r="X65">
        <f>W65/100000</f>
        <v/>
      </c>
    </row>
    <row r="66">
      <c r="W66">
        <f>SUM(T66:V66)</f>
        <v/>
      </c>
      <c r="X66">
        <f>W66/100000</f>
        <v/>
      </c>
    </row>
    <row r="67">
      <c r="W67">
        <f>SUM(T67:V67)</f>
        <v/>
      </c>
      <c r="X67">
        <f>W67/100000</f>
        <v/>
      </c>
    </row>
    <row r="68">
      <c r="W68">
        <f>SUM(T68:V68)</f>
        <v/>
      </c>
      <c r="X68">
        <f>W68/100000</f>
        <v/>
      </c>
    </row>
    <row r="69">
      <c r="W69">
        <f>SUM(T69:V69)</f>
        <v/>
      </c>
      <c r="X69">
        <f>W69/100000</f>
        <v/>
      </c>
    </row>
    <row r="70">
      <c r="W70">
        <f>SUM(T70:V70)</f>
        <v/>
      </c>
      <c r="X70">
        <f>W70/100000</f>
        <v/>
      </c>
    </row>
    <row r="71">
      <c r="W71">
        <f>SUM(T71:V71)</f>
        <v/>
      </c>
      <c r="X71">
        <f>W71/100000</f>
        <v/>
      </c>
    </row>
    <row r="72">
      <c r="W72">
        <f>SUM(T72:V72)</f>
        <v/>
      </c>
      <c r="X72">
        <f>W72/100000</f>
        <v/>
      </c>
    </row>
    <row r="73">
      <c r="W73">
        <f>SUM(T73:V73)</f>
        <v/>
      </c>
      <c r="X73">
        <f>W73/100000</f>
        <v/>
      </c>
    </row>
    <row r="74">
      <c r="W74">
        <f>SUM(T74:V74)</f>
        <v/>
      </c>
      <c r="X74">
        <f>W74/100000</f>
        <v/>
      </c>
    </row>
    <row r="75">
      <c r="W75">
        <f>SUM(T75:V75)</f>
        <v/>
      </c>
      <c r="X75">
        <f>W75/100000</f>
        <v/>
      </c>
    </row>
    <row r="76">
      <c r="W76">
        <f>SUM(T76:V76)</f>
        <v/>
      </c>
      <c r="X76">
        <f>W76/100000</f>
        <v/>
      </c>
    </row>
    <row r="77">
      <c r="W77">
        <f>SUM(T77:V77)</f>
        <v/>
      </c>
      <c r="X77">
        <f>W77/100000</f>
        <v/>
      </c>
    </row>
    <row r="78">
      <c r="W78">
        <f>SUM(T78:V78)</f>
        <v/>
      </c>
      <c r="X78">
        <f>W78/100000</f>
        <v/>
      </c>
    </row>
    <row r="79">
      <c r="W79">
        <f>SUM(T79:V79)</f>
        <v/>
      </c>
      <c r="X79">
        <f>W79/100000</f>
        <v/>
      </c>
    </row>
    <row r="80">
      <c r="W80">
        <f>SUM(T80:V80)</f>
        <v/>
      </c>
      <c r="X80">
        <f>W80/100000</f>
        <v/>
      </c>
    </row>
    <row r="81">
      <c r="W81">
        <f>SUM(T81:V81)</f>
        <v/>
      </c>
      <c r="X81">
        <f>W81/100000</f>
        <v/>
      </c>
    </row>
    <row r="82">
      <c r="W82">
        <f>SUM(T82:V82)</f>
        <v/>
      </c>
      <c r="X82">
        <f>W82/100000</f>
        <v/>
      </c>
    </row>
    <row r="83">
      <c r="W83">
        <f>SUM(T83:V83)</f>
        <v/>
      </c>
      <c r="X83">
        <f>W83/100000</f>
        <v/>
      </c>
    </row>
    <row r="84">
      <c r="W84">
        <f>SUM(T84:V84)</f>
        <v/>
      </c>
      <c r="X84">
        <f>W84/100000</f>
        <v/>
      </c>
    </row>
    <row r="85">
      <c r="W85">
        <f>SUM(T85:V85)</f>
        <v/>
      </c>
      <c r="X85">
        <f>W85/100000</f>
        <v/>
      </c>
    </row>
    <row r="86">
      <c r="W86">
        <f>SUM(T86:V86)</f>
        <v/>
      </c>
      <c r="X86">
        <f>W86/100000</f>
        <v/>
      </c>
    </row>
    <row r="87">
      <c r="W87">
        <f>SUM(T87:V87)</f>
        <v/>
      </c>
      <c r="X87">
        <f>W87/100000</f>
        <v/>
      </c>
    </row>
    <row r="88">
      <c r="W88">
        <f>SUM(T88:V88)</f>
        <v/>
      </c>
      <c r="X88">
        <f>W88/100000</f>
        <v/>
      </c>
    </row>
    <row r="89">
      <c r="W89">
        <f>SUM(T89:V89)</f>
        <v/>
      </c>
      <c r="X89">
        <f>W89/100000</f>
        <v/>
      </c>
    </row>
    <row r="90">
      <c r="W90">
        <f>SUM(T90:V90)</f>
        <v/>
      </c>
      <c r="X90">
        <f>W90/100000</f>
        <v/>
      </c>
    </row>
    <row r="91">
      <c r="W91">
        <f>SUM(T91:V91)</f>
        <v/>
      </c>
      <c r="X91">
        <f>W91/100000</f>
        <v/>
      </c>
    </row>
    <row r="92">
      <c r="W92">
        <f>SUM(T92:V92)</f>
        <v/>
      </c>
      <c r="X92">
        <f>W92/100000</f>
        <v/>
      </c>
    </row>
    <row r="93">
      <c r="W93">
        <f>SUM(T93:V93)</f>
        <v/>
      </c>
      <c r="X93">
        <f>W93/100000</f>
        <v/>
      </c>
    </row>
    <row r="94">
      <c r="W94">
        <f>SUM(T94:V94)</f>
        <v/>
      </c>
      <c r="X94">
        <f>W94/100000</f>
        <v/>
      </c>
    </row>
    <row r="95">
      <c r="W95">
        <f>SUM(T95:V95)</f>
        <v/>
      </c>
      <c r="X95">
        <f>W95/100000</f>
        <v/>
      </c>
    </row>
    <row r="96">
      <c r="W96">
        <f>SUM(T96:V96)</f>
        <v/>
      </c>
      <c r="X96">
        <f>W96/100000</f>
        <v/>
      </c>
    </row>
    <row r="97">
      <c r="W97">
        <f>SUM(T97:V97)</f>
        <v/>
      </c>
      <c r="X97">
        <f>W97/100000</f>
        <v/>
      </c>
    </row>
    <row r="98">
      <c r="W98">
        <f>SUM(T98:V98)</f>
        <v/>
      </c>
      <c r="X98">
        <f>W98/100000</f>
        <v/>
      </c>
    </row>
    <row r="99">
      <c r="W99">
        <f>SUM(T99:V99)</f>
        <v/>
      </c>
      <c r="X99">
        <f>W99/100000</f>
        <v/>
      </c>
    </row>
    <row r="100">
      <c r="W100">
        <f>SUM(T100:V100)</f>
        <v/>
      </c>
      <c r="X100">
        <f>W100/100000</f>
        <v/>
      </c>
    </row>
    <row r="101">
      <c r="W101">
        <f>SUM(T101:V101)</f>
        <v/>
      </c>
      <c r="X101">
        <f>W101/100000</f>
        <v/>
      </c>
    </row>
    <row r="102">
      <c r="W102">
        <f>SUM(T102:V102)</f>
        <v/>
      </c>
      <c r="X102">
        <f>W102/100000</f>
        <v/>
      </c>
    </row>
    <row r="103">
      <c r="W103">
        <f>SUM(T103:V103)</f>
        <v/>
      </c>
      <c r="X103">
        <f>W103/100000</f>
        <v/>
      </c>
    </row>
    <row r="104">
      <c r="W104">
        <f>SUM(T104:V104)</f>
        <v/>
      </c>
      <c r="X104">
        <f>W104/100000</f>
        <v/>
      </c>
    </row>
    <row r="105">
      <c r="W105">
        <f>SUM(T105:V105)</f>
        <v/>
      </c>
      <c r="X105">
        <f>W105/100000</f>
        <v/>
      </c>
    </row>
    <row r="106">
      <c r="W106">
        <f>SUM(T106:V106)</f>
        <v/>
      </c>
      <c r="X106">
        <f>W106/100000</f>
        <v/>
      </c>
    </row>
    <row r="107">
      <c r="W107">
        <f>SUM(T107:V107)</f>
        <v/>
      </c>
      <c r="X107">
        <f>W107/100000</f>
        <v/>
      </c>
    </row>
    <row r="108">
      <c r="W108">
        <f>SUM(T108:V108)</f>
        <v/>
      </c>
      <c r="X108">
        <f>W108/100000</f>
        <v/>
      </c>
    </row>
    <row r="109">
      <c r="W109">
        <f>SUM(T109:V109)</f>
        <v/>
      </c>
      <c r="X109">
        <f>W109/100000</f>
        <v/>
      </c>
    </row>
    <row r="110">
      <c r="W110">
        <f>SUM(T110:V110)</f>
        <v/>
      </c>
      <c r="X110">
        <f>W110/100000</f>
        <v/>
      </c>
    </row>
    <row r="111">
      <c r="W111">
        <f>SUM(T111:V111)</f>
        <v/>
      </c>
      <c r="X111">
        <f>W111/100000</f>
        <v/>
      </c>
    </row>
    <row r="112">
      <c r="W112">
        <f>SUM(T112:V112)</f>
        <v/>
      </c>
      <c r="X112">
        <f>W112/100000</f>
        <v/>
      </c>
    </row>
    <row r="113">
      <c r="W113">
        <f>SUM(T113:V113)</f>
        <v/>
      </c>
      <c r="X113">
        <f>W113/100000</f>
        <v/>
      </c>
    </row>
    <row r="114">
      <c r="W114">
        <f>SUM(T114:V114)</f>
        <v/>
      </c>
      <c r="X114">
        <f>W114/100000</f>
        <v/>
      </c>
    </row>
    <row r="115">
      <c r="W115">
        <f>SUM(T115:V115)</f>
        <v/>
      </c>
      <c r="X115">
        <f>W115/100000</f>
        <v/>
      </c>
    </row>
    <row r="116">
      <c r="W116">
        <f>SUM(T116:V116)</f>
        <v/>
      </c>
      <c r="X116">
        <f>W116/100000</f>
        <v/>
      </c>
    </row>
    <row r="117">
      <c r="W117">
        <f>SUM(T117:V117)</f>
        <v/>
      </c>
      <c r="X117">
        <f>W117/100000</f>
        <v/>
      </c>
    </row>
    <row r="118">
      <c r="W118">
        <f>SUM(T118:V118)</f>
        <v/>
      </c>
      <c r="X118">
        <f>W118/100000</f>
        <v/>
      </c>
    </row>
    <row r="119">
      <c r="W119">
        <f>SUM(T119:V119)</f>
        <v/>
      </c>
      <c r="X119">
        <f>W119/100000</f>
        <v/>
      </c>
    </row>
    <row r="120">
      <c r="W120">
        <f>SUM(T120:V120)</f>
        <v/>
      </c>
      <c r="X120">
        <f>W120/100000</f>
        <v/>
      </c>
    </row>
    <row r="121">
      <c r="W121">
        <f>SUM(T121:V121)</f>
        <v/>
      </c>
      <c r="X121">
        <f>W121/100000</f>
        <v/>
      </c>
    </row>
    <row r="122">
      <c r="W122">
        <f>SUM(T122:V122)</f>
        <v/>
      </c>
      <c r="X122">
        <f>W122/100000</f>
        <v/>
      </c>
    </row>
    <row r="123">
      <c r="W123">
        <f>SUM(T123:V123)</f>
        <v/>
      </c>
      <c r="X123">
        <f>W123/100000</f>
        <v/>
      </c>
    </row>
    <row r="124">
      <c r="W124">
        <f>SUM(T124:V124)</f>
        <v/>
      </c>
      <c r="X124">
        <f>W124/100000</f>
        <v/>
      </c>
    </row>
    <row r="125">
      <c r="W125">
        <f>SUM(T125:V125)</f>
        <v/>
      </c>
      <c r="X125">
        <f>W125/100000</f>
        <v/>
      </c>
    </row>
    <row r="126">
      <c r="W126">
        <f>SUM(T126:V126)</f>
        <v/>
      </c>
      <c r="X126">
        <f>W126/100000</f>
        <v/>
      </c>
    </row>
    <row r="127">
      <c r="W127">
        <f>SUM(T127:V127)</f>
        <v/>
      </c>
      <c r="X127">
        <f>W127/100000</f>
        <v/>
      </c>
    </row>
    <row r="128">
      <c r="W128">
        <f>SUM(T128:V128)</f>
        <v/>
      </c>
      <c r="X128">
        <f>W128/100000</f>
        <v/>
      </c>
    </row>
    <row r="129">
      <c r="W129">
        <f>SUM(T129:V129)</f>
        <v/>
      </c>
      <c r="X129">
        <f>W129/100000</f>
        <v/>
      </c>
    </row>
    <row r="130">
      <c r="W130">
        <f>SUM(T130:V130)</f>
        <v/>
      </c>
      <c r="X130">
        <f>W130/100000</f>
        <v/>
      </c>
    </row>
    <row r="131">
      <c r="W131">
        <f>SUM(T131:V131)</f>
        <v/>
      </c>
      <c r="X131">
        <f>W131/100000</f>
        <v/>
      </c>
    </row>
    <row r="132">
      <c r="W132">
        <f>SUM(T132:V132)</f>
        <v/>
      </c>
      <c r="X132">
        <f>W132/100000</f>
        <v/>
      </c>
    </row>
    <row r="133">
      <c r="W133">
        <f>SUM(T133:V133)</f>
        <v/>
      </c>
      <c r="X133">
        <f>W133/100000</f>
        <v/>
      </c>
    </row>
    <row r="134">
      <c r="W134">
        <f>SUM(T134:V134)</f>
        <v/>
      </c>
      <c r="X134">
        <f>W134/100000</f>
        <v/>
      </c>
    </row>
    <row r="135">
      <c r="W135">
        <f>SUM(T135:V135)</f>
        <v/>
      </c>
      <c r="X135">
        <f>W135/100000</f>
        <v/>
      </c>
    </row>
    <row r="136">
      <c r="W136">
        <f>SUM(T136:V136)</f>
        <v/>
      </c>
      <c r="X136">
        <f>W136/100000</f>
        <v/>
      </c>
    </row>
    <row r="137">
      <c r="W137">
        <f>SUM(T137:V137)</f>
        <v/>
      </c>
      <c r="X137">
        <f>W137/100000</f>
        <v/>
      </c>
    </row>
    <row r="138">
      <c r="W138">
        <f>SUM(T138:V138)</f>
        <v/>
      </c>
      <c r="X138">
        <f>W138/100000</f>
        <v/>
      </c>
    </row>
    <row r="139">
      <c r="W139">
        <f>SUM(T139:V139)</f>
        <v/>
      </c>
      <c r="X139">
        <f>W139/100000</f>
        <v/>
      </c>
    </row>
    <row r="140">
      <c r="W140">
        <f>SUM(T140:V140)</f>
        <v/>
      </c>
      <c r="X140">
        <f>W140/100000</f>
        <v/>
      </c>
    </row>
    <row r="141">
      <c r="W141">
        <f>SUM(T141:V141)</f>
        <v/>
      </c>
      <c r="X141">
        <f>W141/100000</f>
        <v/>
      </c>
    </row>
    <row r="142">
      <c r="W142">
        <f>SUM(T142:V142)</f>
        <v/>
      </c>
      <c r="X142">
        <f>W142/100000</f>
        <v/>
      </c>
    </row>
    <row r="143">
      <c r="W143">
        <f>SUM(T143:V143)</f>
        <v/>
      </c>
      <c r="X143">
        <f>W143/100000</f>
        <v/>
      </c>
    </row>
    <row r="144">
      <c r="W144">
        <f>SUM(T144:V144)</f>
        <v/>
      </c>
      <c r="X144">
        <f>W144/100000</f>
        <v/>
      </c>
    </row>
    <row r="145">
      <c r="W145">
        <f>SUM(T145:V145)</f>
        <v/>
      </c>
      <c r="X145">
        <f>W145/100000</f>
        <v/>
      </c>
    </row>
    <row r="146">
      <c r="W146">
        <f>SUM(T146:V146)</f>
        <v/>
      </c>
      <c r="X146">
        <f>W146/100000</f>
        <v/>
      </c>
    </row>
    <row r="147">
      <c r="W147">
        <f>SUM(T147:V147)</f>
        <v/>
      </c>
      <c r="X147">
        <f>W147/100000</f>
        <v/>
      </c>
    </row>
    <row r="148">
      <c r="W148">
        <f>SUM(T148:V148)</f>
        <v/>
      </c>
      <c r="X148">
        <f>W148/100000</f>
        <v/>
      </c>
    </row>
    <row r="149">
      <c r="W149">
        <f>SUM(T149:V149)</f>
        <v/>
      </c>
      <c r="X149">
        <f>W149/100000</f>
        <v/>
      </c>
    </row>
    <row r="150">
      <c r="W150">
        <f>SUM(T150:V150)</f>
        <v/>
      </c>
      <c r="X150">
        <f>W150/100000</f>
        <v/>
      </c>
    </row>
    <row r="151">
      <c r="W151">
        <f>SUM(T151:V151)</f>
        <v/>
      </c>
      <c r="X151">
        <f>W151/100000</f>
        <v/>
      </c>
    </row>
    <row r="152">
      <c r="W152">
        <f>SUM(T152:V152)</f>
        <v/>
      </c>
      <c r="X152">
        <f>W152/100000</f>
        <v/>
      </c>
    </row>
    <row r="153">
      <c r="W153">
        <f>SUM(T153:V153)</f>
        <v/>
      </c>
      <c r="X153">
        <f>W153/100000</f>
        <v/>
      </c>
    </row>
    <row r="154">
      <c r="W154">
        <f>SUM(T154:V154)</f>
        <v/>
      </c>
      <c r="X154">
        <f>W154/100000</f>
        <v/>
      </c>
    </row>
    <row r="155">
      <c r="W155">
        <f>SUM(T155:V155)</f>
        <v/>
      </c>
      <c r="X155">
        <f>W155/100000</f>
        <v/>
      </c>
    </row>
    <row r="156">
      <c r="W156">
        <f>SUM(T156:V156)</f>
        <v/>
      </c>
      <c r="X156">
        <f>W156/100000</f>
        <v/>
      </c>
    </row>
    <row r="157">
      <c r="W157">
        <f>SUM(T157:V157)</f>
        <v/>
      </c>
      <c r="X157">
        <f>W157/100000</f>
        <v/>
      </c>
    </row>
    <row r="158">
      <c r="W158">
        <f>SUM(T158:V158)</f>
        <v/>
      </c>
      <c r="X158">
        <f>W158/100000</f>
        <v/>
      </c>
    </row>
    <row r="159">
      <c r="W159">
        <f>SUM(T159:V159)</f>
        <v/>
      </c>
      <c r="X159">
        <f>W159/100000</f>
        <v/>
      </c>
    </row>
    <row r="160">
      <c r="W160">
        <f>SUM(T160:V160)</f>
        <v/>
      </c>
      <c r="X160">
        <f>W160/100000</f>
        <v/>
      </c>
    </row>
    <row r="161">
      <c r="W161">
        <f>SUM(T161:V161)</f>
        <v/>
      </c>
      <c r="X161">
        <f>W161/100000</f>
        <v/>
      </c>
    </row>
    <row r="162">
      <c r="W162">
        <f>SUM(T162:V162)</f>
        <v/>
      </c>
      <c r="X162">
        <f>W162/100000</f>
        <v/>
      </c>
    </row>
    <row r="163">
      <c r="W163">
        <f>SUM(T163:V163)</f>
        <v/>
      </c>
      <c r="X163">
        <f>W163/100000</f>
        <v/>
      </c>
    </row>
    <row r="164">
      <c r="W164">
        <f>SUM(T164:V164)</f>
        <v/>
      </c>
      <c r="X164">
        <f>W164/100000</f>
        <v/>
      </c>
    </row>
    <row r="165">
      <c r="W165">
        <f>SUM(T165:V165)</f>
        <v/>
      </c>
      <c r="X165">
        <f>W165/100000</f>
        <v/>
      </c>
    </row>
    <row r="166">
      <c r="W166">
        <f>SUM(T166:V166)</f>
        <v/>
      </c>
      <c r="X166">
        <f>W166/100000</f>
        <v/>
      </c>
    </row>
    <row r="167">
      <c r="W167">
        <f>SUM(T167:V167)</f>
        <v/>
      </c>
      <c r="X167">
        <f>W167/100000</f>
        <v/>
      </c>
    </row>
    <row r="168">
      <c r="W168">
        <f>SUM(T168:V168)</f>
        <v/>
      </c>
      <c r="X168">
        <f>W168/100000</f>
        <v/>
      </c>
    </row>
    <row r="169">
      <c r="W169">
        <f>SUM(T169:V169)</f>
        <v/>
      </c>
      <c r="X169">
        <f>W169/100000</f>
        <v/>
      </c>
    </row>
    <row r="170">
      <c r="W170">
        <f>SUM(T170:V170)</f>
        <v/>
      </c>
      <c r="X170">
        <f>W170/100000</f>
        <v/>
      </c>
    </row>
    <row r="171">
      <c r="W171">
        <f>SUM(T171:V171)</f>
        <v/>
      </c>
      <c r="X171">
        <f>W171/100000</f>
        <v/>
      </c>
    </row>
    <row r="172">
      <c r="W172">
        <f>SUM(T172:V172)</f>
        <v/>
      </c>
      <c r="X172">
        <f>W172/100000</f>
        <v/>
      </c>
    </row>
    <row r="173">
      <c r="W173">
        <f>SUM(T173:V173)</f>
        <v/>
      </c>
      <c r="X173">
        <f>W173/100000</f>
        <v/>
      </c>
    </row>
    <row r="174">
      <c r="W174">
        <f>SUM(T174:V174)</f>
        <v/>
      </c>
      <c r="X174">
        <f>W174/100000</f>
        <v/>
      </c>
    </row>
    <row r="175">
      <c r="W175">
        <f>SUM(T175:V175)</f>
        <v/>
      </c>
      <c r="X175">
        <f>W175/100000</f>
        <v/>
      </c>
    </row>
    <row r="176">
      <c r="W176">
        <f>SUM(T176:V176)</f>
        <v/>
      </c>
      <c r="X176">
        <f>W176/100000</f>
        <v/>
      </c>
    </row>
    <row r="177">
      <c r="W177">
        <f>SUM(T177:V177)</f>
        <v/>
      </c>
      <c r="X177">
        <f>W177/100000</f>
        <v/>
      </c>
    </row>
    <row r="178">
      <c r="W178">
        <f>SUM(T178:V178)</f>
        <v/>
      </c>
      <c r="X178">
        <f>W178/100000</f>
        <v/>
      </c>
    </row>
    <row r="179">
      <c r="W179">
        <f>SUM(T179:V179)</f>
        <v/>
      </c>
      <c r="X179">
        <f>W179/100000</f>
        <v/>
      </c>
    </row>
    <row r="180">
      <c r="W180">
        <f>SUM(T180:V180)</f>
        <v/>
      </c>
      <c r="X180">
        <f>W180/100000</f>
        <v/>
      </c>
    </row>
    <row r="181">
      <c r="W181">
        <f>SUM(T181:V181)</f>
        <v/>
      </c>
      <c r="X181">
        <f>W181/100000</f>
        <v/>
      </c>
    </row>
    <row r="182">
      <c r="W182">
        <f>SUM(T182:V182)</f>
        <v/>
      </c>
      <c r="X182">
        <f>W182/100000</f>
        <v/>
      </c>
    </row>
    <row r="183">
      <c r="W183">
        <f>SUM(T183:V183)</f>
        <v/>
      </c>
      <c r="X183">
        <f>W183/100000</f>
        <v/>
      </c>
    </row>
    <row r="184">
      <c r="W184">
        <f>SUM(T184:V184)</f>
        <v/>
      </c>
      <c r="X184">
        <f>W184/100000</f>
        <v/>
      </c>
    </row>
    <row r="185">
      <c r="W185">
        <f>SUM(T185:V185)</f>
        <v/>
      </c>
      <c r="X185">
        <f>W185/100000</f>
        <v/>
      </c>
    </row>
    <row r="186">
      <c r="W186">
        <f>SUM(T186:V186)</f>
        <v/>
      </c>
      <c r="X186">
        <f>W186/100000</f>
        <v/>
      </c>
    </row>
    <row r="187">
      <c r="W187">
        <f>SUM(T187:V187)</f>
        <v/>
      </c>
      <c r="X187">
        <f>W187/100000</f>
        <v/>
      </c>
    </row>
    <row r="188">
      <c r="W188">
        <f>SUM(T188:V188)</f>
        <v/>
      </c>
      <c r="X188">
        <f>W188/100000</f>
        <v/>
      </c>
    </row>
    <row r="189">
      <c r="W189">
        <f>SUM(T189:V189)</f>
        <v/>
      </c>
      <c r="X189">
        <f>W189/100000</f>
        <v/>
      </c>
    </row>
    <row r="190">
      <c r="W190">
        <f>SUM(T190:V190)</f>
        <v/>
      </c>
      <c r="X190">
        <f>W190/100000</f>
        <v/>
      </c>
    </row>
    <row r="191">
      <c r="W191">
        <f>SUM(T191:V191)</f>
        <v/>
      </c>
      <c r="X191">
        <f>W191/100000</f>
        <v/>
      </c>
    </row>
    <row r="192">
      <c r="W192">
        <f>SUM(T192:V192)</f>
        <v/>
      </c>
      <c r="X192">
        <f>W192/100000</f>
        <v/>
      </c>
    </row>
    <row r="193">
      <c r="W193">
        <f>SUM(T193:V193)</f>
        <v/>
      </c>
      <c r="X193">
        <f>W193/100000</f>
        <v/>
      </c>
    </row>
    <row r="194">
      <c r="W194">
        <f>SUM(T194:V194)</f>
        <v/>
      </c>
      <c r="X194">
        <f>W194/100000</f>
        <v/>
      </c>
    </row>
    <row r="195">
      <c r="W195">
        <f>SUM(T195:V195)</f>
        <v/>
      </c>
      <c r="X195">
        <f>W195/100000</f>
        <v/>
      </c>
    </row>
    <row r="196">
      <c r="W196">
        <f>SUM(T196:V196)</f>
        <v/>
      </c>
      <c r="X196">
        <f>W196/100000</f>
        <v/>
      </c>
    </row>
    <row r="197">
      <c r="W197">
        <f>SUM(T197:V197)</f>
        <v/>
      </c>
      <c r="X197">
        <f>W197/100000</f>
        <v/>
      </c>
    </row>
    <row r="198">
      <c r="W198">
        <f>SUM(T198:V198)</f>
        <v/>
      </c>
      <c r="X198">
        <f>W198/100000</f>
        <v/>
      </c>
    </row>
    <row r="199">
      <c r="W199">
        <f>SUM(T199:V199)</f>
        <v/>
      </c>
      <c r="X199">
        <f>W199/100000</f>
        <v/>
      </c>
    </row>
    <row r="200">
      <c r="W200">
        <f>SUM(T200:V200)</f>
        <v/>
      </c>
      <c r="X200">
        <f>W200/100000</f>
        <v/>
      </c>
    </row>
    <row r="201">
      <c r="W201">
        <f>SUM(T201:V201)</f>
        <v/>
      </c>
      <c r="X201">
        <f>W201/100000</f>
        <v/>
      </c>
    </row>
    <row r="202">
      <c r="W202">
        <f>SUM(T202:V202)</f>
        <v/>
      </c>
      <c r="X202">
        <f>W202/100000</f>
        <v/>
      </c>
    </row>
    <row r="203">
      <c r="W203">
        <f>SUM(T203:V203)</f>
        <v/>
      </c>
      <c r="X203">
        <f>W203/100000</f>
        <v/>
      </c>
    </row>
    <row r="204">
      <c r="W204">
        <f>SUM(T204:V204)</f>
        <v/>
      </c>
      <c r="X204">
        <f>W204/100000</f>
        <v/>
      </c>
    </row>
    <row r="205">
      <c r="W205">
        <f>SUM(T205:V205)</f>
        <v/>
      </c>
      <c r="X205">
        <f>W205/100000</f>
        <v/>
      </c>
    </row>
    <row r="206">
      <c r="W206">
        <f>SUM(T206:V206)</f>
        <v/>
      </c>
      <c r="X206">
        <f>W206/100000</f>
        <v/>
      </c>
    </row>
    <row r="207">
      <c r="W207">
        <f>SUM(T207:V207)</f>
        <v/>
      </c>
      <c r="X207">
        <f>W207/100000</f>
        <v/>
      </c>
    </row>
    <row r="208">
      <c r="W208">
        <f>SUM(T208:V208)</f>
        <v/>
      </c>
      <c r="X208">
        <f>W208/100000</f>
        <v/>
      </c>
    </row>
    <row r="209">
      <c r="W209">
        <f>SUM(T209:V209)</f>
        <v/>
      </c>
      <c r="X209">
        <f>W209/100000</f>
        <v/>
      </c>
    </row>
    <row r="210">
      <c r="W210">
        <f>SUM(T210:V210)</f>
        <v/>
      </c>
      <c r="X210">
        <f>W210/100000</f>
        <v/>
      </c>
    </row>
    <row r="211">
      <c r="W211">
        <f>SUM(T211:V211)</f>
        <v/>
      </c>
      <c r="X211">
        <f>W211/100000</f>
        <v/>
      </c>
    </row>
    <row r="212">
      <c r="W212">
        <f>SUM(T212:V212)</f>
        <v/>
      </c>
      <c r="X212">
        <f>W212/100000</f>
        <v/>
      </c>
    </row>
    <row r="213">
      <c r="W213">
        <f>SUM(T213:V213)</f>
        <v/>
      </c>
      <c r="X213">
        <f>W213/100000</f>
        <v/>
      </c>
    </row>
    <row r="214">
      <c r="W214">
        <f>SUM(T214:V214)</f>
        <v/>
      </c>
      <c r="X214">
        <f>W214/100000</f>
        <v/>
      </c>
    </row>
    <row r="215">
      <c r="W215">
        <f>SUM(T215:V215)</f>
        <v/>
      </c>
      <c r="X215">
        <f>W215/100000</f>
        <v/>
      </c>
    </row>
    <row r="216">
      <c r="W216">
        <f>SUM(T216:V216)</f>
        <v/>
      </c>
      <c r="X216">
        <f>W216/100000</f>
        <v/>
      </c>
    </row>
    <row r="217">
      <c r="W217">
        <f>SUM(T217:V217)</f>
        <v/>
      </c>
      <c r="X217">
        <f>W217/100000</f>
        <v/>
      </c>
    </row>
    <row r="218">
      <c r="W218">
        <f>SUM(T218:V218)</f>
        <v/>
      </c>
      <c r="X218">
        <f>W218/100000</f>
        <v/>
      </c>
    </row>
    <row r="219">
      <c r="W219">
        <f>SUM(T219:V219)</f>
        <v/>
      </c>
      <c r="X219">
        <f>W219/100000</f>
        <v/>
      </c>
    </row>
    <row r="220">
      <c r="W220">
        <f>SUM(T220:V220)</f>
        <v/>
      </c>
      <c r="X220">
        <f>W220/100000</f>
        <v/>
      </c>
    </row>
    <row r="221">
      <c r="W221">
        <f>SUM(T221:V221)</f>
        <v/>
      </c>
      <c r="X221">
        <f>W221/100000</f>
        <v/>
      </c>
    </row>
    <row r="222">
      <c r="W222">
        <f>SUM(T222:V222)</f>
        <v/>
      </c>
      <c r="X222">
        <f>W222/100000</f>
        <v/>
      </c>
    </row>
    <row r="223">
      <c r="W223">
        <f>SUM(T223:V223)</f>
        <v/>
      </c>
      <c r="X223">
        <f>W223/100000</f>
        <v/>
      </c>
    </row>
    <row r="224">
      <c r="W224">
        <f>SUM(T224:V224)</f>
        <v/>
      </c>
      <c r="X224">
        <f>W224/100000</f>
        <v/>
      </c>
    </row>
    <row r="225">
      <c r="W225">
        <f>SUM(T225:V225)</f>
        <v/>
      </c>
      <c r="X225">
        <f>W225/100000</f>
        <v/>
      </c>
    </row>
    <row r="226">
      <c r="W226">
        <f>SUM(T226:V226)</f>
        <v/>
      </c>
      <c r="X226">
        <f>W226/100000</f>
        <v/>
      </c>
    </row>
    <row r="227">
      <c r="W227">
        <f>SUM(T227:V227)</f>
        <v/>
      </c>
      <c r="X227">
        <f>W227/100000</f>
        <v/>
      </c>
    </row>
    <row r="228">
      <c r="W228">
        <f>SUM(T228:V228)</f>
        <v/>
      </c>
      <c r="X228">
        <f>W228/100000</f>
        <v/>
      </c>
    </row>
    <row r="229">
      <c r="W229">
        <f>SUM(T229:V229)</f>
        <v/>
      </c>
      <c r="X229">
        <f>W229/100000</f>
        <v/>
      </c>
    </row>
    <row r="230">
      <c r="W230">
        <f>SUM(T230:V230)</f>
        <v/>
      </c>
      <c r="X230">
        <f>W230/100000</f>
        <v/>
      </c>
    </row>
    <row r="231">
      <c r="W231">
        <f>SUM(T231:V231)</f>
        <v/>
      </c>
      <c r="X231">
        <f>W231/100000</f>
        <v/>
      </c>
    </row>
    <row r="232">
      <c r="W232">
        <f>SUM(T232:V232)</f>
        <v/>
      </c>
      <c r="X232">
        <f>W232/100000</f>
        <v/>
      </c>
    </row>
    <row r="233">
      <c r="W233">
        <f>SUM(T233:V233)</f>
        <v/>
      </c>
      <c r="X233">
        <f>W233/100000</f>
        <v/>
      </c>
    </row>
    <row r="234">
      <c r="W234">
        <f>SUM(T234:V234)</f>
        <v/>
      </c>
      <c r="X234">
        <f>W234/100000</f>
        <v/>
      </c>
    </row>
    <row r="235">
      <c r="W235">
        <f>SUM(T235:V235)</f>
        <v/>
      </c>
      <c r="X235">
        <f>W235/100000</f>
        <v/>
      </c>
    </row>
    <row r="236">
      <c r="W236">
        <f>SUM(T236:V236)</f>
        <v/>
      </c>
      <c r="X236">
        <f>W236/100000</f>
        <v/>
      </c>
    </row>
    <row r="237">
      <c r="W237">
        <f>SUM(T237:V237)</f>
        <v/>
      </c>
      <c r="X237">
        <f>W237/100000</f>
        <v/>
      </c>
    </row>
    <row r="238">
      <c r="W238">
        <f>SUM(T238:V238)</f>
        <v/>
      </c>
      <c r="X238">
        <f>W238/100000</f>
        <v/>
      </c>
    </row>
    <row r="239">
      <c r="W239">
        <f>SUM(T239:V239)</f>
        <v/>
      </c>
      <c r="X239">
        <f>W239/100000</f>
        <v/>
      </c>
    </row>
    <row r="240">
      <c r="W240">
        <f>SUM(T240:V240)</f>
        <v/>
      </c>
      <c r="X240">
        <f>W240/100000</f>
        <v/>
      </c>
    </row>
    <row r="241">
      <c r="W241">
        <f>SUM(T241:V241)</f>
        <v/>
      </c>
      <c r="X241">
        <f>W241/100000</f>
        <v/>
      </c>
    </row>
    <row r="242">
      <c r="W242">
        <f>SUM(T242:V242)</f>
        <v/>
      </c>
      <c r="X242">
        <f>W242/100000</f>
        <v/>
      </c>
    </row>
    <row r="243">
      <c r="W243">
        <f>SUM(T243:V243)</f>
        <v/>
      </c>
      <c r="X243">
        <f>W243/100000</f>
        <v/>
      </c>
    </row>
    <row r="244">
      <c r="W244">
        <f>SUM(T244:V244)</f>
        <v/>
      </c>
      <c r="X244">
        <f>W244/100000</f>
        <v/>
      </c>
    </row>
    <row r="245">
      <c r="W245">
        <f>SUM(T245:V245)</f>
        <v/>
      </c>
      <c r="X245">
        <f>W245/100000</f>
        <v/>
      </c>
    </row>
    <row r="246">
      <c r="W246">
        <f>SUM(T246:V246)</f>
        <v/>
      </c>
      <c r="X246">
        <f>W246/100000</f>
        <v/>
      </c>
    </row>
    <row r="247">
      <c r="W247">
        <f>SUM(T247:V247)</f>
        <v/>
      </c>
      <c r="X247">
        <f>W247/100000</f>
        <v/>
      </c>
    </row>
    <row r="248">
      <c r="W248">
        <f>SUM(T248:V248)</f>
        <v/>
      </c>
      <c r="X248">
        <f>W248/100000</f>
        <v/>
      </c>
    </row>
    <row r="249">
      <c r="W249">
        <f>SUM(T249:V249)</f>
        <v/>
      </c>
      <c r="X249">
        <f>W249/100000</f>
        <v/>
      </c>
    </row>
    <row r="250">
      <c r="W250">
        <f>SUM(T250:V250)</f>
        <v/>
      </c>
      <c r="X250">
        <f>W250/100000</f>
        <v/>
      </c>
    </row>
    <row r="251">
      <c r="W251">
        <f>SUM(T251:V251)</f>
        <v/>
      </c>
      <c r="X251">
        <f>W251/100000</f>
        <v/>
      </c>
    </row>
    <row r="252">
      <c r="W252">
        <f>SUM(T252:V252)</f>
        <v/>
      </c>
      <c r="X252">
        <f>W252/100000</f>
        <v/>
      </c>
    </row>
    <row r="253">
      <c r="W253">
        <f>SUM(T253:V253)</f>
        <v/>
      </c>
      <c r="X253">
        <f>W253/100000</f>
        <v/>
      </c>
    </row>
    <row r="254">
      <c r="W254">
        <f>SUM(T254:V254)</f>
        <v/>
      </c>
      <c r="X254">
        <f>W254/100000</f>
        <v/>
      </c>
    </row>
    <row r="255">
      <c r="W255">
        <f>SUM(T255:V255)</f>
        <v/>
      </c>
      <c r="X255">
        <f>W255/100000</f>
        <v/>
      </c>
    </row>
    <row r="256">
      <c r="W256">
        <f>SUM(T256:V256)</f>
        <v/>
      </c>
      <c r="X256">
        <f>W256/100000</f>
        <v/>
      </c>
    </row>
    <row r="257">
      <c r="W257">
        <f>SUM(T257:V257)</f>
        <v/>
      </c>
      <c r="X257">
        <f>W257/100000</f>
        <v/>
      </c>
    </row>
    <row r="258">
      <c r="W258">
        <f>SUM(T258:V258)</f>
        <v/>
      </c>
      <c r="X258">
        <f>W258/100000</f>
        <v/>
      </c>
    </row>
    <row r="259">
      <c r="W259">
        <f>SUM(T259:V259)</f>
        <v/>
      </c>
      <c r="X259">
        <f>W259/100000</f>
        <v/>
      </c>
    </row>
    <row r="260">
      <c r="W260">
        <f>SUM(T260:V260)</f>
        <v/>
      </c>
      <c r="X260">
        <f>W260/100000</f>
        <v/>
      </c>
    </row>
    <row r="261">
      <c r="W261">
        <f>SUM(T261:V261)</f>
        <v/>
      </c>
      <c r="X261">
        <f>W261/100000</f>
        <v/>
      </c>
    </row>
    <row r="262">
      <c r="W262">
        <f>SUM(T262:V262)</f>
        <v/>
      </c>
      <c r="X262">
        <f>W262/100000</f>
        <v/>
      </c>
    </row>
    <row r="263">
      <c r="W263">
        <f>SUM(T263:V263)</f>
        <v/>
      </c>
      <c r="X263">
        <f>W263/100000</f>
        <v/>
      </c>
    </row>
    <row r="264">
      <c r="W264">
        <f>SUM(T264:V264)</f>
        <v/>
      </c>
      <c r="X264">
        <f>W264/100000</f>
        <v/>
      </c>
    </row>
    <row r="265">
      <c r="W265">
        <f>SUM(T265:V265)</f>
        <v/>
      </c>
      <c r="X265">
        <f>W265/100000</f>
        <v/>
      </c>
    </row>
    <row r="266">
      <c r="W266">
        <f>SUM(T266:V266)</f>
        <v/>
      </c>
      <c r="X266">
        <f>W266/100000</f>
        <v/>
      </c>
    </row>
    <row r="267">
      <c r="W267">
        <f>SUM(T267:V267)</f>
        <v/>
      </c>
      <c r="X267">
        <f>W267/100000</f>
        <v/>
      </c>
    </row>
    <row r="268">
      <c r="W268">
        <f>SUM(T268:V268)</f>
        <v/>
      </c>
      <c r="X268">
        <f>W268/100000</f>
        <v/>
      </c>
    </row>
    <row r="269">
      <c r="W269">
        <f>SUM(T269:V269)</f>
        <v/>
      </c>
      <c r="X269">
        <f>W269/100000</f>
        <v/>
      </c>
    </row>
    <row r="270">
      <c r="W270">
        <f>SUM(T270:V270)</f>
        <v/>
      </c>
      <c r="X270">
        <f>W270/100000</f>
        <v/>
      </c>
    </row>
    <row r="271">
      <c r="W271">
        <f>SUM(T271:V271)</f>
        <v/>
      </c>
      <c r="X271">
        <f>W271/100000</f>
        <v/>
      </c>
    </row>
    <row r="272">
      <c r="W272">
        <f>SUM(T272:V272)</f>
        <v/>
      </c>
      <c r="X272">
        <f>W272/100000</f>
        <v/>
      </c>
    </row>
    <row r="273">
      <c r="W273">
        <f>SUM(T273:V273)</f>
        <v/>
      </c>
      <c r="X273">
        <f>W273/100000</f>
        <v/>
      </c>
    </row>
    <row r="274">
      <c r="W274">
        <f>SUM(T274:V274)</f>
        <v/>
      </c>
      <c r="X274">
        <f>W274/100000</f>
        <v/>
      </c>
    </row>
    <row r="275">
      <c r="W275">
        <f>SUM(T275:V275)</f>
        <v/>
      </c>
      <c r="X275">
        <f>W275/100000</f>
        <v/>
      </c>
    </row>
    <row r="276">
      <c r="W276">
        <f>SUM(T276:V276)</f>
        <v/>
      </c>
      <c r="X276">
        <f>W276/100000</f>
        <v/>
      </c>
    </row>
    <row r="277">
      <c r="W277">
        <f>SUM(T277:V277)</f>
        <v/>
      </c>
      <c r="X277">
        <f>W277/100000</f>
        <v/>
      </c>
    </row>
    <row r="278">
      <c r="W278">
        <f>SUM(T278:V278)</f>
        <v/>
      </c>
      <c r="X278">
        <f>W278/100000</f>
        <v/>
      </c>
    </row>
    <row r="279">
      <c r="W279">
        <f>SUM(T279:V279)</f>
        <v/>
      </c>
      <c r="X279">
        <f>W279/100000</f>
        <v/>
      </c>
    </row>
    <row r="280">
      <c r="W280">
        <f>SUM(T280:V280)</f>
        <v/>
      </c>
      <c r="X280">
        <f>W280/100000</f>
        <v/>
      </c>
    </row>
    <row r="281">
      <c r="W281">
        <f>SUM(T281:V281)</f>
        <v/>
      </c>
      <c r="X281">
        <f>W281/100000</f>
        <v/>
      </c>
    </row>
    <row r="282">
      <c r="W282">
        <f>SUM(T282:V282)</f>
        <v/>
      </c>
      <c r="X282">
        <f>W282/100000</f>
        <v/>
      </c>
    </row>
    <row r="283">
      <c r="W283">
        <f>SUM(T283:V283)</f>
        <v/>
      </c>
      <c r="X283">
        <f>W283/100000</f>
        <v/>
      </c>
    </row>
    <row r="284">
      <c r="W284">
        <f>SUM(T284:V284)</f>
        <v/>
      </c>
      <c r="X284">
        <f>W284/100000</f>
        <v/>
      </c>
    </row>
    <row r="285">
      <c r="W285">
        <f>SUM(T285:V285)</f>
        <v/>
      </c>
      <c r="X285">
        <f>W285/100000</f>
        <v/>
      </c>
    </row>
    <row r="286">
      <c r="W286">
        <f>SUM(T286:V286)</f>
        <v/>
      </c>
      <c r="X286">
        <f>W286/100000</f>
        <v/>
      </c>
    </row>
    <row r="287">
      <c r="W287">
        <f>SUM(T287:V287)</f>
        <v/>
      </c>
      <c r="X287">
        <f>W287/100000</f>
        <v/>
      </c>
    </row>
    <row r="288">
      <c r="W288">
        <f>SUM(T288:V288)</f>
        <v/>
      </c>
      <c r="X288">
        <f>W288/100000</f>
        <v/>
      </c>
    </row>
    <row r="289">
      <c r="W289">
        <f>SUM(T289:V289)</f>
        <v/>
      </c>
      <c r="X289">
        <f>W289/100000</f>
        <v/>
      </c>
    </row>
    <row r="290">
      <c r="W290">
        <f>SUM(T290:V290)</f>
        <v/>
      </c>
      <c r="X290">
        <f>W290/100000</f>
        <v/>
      </c>
    </row>
    <row r="291">
      <c r="W291">
        <f>SUM(T291:V291)</f>
        <v/>
      </c>
      <c r="X291">
        <f>W291/100000</f>
        <v/>
      </c>
    </row>
    <row r="292">
      <c r="W292">
        <f>SUM(T292:V292)</f>
        <v/>
      </c>
      <c r="X292">
        <f>W292/100000</f>
        <v/>
      </c>
    </row>
    <row r="293">
      <c r="W293">
        <f>SUM(T293:V293)</f>
        <v/>
      </c>
      <c r="X293">
        <f>W293/100000</f>
        <v/>
      </c>
    </row>
    <row r="294">
      <c r="W294">
        <f>SUM(T294:V294)</f>
        <v/>
      </c>
      <c r="X294">
        <f>W294/100000</f>
        <v/>
      </c>
    </row>
    <row r="295">
      <c r="W295">
        <f>SUM(T295:V295)</f>
        <v/>
      </c>
      <c r="X295">
        <f>W295/100000</f>
        <v/>
      </c>
    </row>
    <row r="296">
      <c r="W296">
        <f>SUM(T296:V296)</f>
        <v/>
      </c>
      <c r="X296">
        <f>W296/100000</f>
        <v/>
      </c>
    </row>
    <row r="297">
      <c r="W297">
        <f>SUM(T297:V297)</f>
        <v/>
      </c>
      <c r="X297">
        <f>W297/100000</f>
        <v/>
      </c>
    </row>
    <row r="298">
      <c r="W298">
        <f>SUM(T298:V298)</f>
        <v/>
      </c>
      <c r="X298">
        <f>W298/100000</f>
        <v/>
      </c>
    </row>
    <row r="299">
      <c r="W299">
        <f>SUM(T299:V299)</f>
        <v/>
      </c>
      <c r="X299">
        <f>W299/100000</f>
        <v/>
      </c>
    </row>
    <row r="300">
      <c r="W300">
        <f>SUM(T300:V300)</f>
        <v/>
      </c>
      <c r="X300">
        <f>W300/100000</f>
        <v/>
      </c>
    </row>
    <row r="301">
      <c r="W301">
        <f>SUM(T301:V301)</f>
        <v/>
      </c>
      <c r="X301">
        <f>W301/100000</f>
        <v/>
      </c>
    </row>
    <row r="302">
      <c r="W302">
        <f>SUM(T302:V302)</f>
        <v/>
      </c>
      <c r="X302">
        <f>W302/100000</f>
        <v/>
      </c>
    </row>
    <row r="303">
      <c r="W303">
        <f>SUM(T303:V303)</f>
        <v/>
      </c>
      <c r="X303">
        <f>W303/100000</f>
        <v/>
      </c>
    </row>
    <row r="304">
      <c r="W304">
        <f>SUM(T304:V304)</f>
        <v/>
      </c>
      <c r="X304">
        <f>W304/100000</f>
        <v/>
      </c>
    </row>
    <row r="305">
      <c r="W305">
        <f>SUM(T305:V305)</f>
        <v/>
      </c>
      <c r="X305">
        <f>W305/100000</f>
        <v/>
      </c>
    </row>
    <row r="306">
      <c r="W306">
        <f>SUM(T306:V306)</f>
        <v/>
      </c>
      <c r="X306">
        <f>W306/100000</f>
        <v/>
      </c>
    </row>
    <row r="307">
      <c r="W307">
        <f>SUM(T307:V307)</f>
        <v/>
      </c>
      <c r="X307">
        <f>W307/100000</f>
        <v/>
      </c>
    </row>
    <row r="308">
      <c r="W308">
        <f>SUM(T308:V308)</f>
        <v/>
      </c>
      <c r="X308">
        <f>W308/100000</f>
        <v/>
      </c>
    </row>
    <row r="309">
      <c r="W309">
        <f>SUM(T309:V309)</f>
        <v/>
      </c>
      <c r="X309">
        <f>W309/100000</f>
        <v/>
      </c>
    </row>
    <row r="310">
      <c r="W310">
        <f>SUM(T310:V310)</f>
        <v/>
      </c>
      <c r="X310">
        <f>W310/100000</f>
        <v/>
      </c>
    </row>
    <row r="311">
      <c r="W311">
        <f>SUM(T311:V311)</f>
        <v/>
      </c>
      <c r="X311">
        <f>W311/100000</f>
        <v/>
      </c>
    </row>
    <row r="312">
      <c r="W312">
        <f>SUM(T312:V312)</f>
        <v/>
      </c>
      <c r="X312">
        <f>W312/100000</f>
        <v/>
      </c>
    </row>
    <row r="313">
      <c r="W313">
        <f>SUM(T313:V313)</f>
        <v/>
      </c>
      <c r="X313">
        <f>W313/100000</f>
        <v/>
      </c>
    </row>
    <row r="314">
      <c r="W314">
        <f>SUM(T314:V314)</f>
        <v/>
      </c>
      <c r="X314">
        <f>W314/100000</f>
        <v/>
      </c>
    </row>
    <row r="315">
      <c r="W315">
        <f>SUM(T315:V315)</f>
        <v/>
      </c>
      <c r="X315">
        <f>W315/100000</f>
        <v/>
      </c>
    </row>
    <row r="316">
      <c r="W316">
        <f>SUM(T316:V316)</f>
        <v/>
      </c>
      <c r="X316">
        <f>W316/100000</f>
        <v/>
      </c>
    </row>
    <row r="317">
      <c r="W317">
        <f>SUM(T317:V317)</f>
        <v/>
      </c>
      <c r="X317">
        <f>W317/100000</f>
        <v/>
      </c>
    </row>
    <row r="318">
      <c r="W318">
        <f>SUM(T318:V318)</f>
        <v/>
      </c>
      <c r="X318">
        <f>W318/100000</f>
        <v/>
      </c>
    </row>
    <row r="319">
      <c r="W319">
        <f>SUM(T319:V319)</f>
        <v/>
      </c>
      <c r="X319">
        <f>W319/100000</f>
        <v/>
      </c>
    </row>
    <row r="320">
      <c r="W320">
        <f>SUM(T320:V320)</f>
        <v/>
      </c>
      <c r="X320">
        <f>W320/100000</f>
        <v/>
      </c>
    </row>
    <row r="321">
      <c r="W321">
        <f>SUM(T321:V321)</f>
        <v/>
      </c>
      <c r="X321">
        <f>W321/100000</f>
        <v/>
      </c>
    </row>
    <row r="322">
      <c r="W322">
        <f>SUM(T322:V322)</f>
        <v/>
      </c>
      <c r="X322">
        <f>W322/100000</f>
        <v/>
      </c>
    </row>
    <row r="323">
      <c r="W323">
        <f>SUM(T323:V323)</f>
        <v/>
      </c>
      <c r="X323">
        <f>W323/100000</f>
        <v/>
      </c>
    </row>
    <row r="324">
      <c r="W324">
        <f>SUM(T324:V324)</f>
        <v/>
      </c>
      <c r="X324">
        <f>W324/100000</f>
        <v/>
      </c>
    </row>
    <row r="325">
      <c r="W325">
        <f>SUM(T325:V325)</f>
        <v/>
      </c>
      <c r="X325">
        <f>W325/100000</f>
        <v/>
      </c>
    </row>
    <row r="326">
      <c r="W326">
        <f>SUM(T326:V326)</f>
        <v/>
      </c>
      <c r="X326">
        <f>W326/100000</f>
        <v/>
      </c>
    </row>
    <row r="327">
      <c r="W327">
        <f>SUM(T327:V327)</f>
        <v/>
      </c>
      <c r="X327">
        <f>W327/100000</f>
        <v/>
      </c>
    </row>
    <row r="328">
      <c r="W328">
        <f>SUM(T328:V328)</f>
        <v/>
      </c>
      <c r="X328">
        <f>W328/100000</f>
        <v/>
      </c>
    </row>
    <row r="329">
      <c r="W329">
        <f>SUM(T329:V329)</f>
        <v/>
      </c>
      <c r="X329">
        <f>W329/100000</f>
        <v/>
      </c>
    </row>
    <row r="330">
      <c r="W330">
        <f>SUM(T330:V330)</f>
        <v/>
      </c>
      <c r="X330">
        <f>W330/100000</f>
        <v/>
      </c>
    </row>
    <row r="331">
      <c r="W331">
        <f>SUM(T331:V331)</f>
        <v/>
      </c>
      <c r="X331">
        <f>W331/100000</f>
        <v/>
      </c>
    </row>
    <row r="332">
      <c r="W332">
        <f>SUM(T332:V332)</f>
        <v/>
      </c>
      <c r="X332">
        <f>W332/100000</f>
        <v/>
      </c>
    </row>
    <row r="333">
      <c r="W333">
        <f>SUM(T333:V333)</f>
        <v/>
      </c>
      <c r="X333">
        <f>W333/100000</f>
        <v/>
      </c>
    </row>
    <row r="334">
      <c r="W334">
        <f>SUM(T334:V334)</f>
        <v/>
      </c>
      <c r="X334">
        <f>W334/100000</f>
        <v/>
      </c>
    </row>
    <row r="335">
      <c r="W335">
        <f>SUM(T335:V335)</f>
        <v/>
      </c>
      <c r="X335">
        <f>W335/100000</f>
        <v/>
      </c>
    </row>
    <row r="336">
      <c r="W336">
        <f>SUM(T336:V336)</f>
        <v/>
      </c>
      <c r="X336">
        <f>W336/100000</f>
        <v/>
      </c>
    </row>
    <row r="337">
      <c r="W337">
        <f>SUM(T337:V337)</f>
        <v/>
      </c>
      <c r="X337">
        <f>W337/100000</f>
        <v/>
      </c>
    </row>
    <row r="338">
      <c r="W338">
        <f>SUM(T338:V338)</f>
        <v/>
      </c>
      <c r="X338">
        <f>W338/100000</f>
        <v/>
      </c>
    </row>
    <row r="339">
      <c r="W339">
        <f>SUM(T339:V339)</f>
        <v/>
      </c>
      <c r="X339">
        <f>W339/100000</f>
        <v/>
      </c>
    </row>
    <row r="340">
      <c r="W340">
        <f>SUM(T340:V340)</f>
        <v/>
      </c>
      <c r="X340">
        <f>W340/100000</f>
        <v/>
      </c>
    </row>
    <row r="341">
      <c r="W341">
        <f>SUM(T341:V341)</f>
        <v/>
      </c>
      <c r="X341">
        <f>W341/100000</f>
        <v/>
      </c>
    </row>
    <row r="342">
      <c r="W342">
        <f>SUM(T342:V342)</f>
        <v/>
      </c>
      <c r="X342">
        <f>W342/100000</f>
        <v/>
      </c>
    </row>
    <row r="343">
      <c r="W343">
        <f>SUM(T343:V343)</f>
        <v/>
      </c>
      <c r="X343">
        <f>W343/100000</f>
        <v/>
      </c>
    </row>
    <row r="344">
      <c r="W344">
        <f>SUM(T344:V344)</f>
        <v/>
      </c>
      <c r="X344">
        <f>W344/100000</f>
        <v/>
      </c>
    </row>
    <row r="345">
      <c r="W345">
        <f>SUM(T345:V345)</f>
        <v/>
      </c>
      <c r="X345">
        <f>W345/100000</f>
        <v/>
      </c>
    </row>
    <row r="346">
      <c r="W346">
        <f>SUM(T346:V346)</f>
        <v/>
      </c>
      <c r="X346">
        <f>W346/100000</f>
        <v/>
      </c>
    </row>
    <row r="347">
      <c r="W347">
        <f>SUM(T347:V347)</f>
        <v/>
      </c>
      <c r="X347">
        <f>W347/100000</f>
        <v/>
      </c>
    </row>
    <row r="348">
      <c r="W348">
        <f>SUM(T348:V348)</f>
        <v/>
      </c>
      <c r="X348">
        <f>W348/100000</f>
        <v/>
      </c>
    </row>
    <row r="349">
      <c r="W349">
        <f>SUM(T349:V349)</f>
        <v/>
      </c>
      <c r="X349">
        <f>W349/100000</f>
        <v/>
      </c>
    </row>
    <row r="350">
      <c r="W350">
        <f>SUM(T350:V350)</f>
        <v/>
      </c>
      <c r="X350">
        <f>W350/100000</f>
        <v/>
      </c>
    </row>
    <row r="351">
      <c r="W351">
        <f>SUM(T351:V351)</f>
        <v/>
      </c>
      <c r="X351">
        <f>W351/100000</f>
        <v/>
      </c>
    </row>
    <row r="352">
      <c r="W352">
        <f>SUM(T352:V352)</f>
        <v/>
      </c>
      <c r="X352">
        <f>W352/100000</f>
        <v/>
      </c>
    </row>
    <row r="353">
      <c r="W353">
        <f>SUM(T353:V353)</f>
        <v/>
      </c>
      <c r="X353">
        <f>W353/100000</f>
        <v/>
      </c>
    </row>
    <row r="354">
      <c r="W354">
        <f>SUM(T354:V354)</f>
        <v/>
      </c>
      <c r="X354">
        <f>W354/100000</f>
        <v/>
      </c>
    </row>
    <row r="355">
      <c r="W355">
        <f>SUM(T355:V355)</f>
        <v/>
      </c>
      <c r="X355">
        <f>W355/100000</f>
        <v/>
      </c>
    </row>
    <row r="356">
      <c r="W356">
        <f>SUM(T356:V356)</f>
        <v/>
      </c>
      <c r="X356">
        <f>W356/100000</f>
        <v/>
      </c>
    </row>
    <row r="357">
      <c r="W357">
        <f>SUM(T357:V357)</f>
        <v/>
      </c>
      <c r="X357">
        <f>W357/100000</f>
        <v/>
      </c>
    </row>
    <row r="358">
      <c r="W358">
        <f>SUM(T358:V358)</f>
        <v/>
      </c>
      <c r="X358">
        <f>W358/100000</f>
        <v/>
      </c>
    </row>
    <row r="359">
      <c r="W359">
        <f>SUM(T359:V359)</f>
        <v/>
      </c>
      <c r="X359">
        <f>W359/100000</f>
        <v/>
      </c>
    </row>
    <row r="360">
      <c r="W360">
        <f>SUM(T360:V360)</f>
        <v/>
      </c>
      <c r="X360">
        <f>W360/100000</f>
        <v/>
      </c>
    </row>
    <row r="361">
      <c r="W361">
        <f>SUM(T361:V361)</f>
        <v/>
      </c>
      <c r="X361">
        <f>W361/100000</f>
        <v/>
      </c>
    </row>
    <row r="362">
      <c r="W362">
        <f>SUM(T362:V362)</f>
        <v/>
      </c>
      <c r="X362">
        <f>W362/100000</f>
        <v/>
      </c>
    </row>
    <row r="363">
      <c r="W363">
        <f>SUM(T363:V363)</f>
        <v/>
      </c>
      <c r="X363">
        <f>W363/100000</f>
        <v/>
      </c>
    </row>
    <row r="364">
      <c r="W364">
        <f>SUM(T364:V364)</f>
        <v/>
      </c>
      <c r="X364">
        <f>W364/100000</f>
        <v/>
      </c>
    </row>
    <row r="365">
      <c r="W365">
        <f>SUM(T365:V365)</f>
        <v/>
      </c>
      <c r="X365">
        <f>W365/100000</f>
        <v/>
      </c>
    </row>
    <row r="366">
      <c r="W366">
        <f>SUM(T366:V366)</f>
        <v/>
      </c>
      <c r="X366">
        <f>W366/100000</f>
        <v/>
      </c>
    </row>
    <row r="367">
      <c r="W367">
        <f>SUM(T367:V367)</f>
        <v/>
      </c>
      <c r="X367">
        <f>W367/100000</f>
        <v/>
      </c>
    </row>
    <row r="368">
      <c r="W368">
        <f>SUM(T368:V368)</f>
        <v/>
      </c>
      <c r="X368">
        <f>W368/100000</f>
        <v/>
      </c>
    </row>
    <row r="369">
      <c r="W369">
        <f>SUM(T369:V369)</f>
        <v/>
      </c>
      <c r="X369">
        <f>W369/100000</f>
        <v/>
      </c>
    </row>
    <row r="370">
      <c r="W370">
        <f>SUM(T370:V370)</f>
        <v/>
      </c>
      <c r="X370">
        <f>W370/100000</f>
        <v/>
      </c>
    </row>
    <row r="371">
      <c r="W371">
        <f>SUM(T371:V371)</f>
        <v/>
      </c>
      <c r="X371">
        <f>W371/100000</f>
        <v/>
      </c>
    </row>
    <row r="372">
      <c r="W372">
        <f>SUM(T372:V372)</f>
        <v/>
      </c>
      <c r="X372">
        <f>W372/100000</f>
        <v/>
      </c>
    </row>
    <row r="373">
      <c r="W373">
        <f>SUM(T373:V373)</f>
        <v/>
      </c>
      <c r="X373">
        <f>W373/100000</f>
        <v/>
      </c>
    </row>
    <row r="374">
      <c r="W374">
        <f>SUM(T374:V374)</f>
        <v/>
      </c>
      <c r="X374">
        <f>W374/100000</f>
        <v/>
      </c>
    </row>
    <row r="375">
      <c r="W375">
        <f>SUM(T375:V375)</f>
        <v/>
      </c>
      <c r="X375">
        <f>W375/100000</f>
        <v/>
      </c>
    </row>
    <row r="376">
      <c r="W376">
        <f>SUM(T376:V376)</f>
        <v/>
      </c>
      <c r="X376">
        <f>W376/100000</f>
        <v/>
      </c>
    </row>
    <row r="377">
      <c r="W377">
        <f>SUM(T377:V377)</f>
        <v/>
      </c>
      <c r="X377">
        <f>W377/100000</f>
        <v/>
      </c>
    </row>
    <row r="378">
      <c r="W378">
        <f>SUM(T378:V378)</f>
        <v/>
      </c>
      <c r="X378">
        <f>W378/100000</f>
        <v/>
      </c>
    </row>
    <row r="379">
      <c r="W379">
        <f>SUM(T379:V379)</f>
        <v/>
      </c>
      <c r="X379">
        <f>W379/100000</f>
        <v/>
      </c>
    </row>
    <row r="380">
      <c r="W380">
        <f>SUM(T380:V380)</f>
        <v/>
      </c>
      <c r="X380">
        <f>W380/100000</f>
        <v/>
      </c>
    </row>
    <row r="381">
      <c r="W381">
        <f>SUM(T381:V381)</f>
        <v/>
      </c>
      <c r="X381">
        <f>W381/100000</f>
        <v/>
      </c>
    </row>
    <row r="382">
      <c r="W382">
        <f>SUM(T382:V382)</f>
        <v/>
      </c>
      <c r="X382">
        <f>W382/100000</f>
        <v/>
      </c>
    </row>
    <row r="383">
      <c r="W383">
        <f>SUM(T383:V383)</f>
        <v/>
      </c>
      <c r="X383">
        <f>W383/100000</f>
        <v/>
      </c>
    </row>
    <row r="384">
      <c r="W384">
        <f>SUM(T384:V384)</f>
        <v/>
      </c>
      <c r="X384">
        <f>W384/100000</f>
        <v/>
      </c>
    </row>
    <row r="385">
      <c r="W385">
        <f>SUM(T385:V385)</f>
        <v/>
      </c>
      <c r="X385">
        <f>W385/100000</f>
        <v/>
      </c>
    </row>
    <row r="386">
      <c r="W386">
        <f>SUM(T386:V386)</f>
        <v/>
      </c>
      <c r="X386">
        <f>W386/100000</f>
        <v/>
      </c>
    </row>
    <row r="387">
      <c r="W387">
        <f>SUM(T387:V387)</f>
        <v/>
      </c>
      <c r="X387">
        <f>W387/100000</f>
        <v/>
      </c>
    </row>
    <row r="388">
      <c r="W388">
        <f>SUM(T388:V388)</f>
        <v/>
      </c>
      <c r="X388">
        <f>W388/100000</f>
        <v/>
      </c>
    </row>
    <row r="389">
      <c r="W389">
        <f>SUM(T389:V389)</f>
        <v/>
      </c>
      <c r="X389">
        <f>W389/100000</f>
        <v/>
      </c>
    </row>
    <row r="390">
      <c r="W390">
        <f>SUM(T390:V390)</f>
        <v/>
      </c>
      <c r="X390">
        <f>W390/100000</f>
        <v/>
      </c>
    </row>
    <row r="391">
      <c r="W391">
        <f>SUM(T391:V391)</f>
        <v/>
      </c>
      <c r="X391">
        <f>W391/100000</f>
        <v/>
      </c>
    </row>
    <row r="392">
      <c r="W392">
        <f>SUM(T392:V392)</f>
        <v/>
      </c>
      <c r="X392">
        <f>W392/100000</f>
        <v/>
      </c>
    </row>
    <row r="393">
      <c r="W393">
        <f>SUM(T393:V393)</f>
        <v/>
      </c>
      <c r="X393">
        <f>W393/100000</f>
        <v/>
      </c>
    </row>
    <row r="394">
      <c r="W394">
        <f>SUM(T394:V394)</f>
        <v/>
      </c>
      <c r="X394">
        <f>W394/100000</f>
        <v/>
      </c>
    </row>
    <row r="395">
      <c r="W395">
        <f>SUM(T395:V395)</f>
        <v/>
      </c>
      <c r="X395">
        <f>W395/100000</f>
        <v/>
      </c>
    </row>
    <row r="396">
      <c r="W396">
        <f>SUM(T396:V396)</f>
        <v/>
      </c>
      <c r="X396">
        <f>W396/100000</f>
        <v/>
      </c>
    </row>
    <row r="397">
      <c r="W397">
        <f>SUM(T397:V397)</f>
        <v/>
      </c>
      <c r="X397">
        <f>W397/100000</f>
        <v/>
      </c>
    </row>
    <row r="398">
      <c r="W398">
        <f>SUM(T398:V398)</f>
        <v/>
      </c>
      <c r="X398">
        <f>W398/100000</f>
        <v/>
      </c>
    </row>
    <row r="399">
      <c r="W399">
        <f>SUM(T399:V399)</f>
        <v/>
      </c>
      <c r="X399">
        <f>W399/100000</f>
        <v/>
      </c>
    </row>
    <row r="400">
      <c r="W400">
        <f>SUM(T400:V400)</f>
        <v/>
      </c>
      <c r="X400">
        <f>W400/100000</f>
        <v/>
      </c>
    </row>
    <row r="401">
      <c r="W401">
        <f>SUM(T401:V401)</f>
        <v/>
      </c>
      <c r="X401">
        <f>W401/100000</f>
        <v/>
      </c>
    </row>
    <row r="402">
      <c r="W402">
        <f>SUM(T402:V402)</f>
        <v/>
      </c>
      <c r="X402">
        <f>W402/100000</f>
        <v/>
      </c>
    </row>
    <row r="403">
      <c r="W403">
        <f>SUM(T403:V403)</f>
        <v/>
      </c>
      <c r="X403">
        <f>W403/100000</f>
        <v/>
      </c>
    </row>
    <row r="404">
      <c r="W404">
        <f>SUM(T404:V404)</f>
        <v/>
      </c>
      <c r="X404">
        <f>W404/100000</f>
        <v/>
      </c>
    </row>
    <row r="405">
      <c r="W405">
        <f>SUM(T405:V405)</f>
        <v/>
      </c>
      <c r="X405">
        <f>W405/100000</f>
        <v/>
      </c>
    </row>
    <row r="406">
      <c r="W406">
        <f>SUM(T406:V406)</f>
        <v/>
      </c>
      <c r="X406">
        <f>W406/100000</f>
        <v/>
      </c>
    </row>
    <row r="407">
      <c r="W407">
        <f>SUM(T407:V407)</f>
        <v/>
      </c>
      <c r="X407">
        <f>W407/100000</f>
        <v/>
      </c>
    </row>
    <row r="408">
      <c r="W408">
        <f>SUM(T408:V408)</f>
        <v/>
      </c>
      <c r="X408">
        <f>W408/100000</f>
        <v/>
      </c>
    </row>
    <row r="409">
      <c r="W409">
        <f>SUM(T409:V409)</f>
        <v/>
      </c>
      <c r="X409">
        <f>W409/100000</f>
        <v/>
      </c>
    </row>
    <row r="410">
      <c r="W410">
        <f>SUM(T410:V410)</f>
        <v/>
      </c>
      <c r="X410">
        <f>W410/100000</f>
        <v/>
      </c>
    </row>
    <row r="411">
      <c r="W411">
        <f>SUM(T411:V411)</f>
        <v/>
      </c>
      <c r="X411">
        <f>W411/100000</f>
        <v/>
      </c>
    </row>
    <row r="412">
      <c r="W412">
        <f>SUM(T412:V412)</f>
        <v/>
      </c>
      <c r="X412">
        <f>W412/100000</f>
        <v/>
      </c>
    </row>
    <row r="413">
      <c r="W413">
        <f>SUM(T413:V413)</f>
        <v/>
      </c>
      <c r="X413">
        <f>W413/100000</f>
        <v/>
      </c>
    </row>
    <row r="414">
      <c r="W414">
        <f>SUM(T414:V414)</f>
        <v/>
      </c>
      <c r="X414">
        <f>W414/100000</f>
        <v/>
      </c>
    </row>
    <row r="415">
      <c r="W415">
        <f>SUM(T415:V415)</f>
        <v/>
      </c>
      <c r="X415">
        <f>W415/100000</f>
        <v/>
      </c>
    </row>
    <row r="416">
      <c r="W416">
        <f>SUM(T416:V416)</f>
        <v/>
      </c>
      <c r="X416">
        <f>W416/100000</f>
        <v/>
      </c>
    </row>
    <row r="417">
      <c r="W417">
        <f>SUM(T417:V417)</f>
        <v/>
      </c>
      <c r="X417">
        <f>W417/100000</f>
        <v/>
      </c>
    </row>
    <row r="418">
      <c r="W418">
        <f>SUM(T418:V418)</f>
        <v/>
      </c>
      <c r="X418">
        <f>W418/100000</f>
        <v/>
      </c>
    </row>
    <row r="419">
      <c r="W419">
        <f>SUM(T419:V419)</f>
        <v/>
      </c>
      <c r="X419">
        <f>W419/100000</f>
        <v/>
      </c>
    </row>
    <row r="420">
      <c r="W420">
        <f>SUM(T420:V420)</f>
        <v/>
      </c>
      <c r="X420">
        <f>W420/100000</f>
        <v/>
      </c>
    </row>
    <row r="421">
      <c r="W421">
        <f>SUM(T421:V421)</f>
        <v/>
      </c>
      <c r="X421">
        <f>W421/100000</f>
        <v/>
      </c>
    </row>
    <row r="422">
      <c r="W422">
        <f>SUM(T422:V422)</f>
        <v/>
      </c>
      <c r="X422">
        <f>W422/100000</f>
        <v/>
      </c>
    </row>
    <row r="423">
      <c r="W423">
        <f>SUM(T423:V423)</f>
        <v/>
      </c>
      <c r="X423">
        <f>W423/100000</f>
        <v/>
      </c>
    </row>
    <row r="424">
      <c r="W424">
        <f>SUM(T424:V424)</f>
        <v/>
      </c>
      <c r="X424">
        <f>W424/100000</f>
        <v/>
      </c>
    </row>
    <row r="425">
      <c r="W425">
        <f>SUM(T425:V425)</f>
        <v/>
      </c>
      <c r="X425">
        <f>W425/100000</f>
        <v/>
      </c>
    </row>
    <row r="426">
      <c r="W426">
        <f>SUM(T426:V426)</f>
        <v/>
      </c>
      <c r="X426">
        <f>W426/100000</f>
        <v/>
      </c>
    </row>
    <row r="427">
      <c r="W427">
        <f>SUM(T427:V427)</f>
        <v/>
      </c>
      <c r="X427">
        <f>W427/100000</f>
        <v/>
      </c>
    </row>
    <row r="428">
      <c r="W428">
        <f>SUM(T428:V428)</f>
        <v/>
      </c>
      <c r="X428">
        <f>W428/100000</f>
        <v/>
      </c>
    </row>
    <row r="429">
      <c r="W429">
        <f>SUM(T429:V429)</f>
        <v/>
      </c>
      <c r="X429">
        <f>W429/100000</f>
        <v/>
      </c>
    </row>
    <row r="430">
      <c r="W430">
        <f>SUM(T430:V430)</f>
        <v/>
      </c>
      <c r="X430">
        <f>W430/100000</f>
        <v/>
      </c>
    </row>
    <row r="431">
      <c r="W431">
        <f>SUM(T431:V431)</f>
        <v/>
      </c>
      <c r="X431">
        <f>W431/100000</f>
        <v/>
      </c>
    </row>
    <row r="432">
      <c r="W432">
        <f>SUM(T432:V432)</f>
        <v/>
      </c>
      <c r="X432">
        <f>W432/100000</f>
        <v/>
      </c>
    </row>
    <row r="433">
      <c r="W433">
        <f>SUM(T433:V433)</f>
        <v/>
      </c>
      <c r="X433">
        <f>W433/100000</f>
        <v/>
      </c>
    </row>
    <row r="434">
      <c r="W434">
        <f>SUM(T434:V434)</f>
        <v/>
      </c>
      <c r="X434">
        <f>W434/100000</f>
        <v/>
      </c>
    </row>
    <row r="435">
      <c r="W435">
        <f>SUM(T435:V435)</f>
        <v/>
      </c>
      <c r="X435">
        <f>W435/100000</f>
        <v/>
      </c>
    </row>
    <row r="436">
      <c r="W436">
        <f>SUM(T436:V436)</f>
        <v/>
      </c>
      <c r="X436">
        <f>W436/100000</f>
        <v/>
      </c>
    </row>
    <row r="437">
      <c r="W437">
        <f>SUM(T437:V437)</f>
        <v/>
      </c>
      <c r="X437">
        <f>W437/100000</f>
        <v/>
      </c>
    </row>
    <row r="438">
      <c r="W438">
        <f>SUM(T438:V438)</f>
        <v/>
      </c>
      <c r="X438">
        <f>W438/100000</f>
        <v/>
      </c>
    </row>
    <row r="439">
      <c r="W439">
        <f>SUM(T439:V439)</f>
        <v/>
      </c>
      <c r="X439">
        <f>W439/100000</f>
        <v/>
      </c>
    </row>
    <row r="440">
      <c r="W440">
        <f>SUM(T440:V440)</f>
        <v/>
      </c>
      <c r="X440">
        <f>W440/100000</f>
        <v/>
      </c>
    </row>
    <row r="441">
      <c r="W441">
        <f>SUM(T441:V441)</f>
        <v/>
      </c>
      <c r="X441">
        <f>W441/100000</f>
        <v/>
      </c>
    </row>
    <row r="442">
      <c r="W442">
        <f>SUM(T442:V442)</f>
        <v/>
      </c>
      <c r="X442">
        <f>W442/100000</f>
        <v/>
      </c>
    </row>
    <row r="443">
      <c r="W443">
        <f>SUM(T443:V443)</f>
        <v/>
      </c>
      <c r="X443">
        <f>W443/100000</f>
        <v/>
      </c>
    </row>
    <row r="444">
      <c r="W444">
        <f>SUM(T444:V444)</f>
        <v/>
      </c>
      <c r="X444">
        <f>W444/100000</f>
        <v/>
      </c>
    </row>
    <row r="445">
      <c r="W445">
        <f>SUM(T445:V445)</f>
        <v/>
      </c>
      <c r="X445">
        <f>W445/100000</f>
        <v/>
      </c>
    </row>
    <row r="446">
      <c r="W446">
        <f>SUM(T446:V446)</f>
        <v/>
      </c>
      <c r="X446">
        <f>W446/100000</f>
        <v/>
      </c>
    </row>
    <row r="447">
      <c r="W447">
        <f>SUM(T447:V447)</f>
        <v/>
      </c>
      <c r="X447">
        <f>W447/100000</f>
        <v/>
      </c>
    </row>
    <row r="448">
      <c r="W448">
        <f>SUM(T448:V448)</f>
        <v/>
      </c>
      <c r="X448">
        <f>W448/100000</f>
        <v/>
      </c>
    </row>
    <row r="449">
      <c r="W449">
        <f>SUM(T449:V449)</f>
        <v/>
      </c>
      <c r="X449">
        <f>W449/100000</f>
        <v/>
      </c>
    </row>
    <row r="450">
      <c r="W450">
        <f>SUM(T450:V450)</f>
        <v/>
      </c>
      <c r="X450">
        <f>W450/100000</f>
        <v/>
      </c>
    </row>
    <row r="451">
      <c r="W451">
        <f>SUM(T451:V451)</f>
        <v/>
      </c>
      <c r="X451">
        <f>W451/100000</f>
        <v/>
      </c>
    </row>
    <row r="452">
      <c r="W452">
        <f>SUM(T452:V452)</f>
        <v/>
      </c>
      <c r="X452">
        <f>W452/100000</f>
        <v/>
      </c>
    </row>
    <row r="453">
      <c r="W453">
        <f>SUM(T453:V453)</f>
        <v/>
      </c>
      <c r="X453">
        <f>W453/100000</f>
        <v/>
      </c>
    </row>
    <row r="454">
      <c r="W454">
        <f>SUM(T454:V454)</f>
        <v/>
      </c>
      <c r="X454">
        <f>W454/100000</f>
        <v/>
      </c>
    </row>
    <row r="455">
      <c r="W455">
        <f>SUM(T455:V455)</f>
        <v/>
      </c>
      <c r="X455">
        <f>W455/100000</f>
        <v/>
      </c>
    </row>
    <row r="456">
      <c r="W456">
        <f>SUM(T456:V456)</f>
        <v/>
      </c>
      <c r="X456">
        <f>W456/100000</f>
        <v/>
      </c>
    </row>
    <row r="457">
      <c r="W457">
        <f>SUM(T457:V457)</f>
        <v/>
      </c>
      <c r="X457">
        <f>W457/100000</f>
        <v/>
      </c>
    </row>
    <row r="458">
      <c r="W458">
        <f>SUM(T458:V458)</f>
        <v/>
      </c>
      <c r="X458">
        <f>W458/100000</f>
        <v/>
      </c>
    </row>
    <row r="459">
      <c r="W459">
        <f>SUM(T459:V459)</f>
        <v/>
      </c>
      <c r="X459">
        <f>W459/100000</f>
        <v/>
      </c>
    </row>
    <row r="460">
      <c r="W460">
        <f>SUM(T460:V460)</f>
        <v/>
      </c>
      <c r="X460">
        <f>W460/100000</f>
        <v/>
      </c>
    </row>
    <row r="461">
      <c r="W461">
        <f>SUM(T461:V461)</f>
        <v/>
      </c>
      <c r="X461">
        <f>W461/100000</f>
        <v/>
      </c>
    </row>
    <row r="462">
      <c r="W462">
        <f>SUM(T462:V462)</f>
        <v/>
      </c>
      <c r="X462">
        <f>W462/100000</f>
        <v/>
      </c>
    </row>
    <row r="463">
      <c r="W463">
        <f>SUM(T463:V463)</f>
        <v/>
      </c>
      <c r="X463">
        <f>W463/100000</f>
        <v/>
      </c>
    </row>
    <row r="464">
      <c r="W464">
        <f>SUM(T464:V464)</f>
        <v/>
      </c>
      <c r="X464">
        <f>W464/100000</f>
        <v/>
      </c>
    </row>
    <row r="465">
      <c r="W465">
        <f>SUM(T465:V465)</f>
        <v/>
      </c>
      <c r="X465">
        <f>W465/100000</f>
        <v/>
      </c>
    </row>
    <row r="466">
      <c r="W466">
        <f>SUM(T466:V466)</f>
        <v/>
      </c>
      <c r="X466">
        <f>W466/100000</f>
        <v/>
      </c>
    </row>
    <row r="467">
      <c r="W467">
        <f>SUM(T467:V467)</f>
        <v/>
      </c>
      <c r="X467">
        <f>W467/100000</f>
        <v/>
      </c>
    </row>
    <row r="468">
      <c r="W468">
        <f>SUM(T468:V468)</f>
        <v/>
      </c>
      <c r="X468">
        <f>W468/100000</f>
        <v/>
      </c>
    </row>
    <row r="469">
      <c r="W469">
        <f>SUM(T469:V469)</f>
        <v/>
      </c>
      <c r="X469">
        <f>W469/100000</f>
        <v/>
      </c>
    </row>
    <row r="470">
      <c r="W470">
        <f>SUM(T470:V470)</f>
        <v/>
      </c>
      <c r="X470">
        <f>W470/100000</f>
        <v/>
      </c>
    </row>
    <row r="471">
      <c r="W471">
        <f>SUM(T471:V471)</f>
        <v/>
      </c>
      <c r="X471">
        <f>W471/100000</f>
        <v/>
      </c>
    </row>
    <row r="472">
      <c r="W472">
        <f>SUM(T472:V472)</f>
        <v/>
      </c>
      <c r="X472">
        <f>W472/100000</f>
        <v/>
      </c>
    </row>
    <row r="473">
      <c r="W473">
        <f>SUM(T473:V473)</f>
        <v/>
      </c>
      <c r="X473">
        <f>W473/100000</f>
        <v/>
      </c>
    </row>
    <row r="474">
      <c r="W474">
        <f>SUM(T474:V474)</f>
        <v/>
      </c>
      <c r="X474">
        <f>W474/100000</f>
        <v/>
      </c>
    </row>
    <row r="475">
      <c r="W475">
        <f>SUM(T475:V475)</f>
        <v/>
      </c>
      <c r="X475">
        <f>W475/100000</f>
        <v/>
      </c>
    </row>
    <row r="476">
      <c r="W476">
        <f>SUM(T476:V476)</f>
        <v/>
      </c>
      <c r="X476">
        <f>W476/100000</f>
        <v/>
      </c>
    </row>
    <row r="477">
      <c r="W477">
        <f>SUM(T477:V477)</f>
        <v/>
      </c>
      <c r="X477">
        <f>W477/100000</f>
        <v/>
      </c>
    </row>
    <row r="478">
      <c r="W478">
        <f>SUM(T478:V478)</f>
        <v/>
      </c>
      <c r="X478">
        <f>W478/100000</f>
        <v/>
      </c>
    </row>
    <row r="479">
      <c r="W479">
        <f>SUM(T479:V479)</f>
        <v/>
      </c>
      <c r="X479">
        <f>W479/100000</f>
        <v/>
      </c>
    </row>
    <row r="480">
      <c r="W480">
        <f>SUM(T480:V480)</f>
        <v/>
      </c>
      <c r="X480">
        <f>W480/100000</f>
        <v/>
      </c>
    </row>
    <row r="481">
      <c r="W481">
        <f>SUM(T481:V481)</f>
        <v/>
      </c>
      <c r="X481">
        <f>W481/100000</f>
        <v/>
      </c>
    </row>
    <row r="482">
      <c r="W482">
        <f>SUM(T482:V482)</f>
        <v/>
      </c>
      <c r="X482">
        <f>W482/100000</f>
        <v/>
      </c>
    </row>
    <row r="483">
      <c r="W483">
        <f>SUM(T483:V483)</f>
        <v/>
      </c>
      <c r="X483">
        <f>W483/100000</f>
        <v/>
      </c>
    </row>
    <row r="484">
      <c r="W484">
        <f>SUM(T484:V484)</f>
        <v/>
      </c>
      <c r="X484">
        <f>W484/100000</f>
        <v/>
      </c>
    </row>
    <row r="485">
      <c r="W485">
        <f>SUM(T485:V485)</f>
        <v/>
      </c>
      <c r="X485">
        <f>W485/100000</f>
        <v/>
      </c>
    </row>
    <row r="486">
      <c r="W486">
        <f>SUM(T486:V486)</f>
        <v/>
      </c>
      <c r="X486">
        <f>W486/100000</f>
        <v/>
      </c>
    </row>
    <row r="487">
      <c r="W487">
        <f>SUM(T487:V487)</f>
        <v/>
      </c>
      <c r="X487">
        <f>W487/100000</f>
        <v/>
      </c>
    </row>
    <row r="488">
      <c r="W488">
        <f>SUM(T488:V488)</f>
        <v/>
      </c>
      <c r="X488">
        <f>W488/100000</f>
        <v/>
      </c>
    </row>
    <row r="489">
      <c r="W489">
        <f>SUM(T489:V489)</f>
        <v/>
      </c>
      <c r="X489">
        <f>W489/100000</f>
        <v/>
      </c>
    </row>
    <row r="490">
      <c r="W490">
        <f>SUM(T490:V490)</f>
        <v/>
      </c>
      <c r="X490">
        <f>W490/100000</f>
        <v/>
      </c>
    </row>
    <row r="491">
      <c r="W491">
        <f>SUM(T491:V491)</f>
        <v/>
      </c>
      <c r="X491">
        <f>W491/100000</f>
        <v/>
      </c>
    </row>
    <row r="492">
      <c r="W492">
        <f>SUM(T492:V492)</f>
        <v/>
      </c>
      <c r="X492">
        <f>W492/100000</f>
        <v/>
      </c>
    </row>
    <row r="493">
      <c r="W493">
        <f>SUM(T493:V493)</f>
        <v/>
      </c>
      <c r="X493">
        <f>W493/100000</f>
        <v/>
      </c>
    </row>
    <row r="494">
      <c r="W494">
        <f>SUM(T494:V494)</f>
        <v/>
      </c>
      <c r="X494">
        <f>W494/100000</f>
        <v/>
      </c>
    </row>
    <row r="495">
      <c r="W495">
        <f>SUM(T495:V495)</f>
        <v/>
      </c>
      <c r="X495">
        <f>W495/100000</f>
        <v/>
      </c>
    </row>
    <row r="496">
      <c r="W496">
        <f>SUM(T496:V496)</f>
        <v/>
      </c>
      <c r="X496">
        <f>W496/100000</f>
        <v/>
      </c>
    </row>
    <row r="497">
      <c r="W497">
        <f>SUM(T497:V497)</f>
        <v/>
      </c>
      <c r="X497">
        <f>W497/100000</f>
        <v/>
      </c>
    </row>
    <row r="498">
      <c r="W498">
        <f>SUM(T498:V498)</f>
        <v/>
      </c>
      <c r="X498">
        <f>W498/100000</f>
        <v/>
      </c>
    </row>
    <row r="499">
      <c r="W499">
        <f>SUM(T499:V499)</f>
        <v/>
      </c>
      <c r="X499">
        <f>W499/100000</f>
        <v/>
      </c>
    </row>
    <row r="500">
      <c r="W500">
        <f>SUM(T500:V500)</f>
        <v/>
      </c>
      <c r="X500">
        <f>W500/100000</f>
        <v/>
      </c>
    </row>
    <row r="501">
      <c r="W501">
        <f>SUM(T501:V501)</f>
        <v/>
      </c>
      <c r="X501">
        <f>W501/100000</f>
        <v/>
      </c>
    </row>
    <row r="502">
      <c r="W502">
        <f>SUM(T502:V502)</f>
        <v/>
      </c>
      <c r="X502">
        <f>W502/100000</f>
        <v/>
      </c>
    </row>
    <row r="503">
      <c r="W503">
        <f>SUM(T503:V503)</f>
        <v/>
      </c>
      <c r="X503">
        <f>W503/100000</f>
        <v/>
      </c>
    </row>
    <row r="504">
      <c r="W504">
        <f>SUM(T504:V504)</f>
        <v/>
      </c>
      <c r="X504">
        <f>W504/100000</f>
        <v/>
      </c>
    </row>
    <row r="505">
      <c r="W505">
        <f>SUM(T505:V505)</f>
        <v/>
      </c>
      <c r="X505">
        <f>W505/100000</f>
        <v/>
      </c>
    </row>
    <row r="506">
      <c r="W506">
        <f>SUM(T506:V506)</f>
        <v/>
      </c>
      <c r="X506">
        <f>W506/100000</f>
        <v/>
      </c>
    </row>
    <row r="507">
      <c r="W507">
        <f>SUM(T507:V507)</f>
        <v/>
      </c>
      <c r="X507">
        <f>W507/100000</f>
        <v/>
      </c>
    </row>
    <row r="508">
      <c r="W508">
        <f>SUM(T508:V508)</f>
        <v/>
      </c>
      <c r="X508">
        <f>W508/100000</f>
        <v/>
      </c>
    </row>
    <row r="509">
      <c r="W509">
        <f>SUM(T509:V509)</f>
        <v/>
      </c>
      <c r="X509">
        <f>W509/100000</f>
        <v/>
      </c>
    </row>
    <row r="510">
      <c r="W510">
        <f>SUM(T510:V510)</f>
        <v/>
      </c>
      <c r="X510">
        <f>W510/100000</f>
        <v/>
      </c>
    </row>
    <row r="511">
      <c r="W511">
        <f>SUM(T511:V511)</f>
        <v/>
      </c>
      <c r="X511">
        <f>W511/100000</f>
        <v/>
      </c>
    </row>
    <row r="512">
      <c r="W512">
        <f>SUM(T512:V512)</f>
        <v/>
      </c>
      <c r="X512">
        <f>W512/100000</f>
        <v/>
      </c>
    </row>
    <row r="513">
      <c r="W513">
        <f>SUM(T513:V513)</f>
        <v/>
      </c>
      <c r="X513">
        <f>W513/100000</f>
        <v/>
      </c>
    </row>
    <row r="514">
      <c r="W514">
        <f>SUM(T514:V514)</f>
        <v/>
      </c>
      <c r="X514">
        <f>W514/100000</f>
        <v/>
      </c>
    </row>
    <row r="515">
      <c r="W515">
        <f>SUM(T515:V515)</f>
        <v/>
      </c>
      <c r="X515">
        <f>W515/100000</f>
        <v/>
      </c>
    </row>
    <row r="516">
      <c r="W516">
        <f>SUM(T516:V516)</f>
        <v/>
      </c>
      <c r="X516">
        <f>W516/100000</f>
        <v/>
      </c>
    </row>
    <row r="517">
      <c r="W517">
        <f>SUM(T517:V517)</f>
        <v/>
      </c>
      <c r="X517">
        <f>W517/100000</f>
        <v/>
      </c>
    </row>
    <row r="518">
      <c r="W518">
        <f>SUM(T518:V518)</f>
        <v/>
      </c>
      <c r="X518">
        <f>W518/100000</f>
        <v/>
      </c>
    </row>
    <row r="519">
      <c r="W519">
        <f>SUM(T519:V519)</f>
        <v/>
      </c>
      <c r="X519">
        <f>W519/100000</f>
        <v/>
      </c>
    </row>
    <row r="520">
      <c r="W520">
        <f>SUM(T520:V520)</f>
        <v/>
      </c>
      <c r="X520">
        <f>W520/100000</f>
        <v/>
      </c>
    </row>
    <row r="521">
      <c r="W521">
        <f>SUM(T521:V521)</f>
        <v/>
      </c>
      <c r="X521">
        <f>W521/100000</f>
        <v/>
      </c>
    </row>
    <row r="522">
      <c r="W522">
        <f>SUM(T522:V522)</f>
        <v/>
      </c>
      <c r="X522">
        <f>W522/100000</f>
        <v/>
      </c>
    </row>
    <row r="523">
      <c r="W523">
        <f>SUM(T523:V523)</f>
        <v/>
      </c>
      <c r="X523">
        <f>W523/100000</f>
        <v/>
      </c>
    </row>
    <row r="524">
      <c r="W524">
        <f>SUM(T524:V524)</f>
        <v/>
      </c>
      <c r="X524">
        <f>W524/100000</f>
        <v/>
      </c>
    </row>
    <row r="525">
      <c r="W525">
        <f>SUM(T525:V525)</f>
        <v/>
      </c>
      <c r="X525">
        <f>W525/100000</f>
        <v/>
      </c>
    </row>
    <row r="526">
      <c r="W526">
        <f>SUM(T526:V526)</f>
        <v/>
      </c>
      <c r="X526">
        <f>W526/100000</f>
        <v/>
      </c>
    </row>
    <row r="527">
      <c r="W527">
        <f>SUM(T527:V527)</f>
        <v/>
      </c>
      <c r="X527">
        <f>W527/100000</f>
        <v/>
      </c>
    </row>
    <row r="528">
      <c r="W528">
        <f>SUM(T528:V528)</f>
        <v/>
      </c>
      <c r="X528">
        <f>W528/100000</f>
        <v/>
      </c>
    </row>
    <row r="529">
      <c r="W529">
        <f>SUM(T529:V529)</f>
        <v/>
      </c>
      <c r="X529">
        <f>W529/100000</f>
        <v/>
      </c>
    </row>
    <row r="530">
      <c r="W530">
        <f>SUM(T530:V530)</f>
        <v/>
      </c>
      <c r="X530">
        <f>W530/100000</f>
        <v/>
      </c>
    </row>
    <row r="531">
      <c r="W531">
        <f>SUM(T531:V531)</f>
        <v/>
      </c>
      <c r="X531">
        <f>W531/100000</f>
        <v/>
      </c>
    </row>
    <row r="532">
      <c r="W532">
        <f>SUM(T532:V532)</f>
        <v/>
      </c>
      <c r="X532">
        <f>W532/100000</f>
        <v/>
      </c>
    </row>
    <row r="533">
      <c r="W533">
        <f>SUM(T533:V533)</f>
        <v/>
      </c>
      <c r="X533">
        <f>W533/100000</f>
        <v/>
      </c>
    </row>
    <row r="534">
      <c r="W534">
        <f>SUM(T534:V534)</f>
        <v/>
      </c>
      <c r="X534">
        <f>W534/100000</f>
        <v/>
      </c>
    </row>
    <row r="535">
      <c r="W535">
        <f>SUM(T535:V535)</f>
        <v/>
      </c>
      <c r="X535">
        <f>W535/100000</f>
        <v/>
      </c>
    </row>
    <row r="536">
      <c r="W536">
        <f>SUM(T536:V536)</f>
        <v/>
      </c>
      <c r="X536">
        <f>W536/100000</f>
        <v/>
      </c>
    </row>
    <row r="537">
      <c r="W537">
        <f>SUM(T537:V537)</f>
        <v/>
      </c>
      <c r="X537">
        <f>W537/100000</f>
        <v/>
      </c>
    </row>
    <row r="538">
      <c r="W538">
        <f>SUM(T538:V538)</f>
        <v/>
      </c>
      <c r="X538">
        <f>W538/100000</f>
        <v/>
      </c>
    </row>
    <row r="539">
      <c r="W539">
        <f>SUM(T539:V539)</f>
        <v/>
      </c>
      <c r="X539">
        <f>W539/100000</f>
        <v/>
      </c>
    </row>
    <row r="540">
      <c r="W540">
        <f>SUM(T540:V540)</f>
        <v/>
      </c>
      <c r="X540">
        <f>W540/100000</f>
        <v/>
      </c>
    </row>
    <row r="541">
      <c r="W541">
        <f>SUM(T541:V541)</f>
        <v/>
      </c>
      <c r="X541">
        <f>W541/100000</f>
        <v/>
      </c>
    </row>
    <row r="542">
      <c r="W542">
        <f>SUM(T542:V542)</f>
        <v/>
      </c>
      <c r="X542">
        <f>W542/100000</f>
        <v/>
      </c>
    </row>
    <row r="543">
      <c r="W543">
        <f>SUM(T543:V543)</f>
        <v/>
      </c>
      <c r="X543">
        <f>W543/100000</f>
        <v/>
      </c>
    </row>
    <row r="544">
      <c r="W544">
        <f>SUM(T544:V544)</f>
        <v/>
      </c>
      <c r="X544">
        <f>W544/100000</f>
        <v/>
      </c>
    </row>
    <row r="545">
      <c r="W545">
        <f>SUM(T545:V545)</f>
        <v/>
      </c>
      <c r="X545">
        <f>W545/100000</f>
        <v/>
      </c>
    </row>
    <row r="546">
      <c r="W546">
        <f>SUM(T546:V546)</f>
        <v/>
      </c>
      <c r="X546">
        <f>W546/100000</f>
        <v/>
      </c>
    </row>
    <row r="547">
      <c r="W547">
        <f>SUM(T547:V547)</f>
        <v/>
      </c>
      <c r="X547">
        <f>W547/100000</f>
        <v/>
      </c>
    </row>
    <row r="548">
      <c r="W548">
        <f>SUM(T548:V548)</f>
        <v/>
      </c>
      <c r="X548">
        <f>W548/100000</f>
        <v/>
      </c>
    </row>
    <row r="549">
      <c r="W549">
        <f>SUM(T549:V549)</f>
        <v/>
      </c>
      <c r="X549">
        <f>W549/100000</f>
        <v/>
      </c>
    </row>
    <row r="550">
      <c r="W550">
        <f>SUM(T550:V550)</f>
        <v/>
      </c>
      <c r="X550">
        <f>W550/100000</f>
        <v/>
      </c>
    </row>
    <row r="551">
      <c r="W551">
        <f>SUM(T551:V551)</f>
        <v/>
      </c>
      <c r="X551">
        <f>W551/100000</f>
        <v/>
      </c>
    </row>
    <row r="552">
      <c r="W552">
        <f>SUM(T552:V552)</f>
        <v/>
      </c>
      <c r="X552">
        <f>W552/100000</f>
        <v/>
      </c>
    </row>
    <row r="553">
      <c r="W553">
        <f>SUM(T553:V553)</f>
        <v/>
      </c>
      <c r="X553">
        <f>W553/100000</f>
        <v/>
      </c>
    </row>
    <row r="554">
      <c r="W554">
        <f>SUM(T554:V554)</f>
        <v/>
      </c>
      <c r="X554">
        <f>W554/100000</f>
        <v/>
      </c>
    </row>
    <row r="555">
      <c r="W555">
        <f>SUM(T555:V555)</f>
        <v/>
      </c>
      <c r="X555">
        <f>W555/100000</f>
        <v/>
      </c>
    </row>
    <row r="556">
      <c r="W556">
        <f>SUM(T556:V556)</f>
        <v/>
      </c>
      <c r="X556">
        <f>W556/100000</f>
        <v/>
      </c>
    </row>
    <row r="557">
      <c r="W557">
        <f>SUM(T557:V557)</f>
        <v/>
      </c>
      <c r="X557">
        <f>W557/100000</f>
        <v/>
      </c>
    </row>
    <row r="558">
      <c r="W558">
        <f>SUM(T558:V558)</f>
        <v/>
      </c>
      <c r="X558">
        <f>W558/100000</f>
        <v/>
      </c>
    </row>
    <row r="559">
      <c r="W559">
        <f>SUM(T559:V559)</f>
        <v/>
      </c>
      <c r="X559">
        <f>W559/100000</f>
        <v/>
      </c>
    </row>
    <row r="560">
      <c r="W560">
        <f>SUM(T560:V560)</f>
        <v/>
      </c>
      <c r="X560">
        <f>W560/100000</f>
        <v/>
      </c>
    </row>
    <row r="561">
      <c r="W561">
        <f>SUM(T561:V561)</f>
        <v/>
      </c>
      <c r="X561">
        <f>W561/100000</f>
        <v/>
      </c>
    </row>
    <row r="562">
      <c r="W562">
        <f>SUM(T562:V562)</f>
        <v/>
      </c>
      <c r="X562">
        <f>W562/100000</f>
        <v/>
      </c>
    </row>
    <row r="563">
      <c r="W563">
        <f>SUM(T563:V563)</f>
        <v/>
      </c>
      <c r="X563">
        <f>W563/100000</f>
        <v/>
      </c>
    </row>
    <row r="564">
      <c r="W564">
        <f>SUM(T564:V564)</f>
        <v/>
      </c>
      <c r="X564">
        <f>W564/100000</f>
        <v/>
      </c>
    </row>
    <row r="565">
      <c r="W565">
        <f>SUM(T565:V565)</f>
        <v/>
      </c>
      <c r="X565">
        <f>W565/100000</f>
        <v/>
      </c>
    </row>
    <row r="566">
      <c r="W566">
        <f>SUM(T566:V566)</f>
        <v/>
      </c>
      <c r="X566">
        <f>W566/100000</f>
        <v/>
      </c>
    </row>
    <row r="567">
      <c r="W567">
        <f>SUM(T567:V567)</f>
        <v/>
      </c>
      <c r="X567">
        <f>W567/100000</f>
        <v/>
      </c>
    </row>
    <row r="568">
      <c r="W568">
        <f>SUM(T568:V568)</f>
        <v/>
      </c>
      <c r="X568">
        <f>W568/100000</f>
        <v/>
      </c>
    </row>
    <row r="569">
      <c r="W569">
        <f>SUM(T569:V569)</f>
        <v/>
      </c>
      <c r="X569">
        <f>W569/100000</f>
        <v/>
      </c>
    </row>
    <row r="570">
      <c r="W570">
        <f>SUM(T570:V570)</f>
        <v/>
      </c>
      <c r="X570">
        <f>W570/100000</f>
        <v/>
      </c>
    </row>
    <row r="571">
      <c r="W571">
        <f>SUM(T571:V571)</f>
        <v/>
      </c>
      <c r="X571">
        <f>W571/100000</f>
        <v/>
      </c>
    </row>
    <row r="572">
      <c r="W572">
        <f>SUM(T572:V572)</f>
        <v/>
      </c>
      <c r="X572">
        <f>W572/100000</f>
        <v/>
      </c>
    </row>
    <row r="573">
      <c r="W573">
        <f>SUM(T573:V573)</f>
        <v/>
      </c>
      <c r="X573">
        <f>W573/100000</f>
        <v/>
      </c>
    </row>
    <row r="574">
      <c r="W574">
        <f>SUM(T574:V574)</f>
        <v/>
      </c>
      <c r="X574">
        <f>W574/100000</f>
        <v/>
      </c>
    </row>
    <row r="575">
      <c r="W575">
        <f>SUM(T575:V575)</f>
        <v/>
      </c>
      <c r="X575">
        <f>W575/100000</f>
        <v/>
      </c>
    </row>
    <row r="576">
      <c r="W576">
        <f>SUM(T576:V576)</f>
        <v/>
      </c>
      <c r="X576">
        <f>W576/100000</f>
        <v/>
      </c>
    </row>
    <row r="577">
      <c r="W577">
        <f>SUM(T577:V577)</f>
        <v/>
      </c>
      <c r="X577">
        <f>W577/100000</f>
        <v/>
      </c>
    </row>
    <row r="578">
      <c r="W578">
        <f>SUM(T578:V578)</f>
        <v/>
      </c>
      <c r="X578">
        <f>W578/100000</f>
        <v/>
      </c>
    </row>
    <row r="579">
      <c r="W579">
        <f>SUM(T579:V579)</f>
        <v/>
      </c>
      <c r="X579">
        <f>W579/100000</f>
        <v/>
      </c>
    </row>
    <row r="580">
      <c r="W580">
        <f>SUM(T580:V580)</f>
        <v/>
      </c>
      <c r="X580">
        <f>W580/100000</f>
        <v/>
      </c>
    </row>
    <row r="581">
      <c r="W581">
        <f>SUM(T581:V581)</f>
        <v/>
      </c>
      <c r="X581">
        <f>W581/100000</f>
        <v/>
      </c>
    </row>
    <row r="582">
      <c r="W582">
        <f>SUM(T582:V582)</f>
        <v/>
      </c>
      <c r="X582">
        <f>W582/100000</f>
        <v/>
      </c>
    </row>
    <row r="583">
      <c r="W583">
        <f>SUM(T583:V583)</f>
        <v/>
      </c>
      <c r="X583">
        <f>W583/100000</f>
        <v/>
      </c>
    </row>
    <row r="584">
      <c r="W584">
        <f>SUM(T584:V584)</f>
        <v/>
      </c>
      <c r="X584">
        <f>W584/100000</f>
        <v/>
      </c>
    </row>
    <row r="585">
      <c r="W585">
        <f>SUM(T585:V585)</f>
        <v/>
      </c>
      <c r="X585">
        <f>W585/100000</f>
        <v/>
      </c>
    </row>
    <row r="586">
      <c r="W586">
        <f>SUM(T586:V586)</f>
        <v/>
      </c>
      <c r="X586">
        <f>W586/100000</f>
        <v/>
      </c>
    </row>
    <row r="587">
      <c r="W587">
        <f>SUM(T587:V587)</f>
        <v/>
      </c>
      <c r="X587">
        <f>W587/100000</f>
        <v/>
      </c>
    </row>
    <row r="588">
      <c r="W588">
        <f>SUM(T588:V588)</f>
        <v/>
      </c>
      <c r="X588">
        <f>W588/100000</f>
        <v/>
      </c>
    </row>
    <row r="589">
      <c r="W589">
        <f>SUM(T589:V589)</f>
        <v/>
      </c>
      <c r="X589">
        <f>W589/100000</f>
        <v/>
      </c>
    </row>
    <row r="590">
      <c r="W590">
        <f>SUM(T590:V590)</f>
        <v/>
      </c>
      <c r="X590">
        <f>W590/100000</f>
        <v/>
      </c>
    </row>
    <row r="591">
      <c r="W591">
        <f>SUM(T591:V591)</f>
        <v/>
      </c>
      <c r="X591">
        <f>W591/100000</f>
        <v/>
      </c>
    </row>
    <row r="592">
      <c r="W592">
        <f>SUM(T592:V592)</f>
        <v/>
      </c>
      <c r="X592">
        <f>W592/100000</f>
        <v/>
      </c>
    </row>
    <row r="593">
      <c r="W593">
        <f>SUM(T593:V593)</f>
        <v/>
      </c>
      <c r="X593">
        <f>W593/100000</f>
        <v/>
      </c>
    </row>
    <row r="594">
      <c r="W594">
        <f>SUM(T594:V594)</f>
        <v/>
      </c>
      <c r="X594">
        <f>W594/100000</f>
        <v/>
      </c>
    </row>
    <row r="595">
      <c r="W595">
        <f>SUM(T595:V595)</f>
        <v/>
      </c>
      <c r="X595">
        <f>W595/100000</f>
        <v/>
      </c>
    </row>
    <row r="596">
      <c r="W596">
        <f>SUM(T596:V596)</f>
        <v/>
      </c>
      <c r="X596">
        <f>W596/100000</f>
        <v/>
      </c>
    </row>
    <row r="597">
      <c r="W597">
        <f>SUM(T597:V597)</f>
        <v/>
      </c>
      <c r="X597">
        <f>W597/100000</f>
        <v/>
      </c>
    </row>
    <row r="598">
      <c r="W598">
        <f>SUM(T598:V598)</f>
        <v/>
      </c>
      <c r="X598">
        <f>W598/100000</f>
        <v/>
      </c>
    </row>
    <row r="599">
      <c r="W599">
        <f>SUM(T599:V599)</f>
        <v/>
      </c>
      <c r="X599">
        <f>W599/100000</f>
        <v/>
      </c>
    </row>
    <row r="600">
      <c r="W600">
        <f>SUM(T600:V600)</f>
        <v/>
      </c>
      <c r="X600">
        <f>W600/100000</f>
        <v/>
      </c>
    </row>
    <row r="601">
      <c r="W601">
        <f>SUM(T601:V601)</f>
        <v/>
      </c>
      <c r="X601">
        <f>W601/100000</f>
        <v/>
      </c>
    </row>
    <row r="602">
      <c r="W602">
        <f>SUM(T602:V602)</f>
        <v/>
      </c>
      <c r="X602">
        <f>W602/100000</f>
        <v/>
      </c>
    </row>
    <row r="603">
      <c r="W603">
        <f>SUM(T603:V603)</f>
        <v/>
      </c>
      <c r="X603">
        <f>W603/100000</f>
        <v/>
      </c>
    </row>
    <row r="604">
      <c r="W604">
        <f>SUM(T604:V604)</f>
        <v/>
      </c>
      <c r="X604">
        <f>W604/100000</f>
        <v/>
      </c>
    </row>
    <row r="605">
      <c r="W605">
        <f>SUM(T605:V605)</f>
        <v/>
      </c>
      <c r="X605">
        <f>W605/100000</f>
        <v/>
      </c>
    </row>
    <row r="606">
      <c r="W606">
        <f>SUM(T606:V606)</f>
        <v/>
      </c>
      <c r="X606">
        <f>W606/100000</f>
        <v/>
      </c>
    </row>
    <row r="607">
      <c r="W607">
        <f>SUM(T607:V607)</f>
        <v/>
      </c>
      <c r="X607">
        <f>W607/100000</f>
        <v/>
      </c>
    </row>
    <row r="608">
      <c r="W608">
        <f>SUM(T608:V608)</f>
        <v/>
      </c>
      <c r="X608">
        <f>W608/100000</f>
        <v/>
      </c>
    </row>
    <row r="609">
      <c r="W609">
        <f>SUM(T609:V609)</f>
        <v/>
      </c>
      <c r="X609">
        <f>W609/100000</f>
        <v/>
      </c>
    </row>
    <row r="610">
      <c r="W610">
        <f>SUM(T610:V610)</f>
        <v/>
      </c>
      <c r="X610">
        <f>W610/100000</f>
        <v/>
      </c>
    </row>
    <row r="611">
      <c r="W611">
        <f>SUM(T611:V611)</f>
        <v/>
      </c>
      <c r="X611">
        <f>W611/100000</f>
        <v/>
      </c>
    </row>
    <row r="612">
      <c r="W612">
        <f>SUM(T612:V612)</f>
        <v/>
      </c>
      <c r="X612">
        <f>W612/100000</f>
        <v/>
      </c>
    </row>
    <row r="613">
      <c r="W613">
        <f>SUM(T613:V613)</f>
        <v/>
      </c>
      <c r="X613">
        <f>W613/100000</f>
        <v/>
      </c>
    </row>
    <row r="614">
      <c r="W614">
        <f>SUM(T614:V614)</f>
        <v/>
      </c>
      <c r="X614">
        <f>W614/100000</f>
        <v/>
      </c>
    </row>
    <row r="615">
      <c r="W615">
        <f>SUM(T615:V615)</f>
        <v/>
      </c>
      <c r="X615">
        <f>W615/100000</f>
        <v/>
      </c>
    </row>
    <row r="616">
      <c r="W616">
        <f>SUM(T616:V616)</f>
        <v/>
      </c>
      <c r="X616">
        <f>W616/100000</f>
        <v/>
      </c>
    </row>
    <row r="617">
      <c r="W617">
        <f>SUM(T617:V617)</f>
        <v/>
      </c>
      <c r="X617">
        <f>W617/100000</f>
        <v/>
      </c>
    </row>
    <row r="618">
      <c r="W618">
        <f>SUM(T618:V618)</f>
        <v/>
      </c>
      <c r="X618">
        <f>W618/100000</f>
        <v/>
      </c>
    </row>
    <row r="619">
      <c r="W619">
        <f>SUM(T619:V619)</f>
        <v/>
      </c>
      <c r="X619">
        <f>W619/100000</f>
        <v/>
      </c>
    </row>
    <row r="620">
      <c r="W620">
        <f>SUM(T620:V620)</f>
        <v/>
      </c>
      <c r="X620">
        <f>W620/100000</f>
        <v/>
      </c>
    </row>
    <row r="621">
      <c r="W621">
        <f>SUM(T621:V621)</f>
        <v/>
      </c>
      <c r="X621">
        <f>W621/100000</f>
        <v/>
      </c>
    </row>
    <row r="622">
      <c r="W622">
        <f>SUM(T622:V622)</f>
        <v/>
      </c>
      <c r="X622">
        <f>W622/100000</f>
        <v/>
      </c>
    </row>
    <row r="623">
      <c r="W623">
        <f>SUM(T623:V623)</f>
        <v/>
      </c>
      <c r="X623">
        <f>W623/100000</f>
        <v/>
      </c>
    </row>
    <row r="624">
      <c r="W624">
        <f>SUM(T624:V624)</f>
        <v/>
      </c>
      <c r="X624">
        <f>W624/100000</f>
        <v/>
      </c>
    </row>
    <row r="625">
      <c r="W625">
        <f>SUM(T625:V625)</f>
        <v/>
      </c>
      <c r="X625">
        <f>W625/100000</f>
        <v/>
      </c>
    </row>
    <row r="626">
      <c r="W626">
        <f>SUM(T626:V626)</f>
        <v/>
      </c>
      <c r="X626">
        <f>W626/100000</f>
        <v/>
      </c>
    </row>
    <row r="627">
      <c r="W627">
        <f>SUM(T627:V627)</f>
        <v/>
      </c>
      <c r="X627">
        <f>W627/100000</f>
        <v/>
      </c>
    </row>
    <row r="628">
      <c r="W628">
        <f>SUM(T628:V628)</f>
        <v/>
      </c>
      <c r="X628">
        <f>W628/100000</f>
        <v/>
      </c>
    </row>
    <row r="629">
      <c r="W629">
        <f>SUM(T629:V629)</f>
        <v/>
      </c>
      <c r="X629">
        <f>W629/100000</f>
        <v/>
      </c>
    </row>
    <row r="630">
      <c r="W630">
        <f>SUM(T630:V630)</f>
        <v/>
      </c>
      <c r="X630">
        <f>W630/100000</f>
        <v/>
      </c>
    </row>
    <row r="631">
      <c r="W631">
        <f>SUM(T631:V631)</f>
        <v/>
      </c>
      <c r="X631">
        <f>W631/100000</f>
        <v/>
      </c>
    </row>
    <row r="632">
      <c r="W632">
        <f>SUM(T632:V632)</f>
        <v/>
      </c>
      <c r="X632">
        <f>W632/100000</f>
        <v/>
      </c>
    </row>
    <row r="633">
      <c r="W633">
        <f>SUM(T633:V633)</f>
        <v/>
      </c>
      <c r="X633">
        <f>W633/100000</f>
        <v/>
      </c>
    </row>
    <row r="634">
      <c r="W634">
        <f>SUM(T634:V634)</f>
        <v/>
      </c>
      <c r="X634">
        <f>W634/100000</f>
        <v/>
      </c>
    </row>
    <row r="635">
      <c r="W635">
        <f>SUM(T635:V635)</f>
        <v/>
      </c>
      <c r="X635">
        <f>W635/100000</f>
        <v/>
      </c>
    </row>
    <row r="636">
      <c r="W636">
        <f>SUM(T636:V636)</f>
        <v/>
      </c>
      <c r="X636">
        <f>W636/100000</f>
        <v/>
      </c>
    </row>
    <row r="637">
      <c r="W637">
        <f>SUM(T637:V637)</f>
        <v/>
      </c>
      <c r="X637">
        <f>W637/100000</f>
        <v/>
      </c>
    </row>
    <row r="638">
      <c r="W638">
        <f>SUM(T638:V638)</f>
        <v/>
      </c>
      <c r="X638">
        <f>W638/100000</f>
        <v/>
      </c>
    </row>
    <row r="639">
      <c r="W639">
        <f>SUM(T639:V639)</f>
        <v/>
      </c>
      <c r="X639">
        <f>W639/100000</f>
        <v/>
      </c>
    </row>
    <row r="640">
      <c r="W640">
        <f>SUM(T640:V640)</f>
        <v/>
      </c>
      <c r="X640">
        <f>W640/100000</f>
        <v/>
      </c>
    </row>
    <row r="641">
      <c r="W641">
        <f>SUM(T641:V641)</f>
        <v/>
      </c>
      <c r="X641">
        <f>W641/100000</f>
        <v/>
      </c>
    </row>
    <row r="642">
      <c r="W642">
        <f>SUM(T642:V642)</f>
        <v/>
      </c>
      <c r="X642">
        <f>W642/100000</f>
        <v/>
      </c>
    </row>
    <row r="643">
      <c r="W643">
        <f>SUM(T643:V643)</f>
        <v/>
      </c>
      <c r="X643">
        <f>W643/100000</f>
        <v/>
      </c>
    </row>
    <row r="644">
      <c r="W644">
        <f>SUM(T644:V644)</f>
        <v/>
      </c>
      <c r="X644">
        <f>W644/100000</f>
        <v/>
      </c>
    </row>
    <row r="645">
      <c r="W645">
        <f>SUM(T645:V645)</f>
        <v/>
      </c>
      <c r="X645">
        <f>W645/100000</f>
        <v/>
      </c>
    </row>
    <row r="646">
      <c r="W646">
        <f>SUM(T646:V646)</f>
        <v/>
      </c>
      <c r="X646">
        <f>W646/100000</f>
        <v/>
      </c>
    </row>
    <row r="647">
      <c r="W647">
        <f>SUM(T647:V647)</f>
        <v/>
      </c>
      <c r="X647">
        <f>W647/100000</f>
        <v/>
      </c>
    </row>
    <row r="648">
      <c r="W648">
        <f>SUM(T648:V648)</f>
        <v/>
      </c>
      <c r="X648">
        <f>W648/100000</f>
        <v/>
      </c>
    </row>
    <row r="649">
      <c r="W649">
        <f>SUM(T649:V649)</f>
        <v/>
      </c>
      <c r="X649">
        <f>W649/100000</f>
        <v/>
      </c>
    </row>
    <row r="650">
      <c r="W650">
        <f>SUM(T650:V650)</f>
        <v/>
      </c>
      <c r="X650">
        <f>W650/100000</f>
        <v/>
      </c>
    </row>
    <row r="651">
      <c r="W651">
        <f>SUM(T651:V651)</f>
        <v/>
      </c>
      <c r="X651">
        <f>W651/100000</f>
        <v/>
      </c>
    </row>
    <row r="652">
      <c r="W652">
        <f>SUM(T652:V652)</f>
        <v/>
      </c>
      <c r="X652">
        <f>W652/100000</f>
        <v/>
      </c>
    </row>
    <row r="653">
      <c r="W653">
        <f>SUM(T653:V653)</f>
        <v/>
      </c>
      <c r="X653">
        <f>W653/100000</f>
        <v/>
      </c>
    </row>
    <row r="654">
      <c r="W654">
        <f>SUM(T654:V654)</f>
        <v/>
      </c>
      <c r="X654">
        <f>W654/100000</f>
        <v/>
      </c>
    </row>
    <row r="655">
      <c r="W655">
        <f>SUM(T655:V655)</f>
        <v/>
      </c>
      <c r="X655">
        <f>W655/100000</f>
        <v/>
      </c>
    </row>
    <row r="656">
      <c r="W656">
        <f>SUM(T656:V656)</f>
        <v/>
      </c>
      <c r="X656">
        <f>W656/100000</f>
        <v/>
      </c>
    </row>
    <row r="657">
      <c r="W657">
        <f>SUM(T657:V657)</f>
        <v/>
      </c>
      <c r="X657">
        <f>W657/100000</f>
        <v/>
      </c>
    </row>
    <row r="658">
      <c r="W658">
        <f>SUM(T658:V658)</f>
        <v/>
      </c>
      <c r="X658">
        <f>W658/100000</f>
        <v/>
      </c>
    </row>
    <row r="659">
      <c r="W659">
        <f>SUM(T659:V659)</f>
        <v/>
      </c>
      <c r="X659">
        <f>W659/100000</f>
        <v/>
      </c>
    </row>
    <row r="660">
      <c r="W660">
        <f>SUM(T660:V660)</f>
        <v/>
      </c>
      <c r="X660">
        <f>W660/100000</f>
        <v/>
      </c>
    </row>
    <row r="661">
      <c r="W661">
        <f>SUM(T661:V661)</f>
        <v/>
      </c>
      <c r="X661">
        <f>W661/100000</f>
        <v/>
      </c>
    </row>
    <row r="662">
      <c r="W662">
        <f>SUM(T662:V662)</f>
        <v/>
      </c>
      <c r="X662">
        <f>W662/100000</f>
        <v/>
      </c>
    </row>
    <row r="663">
      <c r="W663">
        <f>SUM(T663:V663)</f>
        <v/>
      </c>
      <c r="X663">
        <f>W663/100000</f>
        <v/>
      </c>
    </row>
    <row r="664">
      <c r="W664">
        <f>SUM(T664:V664)</f>
        <v/>
      </c>
      <c r="X664">
        <f>W664/100000</f>
        <v/>
      </c>
    </row>
    <row r="665">
      <c r="W665">
        <f>SUM(T665:V665)</f>
        <v/>
      </c>
      <c r="X665">
        <f>W665/100000</f>
        <v/>
      </c>
    </row>
    <row r="666">
      <c r="W666">
        <f>SUM(T666:V666)</f>
        <v/>
      </c>
      <c r="X666">
        <f>W666/100000</f>
        <v/>
      </c>
    </row>
    <row r="667">
      <c r="W667">
        <f>SUM(T667:V667)</f>
        <v/>
      </c>
      <c r="X667">
        <f>W667/100000</f>
        <v/>
      </c>
    </row>
    <row r="668">
      <c r="W668">
        <f>SUM(T668:V668)</f>
        <v/>
      </c>
      <c r="X668">
        <f>W668/100000</f>
        <v/>
      </c>
    </row>
    <row r="669">
      <c r="W669">
        <f>SUM(T669:V669)</f>
        <v/>
      </c>
      <c r="X669">
        <f>W669/100000</f>
        <v/>
      </c>
    </row>
    <row r="670">
      <c r="W670">
        <f>SUM(T670:V670)</f>
        <v/>
      </c>
      <c r="X670">
        <f>W670/100000</f>
        <v/>
      </c>
    </row>
    <row r="671">
      <c r="W671">
        <f>SUM(T671:V671)</f>
        <v/>
      </c>
      <c r="X671">
        <f>W671/100000</f>
        <v/>
      </c>
    </row>
    <row r="672">
      <c r="W672">
        <f>SUM(T672:V672)</f>
        <v/>
      </c>
      <c r="X672">
        <f>W672/100000</f>
        <v/>
      </c>
    </row>
    <row r="673">
      <c r="W673">
        <f>SUM(T673:V673)</f>
        <v/>
      </c>
      <c r="X673">
        <f>W673/100000</f>
        <v/>
      </c>
    </row>
    <row r="674">
      <c r="W674">
        <f>SUM(T674:V674)</f>
        <v/>
      </c>
      <c r="X674">
        <f>W674/100000</f>
        <v/>
      </c>
    </row>
    <row r="675">
      <c r="W675">
        <f>SUM(T675:V675)</f>
        <v/>
      </c>
      <c r="X675">
        <f>W675/100000</f>
        <v/>
      </c>
    </row>
    <row r="676">
      <c r="W676">
        <f>SUM(T676:V676)</f>
        <v/>
      </c>
      <c r="X676">
        <f>W676/100000</f>
        <v/>
      </c>
    </row>
    <row r="677">
      <c r="W677">
        <f>SUM(T677:V677)</f>
        <v/>
      </c>
      <c r="X677">
        <f>W677/100000</f>
        <v/>
      </c>
    </row>
    <row r="678">
      <c r="W678">
        <f>SUM(T678:V678)</f>
        <v/>
      </c>
      <c r="X678">
        <f>W678/100000</f>
        <v/>
      </c>
    </row>
    <row r="679">
      <c r="W679">
        <f>SUM(T679:V679)</f>
        <v/>
      </c>
      <c r="X679">
        <f>W679/100000</f>
        <v/>
      </c>
    </row>
    <row r="680">
      <c r="W680">
        <f>SUM(T680:V680)</f>
        <v/>
      </c>
      <c r="X680">
        <f>W680/100000</f>
        <v/>
      </c>
    </row>
    <row r="681">
      <c r="W681">
        <f>SUM(T681:V681)</f>
        <v/>
      </c>
      <c r="X681">
        <f>W681/100000</f>
        <v/>
      </c>
    </row>
    <row r="682">
      <c r="W682">
        <f>SUM(T682:V682)</f>
        <v/>
      </c>
      <c r="X682">
        <f>W682/100000</f>
        <v/>
      </c>
    </row>
    <row r="683">
      <c r="W683">
        <f>SUM(T683:V683)</f>
        <v/>
      </c>
      <c r="X683">
        <f>W683/100000</f>
        <v/>
      </c>
    </row>
    <row r="684">
      <c r="W684">
        <f>SUM(T684:V684)</f>
        <v/>
      </c>
      <c r="X684">
        <f>W684/100000</f>
        <v/>
      </c>
    </row>
    <row r="685">
      <c r="W685">
        <f>SUM(T685:V685)</f>
        <v/>
      </c>
      <c r="X685">
        <f>W685/100000</f>
        <v/>
      </c>
    </row>
    <row r="686">
      <c r="W686">
        <f>SUM(T686:V686)</f>
        <v/>
      </c>
      <c r="X686">
        <f>W686/100000</f>
        <v/>
      </c>
    </row>
    <row r="687">
      <c r="W687">
        <f>SUM(T687:V687)</f>
        <v/>
      </c>
      <c r="X687">
        <f>W687/100000</f>
        <v/>
      </c>
    </row>
    <row r="688">
      <c r="W688">
        <f>SUM(T688:V688)</f>
        <v/>
      </c>
      <c r="X688">
        <f>W688/100000</f>
        <v/>
      </c>
    </row>
    <row r="689">
      <c r="W689">
        <f>SUM(T689:V689)</f>
        <v/>
      </c>
      <c r="X689">
        <f>W689/100000</f>
        <v/>
      </c>
    </row>
    <row r="690">
      <c r="W690">
        <f>SUM(T690:V690)</f>
        <v/>
      </c>
      <c r="X690">
        <f>W690/100000</f>
        <v/>
      </c>
    </row>
    <row r="691">
      <c r="W691">
        <f>SUM(T691:V691)</f>
        <v/>
      </c>
      <c r="X691">
        <f>W691/100000</f>
        <v/>
      </c>
    </row>
    <row r="692">
      <c r="W692">
        <f>SUM(T692:V692)</f>
        <v/>
      </c>
      <c r="X692">
        <f>W692/100000</f>
        <v/>
      </c>
    </row>
    <row r="693">
      <c r="W693">
        <f>SUM(T693:V693)</f>
        <v/>
      </c>
      <c r="X693">
        <f>W693/100000</f>
        <v/>
      </c>
    </row>
    <row r="694">
      <c r="W694">
        <f>SUM(T694:V694)</f>
        <v/>
      </c>
      <c r="X694">
        <f>W694/100000</f>
        <v/>
      </c>
    </row>
    <row r="695">
      <c r="W695">
        <f>SUM(T695:V695)</f>
        <v/>
      </c>
      <c r="X695">
        <f>W695/100000</f>
        <v/>
      </c>
    </row>
    <row r="696">
      <c r="W696">
        <f>SUM(T696:V696)</f>
        <v/>
      </c>
      <c r="X696">
        <f>W696/100000</f>
        <v/>
      </c>
    </row>
    <row r="697">
      <c r="W697">
        <f>SUM(T697:V697)</f>
        <v/>
      </c>
      <c r="X697">
        <f>W697/100000</f>
        <v/>
      </c>
    </row>
    <row r="698">
      <c r="W698">
        <f>SUM(T698:V698)</f>
        <v/>
      </c>
      <c r="X698">
        <f>W698/100000</f>
        <v/>
      </c>
    </row>
    <row r="699">
      <c r="W699">
        <f>SUM(T699:V699)</f>
        <v/>
      </c>
      <c r="X699">
        <f>W699/100000</f>
        <v/>
      </c>
    </row>
    <row r="700">
      <c r="W700">
        <f>SUM(T700:V700)</f>
        <v/>
      </c>
      <c r="X700">
        <f>W700/100000</f>
        <v/>
      </c>
    </row>
    <row r="701">
      <c r="W701">
        <f>SUM(T701:V701)</f>
        <v/>
      </c>
      <c r="X701">
        <f>W701/100000</f>
        <v/>
      </c>
    </row>
    <row r="702">
      <c r="W702">
        <f>SUM(T702:V702)</f>
        <v/>
      </c>
      <c r="X702">
        <f>W702/100000</f>
        <v/>
      </c>
    </row>
    <row r="703">
      <c r="W703">
        <f>SUM(T703:V703)</f>
        <v/>
      </c>
      <c r="X703">
        <f>W703/100000</f>
        <v/>
      </c>
    </row>
    <row r="704">
      <c r="W704">
        <f>SUM(T704:V704)</f>
        <v/>
      </c>
      <c r="X704">
        <f>W704/100000</f>
        <v/>
      </c>
    </row>
    <row r="705">
      <c r="W705">
        <f>SUM(T705:V705)</f>
        <v/>
      </c>
      <c r="X705">
        <f>W705/100000</f>
        <v/>
      </c>
    </row>
    <row r="706">
      <c r="W706">
        <f>SUM(T706:V706)</f>
        <v/>
      </c>
      <c r="X706">
        <f>W706/100000</f>
        <v/>
      </c>
    </row>
    <row r="707">
      <c r="W707">
        <f>SUM(T707:V707)</f>
        <v/>
      </c>
      <c r="X707">
        <f>W707/100000</f>
        <v/>
      </c>
    </row>
    <row r="708">
      <c r="W708">
        <f>SUM(T708:V708)</f>
        <v/>
      </c>
      <c r="X708">
        <f>W708/100000</f>
        <v/>
      </c>
    </row>
    <row r="709">
      <c r="W709">
        <f>SUM(T709:V709)</f>
        <v/>
      </c>
      <c r="X709">
        <f>W709/100000</f>
        <v/>
      </c>
    </row>
    <row r="710">
      <c r="W710">
        <f>SUM(T710:V710)</f>
        <v/>
      </c>
      <c r="X710">
        <f>W710/100000</f>
        <v/>
      </c>
    </row>
    <row r="711">
      <c r="W711">
        <f>SUM(T711:V711)</f>
        <v/>
      </c>
      <c r="X711">
        <f>W711/100000</f>
        <v/>
      </c>
    </row>
    <row r="712">
      <c r="W712">
        <f>SUM(T712:V712)</f>
        <v/>
      </c>
      <c r="X712">
        <f>W712/100000</f>
        <v/>
      </c>
    </row>
    <row r="713">
      <c r="W713">
        <f>SUM(T713:V713)</f>
        <v/>
      </c>
      <c r="X713">
        <f>W713/100000</f>
        <v/>
      </c>
    </row>
    <row r="714">
      <c r="W714">
        <f>SUM(T714:V714)</f>
        <v/>
      </c>
      <c r="X714">
        <f>W714/100000</f>
        <v/>
      </c>
    </row>
    <row r="715">
      <c r="W715">
        <f>SUM(T715:V715)</f>
        <v/>
      </c>
      <c r="X715">
        <f>W715/100000</f>
        <v/>
      </c>
    </row>
    <row r="716">
      <c r="W716">
        <f>SUM(T716:V716)</f>
        <v/>
      </c>
      <c r="X716">
        <f>W716/100000</f>
        <v/>
      </c>
    </row>
    <row r="717">
      <c r="W717">
        <f>SUM(T717:V717)</f>
        <v/>
      </c>
      <c r="X717">
        <f>W717/100000</f>
        <v/>
      </c>
    </row>
    <row r="718">
      <c r="W718">
        <f>SUM(T718:V718)</f>
        <v/>
      </c>
      <c r="X718">
        <f>W718/100000</f>
        <v/>
      </c>
    </row>
    <row r="719">
      <c r="W719">
        <f>SUM(T719:V719)</f>
        <v/>
      </c>
      <c r="X719">
        <f>W719/100000</f>
        <v/>
      </c>
    </row>
    <row r="720">
      <c r="W720">
        <f>SUM(T720:V720)</f>
        <v/>
      </c>
      <c r="X720">
        <f>W720/100000</f>
        <v/>
      </c>
    </row>
    <row r="721">
      <c r="W721">
        <f>SUM(T721:V721)</f>
        <v/>
      </c>
      <c r="X721">
        <f>W721/100000</f>
        <v/>
      </c>
    </row>
    <row r="722">
      <c r="W722">
        <f>SUM(T722:V722)</f>
        <v/>
      </c>
      <c r="X722">
        <f>W722/100000</f>
        <v/>
      </c>
    </row>
    <row r="723">
      <c r="W723">
        <f>SUM(T723:V723)</f>
        <v/>
      </c>
      <c r="X723">
        <f>W723/100000</f>
        <v/>
      </c>
    </row>
    <row r="724">
      <c r="W724">
        <f>SUM(T724:V724)</f>
        <v/>
      </c>
      <c r="X724">
        <f>W724/100000</f>
        <v/>
      </c>
    </row>
    <row r="725">
      <c r="W725">
        <f>SUM(T725:V725)</f>
        <v/>
      </c>
      <c r="X725">
        <f>W725/100000</f>
        <v/>
      </c>
    </row>
    <row r="726">
      <c r="W726">
        <f>SUM(T726:V726)</f>
        <v/>
      </c>
      <c r="X726">
        <f>W726/100000</f>
        <v/>
      </c>
    </row>
    <row r="727">
      <c r="W727">
        <f>SUM(T727:V727)</f>
        <v/>
      </c>
      <c r="X727">
        <f>W727/100000</f>
        <v/>
      </c>
    </row>
    <row r="728">
      <c r="W728">
        <f>SUM(T728:V728)</f>
        <v/>
      </c>
      <c r="X728">
        <f>W728/100000</f>
        <v/>
      </c>
    </row>
    <row r="729">
      <c r="W729">
        <f>SUM(T729:V729)</f>
        <v/>
      </c>
      <c r="X729">
        <f>W729/100000</f>
        <v/>
      </c>
    </row>
    <row r="730">
      <c r="W730">
        <f>SUM(T730:V730)</f>
        <v/>
      </c>
      <c r="X730">
        <f>W730/100000</f>
        <v/>
      </c>
    </row>
    <row r="731">
      <c r="W731">
        <f>SUM(T731:V731)</f>
        <v/>
      </c>
      <c r="X731">
        <f>W731/100000</f>
        <v/>
      </c>
    </row>
    <row r="732">
      <c r="W732">
        <f>SUM(T732:V732)</f>
        <v/>
      </c>
      <c r="X732">
        <f>W732/100000</f>
        <v/>
      </c>
    </row>
    <row r="733">
      <c r="W733">
        <f>SUM(T733:V733)</f>
        <v/>
      </c>
      <c r="X733">
        <f>W733/100000</f>
        <v/>
      </c>
    </row>
    <row r="734">
      <c r="W734">
        <f>SUM(T734:V734)</f>
        <v/>
      </c>
      <c r="X734">
        <f>W734/100000</f>
        <v/>
      </c>
    </row>
    <row r="735">
      <c r="W735">
        <f>SUM(T735:V735)</f>
        <v/>
      </c>
      <c r="X735">
        <f>W735/100000</f>
        <v/>
      </c>
    </row>
    <row r="736">
      <c r="W736">
        <f>SUM(T736:V736)</f>
        <v/>
      </c>
      <c r="X736">
        <f>W736/100000</f>
        <v/>
      </c>
    </row>
    <row r="737">
      <c r="W737">
        <f>SUM(T737:V737)</f>
        <v/>
      </c>
      <c r="X737">
        <f>W737/100000</f>
        <v/>
      </c>
    </row>
    <row r="738">
      <c r="W738">
        <f>SUM(T738:V738)</f>
        <v/>
      </c>
      <c r="X738">
        <f>W738/100000</f>
        <v/>
      </c>
    </row>
    <row r="739">
      <c r="W739">
        <f>SUM(T739:V739)</f>
        <v/>
      </c>
      <c r="X739">
        <f>W739/100000</f>
        <v/>
      </c>
    </row>
    <row r="740">
      <c r="W740">
        <f>SUM(T740:V740)</f>
        <v/>
      </c>
      <c r="X740">
        <f>W740/100000</f>
        <v/>
      </c>
    </row>
    <row r="741">
      <c r="W741">
        <f>SUM(T741:V741)</f>
        <v/>
      </c>
      <c r="X741">
        <f>W741/100000</f>
        <v/>
      </c>
    </row>
    <row r="742">
      <c r="W742">
        <f>SUM(T742:V742)</f>
        <v/>
      </c>
      <c r="X742">
        <f>W742/100000</f>
        <v/>
      </c>
    </row>
    <row r="743">
      <c r="W743">
        <f>SUM(T743:V743)</f>
        <v/>
      </c>
      <c r="X743">
        <f>W743/100000</f>
        <v/>
      </c>
    </row>
    <row r="744">
      <c r="W744">
        <f>SUM(T744:V744)</f>
        <v/>
      </c>
      <c r="X744">
        <f>W744/100000</f>
        <v/>
      </c>
    </row>
    <row r="745">
      <c r="W745">
        <f>SUM(T745:V745)</f>
        <v/>
      </c>
      <c r="X745">
        <f>W745/100000</f>
        <v/>
      </c>
    </row>
    <row r="746">
      <c r="W746">
        <f>SUM(T746:V746)</f>
        <v/>
      </c>
      <c r="X746">
        <f>W746/100000</f>
        <v/>
      </c>
    </row>
    <row r="747">
      <c r="W747">
        <f>SUM(T747:V747)</f>
        <v/>
      </c>
      <c r="X747">
        <f>W747/100000</f>
        <v/>
      </c>
    </row>
    <row r="748">
      <c r="W748">
        <f>SUM(T748:V748)</f>
        <v/>
      </c>
      <c r="X748">
        <f>W748/100000</f>
        <v/>
      </c>
    </row>
    <row r="749">
      <c r="W749">
        <f>SUM(T749:V749)</f>
        <v/>
      </c>
      <c r="X749">
        <f>W749/100000</f>
        <v/>
      </c>
    </row>
    <row r="750">
      <c r="W750">
        <f>SUM(T750:V750)</f>
        <v/>
      </c>
      <c r="X750">
        <f>W750/100000</f>
        <v/>
      </c>
    </row>
    <row r="751">
      <c r="W751">
        <f>SUM(T751:V751)</f>
        <v/>
      </c>
      <c r="X751">
        <f>W751/100000</f>
        <v/>
      </c>
    </row>
    <row r="752">
      <c r="W752">
        <f>SUM(T752:V752)</f>
        <v/>
      </c>
      <c r="X752">
        <f>W752/100000</f>
        <v/>
      </c>
    </row>
    <row r="753">
      <c r="W753">
        <f>SUM(T753:V753)</f>
        <v/>
      </c>
      <c r="X753">
        <f>W753/100000</f>
        <v/>
      </c>
    </row>
    <row r="754">
      <c r="W754">
        <f>SUM(T754:V754)</f>
        <v/>
      </c>
      <c r="X754">
        <f>W754/100000</f>
        <v/>
      </c>
    </row>
    <row r="755">
      <c r="W755">
        <f>SUM(T755:V755)</f>
        <v/>
      </c>
      <c r="X755">
        <f>W755/100000</f>
        <v/>
      </c>
    </row>
    <row r="756">
      <c r="W756">
        <f>SUM(T756:V756)</f>
        <v/>
      </c>
      <c r="X756">
        <f>W756/100000</f>
        <v/>
      </c>
    </row>
    <row r="757">
      <c r="W757">
        <f>SUM(T757:V757)</f>
        <v/>
      </c>
      <c r="X757">
        <f>W757/100000</f>
        <v/>
      </c>
    </row>
    <row r="758">
      <c r="W758">
        <f>SUM(T758:V758)</f>
        <v/>
      </c>
      <c r="X758">
        <f>W758/100000</f>
        <v/>
      </c>
    </row>
    <row r="759">
      <c r="W759">
        <f>SUM(T759:V759)</f>
        <v/>
      </c>
      <c r="X759">
        <f>W759/100000</f>
        <v/>
      </c>
    </row>
    <row r="760">
      <c r="W760">
        <f>SUM(T760:V760)</f>
        <v/>
      </c>
      <c r="X760">
        <f>W760/100000</f>
        <v/>
      </c>
    </row>
    <row r="761">
      <c r="W761">
        <f>SUM(T761:V761)</f>
        <v/>
      </c>
      <c r="X761">
        <f>W761/100000</f>
        <v/>
      </c>
    </row>
    <row r="762">
      <c r="W762">
        <f>SUM(T762:V762)</f>
        <v/>
      </c>
      <c r="X762">
        <f>W762/100000</f>
        <v/>
      </c>
    </row>
    <row r="763">
      <c r="W763">
        <f>SUM(T763:V763)</f>
        <v/>
      </c>
      <c r="X763">
        <f>W763/100000</f>
        <v/>
      </c>
    </row>
    <row r="764">
      <c r="W764">
        <f>SUM(T764:V764)</f>
        <v/>
      </c>
      <c r="X764">
        <f>W764/100000</f>
        <v/>
      </c>
    </row>
    <row r="765">
      <c r="W765">
        <f>SUM(T765:V765)</f>
        <v/>
      </c>
      <c r="X765">
        <f>W765/100000</f>
        <v/>
      </c>
    </row>
    <row r="766">
      <c r="W766">
        <f>SUM(T766:V766)</f>
        <v/>
      </c>
      <c r="X766">
        <f>W766/100000</f>
        <v/>
      </c>
    </row>
    <row r="767">
      <c r="W767">
        <f>SUM(T767:V767)</f>
        <v/>
      </c>
      <c r="X767">
        <f>W767/100000</f>
        <v/>
      </c>
    </row>
    <row r="768">
      <c r="W768">
        <f>SUM(T768:V768)</f>
        <v/>
      </c>
      <c r="X768">
        <f>W768/100000</f>
        <v/>
      </c>
    </row>
    <row r="769">
      <c r="W769">
        <f>SUM(T769:V769)</f>
        <v/>
      </c>
      <c r="X769">
        <f>W769/100000</f>
        <v/>
      </c>
    </row>
    <row r="770">
      <c r="W770">
        <f>SUM(T770:V770)</f>
        <v/>
      </c>
      <c r="X770">
        <f>W770/100000</f>
        <v/>
      </c>
    </row>
    <row r="771">
      <c r="W771">
        <f>SUM(T771:V771)</f>
        <v/>
      </c>
      <c r="X771">
        <f>W771/100000</f>
        <v/>
      </c>
    </row>
    <row r="772">
      <c r="W772">
        <f>SUM(T772:V772)</f>
        <v/>
      </c>
      <c r="X772">
        <f>W772/100000</f>
        <v/>
      </c>
    </row>
    <row r="773">
      <c r="W773">
        <f>SUM(T773:V773)</f>
        <v/>
      </c>
      <c r="X773">
        <f>W773/100000</f>
        <v/>
      </c>
    </row>
    <row r="774">
      <c r="W774">
        <f>SUM(T774:V774)</f>
        <v/>
      </c>
      <c r="X774">
        <f>W774/100000</f>
        <v/>
      </c>
    </row>
    <row r="775">
      <c r="W775">
        <f>SUM(T775:V775)</f>
        <v/>
      </c>
      <c r="X775">
        <f>W775/100000</f>
        <v/>
      </c>
    </row>
    <row r="776">
      <c r="W776">
        <f>SUM(T776:V776)</f>
        <v/>
      </c>
      <c r="X776">
        <f>W776/100000</f>
        <v/>
      </c>
    </row>
    <row r="777">
      <c r="W777">
        <f>SUM(T777:V777)</f>
        <v/>
      </c>
      <c r="X777">
        <f>W777/100000</f>
        <v/>
      </c>
    </row>
    <row r="778">
      <c r="W778">
        <f>SUM(T778:V778)</f>
        <v/>
      </c>
      <c r="X778">
        <f>W778/100000</f>
        <v/>
      </c>
    </row>
    <row r="779">
      <c r="W779">
        <f>SUM(T779:V779)</f>
        <v/>
      </c>
      <c r="X779">
        <f>W779/100000</f>
        <v/>
      </c>
    </row>
    <row r="780">
      <c r="W780">
        <f>SUM(T780:V780)</f>
        <v/>
      </c>
      <c r="X780">
        <f>W780/100000</f>
        <v/>
      </c>
    </row>
    <row r="781">
      <c r="W781">
        <f>SUM(T781:V781)</f>
        <v/>
      </c>
      <c r="X781">
        <f>W781/100000</f>
        <v/>
      </c>
    </row>
    <row r="782">
      <c r="W782">
        <f>SUM(T782:V782)</f>
        <v/>
      </c>
      <c r="X782">
        <f>W782/100000</f>
        <v/>
      </c>
    </row>
    <row r="783">
      <c r="W783">
        <f>SUM(T783:V783)</f>
        <v/>
      </c>
      <c r="X783">
        <f>W783/100000</f>
        <v/>
      </c>
    </row>
    <row r="784">
      <c r="W784">
        <f>SUM(T784:V784)</f>
        <v/>
      </c>
      <c r="X784">
        <f>W784/100000</f>
        <v/>
      </c>
    </row>
    <row r="785">
      <c r="W785">
        <f>SUM(T785:V785)</f>
        <v/>
      </c>
      <c r="X785">
        <f>W785/100000</f>
        <v/>
      </c>
    </row>
    <row r="786">
      <c r="W786">
        <f>SUM(T786:V786)</f>
        <v/>
      </c>
      <c r="X786">
        <f>W786/100000</f>
        <v/>
      </c>
    </row>
    <row r="787">
      <c r="W787">
        <f>SUM(T787:V787)</f>
        <v/>
      </c>
      <c r="X787">
        <f>W787/100000</f>
        <v/>
      </c>
    </row>
    <row r="788">
      <c r="W788">
        <f>SUM(T788:V788)</f>
        <v/>
      </c>
      <c r="X788">
        <f>W788/100000</f>
        <v/>
      </c>
    </row>
    <row r="789">
      <c r="W789">
        <f>SUM(T789:V789)</f>
        <v/>
      </c>
      <c r="X789">
        <f>W789/100000</f>
        <v/>
      </c>
    </row>
    <row r="790">
      <c r="W790">
        <f>SUM(T790:V790)</f>
        <v/>
      </c>
      <c r="X790">
        <f>W790/100000</f>
        <v/>
      </c>
    </row>
    <row r="791">
      <c r="W791">
        <f>SUM(T791:V791)</f>
        <v/>
      </c>
      <c r="X791">
        <f>W791/100000</f>
        <v/>
      </c>
    </row>
    <row r="792">
      <c r="W792">
        <f>SUM(T792:V792)</f>
        <v/>
      </c>
      <c r="X792">
        <f>W792/100000</f>
        <v/>
      </c>
    </row>
    <row r="793">
      <c r="W793">
        <f>SUM(T793:V793)</f>
        <v/>
      </c>
      <c r="X793">
        <f>W793/100000</f>
        <v/>
      </c>
    </row>
    <row r="794">
      <c r="W794">
        <f>SUM(T794:V794)</f>
        <v/>
      </c>
      <c r="X794">
        <f>W794/100000</f>
        <v/>
      </c>
    </row>
    <row r="795">
      <c r="W795">
        <f>SUM(T795:V795)</f>
        <v/>
      </c>
      <c r="X795">
        <f>W795/100000</f>
        <v/>
      </c>
    </row>
    <row r="796">
      <c r="W796">
        <f>SUM(T796:V796)</f>
        <v/>
      </c>
      <c r="X796">
        <f>W796/100000</f>
        <v/>
      </c>
    </row>
    <row r="797">
      <c r="W797">
        <f>SUM(T797:V797)</f>
        <v/>
      </c>
      <c r="X797">
        <f>W797/100000</f>
        <v/>
      </c>
    </row>
    <row r="798">
      <c r="W798">
        <f>SUM(T798:V798)</f>
        <v/>
      </c>
      <c r="X798">
        <f>W798/100000</f>
        <v/>
      </c>
    </row>
    <row r="799">
      <c r="W799">
        <f>SUM(T799:V799)</f>
        <v/>
      </c>
      <c r="X799">
        <f>W799/100000</f>
        <v/>
      </c>
    </row>
    <row r="800">
      <c r="W800">
        <f>SUM(T800:V800)</f>
        <v/>
      </c>
      <c r="X800">
        <f>W800/100000</f>
        <v/>
      </c>
    </row>
    <row r="801">
      <c r="W801">
        <f>SUM(T801:V801)</f>
        <v/>
      </c>
      <c r="X801">
        <f>W801/100000</f>
        <v/>
      </c>
    </row>
    <row r="802">
      <c r="W802">
        <f>SUM(T802:V802)</f>
        <v/>
      </c>
      <c r="X802">
        <f>W802/100000</f>
        <v/>
      </c>
    </row>
    <row r="803">
      <c r="W803">
        <f>SUM(T803:V803)</f>
        <v/>
      </c>
      <c r="X803">
        <f>W803/100000</f>
        <v/>
      </c>
    </row>
    <row r="804">
      <c r="W804">
        <f>SUM(T804:V804)</f>
        <v/>
      </c>
      <c r="X804">
        <f>W804/100000</f>
        <v/>
      </c>
    </row>
    <row r="805">
      <c r="W805">
        <f>SUM(T805:V805)</f>
        <v/>
      </c>
      <c r="X805">
        <f>W805/100000</f>
        <v/>
      </c>
    </row>
    <row r="806">
      <c r="W806">
        <f>SUM(T806:V806)</f>
        <v/>
      </c>
      <c r="X806">
        <f>W806/100000</f>
        <v/>
      </c>
    </row>
    <row r="807">
      <c r="W807">
        <f>SUM(T807:V807)</f>
        <v/>
      </c>
      <c r="X807">
        <f>W807/100000</f>
        <v/>
      </c>
    </row>
    <row r="808">
      <c r="W808">
        <f>SUM(T808:V808)</f>
        <v/>
      </c>
      <c r="X808">
        <f>W808/100000</f>
        <v/>
      </c>
    </row>
    <row r="809">
      <c r="W809">
        <f>SUM(T809:V809)</f>
        <v/>
      </c>
      <c r="X809">
        <f>W809/100000</f>
        <v/>
      </c>
    </row>
    <row r="810">
      <c r="W810">
        <f>SUM(T810:V810)</f>
        <v/>
      </c>
      <c r="X810">
        <f>W810/100000</f>
        <v/>
      </c>
    </row>
    <row r="811">
      <c r="W811">
        <f>SUM(T811:V811)</f>
        <v/>
      </c>
      <c r="X811">
        <f>W811/100000</f>
        <v/>
      </c>
    </row>
    <row r="812">
      <c r="W812">
        <f>SUM(T812:V812)</f>
        <v/>
      </c>
      <c r="X812">
        <f>W812/100000</f>
        <v/>
      </c>
    </row>
    <row r="813">
      <c r="W813">
        <f>SUM(T813:V813)</f>
        <v/>
      </c>
      <c r="X813">
        <f>W813/100000</f>
        <v/>
      </c>
    </row>
    <row r="814">
      <c r="W814">
        <f>SUM(T814:V814)</f>
        <v/>
      </c>
      <c r="X814">
        <f>W814/100000</f>
        <v/>
      </c>
    </row>
    <row r="815">
      <c r="W815">
        <f>SUM(T815:V815)</f>
        <v/>
      </c>
      <c r="X815">
        <f>W815/100000</f>
        <v/>
      </c>
    </row>
    <row r="816">
      <c r="W816">
        <f>SUM(T816:V816)</f>
        <v/>
      </c>
      <c r="X816">
        <f>W816/100000</f>
        <v/>
      </c>
    </row>
    <row r="817">
      <c r="W817">
        <f>SUM(T817:V817)</f>
        <v/>
      </c>
      <c r="X817">
        <f>W817/100000</f>
        <v/>
      </c>
    </row>
    <row r="818">
      <c r="W818">
        <f>SUM(T818:V818)</f>
        <v/>
      </c>
      <c r="X818">
        <f>W818/100000</f>
        <v/>
      </c>
    </row>
    <row r="819">
      <c r="W819">
        <f>SUM(T819:V819)</f>
        <v/>
      </c>
      <c r="X819">
        <f>W819/100000</f>
        <v/>
      </c>
    </row>
    <row r="820">
      <c r="W820">
        <f>SUM(T820:V820)</f>
        <v/>
      </c>
      <c r="X820">
        <f>W820/100000</f>
        <v/>
      </c>
    </row>
    <row r="821">
      <c r="W821">
        <f>SUM(T821:V821)</f>
        <v/>
      </c>
      <c r="X821">
        <f>W821/100000</f>
        <v/>
      </c>
    </row>
    <row r="822">
      <c r="W822">
        <f>SUM(T822:V822)</f>
        <v/>
      </c>
      <c r="X822">
        <f>W822/100000</f>
        <v/>
      </c>
    </row>
    <row r="823">
      <c r="W823">
        <f>SUM(T823:V823)</f>
        <v/>
      </c>
      <c r="X823">
        <f>W823/100000</f>
        <v/>
      </c>
    </row>
    <row r="824">
      <c r="W824">
        <f>SUM(T824:V824)</f>
        <v/>
      </c>
      <c r="X824">
        <f>W824/100000</f>
        <v/>
      </c>
    </row>
    <row r="825">
      <c r="W825">
        <f>SUM(T825:V825)</f>
        <v/>
      </c>
      <c r="X825">
        <f>W825/100000</f>
        <v/>
      </c>
    </row>
    <row r="826">
      <c r="W826">
        <f>SUM(T826:V826)</f>
        <v/>
      </c>
      <c r="X826">
        <f>W826/100000</f>
        <v/>
      </c>
    </row>
    <row r="827">
      <c r="W827">
        <f>SUM(T827:V827)</f>
        <v/>
      </c>
      <c r="X827">
        <f>W827/100000</f>
        <v/>
      </c>
    </row>
    <row r="828">
      <c r="W828">
        <f>SUM(T828:V828)</f>
        <v/>
      </c>
      <c r="X828">
        <f>W828/100000</f>
        <v/>
      </c>
    </row>
    <row r="829">
      <c r="W829">
        <f>SUM(T829:V829)</f>
        <v/>
      </c>
      <c r="X829">
        <f>W829/100000</f>
        <v/>
      </c>
    </row>
    <row r="830">
      <c r="W830">
        <f>SUM(T830:V830)</f>
        <v/>
      </c>
      <c r="X830">
        <f>W830/100000</f>
        <v/>
      </c>
    </row>
    <row r="831">
      <c r="W831">
        <f>SUM(T831:V831)</f>
        <v/>
      </c>
      <c r="X831">
        <f>W831/100000</f>
        <v/>
      </c>
    </row>
    <row r="832">
      <c r="W832">
        <f>SUM(T832:V832)</f>
        <v/>
      </c>
      <c r="X832">
        <f>W832/100000</f>
        <v/>
      </c>
    </row>
    <row r="833">
      <c r="W833">
        <f>SUM(T833:V833)</f>
        <v/>
      </c>
      <c r="X833">
        <f>W833/100000</f>
        <v/>
      </c>
    </row>
    <row r="834">
      <c r="W834">
        <f>SUM(T834:V834)</f>
        <v/>
      </c>
      <c r="X834">
        <f>W834/100000</f>
        <v/>
      </c>
    </row>
    <row r="835">
      <c r="W835">
        <f>SUM(T835:V835)</f>
        <v/>
      </c>
      <c r="X835">
        <f>W835/100000</f>
        <v/>
      </c>
    </row>
    <row r="836">
      <c r="W836">
        <f>SUM(T836:V836)</f>
        <v/>
      </c>
      <c r="X836">
        <f>W836/100000</f>
        <v/>
      </c>
    </row>
    <row r="837">
      <c r="W837">
        <f>SUM(T837:V837)</f>
        <v/>
      </c>
      <c r="X837">
        <f>W837/100000</f>
        <v/>
      </c>
    </row>
    <row r="838">
      <c r="W838">
        <f>SUM(T838:V838)</f>
        <v/>
      </c>
      <c r="X838">
        <f>W838/100000</f>
        <v/>
      </c>
    </row>
    <row r="839">
      <c r="W839">
        <f>SUM(T839:V839)</f>
        <v/>
      </c>
      <c r="X839">
        <f>W839/100000</f>
        <v/>
      </c>
    </row>
    <row r="840">
      <c r="W840">
        <f>SUM(T840:V840)</f>
        <v/>
      </c>
      <c r="X840">
        <f>W840/100000</f>
        <v/>
      </c>
    </row>
    <row r="841">
      <c r="W841">
        <f>SUM(T841:V841)</f>
        <v/>
      </c>
      <c r="X841">
        <f>W841/100000</f>
        <v/>
      </c>
    </row>
    <row r="842">
      <c r="W842">
        <f>SUM(T842:V842)</f>
        <v/>
      </c>
      <c r="X842">
        <f>W842/100000</f>
        <v/>
      </c>
    </row>
    <row r="843">
      <c r="W843">
        <f>SUM(T843:V843)</f>
        <v/>
      </c>
      <c r="X843">
        <f>W843/100000</f>
        <v/>
      </c>
    </row>
    <row r="844">
      <c r="W844">
        <f>SUM(T844:V844)</f>
        <v/>
      </c>
      <c r="X844">
        <f>W844/100000</f>
        <v/>
      </c>
    </row>
    <row r="845">
      <c r="W845">
        <f>SUM(T845:V845)</f>
        <v/>
      </c>
      <c r="X845">
        <f>W845/100000</f>
        <v/>
      </c>
    </row>
    <row r="846">
      <c r="W846">
        <f>SUM(T846:V846)</f>
        <v/>
      </c>
      <c r="X846">
        <f>W846/100000</f>
        <v/>
      </c>
    </row>
    <row r="847">
      <c r="W847">
        <f>SUM(T847:V847)</f>
        <v/>
      </c>
      <c r="X847">
        <f>W847/100000</f>
        <v/>
      </c>
    </row>
    <row r="848">
      <c r="W848">
        <f>SUM(T848:V848)</f>
        <v/>
      </c>
      <c r="X848">
        <f>W848/100000</f>
        <v/>
      </c>
    </row>
    <row r="849">
      <c r="W849">
        <f>SUM(T849:V849)</f>
        <v/>
      </c>
      <c r="X849">
        <f>W849/100000</f>
        <v/>
      </c>
    </row>
    <row r="850">
      <c r="W850">
        <f>SUM(T850:V850)</f>
        <v/>
      </c>
      <c r="X850">
        <f>W850/100000</f>
        <v/>
      </c>
    </row>
    <row r="851">
      <c r="W851">
        <f>SUM(T851:V851)</f>
        <v/>
      </c>
      <c r="X851">
        <f>W851/100000</f>
        <v/>
      </c>
    </row>
    <row r="852">
      <c r="W852">
        <f>SUM(T852:V852)</f>
        <v/>
      </c>
      <c r="X852">
        <f>W852/100000</f>
        <v/>
      </c>
    </row>
    <row r="853">
      <c r="W853">
        <f>SUM(T853:V853)</f>
        <v/>
      </c>
      <c r="X853">
        <f>W853/100000</f>
        <v/>
      </c>
    </row>
    <row r="854">
      <c r="W854">
        <f>SUM(T854:V854)</f>
        <v/>
      </c>
      <c r="X854">
        <f>W854/100000</f>
        <v/>
      </c>
    </row>
    <row r="855">
      <c r="W855">
        <f>SUM(T855:V855)</f>
        <v/>
      </c>
      <c r="X855">
        <f>W855/100000</f>
        <v/>
      </c>
    </row>
    <row r="856">
      <c r="W856">
        <f>SUM(T856:V856)</f>
        <v/>
      </c>
      <c r="X856">
        <f>W856/100000</f>
        <v/>
      </c>
    </row>
    <row r="857">
      <c r="W857">
        <f>SUM(T857:V857)</f>
        <v/>
      </c>
      <c r="X857">
        <f>W857/100000</f>
        <v/>
      </c>
    </row>
    <row r="858">
      <c r="W858">
        <f>SUM(T858:V858)</f>
        <v/>
      </c>
      <c r="X858">
        <f>W858/100000</f>
        <v/>
      </c>
    </row>
    <row r="859">
      <c r="W859">
        <f>SUM(T859:V859)</f>
        <v/>
      </c>
      <c r="X859">
        <f>W859/100000</f>
        <v/>
      </c>
    </row>
    <row r="860">
      <c r="W860">
        <f>SUM(T860:V860)</f>
        <v/>
      </c>
      <c r="X860">
        <f>W860/100000</f>
        <v/>
      </c>
    </row>
    <row r="861">
      <c r="W861">
        <f>SUM(T861:V861)</f>
        <v/>
      </c>
      <c r="X861">
        <f>W861/100000</f>
        <v/>
      </c>
    </row>
    <row r="862">
      <c r="W862">
        <f>SUM(T862:V862)</f>
        <v/>
      </c>
      <c r="X862">
        <f>W862/100000</f>
        <v/>
      </c>
    </row>
    <row r="863">
      <c r="W863">
        <f>SUM(T863:V863)</f>
        <v/>
      </c>
      <c r="X863">
        <f>W863/100000</f>
        <v/>
      </c>
    </row>
    <row r="864">
      <c r="W864">
        <f>SUM(T864:V864)</f>
        <v/>
      </c>
      <c r="X864">
        <f>W864/100000</f>
        <v/>
      </c>
    </row>
    <row r="865">
      <c r="W865">
        <f>SUM(T865:V865)</f>
        <v/>
      </c>
      <c r="X865">
        <f>W865/100000</f>
        <v/>
      </c>
    </row>
    <row r="866">
      <c r="W866">
        <f>SUM(T866:V866)</f>
        <v/>
      </c>
      <c r="X866">
        <f>W866/100000</f>
        <v/>
      </c>
    </row>
    <row r="867">
      <c r="W867">
        <f>SUM(T867:V867)</f>
        <v/>
      </c>
      <c r="X867">
        <f>W867/100000</f>
        <v/>
      </c>
    </row>
    <row r="868">
      <c r="W868">
        <f>SUM(T868:V868)</f>
        <v/>
      </c>
      <c r="X868">
        <f>W868/100000</f>
        <v/>
      </c>
    </row>
    <row r="869">
      <c r="W869">
        <f>SUM(T869:V869)</f>
        <v/>
      </c>
      <c r="X869">
        <f>W869/100000</f>
        <v/>
      </c>
    </row>
    <row r="870">
      <c r="W870">
        <f>SUM(T870:V870)</f>
        <v/>
      </c>
      <c r="X870">
        <f>W870/100000</f>
        <v/>
      </c>
    </row>
    <row r="871">
      <c r="W871">
        <f>SUM(T871:V871)</f>
        <v/>
      </c>
      <c r="X871">
        <f>W871/100000</f>
        <v/>
      </c>
    </row>
    <row r="872">
      <c r="W872">
        <f>SUM(T872:V872)</f>
        <v/>
      </c>
      <c r="X872">
        <f>W872/100000</f>
        <v/>
      </c>
    </row>
    <row r="873">
      <c r="W873">
        <f>SUM(T873:V873)</f>
        <v/>
      </c>
      <c r="X873">
        <f>W873/100000</f>
        <v/>
      </c>
    </row>
    <row r="874">
      <c r="W874">
        <f>SUM(T874:V874)</f>
        <v/>
      </c>
      <c r="X874">
        <f>W874/100000</f>
        <v/>
      </c>
    </row>
    <row r="875">
      <c r="W875">
        <f>SUM(T875:V875)</f>
        <v/>
      </c>
      <c r="X875">
        <f>W875/100000</f>
        <v/>
      </c>
    </row>
    <row r="876">
      <c r="W876">
        <f>SUM(T876:V876)</f>
        <v/>
      </c>
      <c r="X876">
        <f>W876/100000</f>
        <v/>
      </c>
    </row>
    <row r="877">
      <c r="W877">
        <f>SUM(T877:V877)</f>
        <v/>
      </c>
      <c r="X877">
        <f>W877/100000</f>
        <v/>
      </c>
    </row>
    <row r="878">
      <c r="W878">
        <f>SUM(T878:V878)</f>
        <v/>
      </c>
      <c r="X878">
        <f>W878/100000</f>
        <v/>
      </c>
    </row>
    <row r="879">
      <c r="W879">
        <f>SUM(T879:V879)</f>
        <v/>
      </c>
      <c r="X879">
        <f>W879/100000</f>
        <v/>
      </c>
    </row>
    <row r="880">
      <c r="W880">
        <f>SUM(T880:V880)</f>
        <v/>
      </c>
      <c r="X880">
        <f>W880/100000</f>
        <v/>
      </c>
    </row>
    <row r="881">
      <c r="W881">
        <f>SUM(T881:V881)</f>
        <v/>
      </c>
      <c r="X881">
        <f>W881/100000</f>
        <v/>
      </c>
    </row>
    <row r="882">
      <c r="W882">
        <f>SUM(T882:V882)</f>
        <v/>
      </c>
      <c r="X882">
        <f>W882/100000</f>
        <v/>
      </c>
    </row>
    <row r="883">
      <c r="W883">
        <f>SUM(T883:V883)</f>
        <v/>
      </c>
      <c r="X883">
        <f>W883/100000</f>
        <v/>
      </c>
    </row>
    <row r="884">
      <c r="W884">
        <f>SUM(T884:V884)</f>
        <v/>
      </c>
      <c r="X884">
        <f>W884/100000</f>
        <v/>
      </c>
    </row>
    <row r="885">
      <c r="W885">
        <f>SUM(T885:V885)</f>
        <v/>
      </c>
      <c r="X885">
        <f>W885/100000</f>
        <v/>
      </c>
    </row>
    <row r="886">
      <c r="W886">
        <f>SUM(T886:V886)</f>
        <v/>
      </c>
      <c r="X886">
        <f>W886/100000</f>
        <v/>
      </c>
    </row>
    <row r="887">
      <c r="W887">
        <f>SUM(T887:V887)</f>
        <v/>
      </c>
      <c r="X887">
        <f>W887/100000</f>
        <v/>
      </c>
    </row>
    <row r="888">
      <c r="W888">
        <f>SUM(T888:V888)</f>
        <v/>
      </c>
      <c r="X888">
        <f>W888/100000</f>
        <v/>
      </c>
    </row>
    <row r="889">
      <c r="W889">
        <f>SUM(T889:V889)</f>
        <v/>
      </c>
      <c r="X889">
        <f>W889/100000</f>
        <v/>
      </c>
    </row>
    <row r="890">
      <c r="W890">
        <f>SUM(T890:V890)</f>
        <v/>
      </c>
      <c r="X890">
        <f>W890/100000</f>
        <v/>
      </c>
    </row>
    <row r="891">
      <c r="W891">
        <f>SUM(T891:V891)</f>
        <v/>
      </c>
      <c r="X891">
        <f>W891/100000</f>
        <v/>
      </c>
    </row>
    <row r="892">
      <c r="W892">
        <f>SUM(T892:V892)</f>
        <v/>
      </c>
      <c r="X892">
        <f>W892/100000</f>
        <v/>
      </c>
    </row>
    <row r="893">
      <c r="W893">
        <f>SUM(T893:V893)</f>
        <v/>
      </c>
      <c r="X893">
        <f>W893/100000</f>
        <v/>
      </c>
    </row>
    <row r="894">
      <c r="W894">
        <f>SUM(T894:V894)</f>
        <v/>
      </c>
      <c r="X894">
        <f>W894/100000</f>
        <v/>
      </c>
    </row>
    <row r="895">
      <c r="W895">
        <f>SUM(T895:V895)</f>
        <v/>
      </c>
      <c r="X895">
        <f>W895/100000</f>
        <v/>
      </c>
    </row>
    <row r="896">
      <c r="W896">
        <f>SUM(T896:V896)</f>
        <v/>
      </c>
      <c r="X896">
        <f>W896/100000</f>
        <v/>
      </c>
    </row>
    <row r="897">
      <c r="W897">
        <f>SUM(T897:V897)</f>
        <v/>
      </c>
      <c r="X897">
        <f>W897/100000</f>
        <v/>
      </c>
    </row>
    <row r="898">
      <c r="W898">
        <f>SUM(T898:V898)</f>
        <v/>
      </c>
      <c r="X898">
        <f>W898/100000</f>
        <v/>
      </c>
    </row>
    <row r="899">
      <c r="W899">
        <f>SUM(T899:V899)</f>
        <v/>
      </c>
      <c r="X899">
        <f>W899/100000</f>
        <v/>
      </c>
    </row>
    <row r="900">
      <c r="W900">
        <f>SUM(T900:V900)</f>
        <v/>
      </c>
      <c r="X900">
        <f>W900/100000</f>
        <v/>
      </c>
    </row>
    <row r="901">
      <c r="W901">
        <f>SUM(T901:V901)</f>
        <v/>
      </c>
      <c r="X901">
        <f>W901/100000</f>
        <v/>
      </c>
    </row>
    <row r="902">
      <c r="W902">
        <f>SUM(T902:V902)</f>
        <v/>
      </c>
      <c r="X902">
        <f>W902/100000</f>
        <v/>
      </c>
    </row>
    <row r="903">
      <c r="W903">
        <f>SUM(T903:V903)</f>
        <v/>
      </c>
      <c r="X903">
        <f>W903/100000</f>
        <v/>
      </c>
    </row>
    <row r="904">
      <c r="W904">
        <f>SUM(T904:V904)</f>
        <v/>
      </c>
      <c r="X904">
        <f>W904/100000</f>
        <v/>
      </c>
    </row>
    <row r="905">
      <c r="W905">
        <f>SUM(T905:V905)</f>
        <v/>
      </c>
      <c r="X905">
        <f>W905/100000</f>
        <v/>
      </c>
    </row>
    <row r="906">
      <c r="W906">
        <f>SUM(T906:V906)</f>
        <v/>
      </c>
      <c r="X906">
        <f>W906/100000</f>
        <v/>
      </c>
    </row>
    <row r="907">
      <c r="W907">
        <f>SUM(T907:V907)</f>
        <v/>
      </c>
      <c r="X907">
        <f>W907/100000</f>
        <v/>
      </c>
    </row>
    <row r="908">
      <c r="W908">
        <f>SUM(T908:V908)</f>
        <v/>
      </c>
      <c r="X908">
        <f>W908/100000</f>
        <v/>
      </c>
    </row>
    <row r="909">
      <c r="W909">
        <f>SUM(T909:V909)</f>
        <v/>
      </c>
      <c r="X909">
        <f>W909/100000</f>
        <v/>
      </c>
    </row>
    <row r="910">
      <c r="W910">
        <f>SUM(T910:V910)</f>
        <v/>
      </c>
      <c r="X910">
        <f>W910/100000</f>
        <v/>
      </c>
    </row>
    <row r="911">
      <c r="W911">
        <f>SUM(T911:V911)</f>
        <v/>
      </c>
      <c r="X911">
        <f>W911/100000</f>
        <v/>
      </c>
    </row>
    <row r="912">
      <c r="W912">
        <f>SUM(T912:V912)</f>
        <v/>
      </c>
      <c r="X912">
        <f>W912/100000</f>
        <v/>
      </c>
    </row>
    <row r="913">
      <c r="W913">
        <f>SUM(T913:V913)</f>
        <v/>
      </c>
      <c r="X913">
        <f>W913/100000</f>
        <v/>
      </c>
    </row>
    <row r="914">
      <c r="W914">
        <f>SUM(T914:V914)</f>
        <v/>
      </c>
      <c r="X914">
        <f>W914/100000</f>
        <v/>
      </c>
    </row>
    <row r="915">
      <c r="W915">
        <f>SUM(T915:V915)</f>
        <v/>
      </c>
      <c r="X915">
        <f>W915/100000</f>
        <v/>
      </c>
    </row>
    <row r="916">
      <c r="W916">
        <f>SUM(T916:V916)</f>
        <v/>
      </c>
      <c r="X916">
        <f>W916/100000</f>
        <v/>
      </c>
    </row>
    <row r="917">
      <c r="W917">
        <f>SUM(T917:V917)</f>
        <v/>
      </c>
      <c r="X917">
        <f>W917/100000</f>
        <v/>
      </c>
    </row>
    <row r="918">
      <c r="W918">
        <f>SUM(T918:V918)</f>
        <v/>
      </c>
      <c r="X918">
        <f>W918/100000</f>
        <v/>
      </c>
    </row>
    <row r="919">
      <c r="W919">
        <f>SUM(T919:V919)</f>
        <v/>
      </c>
      <c r="X919">
        <f>W919/100000</f>
        <v/>
      </c>
    </row>
    <row r="920">
      <c r="W920">
        <f>SUM(T920:V920)</f>
        <v/>
      </c>
      <c r="X920">
        <f>W920/100000</f>
        <v/>
      </c>
    </row>
    <row r="921">
      <c r="W921">
        <f>SUM(T921:V921)</f>
        <v/>
      </c>
      <c r="X921">
        <f>W921/100000</f>
        <v/>
      </c>
    </row>
    <row r="922">
      <c r="W922">
        <f>SUM(T922:V922)</f>
        <v/>
      </c>
      <c r="X922">
        <f>W922/100000</f>
        <v/>
      </c>
    </row>
    <row r="923">
      <c r="W923">
        <f>SUM(T923:V923)</f>
        <v/>
      </c>
      <c r="X923">
        <f>W923/100000</f>
        <v/>
      </c>
    </row>
    <row r="924">
      <c r="W924">
        <f>SUM(T924:V924)</f>
        <v/>
      </c>
      <c r="X924">
        <f>W924/100000</f>
        <v/>
      </c>
    </row>
    <row r="925">
      <c r="W925">
        <f>SUM(T925:V925)</f>
        <v/>
      </c>
      <c r="X925">
        <f>W925/100000</f>
        <v/>
      </c>
    </row>
    <row r="926">
      <c r="W926">
        <f>SUM(T926:V926)</f>
        <v/>
      </c>
      <c r="X926">
        <f>W926/100000</f>
        <v/>
      </c>
    </row>
    <row r="927">
      <c r="W927">
        <f>SUM(T927:V927)</f>
        <v/>
      </c>
      <c r="X927">
        <f>W927/100000</f>
        <v/>
      </c>
    </row>
    <row r="928">
      <c r="W928">
        <f>SUM(T928:V928)</f>
        <v/>
      </c>
      <c r="X928">
        <f>W928/100000</f>
        <v/>
      </c>
    </row>
    <row r="929">
      <c r="W929">
        <f>SUM(T929:V929)</f>
        <v/>
      </c>
      <c r="X929">
        <f>W929/100000</f>
        <v/>
      </c>
    </row>
    <row r="930">
      <c r="W930">
        <f>SUM(T930:V930)</f>
        <v/>
      </c>
      <c r="X930">
        <f>W930/100000</f>
        <v/>
      </c>
    </row>
    <row r="931">
      <c r="W931">
        <f>SUM(T931:V931)</f>
        <v/>
      </c>
      <c r="X931">
        <f>W931/100000</f>
        <v/>
      </c>
    </row>
    <row r="932">
      <c r="W932">
        <f>SUM(T932:V932)</f>
        <v/>
      </c>
      <c r="X932">
        <f>W932/100000</f>
        <v/>
      </c>
    </row>
    <row r="933">
      <c r="W933">
        <f>SUM(T933:V933)</f>
        <v/>
      </c>
      <c r="X933">
        <f>W933/100000</f>
        <v/>
      </c>
    </row>
    <row r="934">
      <c r="W934">
        <f>SUM(T934:V934)</f>
        <v/>
      </c>
      <c r="X934">
        <f>W934/100000</f>
        <v/>
      </c>
    </row>
    <row r="935">
      <c r="W935">
        <f>SUM(T935:V935)</f>
        <v/>
      </c>
      <c r="X935">
        <f>W935/100000</f>
        <v/>
      </c>
    </row>
    <row r="936">
      <c r="W936">
        <f>SUM(T936:V936)</f>
        <v/>
      </c>
      <c r="X936">
        <f>W936/100000</f>
        <v/>
      </c>
    </row>
    <row r="937">
      <c r="W937">
        <f>SUM(T937:V937)</f>
        <v/>
      </c>
      <c r="X937">
        <f>W937/100000</f>
        <v/>
      </c>
    </row>
    <row r="938">
      <c r="W938">
        <f>SUM(T938:V938)</f>
        <v/>
      </c>
      <c r="X938">
        <f>W938/100000</f>
        <v/>
      </c>
    </row>
    <row r="939">
      <c r="W939">
        <f>SUM(T939:V939)</f>
        <v/>
      </c>
      <c r="X939">
        <f>W939/100000</f>
        <v/>
      </c>
    </row>
    <row r="940">
      <c r="W940">
        <f>SUM(T940:V940)</f>
        <v/>
      </c>
      <c r="X940">
        <f>W940/100000</f>
        <v/>
      </c>
    </row>
    <row r="941">
      <c r="W941">
        <f>SUM(T941:V941)</f>
        <v/>
      </c>
      <c r="X941">
        <f>W941/100000</f>
        <v/>
      </c>
    </row>
    <row r="942">
      <c r="W942">
        <f>SUM(T942:V942)</f>
        <v/>
      </c>
      <c r="X942">
        <f>W942/100000</f>
        <v/>
      </c>
    </row>
    <row r="943">
      <c r="W943">
        <f>SUM(T943:V943)</f>
        <v/>
      </c>
      <c r="X943">
        <f>W943/100000</f>
        <v/>
      </c>
    </row>
    <row r="944">
      <c r="W944">
        <f>SUM(T944:V944)</f>
        <v/>
      </c>
      <c r="X944">
        <f>W944/100000</f>
        <v/>
      </c>
    </row>
    <row r="945">
      <c r="W945">
        <f>SUM(T945:V945)</f>
        <v/>
      </c>
      <c r="X945">
        <f>W945/100000</f>
        <v/>
      </c>
    </row>
    <row r="946">
      <c r="W946">
        <f>SUM(T946:V946)</f>
        <v/>
      </c>
      <c r="X946">
        <f>W946/100000</f>
        <v/>
      </c>
    </row>
    <row r="947">
      <c r="W947">
        <f>SUM(T947:V947)</f>
        <v/>
      </c>
      <c r="X947">
        <f>W947/100000</f>
        <v/>
      </c>
    </row>
    <row r="948">
      <c r="W948">
        <f>SUM(T948:V948)</f>
        <v/>
      </c>
      <c r="X948">
        <f>W948/100000</f>
        <v/>
      </c>
    </row>
    <row r="949">
      <c r="W949">
        <f>SUM(T949:V949)</f>
        <v/>
      </c>
      <c r="X949">
        <f>W949/100000</f>
        <v/>
      </c>
    </row>
    <row r="950">
      <c r="W950">
        <f>SUM(T950:V950)</f>
        <v/>
      </c>
      <c r="X950">
        <f>W950/100000</f>
        <v/>
      </c>
    </row>
    <row r="951">
      <c r="W951">
        <f>SUM(T951:V951)</f>
        <v/>
      </c>
      <c r="X951">
        <f>W951/100000</f>
        <v/>
      </c>
    </row>
    <row r="952">
      <c r="W952">
        <f>SUM(T952:V952)</f>
        <v/>
      </c>
      <c r="X952">
        <f>W952/100000</f>
        <v/>
      </c>
    </row>
    <row r="953">
      <c r="W953">
        <f>SUM(T953:V953)</f>
        <v/>
      </c>
      <c r="X953">
        <f>W953/100000</f>
        <v/>
      </c>
    </row>
    <row r="954">
      <c r="W954">
        <f>SUM(T954:V954)</f>
        <v/>
      </c>
      <c r="X954">
        <f>W954/100000</f>
        <v/>
      </c>
    </row>
    <row r="955">
      <c r="W955">
        <f>SUM(T955:V955)</f>
        <v/>
      </c>
      <c r="X955">
        <f>W955/100000</f>
        <v/>
      </c>
    </row>
    <row r="956">
      <c r="W956">
        <f>SUM(T956:V956)</f>
        <v/>
      </c>
      <c r="X956">
        <f>W956/100000</f>
        <v/>
      </c>
    </row>
    <row r="957">
      <c r="W957">
        <f>SUM(T957:V957)</f>
        <v/>
      </c>
      <c r="X957">
        <f>W957/100000</f>
        <v/>
      </c>
    </row>
    <row r="958">
      <c r="W958">
        <f>SUM(T958:V958)</f>
        <v/>
      </c>
      <c r="X958">
        <f>W958/100000</f>
        <v/>
      </c>
    </row>
    <row r="959">
      <c r="W959">
        <f>SUM(T959:V959)</f>
        <v/>
      </c>
      <c r="X959">
        <f>W959/100000</f>
        <v/>
      </c>
    </row>
    <row r="960">
      <c r="W960">
        <f>SUM(T960:V960)</f>
        <v/>
      </c>
      <c r="X960">
        <f>W960/100000</f>
        <v/>
      </c>
    </row>
    <row r="961">
      <c r="W961">
        <f>SUM(T961:V961)</f>
        <v/>
      </c>
      <c r="X961">
        <f>W961/100000</f>
        <v/>
      </c>
    </row>
    <row r="962">
      <c r="W962">
        <f>SUM(T962:V962)</f>
        <v/>
      </c>
      <c r="X962">
        <f>W962/100000</f>
        <v/>
      </c>
    </row>
    <row r="963">
      <c r="W963">
        <f>SUM(T963:V963)</f>
        <v/>
      </c>
      <c r="X963">
        <f>W963/100000</f>
        <v/>
      </c>
    </row>
    <row r="964">
      <c r="W964">
        <f>SUM(T964:V964)</f>
        <v/>
      </c>
      <c r="X964">
        <f>W964/100000</f>
        <v/>
      </c>
    </row>
    <row r="965">
      <c r="W965">
        <f>SUM(T965:V965)</f>
        <v/>
      </c>
      <c r="X965">
        <f>W965/100000</f>
        <v/>
      </c>
    </row>
    <row r="966">
      <c r="W966">
        <f>SUM(T966:V966)</f>
        <v/>
      </c>
      <c r="X966">
        <f>W966/100000</f>
        <v/>
      </c>
    </row>
    <row r="967">
      <c r="W967">
        <f>SUM(T967:V967)</f>
        <v/>
      </c>
      <c r="X967">
        <f>W967/100000</f>
        <v/>
      </c>
    </row>
    <row r="968">
      <c r="W968">
        <f>SUM(T968:V968)</f>
        <v/>
      </c>
      <c r="X968">
        <f>W968/100000</f>
        <v/>
      </c>
    </row>
    <row r="969">
      <c r="W969">
        <f>SUM(T969:V969)</f>
        <v/>
      </c>
      <c r="X969">
        <f>W969/100000</f>
        <v/>
      </c>
    </row>
    <row r="970">
      <c r="W970">
        <f>SUM(T970:V970)</f>
        <v/>
      </c>
      <c r="X970">
        <f>W970/100000</f>
        <v/>
      </c>
    </row>
    <row r="971">
      <c r="W971">
        <f>SUM(T971:V971)</f>
        <v/>
      </c>
      <c r="X971">
        <f>W971/100000</f>
        <v/>
      </c>
    </row>
    <row r="972">
      <c r="W972">
        <f>SUM(T972:V972)</f>
        <v/>
      </c>
      <c r="X972">
        <f>W972/100000</f>
        <v/>
      </c>
    </row>
    <row r="973">
      <c r="W973">
        <f>SUM(T973:V973)</f>
        <v/>
      </c>
      <c r="X973">
        <f>W973/100000</f>
        <v/>
      </c>
    </row>
    <row r="974">
      <c r="W974">
        <f>SUM(T974:V974)</f>
        <v/>
      </c>
      <c r="X974">
        <f>W974/100000</f>
        <v/>
      </c>
    </row>
    <row r="975">
      <c r="W975">
        <f>SUM(T975:V975)</f>
        <v/>
      </c>
      <c r="X975">
        <f>W975/100000</f>
        <v/>
      </c>
    </row>
    <row r="976">
      <c r="W976">
        <f>SUM(T976:V976)</f>
        <v/>
      </c>
      <c r="X976">
        <f>W976/100000</f>
        <v/>
      </c>
    </row>
    <row r="977">
      <c r="W977">
        <f>SUM(T977:V977)</f>
        <v/>
      </c>
      <c r="X977">
        <f>W977/100000</f>
        <v/>
      </c>
    </row>
    <row r="978">
      <c r="W978">
        <f>SUM(T978:V978)</f>
        <v/>
      </c>
      <c r="X978">
        <f>W978/100000</f>
        <v/>
      </c>
    </row>
    <row r="979">
      <c r="W979">
        <f>SUM(T979:V979)</f>
        <v/>
      </c>
      <c r="X979">
        <f>W979/100000</f>
        <v/>
      </c>
    </row>
    <row r="980">
      <c r="W980">
        <f>SUM(T980:V980)</f>
        <v/>
      </c>
      <c r="X980">
        <f>W980/100000</f>
        <v/>
      </c>
    </row>
    <row r="981">
      <c r="W981">
        <f>SUM(T981:V981)</f>
        <v/>
      </c>
      <c r="X981">
        <f>W981/100000</f>
        <v/>
      </c>
    </row>
    <row r="982">
      <c r="W982">
        <f>SUM(T982:V982)</f>
        <v/>
      </c>
      <c r="X982">
        <f>W982/100000</f>
        <v/>
      </c>
    </row>
    <row r="983">
      <c r="W983">
        <f>SUM(T983:V983)</f>
        <v/>
      </c>
      <c r="X983">
        <f>W983/100000</f>
        <v/>
      </c>
    </row>
    <row r="984">
      <c r="W984">
        <f>SUM(T984:V984)</f>
        <v/>
      </c>
      <c r="X984">
        <f>W984/100000</f>
        <v/>
      </c>
    </row>
    <row r="985">
      <c r="W985">
        <f>SUM(T985:V985)</f>
        <v/>
      </c>
      <c r="X985">
        <f>W985/100000</f>
        <v/>
      </c>
    </row>
    <row r="986">
      <c r="W986">
        <f>SUM(T986:V986)</f>
        <v/>
      </c>
      <c r="X986">
        <f>W986/100000</f>
        <v/>
      </c>
    </row>
    <row r="987">
      <c r="W987">
        <f>SUM(T987:V987)</f>
        <v/>
      </c>
      <c r="X987">
        <f>W987/100000</f>
        <v/>
      </c>
    </row>
    <row r="988">
      <c r="W988">
        <f>SUM(T988:V988)</f>
        <v/>
      </c>
      <c r="X988">
        <f>W988/100000</f>
        <v/>
      </c>
    </row>
    <row r="989">
      <c r="W989">
        <f>SUM(T989:V989)</f>
        <v/>
      </c>
      <c r="X989">
        <f>W989/100000</f>
        <v/>
      </c>
    </row>
    <row r="990">
      <c r="W990">
        <f>SUM(T990:V990)</f>
        <v/>
      </c>
      <c r="X990">
        <f>W990/100000</f>
        <v/>
      </c>
    </row>
    <row r="991">
      <c r="W991">
        <f>SUM(T991:V991)</f>
        <v/>
      </c>
      <c r="X991">
        <f>W991/100000</f>
        <v/>
      </c>
    </row>
    <row r="992">
      <c r="W992">
        <f>SUM(T992:V992)</f>
        <v/>
      </c>
      <c r="X992">
        <f>W992/100000</f>
        <v/>
      </c>
    </row>
    <row r="993">
      <c r="W993">
        <f>SUM(T993:V993)</f>
        <v/>
      </c>
      <c r="X993">
        <f>W993/100000</f>
        <v/>
      </c>
    </row>
    <row r="994">
      <c r="W994">
        <f>SUM(T994:V994)</f>
        <v/>
      </c>
      <c r="X994">
        <f>W994/100000</f>
        <v/>
      </c>
    </row>
    <row r="995">
      <c r="W995">
        <f>SUM(T995:V995)</f>
        <v/>
      </c>
      <c r="X995">
        <f>W995/100000</f>
        <v/>
      </c>
    </row>
    <row r="996">
      <c r="W996">
        <f>SUM(T996:V996)</f>
        <v/>
      </c>
      <c r="X996">
        <f>W996/100000</f>
        <v/>
      </c>
    </row>
    <row r="997">
      <c r="W997">
        <f>SUM(T997:V997)</f>
        <v/>
      </c>
      <c r="X997">
        <f>W997/100000</f>
        <v/>
      </c>
    </row>
    <row r="998">
      <c r="W998">
        <f>SUM(T998:V998)</f>
        <v/>
      </c>
      <c r="X998">
        <f>W998/100000</f>
        <v/>
      </c>
    </row>
    <row r="999">
      <c r="W999">
        <f>SUM(T999:V999)</f>
        <v/>
      </c>
      <c r="X999">
        <f>W999/100000</f>
        <v/>
      </c>
    </row>
    <row r="1000">
      <c r="W1000">
        <f>SUM(T1000:V1000)</f>
        <v/>
      </c>
      <c r="X1000">
        <f>W1000/100000</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6" customWidth="1" min="5" max="5"/>
    <col width="26" customWidth="1" min="6" max="6"/>
    <col width="26" customWidth="1" min="7" max="7"/>
    <col width="26" customWidth="1" min="8" max="8"/>
  </cols>
  <sheetData>
    <row r="1">
      <c r="A1" t="inlineStr">
        <is>
          <t>Institution Seed Money – Year-wise Summary &amp; Marks</t>
        </is>
      </c>
    </row>
    <row r="2">
      <c r="A2" t="inlineStr">
        <is>
          <t>Academic Year</t>
        </is>
      </c>
      <c r="B2" t="inlineStr">
        <is>
          <t>Sanctioned Total (₹ Lakhs)</t>
        </is>
      </c>
      <c r="C2" t="inlineStr">
        <is>
          <t>Utilized Total (₹ Lakhs)</t>
        </is>
      </c>
      <c r="D2" t="inlineStr">
        <is>
          <t>Received Total (₹ Lakhs)</t>
        </is>
      </c>
      <c r="E2" t="inlineStr">
        <is>
          <t>Publications (No.)</t>
        </is>
      </c>
      <c r="F2" t="inlineStr">
        <is>
          <t>Prototypes (No.)</t>
        </is>
      </c>
      <c r="G2" t="inlineStr">
        <is>
          <t>Ph.D. Graduated (No.)</t>
        </is>
      </c>
      <c r="H2" t="inlineStr">
        <is>
          <t>M.E./M.Tech. Graduated (No.)</t>
        </is>
      </c>
    </row>
    <row r="3">
      <c r="A3" t="inlineStr">
        <is>
          <t>CAYm1</t>
        </is>
      </c>
      <c r="B3">
        <f>SUMIF(SeedMoney_Tracker!J2:J1000,"CAYm1",SeedMoney_Tracker!G2:G1000)</f>
        <v/>
      </c>
      <c r="C3">
        <f>SUMIF(SeedMoney_Tracker!J2:J1000,"CAYm1",SeedMoney_Tracker!H2:H1000)</f>
        <v/>
      </c>
      <c r="D3">
        <f>SUM(SeedMoney_Tracker!T2:T1000)/100000</f>
        <v/>
      </c>
      <c r="E3">
        <f>SUMIF(SeedMoney_Tracker!J2:J1000,"CAYm1",SeedMoney_Tracker!K2:K1000)</f>
        <v/>
      </c>
      <c r="F3">
        <f>SUMIF(SeedMoney_Tracker!J2:J1000,"CAYm1",SeedMoney_Tracker!L2:L1000)</f>
        <v/>
      </c>
      <c r="G3">
        <f>SUMIF(SeedMoney_Tracker!J2:J1000,"CAYm1",SeedMoney_Tracker!M2:M1000)</f>
        <v/>
      </c>
      <c r="H3">
        <f>SUMIF(SeedMoney_Tracker!J2:J1000,"CAYm1",SeedMoney_Tracker!N2:N1000)</f>
        <v/>
      </c>
    </row>
    <row r="4">
      <c r="A4" t="inlineStr">
        <is>
          <t>CAYm2</t>
        </is>
      </c>
      <c r="B4">
        <f>SUMIF(SeedMoney_Tracker!J2:J1000,"CAYm2",SeedMoney_Tracker!G2:G1000)</f>
        <v/>
      </c>
      <c r="C4">
        <f>SUMIF(SeedMoney_Tracker!J2:J1000,"CAYm2",SeedMoney_Tracker!H2:H1000)</f>
        <v/>
      </c>
      <c r="D4">
        <f>SUM(SeedMoney_Tracker!U2:U1000)/100000</f>
        <v/>
      </c>
      <c r="E4">
        <f>SUMIF(SeedMoney_Tracker!J2:J1000,"CAYm2",SeedMoney_Tracker!K2:K1000)</f>
        <v/>
      </c>
      <c r="F4">
        <f>SUMIF(SeedMoney_Tracker!J2:J1000,"CAYm2",SeedMoney_Tracker!L2:L1000)</f>
        <v/>
      </c>
      <c r="G4">
        <f>SUMIF(SeedMoney_Tracker!J2:J1000,"CAYm2",SeedMoney_Tracker!M2:M1000)</f>
        <v/>
      </c>
      <c r="H4">
        <f>SUMIF(SeedMoney_Tracker!J2:J1000,"CAYm2",SeedMoney_Tracker!N2:N1000)</f>
        <v/>
      </c>
    </row>
    <row r="5">
      <c r="A5" t="inlineStr">
        <is>
          <t>CAYm3</t>
        </is>
      </c>
      <c r="B5">
        <f>SUMIF(SeedMoney_Tracker!J2:J1000,"CAYm3",SeedMoney_Tracker!G2:G1000)</f>
        <v/>
      </c>
      <c r="C5">
        <f>SUMIF(SeedMoney_Tracker!J2:J1000,"CAYm3",SeedMoney_Tracker!H2:H1000)</f>
        <v/>
      </c>
      <c r="D5">
        <f>SUM(SeedMoney_Tracker!V2:V1000)/100000</f>
        <v/>
      </c>
      <c r="E5">
        <f>SUMIF(SeedMoney_Tracker!J2:J1000,"CAYm3",SeedMoney_Tracker!K2:K1000)</f>
        <v/>
      </c>
      <c r="F5">
        <f>SUMIF(SeedMoney_Tracker!J2:J1000,"CAYm3",SeedMoney_Tracker!L2:L1000)</f>
        <v/>
      </c>
      <c r="G5">
        <f>SUMIF(SeedMoney_Tracker!J2:J1000,"CAYm3",SeedMoney_Tracker!M2:M1000)</f>
        <v/>
      </c>
      <c r="H5">
        <f>SUMIF(SeedMoney_Tracker!J2:J1000,"CAYm3",SeedMoney_Tracker!N2:N1000)</f>
        <v/>
      </c>
    </row>
    <row r="6">
      <c r="A6" t="inlineStr">
        <is>
          <t>Total</t>
        </is>
      </c>
      <c r="B6">
        <f>SUM(B3:B5)</f>
        <v/>
      </c>
      <c r="C6">
        <f>SUM(C3:C5)</f>
        <v/>
      </c>
      <c r="D6">
        <f>SUM(D3:D5)</f>
        <v/>
      </c>
      <c r="E6">
        <f>SUM(E3:E5)</f>
        <v/>
      </c>
      <c r="F6">
        <f>SUM(F3:F5)</f>
        <v/>
      </c>
      <c r="G6">
        <f>SUM(G3:G5)</f>
        <v/>
      </c>
      <c r="H6">
        <f>SUM(H3:H5)</f>
        <v/>
      </c>
    </row>
    <row r="7"/>
    <row r="8"/>
    <row r="9">
      <c r="A9" t="inlineStr">
        <is>
          <t>Marks – Received (3) + Utilized (2)</t>
        </is>
      </c>
    </row>
    <row r="10">
      <c r="A10" t="inlineStr">
        <is>
          <t>Received Marks (3)</t>
        </is>
      </c>
      <c r="B10">
        <f>IF(D6&gt;=6,3,IF(D6&gt;=4,2,IF(D6&gt;=2,1,0)))</f>
        <v/>
      </c>
    </row>
    <row r="11">
      <c r="A11" t="inlineStr">
        <is>
          <t>Utilized Marks (2)</t>
        </is>
      </c>
      <c r="B11">
        <f>IF(B6=0,0,MIN(2,2*(C6/B6)))</f>
        <v/>
      </c>
    </row>
    <row r="12">
      <c r="A12" t="inlineStr">
        <is>
          <t>Total Marks (out of 5)</t>
        </is>
      </c>
      <c r="B12">
        <f>B10+B11</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t="inlineStr">
        <is>
          <t>How to use this file (Institution Seed Money / Internal Research Grants)</t>
        </is>
      </c>
    </row>
    <row r="2"/>
    <row r="3">
      <c r="A3" t="inlineStr">
        <is>
          <t>1) Enter one row per seed-money project in SeedMoney_Tracker. Use dropdowns for CAY and Outcome Type.</t>
        </is>
      </c>
    </row>
    <row r="4">
      <c r="A4" t="inlineStr">
        <is>
          <t>2) Enter Sanctioned/Utilized amounts in Lakhs; year-wise receipts in ₹ per CAY (columns T–V).</t>
        </is>
      </c>
    </row>
    <row r="5">
      <c r="A5" t="inlineStr">
        <is>
          <t>3) Summary sheet auto-computes CAY-wise totals, outcomes, and NBA marks (Received 3 + Utilized 2).</t>
        </is>
      </c>
    </row>
    <row r="6">
      <c r="A6" t="inlineStr">
        <is>
          <t>4) Add hyperlinks to outcome PDFs/DOIs in 'Outcome Link (PDF/URL)' and a crisp line in 'Outcomes (Summary)'.</t>
        </is>
      </c>
    </row>
    <row r="7">
      <c r="A7" t="inlineStr">
        <is>
          <t>5) Avoid duplication with Sponsored (6.2.4) and Consultancy (6.2.5). Keep sanction orders, UCs, invoices handy.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1010"/>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A1" s="2" t="inlineStr">
        <is>
          <t>S. No.</t>
        </is>
      </c>
      <c r="B1" s="2" t="inlineStr">
        <is>
          <t>Department</t>
        </is>
      </c>
      <c r="C1" s="2" t="inlineStr">
        <is>
          <t>PI/Author(s)</t>
        </is>
      </c>
      <c r="D1" s="2" t="inlineStr">
        <is>
          <t>Publication Title</t>
        </is>
      </c>
      <c r="E1" s="2" t="inlineStr">
        <is>
          <t>Venue (Journal/Conf.)</t>
        </is>
      </c>
      <c r="F1" s="2" t="inlineStr">
        <is>
          <t>DOI/URL</t>
        </is>
      </c>
      <c r="G1" s="2" t="inlineStr">
        <is>
          <t>Indexing (Scopus/WoS/CARE)</t>
        </is>
      </c>
      <c r="H1" s="2" t="inlineStr">
        <is>
          <t>Year</t>
        </is>
      </c>
      <c r="I1" s="2" t="inlineStr">
        <is>
          <t>CAY (CAYm1/CAYm2/CAYm3)</t>
        </is>
      </c>
      <c r="J1" s="2" t="inlineStr">
        <is>
          <t>Acknowledges Funding? (Y/N)</t>
        </is>
      </c>
    </row>
    <row r="1005">
      <c r="A1005" s="2" t="inlineStr">
        <is>
          <t>Academic Research – CAY-wise Counts</t>
        </is>
      </c>
    </row>
    <row r="1006">
      <c r="A1006" s="2" t="inlineStr">
        <is>
          <t>Academic Year</t>
        </is>
      </c>
      <c r="B1006" s="2" t="inlineStr">
        <is>
          <t>Publications (Count)</t>
        </is>
      </c>
    </row>
    <row r="1007">
      <c r="A1007" t="inlineStr">
        <is>
          <t>CAYm1</t>
        </is>
      </c>
      <c r="B1007">
        <f>COUNTIF(I2:I1000,"CAYm1")</f>
        <v/>
      </c>
    </row>
    <row r="1008">
      <c r="A1008" t="inlineStr">
        <is>
          <t>CAYm2</t>
        </is>
      </c>
      <c r="B1008">
        <f>COUNTIF(I2:I1000,"CAYm2")</f>
        <v/>
      </c>
    </row>
    <row r="1009">
      <c r="A1009" t="inlineStr">
        <is>
          <t>CAYm3</t>
        </is>
      </c>
      <c r="B1009">
        <f>COUNTIF(I2:I1000,"CAYm3")</f>
        <v/>
      </c>
    </row>
    <row r="1010">
      <c r="A1010" t="inlineStr">
        <is>
          <t>Total</t>
        </is>
      </c>
      <c r="B1010">
        <f>SUM(B1007:B1009)</f>
        <v/>
      </c>
    </row>
  </sheetData>
  <dataValidations count="1">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I502 I503 I504 I505 I506 I507 I508 I509 I510 I511 I512 I513 I514 I515 I516 I517 I518 I519 I520 I521 I522 I523 I524 I525 I526 I527 I528 I529 I530 I531 I532 I533 I534 I535 I536 I537 I538 I539 I540 I541 I542 I543 I544 I545 I546 I547 I548 I549 I550 I551 I552 I553 I554 I555 I556 I557 I558 I559 I560 I561 I562 I563 I564 I565 I566 I567 I568 I569 I570 I571 I572 I573 I574 I575 I576 I577 I578 I579 I580 I581 I582 I583 I584 I585 I586 I587 I588 I589 I590 I591 I592 I593 I594 I595 I596 I597 I598 I599 I600 I601 I602 I603 I604 I605 I606 I607 I608 I609 I610 I611 I612 I613 I614 I615 I616 I617 I618 I619 I620 I621 I622 I623 I624 I625 I626 I627 I628 I629 I630 I631 I632 I633 I634 I635 I636 I637 I638 I639 I640 I641 I642 I643 I644 I645 I646 I647 I648 I649 I650 I651 I652 I653 I654 I655 I656 I657 I658 I659 I660 I661 I662 I663 I664 I665 I666 I667 I668 I669 I670 I671 I672 I673 I674 I675 I676 I677 I678 I679 I680 I681 I682 I683 I684 I685 I686 I687 I688 I689 I690 I691 I692 I693 I694 I695 I696 I697 I698 I699 I700 I701 I702 I703 I704 I705 I706 I707 I708 I709 I710 I711 I712 I713 I714 I715 I716 I717 I718 I719 I720 I721 I722 I723 I724 I725 I726 I727 I728 I729 I730 I731 I732 I733 I734 I735 I736 I737 I738 I739 I740 I741 I742 I743 I744 I745 I746 I747 I748 I749 I750 I751 I752 I753 I754 I755 I756 I757 I758 I759 I760 I761 I762 I763 I764 I765 I766 I767 I768 I769 I770 I771 I772 I773 I774 I775 I776 I777 I778 I779 I780 I781 I782 I783 I784 I785 I786 I787 I788 I789 I790 I791 I792 I793 I794 I795 I796 I797 I798 I799 I800 I801 I802 I803 I804 I805 I806 I807 I808 I809 I810 I811 I812 I813 I814 I815 I816 I817 I818 I819 I820 I821 I822 I823 I824 I825 I826 I827 I828 I829 I830 I831 I832 I833 I834 I835 I836 I837 I838 I839 I840 I841 I842 I843 I844 I845 I846 I847 I848 I849 I850 I851 I852 I853 I854 I855 I856 I857 I858 I859 I860 I861 I862 I863 I864 I865 I866 I867 I868 I869 I870 I871 I872 I873 I874 I875 I876 I877 I878 I879 I880 I881 I882 I883 I884 I885 I886 I887 I888 I889 I890 I891 I892 I893 I894 I895 I896 I897 I898 I899 I900 I901 I902 I903 I904 I905 I906 I907 I908 I909 I910 I911 I912 I913 I914 I915 I916 I917 I918 I919 I920 I921 I922 I923 I924 I925 I926 I927 I928 I929 I930 I931 I932 I933 I934 I935 I936 I937 I938 I939 I940 I941 I942 I943 I944 I945 I946 I947 I948 I949 I950 I951 I952 I953 I954 I955 I956 I957 I958 I959 I960 I961 I962 I963 I964 I965 I966 I967 I968 I969 I970 I971 I972 I973 I974 I975 I976 I977 I978 I979 I980 I981 I982 I983 I984 I985 I986 I987 I988 I989 I990 I991 I992 I993 I994 I995 I996 I997 I998 I999 I1000" showErrorMessage="1" showDropDown="1" showInputMessage="1" allowBlank="1" type="list">
      <formula1>"CAYm1,CAYm2,CAYm3"</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1010"/>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s>
  <sheetData>
    <row r="1">
      <c r="A1" s="2" t="inlineStr">
        <is>
          <t>S. No.</t>
        </is>
      </c>
      <c r="B1" s="2" t="inlineStr">
        <is>
          <t>Student Name</t>
        </is>
      </c>
      <c r="C1" s="2" t="inlineStr">
        <is>
          <t>Registration No.</t>
        </is>
      </c>
      <c r="D1" s="2" t="inlineStr">
        <is>
          <t>Department</t>
        </is>
      </c>
      <c r="E1" s="2" t="inlineStr">
        <is>
          <t>Thesis Title/Area</t>
        </is>
      </c>
      <c r="F1" s="2" t="inlineStr">
        <is>
          <t>Supervisor (PI)/Co-supervisor</t>
        </is>
      </c>
      <c r="G1" s="2" t="inlineStr">
        <is>
          <t>Status (Ongoing/Awarded)</t>
        </is>
      </c>
      <c r="H1" s="2" t="inlineStr">
        <is>
          <t>Award/Regn Year</t>
        </is>
      </c>
      <c r="I1" s="2" t="inlineStr">
        <is>
          <t>CAY (CAYm1/CAYm2/CAYm3)</t>
        </is>
      </c>
      <c r="J1" s="2" t="inlineStr">
        <is>
          <t>Publications (Count)</t>
        </is>
      </c>
      <c r="K1" s="2" t="inlineStr">
        <is>
          <t>Funding Source (TA/RA/Project)</t>
        </is>
      </c>
      <c r="L1" s="2" t="inlineStr">
        <is>
          <t>Thesis Link/ID</t>
        </is>
      </c>
    </row>
    <row r="1005">
      <c r="A1005" s="2" t="inlineStr">
        <is>
          <t>Ph.D. – CAY-wise Summary</t>
        </is>
      </c>
    </row>
    <row r="1006">
      <c r="A1006" s="2" t="inlineStr">
        <is>
          <t>Academic Year</t>
        </is>
      </c>
      <c r="B1006" s="2" t="inlineStr">
        <is>
          <t>Awarded (Count)</t>
        </is>
      </c>
      <c r="C1006" s="2" t="inlineStr">
        <is>
          <t>Ongoing (Count)</t>
        </is>
      </c>
    </row>
    <row r="1007">
      <c r="A1007" t="inlineStr">
        <is>
          <t>CAYm1</t>
        </is>
      </c>
      <c r="B1007">
        <f>COUNTIFS(I2:I1000,"CAYm1",G2:G1000,"Awarded")</f>
        <v/>
      </c>
      <c r="C1007">
        <f>COUNTIFS(I2:I1000,"CAYm1",G2:G1000,"Ongoing")</f>
        <v/>
      </c>
    </row>
    <row r="1008">
      <c r="A1008" t="inlineStr">
        <is>
          <t>CAYm2</t>
        </is>
      </c>
      <c r="B1008">
        <f>COUNTIFS(I2:I1000,"CAYm2",G2:G1000,"Awarded")</f>
        <v/>
      </c>
      <c r="C1008">
        <f>COUNTIFS(I2:I1000,"CAYm2",G2:G1000,"Ongoing")</f>
        <v/>
      </c>
    </row>
    <row r="1009">
      <c r="A1009" t="inlineStr">
        <is>
          <t>CAYm3</t>
        </is>
      </c>
      <c r="B1009">
        <f>COUNTIFS(I2:I1000,"CAYm3",G2:G1000,"Awarded")</f>
        <v/>
      </c>
      <c r="C1009">
        <f>COUNTIFS(I2:I1000,"CAYm3",G2:G1000,"Ongoing")</f>
        <v/>
      </c>
    </row>
    <row r="1010">
      <c r="A1010" t="inlineStr">
        <is>
          <t>Total</t>
        </is>
      </c>
      <c r="B1010">
        <f>SUM(B1007:B1009)</f>
        <v/>
      </c>
      <c r="C1010">
        <f>SUM(C1007:C1009)</f>
        <v/>
      </c>
    </row>
  </sheetData>
  <dataValidations count="1">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I502 I503 I504 I505 I506 I507 I508 I509 I510 I511 I512 I513 I514 I515 I516 I517 I518 I519 I520 I521 I522 I523 I524 I525 I526 I527 I528 I529 I530 I531 I532 I533 I534 I535 I536 I537 I538 I539 I540 I541 I542 I543 I544 I545 I546 I547 I548 I549 I550 I551 I552 I553 I554 I555 I556 I557 I558 I559 I560 I561 I562 I563 I564 I565 I566 I567 I568 I569 I570 I571 I572 I573 I574 I575 I576 I577 I578 I579 I580 I581 I582 I583 I584 I585 I586 I587 I588 I589 I590 I591 I592 I593 I594 I595 I596 I597 I598 I599 I600 I601 I602 I603 I604 I605 I606 I607 I608 I609 I610 I611 I612 I613 I614 I615 I616 I617 I618 I619 I620 I621 I622 I623 I624 I625 I626 I627 I628 I629 I630 I631 I632 I633 I634 I635 I636 I637 I638 I639 I640 I641 I642 I643 I644 I645 I646 I647 I648 I649 I650 I651 I652 I653 I654 I655 I656 I657 I658 I659 I660 I661 I662 I663 I664 I665 I666 I667 I668 I669 I670 I671 I672 I673 I674 I675 I676 I677 I678 I679 I680 I681 I682 I683 I684 I685 I686 I687 I688 I689 I690 I691 I692 I693 I694 I695 I696 I697 I698 I699 I700 I701 I702 I703 I704 I705 I706 I707 I708 I709 I710 I711 I712 I713 I714 I715 I716 I717 I718 I719 I720 I721 I722 I723 I724 I725 I726 I727 I728 I729 I730 I731 I732 I733 I734 I735 I736 I737 I738 I739 I740 I741 I742 I743 I744 I745 I746 I747 I748 I749 I750 I751 I752 I753 I754 I755 I756 I757 I758 I759 I760 I761 I762 I763 I764 I765 I766 I767 I768 I769 I770 I771 I772 I773 I774 I775 I776 I777 I778 I779 I780 I781 I782 I783 I784 I785 I786 I787 I788 I789 I790 I791 I792 I793 I794 I795 I796 I797 I798 I799 I800 I801 I802 I803 I804 I805 I806 I807 I808 I809 I810 I811 I812 I813 I814 I815 I816 I817 I818 I819 I820 I821 I822 I823 I824 I825 I826 I827 I828 I829 I830 I831 I832 I833 I834 I835 I836 I837 I838 I839 I840 I841 I842 I843 I844 I845 I846 I847 I848 I849 I850 I851 I852 I853 I854 I855 I856 I857 I858 I859 I860 I861 I862 I863 I864 I865 I866 I867 I868 I869 I870 I871 I872 I873 I874 I875 I876 I877 I878 I879 I880 I881 I882 I883 I884 I885 I886 I887 I888 I889 I890 I891 I892 I893 I894 I895 I896 I897 I898 I899 I900 I901 I902 I903 I904 I905 I906 I907 I908 I909 I910 I911 I912 I913 I914 I915 I916 I917 I918 I919 I920 I921 I922 I923 I924 I925 I926 I927 I928 I929 I930 I931 I932 I933 I934 I935 I936 I937 I938 I939 I940 I941 I942 I943 I944 I945 I946 I947 I948 I949 I950 I951 I952 I953 I954 I955 I956 I957 I958 I959 I960 I961 I962 I963 I964 I965 I966 I967 I968 I969 I970 I971 I972 I973 I974 I975 I976 I977 I978 I979 I980 I981 I982 I983 I984 I985 I986 I987 I988 I989 I990 I991 I992 I993 I994 I995 I996 I997 I998 I999 I1000" showErrorMessage="1" showDropDown="1" showInputMessage="1" allowBlank="1" type="list">
      <formula1>"CAYm1,CAYm2,CAYm3"</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010"/>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s>
  <sheetData>
    <row r="1">
      <c r="A1" s="2" t="inlineStr">
        <is>
          <t>S. No.</t>
        </is>
      </c>
      <c r="B1" s="2" t="inlineStr">
        <is>
          <t>Department</t>
        </is>
      </c>
      <c r="C1" s="2" t="inlineStr">
        <is>
          <t>PI/Team</t>
        </is>
      </c>
      <c r="D1" s="2" t="inlineStr">
        <is>
          <t>Activity Title</t>
        </is>
      </c>
      <c r="E1" s="2" t="inlineStr">
        <is>
          <t>Type (Prototype/Patent/Transfer/Startup/Societal)</t>
        </is>
      </c>
      <c r="F1" s="2" t="inlineStr">
        <is>
          <t>TRL (if applicable)</t>
        </is>
      </c>
      <c r="G1" s="2" t="inlineStr">
        <is>
          <t>IP No. / App. No. / License Ref.</t>
        </is>
      </c>
      <c r="H1" s="2" t="inlineStr">
        <is>
          <t>Partner/Beneficiary</t>
        </is>
      </c>
      <c r="I1" s="2" t="inlineStr">
        <is>
          <t>Demo/Validation Date</t>
        </is>
      </c>
      <c r="J1" s="2" t="inlineStr">
        <is>
          <t>CAY (CAYm1/CAYm2/CAYm3)</t>
        </is>
      </c>
      <c r="K1" s="2" t="inlineStr">
        <is>
          <t>Revenue/Grant (₹)</t>
        </is>
      </c>
      <c r="L1" s="2" t="inlineStr">
        <is>
          <t>Notes/Link</t>
        </is>
      </c>
    </row>
    <row r="1005">
      <c r="A1005" s="2" t="inlineStr">
        <is>
          <t>Development Activities – CAY-wise Counts</t>
        </is>
      </c>
    </row>
    <row r="1006">
      <c r="A1006" s="2" t="inlineStr">
        <is>
          <t>Academic Year</t>
        </is>
      </c>
      <c r="B1006" s="2" t="inlineStr">
        <is>
          <t>Activities (Count)</t>
        </is>
      </c>
      <c r="C1006" s="2" t="inlineStr">
        <is>
          <t>Revenue/Grant (₹)</t>
        </is>
      </c>
    </row>
    <row r="1007">
      <c r="A1007" t="inlineStr">
        <is>
          <t>CAYm1</t>
        </is>
      </c>
      <c r="B1007">
        <f>COUNTIF(J2:J1000,"CAYm1")</f>
        <v/>
      </c>
      <c r="C1007">
        <f>SUMIF(J2:J1000,"CAYm1",K2:K1000)</f>
        <v/>
      </c>
    </row>
    <row r="1008">
      <c r="A1008" t="inlineStr">
        <is>
          <t>CAYm2</t>
        </is>
      </c>
      <c r="B1008">
        <f>COUNTIF(J2:J1000,"CAYm2")</f>
        <v/>
      </c>
      <c r="C1008">
        <f>SUMIF(J2:J1000,"CAYm2",K2:K1000)</f>
        <v/>
      </c>
    </row>
    <row r="1009">
      <c r="A1009" t="inlineStr">
        <is>
          <t>CAYm3</t>
        </is>
      </c>
      <c r="B1009">
        <f>COUNTIF(J2:J1000,"CAYm3")</f>
        <v/>
      </c>
      <c r="C1009">
        <f>SUMIF(J2:J1000,"CAYm3",K2:K1000)</f>
        <v/>
      </c>
    </row>
    <row r="1010">
      <c r="A1010" t="inlineStr">
        <is>
          <t>Total</t>
        </is>
      </c>
      <c r="B1010">
        <f>SUM(B1007:B1009)</f>
        <v/>
      </c>
      <c r="C1010">
        <f>SUM(C1007:C1009)</f>
        <v/>
      </c>
    </row>
  </sheetData>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J501 J502 J503 J504 J505 J506 J507 J508 J509 J510 J511 J512 J513 J514 J515 J516 J517 J518 J519 J520 J521 J522 J523 J524 J525 J526 J527 J528 J529 J530 J531 J532 J533 J534 J535 J536 J537 J538 J539 J540 J541 J542 J543 J544 J545 J546 J547 J548 J549 J550 J551 J552 J553 J554 J555 J556 J557 J558 J559 J560 J561 J562 J563 J564 J565 J566 J567 J568 J569 J570 J571 J572 J573 J574 J575 J576 J577 J578 J579 J580 J581 J582 J583 J584 J585 J586 J587 J588 J589 J590 J591 J592 J593 J594 J595 J596 J597 J598 J599 J600 J601 J602 J603 J604 J605 J606 J607 J608 J609 J610 J611 J612 J613 J614 J615 J616 J617 J618 J619 J620 J621 J622 J623 J624 J625 J626 J627 J628 J629 J630 J631 J632 J633 J634 J635 J636 J637 J638 J639 J640 J641 J642 J643 J644 J645 J646 J647 J648 J649 J650 J651 J652 J653 J654 J655 J656 J657 J658 J659 J660 J661 J662 J663 J664 J665 J666 J667 J668 J669 J670 J671 J672 J673 J674 J675 J676 J677 J678 J679 J680 J681 J682 J683 J684 J685 J686 J687 J688 J689 J690 J691 J692 J693 J694 J695 J696 J697 J698 J699 J700 J701 J702 J703 J704 J705 J706 J707 J708 J709 J710 J711 J712 J713 J714 J715 J716 J717 J718 J719 J720 J721 J722 J723 J724 J725 J726 J727 J728 J729 J730 J731 J732 J733 J734 J735 J736 J737 J738 J739 J740 J741 J742 J743 J744 J745 J746 J747 J748 J749 J750 J751 J752 J753 J754 J755 J756 J757 J758 J759 J760 J761 J762 J763 J764 J765 J766 J767 J768 J769 J770 J771 J772 J773 J774 J775 J776 J777 J778 J779 J780 J781 J782 J783 J784 J785 J786 J787 J788 J789 J790 J791 J792 J793 J794 J795 J796 J797 J798 J799 J800 J801 J802 J803 J804 J805 J806 J807 J808 J809 J810 J811 J812 J813 J814 J815 J816 J817 J818 J819 J820 J821 J822 J823 J824 J825 J826 J827 J828 J829 J830 J831 J832 J833 J834 J835 J836 J837 J838 J839 J840 J841 J842 J843 J844 J845 J846 J847 J848 J849 J850 J851 J852 J853 J854 J855 J856 J857 J858 J859 J860 J861 J862 J863 J864 J865 J866 J867 J868 J869 J870 J871 J872 J873 J874 J875 J876 J877 J878 J879 J880 J881 J882 J883 J884 J885 J886 J887 J888 J889 J890 J891 J892 J893 J894 J895 J896 J897 J898 J899 J900 J901 J902 J903 J904 J905 J906 J907 J908 J909 J910 J911 J912 J913 J914 J915 J916 J917 J918 J919 J920 J921 J922 J923 J924 J925 J926 J927 J928 J929 J930 J931 J932 J933 J934 J935 J936 J937 J938 J939 J940 J941 J942 J943 J944 J945 J946 J947 J948 J949 J950 J951 J952 J953 J954 J955 J956 J957 J958 J959 J960 J961 J962 J963 J964 J965 J966 J967 J968 J969 J970 J971 J972 J973 J974 J975 J976 J977 J978 J979 J980 J981 J982 J983 J984 J985 J986 J987 J988 J989 J990 J991 J992 J993 J994 J995 J996 J997 J998 J999 J1000" showErrorMessage="1" showDropDown="1" showInputMessage="1" allowBlank="1" type="list">
      <formula1>"CAYm1,CAYm2,CAYm3"</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34" customWidth="1" min="1" max="1"/>
    <col width="34" customWidth="1" min="2" max="2"/>
    <col width="34" customWidth="1" min="3" max="3"/>
  </cols>
  <sheetData>
    <row r="1">
      <c r="A1" s="7" t="inlineStr">
        <is>
          <t>Manual Marks Inputs (for sub-criteria with institute-specific rubrics)</t>
        </is>
      </c>
    </row>
    <row r="2">
      <c r="A2" s="2" t="inlineStr">
        <is>
          <t>Sub-criterion</t>
        </is>
      </c>
      <c r="B2" s="2" t="inlineStr">
        <is>
          <t>Max Marks</t>
        </is>
      </c>
      <c r="C2" s="2" t="inlineStr">
        <is>
          <t>Manual Marks (Enter)</t>
        </is>
      </c>
    </row>
    <row r="3">
      <c r="A3" t="inlineStr">
        <is>
          <t>6.2.1 Academic Research</t>
        </is>
      </c>
      <c r="B3" t="n">
        <v>10</v>
      </c>
      <c r="C3" t="inlineStr"/>
    </row>
    <row r="4">
      <c r="A4" t="inlineStr">
        <is>
          <t>6.2.2 Ph.D. Student Details</t>
        </is>
      </c>
      <c r="B4" t="n">
        <v>5</v>
      </c>
      <c r="C4" t="inlineStr"/>
    </row>
    <row r="5">
      <c r="A5" t="inlineStr">
        <is>
          <t>6.2.3 Development Activities</t>
        </is>
      </c>
      <c r="B5" t="n">
        <v>10</v>
      </c>
      <c r="C5" t="inlineStr"/>
    </row>
  </sheetData>
  <dataValidations count="3">
    <dataValidation sqref="C3" showErrorMessage="1" showInputMessage="1" allowBlank="1" type="whole" operator="between">
      <formula1>0</formula1>
      <formula2>10</formula2>
    </dataValidation>
    <dataValidation sqref="C4" showErrorMessage="1" showInputMessage="1" allowBlank="1" type="whole" operator="between">
      <formula1>0</formula1>
      <formula2>5</formula2>
    </dataValidation>
    <dataValidation sqref="C5" showErrorMessage="1" showInputMessage="1" allowBlank="1" type="whole" operator="between">
      <formula1>0</formula1>
      <formula2>10</formula2>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32" customWidth="1" min="1" max="1"/>
    <col width="32" customWidth="1" min="2" max="2"/>
    <col width="32" customWidth="1" min="3" max="3"/>
    <col width="32" customWidth="1" min="4" max="4"/>
    <col width="32" customWidth="1" min="5" max="5"/>
    <col width="32" customWidth="1" min="6" max="6"/>
  </cols>
  <sheetData>
    <row r="1">
      <c r="A1" s="4" t="inlineStr">
        <is>
          <t>R&amp;D 6.2 – Consolidated Dashboard (CAYm1–CAYm3)</t>
        </is>
      </c>
    </row>
    <row r="2">
      <c r="A2" s="2" t="inlineStr">
        <is>
          <t>Sub-criterion</t>
        </is>
      </c>
      <c r="B2" s="2" t="inlineStr">
        <is>
          <t>Sheet(s) / Source</t>
        </is>
      </c>
      <c r="C2" s="2" t="inlineStr">
        <is>
          <t>Auto / Manual</t>
        </is>
      </c>
      <c r="D2" s="2" t="inlineStr">
        <is>
          <t>Marks (Achieved)</t>
        </is>
      </c>
      <c r="E2" s="2" t="inlineStr">
        <is>
          <t>Max Marks</t>
        </is>
      </c>
      <c r="F2" s="2" t="inlineStr">
        <is>
          <t>Notes</t>
        </is>
      </c>
    </row>
    <row r="3">
      <c r="A3" t="inlineStr">
        <is>
          <t>6.2.1 Academic Research</t>
        </is>
      </c>
      <c r="B3" t="inlineStr">
        <is>
          <t>Academic_Research + 6.2_Inputs</t>
        </is>
      </c>
      <c r="C3" t="inlineStr">
        <is>
          <t>Manual</t>
        </is>
      </c>
      <c r="D3">
        <f> '6.2_Inputs'!C3</f>
        <v/>
      </c>
      <c r="E3" t="n">
        <v>10</v>
      </c>
      <c r="F3" t="inlineStr">
        <is>
          <t>Enter marks per institute rubric</t>
        </is>
      </c>
    </row>
    <row r="4">
      <c r="A4" t="inlineStr">
        <is>
          <t>6.2.2 Ph.D. Student Details</t>
        </is>
      </c>
      <c r="B4" t="inlineStr">
        <is>
          <t>PhD_Students + 6.2_Inputs</t>
        </is>
      </c>
      <c r="C4" t="inlineStr">
        <is>
          <t>Manual</t>
        </is>
      </c>
      <c r="D4">
        <f> '6.2_Inputs'!C4</f>
        <v/>
      </c>
      <c r="E4" t="n">
        <v>5</v>
      </c>
      <c r="F4" t="inlineStr">
        <is>
          <t>Enter marks per institute rubric</t>
        </is>
      </c>
    </row>
    <row r="5">
      <c r="A5" t="inlineStr">
        <is>
          <t>6.2.3 Development Activities</t>
        </is>
      </c>
      <c r="B5" t="inlineStr">
        <is>
          <t>Development_Activities + 6.2_Inputs</t>
        </is>
      </c>
      <c r="C5" t="inlineStr">
        <is>
          <t>Manual</t>
        </is>
      </c>
      <c r="D5">
        <f> '6.2_Inputs'!C5</f>
        <v/>
      </c>
      <c r="E5" t="n">
        <v>10</v>
      </c>
      <c r="F5" t="inlineStr">
        <is>
          <t>Enter marks per institute rubric</t>
        </is>
      </c>
    </row>
    <row r="6">
      <c r="A6" t="inlineStr">
        <is>
          <t>6.2.4 Sponsored Research Project</t>
        </is>
      </c>
      <c r="B6" t="inlineStr">
        <is>
          <t>Projects_Details / Yearly_Summary / NBA_Marks_Dashboard</t>
        </is>
      </c>
      <c r="C6" t="inlineStr">
        <is>
          <t>Auto</t>
        </is>
      </c>
      <c r="D6">
        <f>NBA_Marks_Dashboard!F4</f>
        <v/>
      </c>
      <c r="E6" t="n">
        <v>15</v>
      </c>
      <c r="F6" t="inlineStr">
        <is>
          <t>Cumulative receipts thresholds</t>
        </is>
      </c>
    </row>
    <row r="7">
      <c r="A7" t="inlineStr">
        <is>
          <t>6.2.5 Consultancy Work</t>
        </is>
      </c>
      <c r="B7" t="inlineStr">
        <is>
          <t>Consultancy_Tracker / NBA_Marks_Dashboard</t>
        </is>
      </c>
      <c r="C7" t="inlineStr">
        <is>
          <t>Auto</t>
        </is>
      </c>
      <c r="D7">
        <f>NBA_Marks_Dashboard!F5</f>
        <v/>
      </c>
      <c r="E7" t="n">
        <v>15</v>
      </c>
      <c r="F7" t="inlineStr">
        <is>
          <t>Cumulative receipts thresholds</t>
        </is>
      </c>
    </row>
    <row r="8">
      <c r="A8" t="inlineStr">
        <is>
          <t>6.2.6 Institution Seed Money / IRG</t>
        </is>
      </c>
      <c r="B8" t="inlineStr">
        <is>
          <t>SeedMoney_Tracker / Seed_Summary</t>
        </is>
      </c>
      <c r="C8" t="inlineStr">
        <is>
          <t>Auto</t>
        </is>
      </c>
      <c r="D8">
        <f>Seed_Summary!B12</f>
        <v/>
      </c>
      <c r="E8" t="n">
        <v>5</v>
      </c>
      <c r="F8" t="inlineStr">
        <is>
          <t>Received (3) + Utilized (2)</t>
        </is>
      </c>
    </row>
    <row r="10">
      <c r="A10" s="2" t="inlineStr">
        <is>
          <t>Grand Total</t>
        </is>
      </c>
      <c r="D10" s="2">
        <f>SUM(D3:D8)</f>
        <v/>
      </c>
      <c r="E10" s="2" t="inlineStr">
        <is>
          <t>60</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2025-08-30T01:52:06Z</dcterms:created>
  <dcterms:modified xmlns:dcterms="http://purl.org/dc/terms/" xmlns:xsi="http://www.w3.org/2001/XMLSchema-instance" xsi:type="dcterms:W3CDTF">2025-08-30T01:52:06Z</dcterms:modified>
</cp:coreProperties>
</file>