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_PSO_Yearwis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PO/PSO Year-wise Attainment Trend</a:t>
            </a:r>
          </a:p>
        </rich>
      </tx>
    </title>
    <plotArea>
      <lineChart>
        <grouping val="standard"/>
        <ser>
          <idx val="0"/>
          <order val="0"/>
          <tx>
            <v>PO4 – Investigation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'PO_PSO_Yearwise'!$C$1:$E$1</f>
            </numRef>
          </cat>
          <val>
            <numRef>
              <f>'PO_PSO_Yearwise'!$C$2:$E$2</f>
            </numRef>
          </val>
        </ser>
        <ser>
          <idx val="1"/>
          <order val="1"/>
          <tx>
            <v>PO9 – Communication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'PO_PSO_Yearwise'!$C$1:$E$1</f>
            </numRef>
          </cat>
          <val>
            <numRef>
              <f>'PO_PSO_Yearwise'!$C$3:$E$3</f>
            </numRef>
          </val>
        </ser>
        <ser>
          <idx val="2"/>
          <order val="2"/>
          <tx>
            <v>PO12 – Lifelong Learning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'PO_PSO_Yearwise'!$C$1:$E$1</f>
            </numRef>
          </cat>
          <val>
            <numRef>
              <f>'PO_PSO_Yearwise'!$C$4:$E$4</f>
            </numRef>
          </val>
        </ser>
        <ser>
          <idx val="3"/>
          <order val="3"/>
          <tx>
            <v>PSO1 – Domain Tools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'PO_PSO_Yearwise'!$C$1:$E$1</f>
            </numRef>
          </cat>
          <val>
            <numRef>
              <f>'PO_PSO_Yearwise'!$C$5:$E$5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Academic Year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Attainment (%)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11</col>
      <colOff>0</colOff>
      <row>1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5"/>
  <sheetViews>
    <sheetView workbookViewId="0">
      <selection activeCell="A1" sqref="A1"/>
    </sheetView>
  </sheetViews>
  <sheetFormatPr baseColWidth="8" defaultRowHeight="15"/>
  <cols>
    <col width="26" customWidth="1" min="1" max="1"/>
    <col width="23" customWidth="1" min="2" max="2"/>
    <col width="15" customWidth="1" min="3" max="3"/>
    <col width="17" customWidth="1" min="4" max="4"/>
    <col width="17" customWidth="1" min="5" max="5"/>
    <col width="38" customWidth="1" min="6" max="6"/>
    <col width="21" customWidth="1" min="7" max="7"/>
    <col width="21" customWidth="1" min="8" max="8"/>
    <col width="21" customWidth="1" min="9" max="9"/>
    <col width="50" customWidth="1" min="10" max="10"/>
  </cols>
  <sheetData>
    <row r="1">
      <c r="A1" s="1" t="inlineStr">
        <is>
          <t>PO/PSO Code</t>
        </is>
      </c>
      <c r="B1" s="1" t="inlineStr">
        <is>
          <t>Target Attainment (%)</t>
        </is>
      </c>
      <c r="C1" s="1" t="inlineStr">
        <is>
          <t>CAY (2024-25)</t>
        </is>
      </c>
      <c r="D1" s="1" t="inlineStr">
        <is>
          <t>CAYm1 (2023-24)</t>
        </is>
      </c>
      <c r="E1" s="1" t="inlineStr">
        <is>
          <t>CAYm2 (2022-23)</t>
        </is>
      </c>
      <c r="F1" s="1" t="inlineStr">
        <is>
          <t>Average (%)</t>
        </is>
      </c>
      <c r="G1" s="1" t="inlineStr">
        <is>
          <t>Gap CAY</t>
        </is>
      </c>
      <c r="H1" s="1" t="inlineStr">
        <is>
          <t>Gap CAYm1</t>
        </is>
      </c>
      <c r="I1" s="1" t="inlineStr">
        <is>
          <t>Gap CAYm2</t>
        </is>
      </c>
      <c r="J1" s="1" t="inlineStr">
        <is>
          <t>Trend (CAY vs CAYm1)</t>
        </is>
      </c>
    </row>
    <row r="2">
      <c r="A2" t="inlineStr">
        <is>
          <t>PO4 – Investigation</t>
        </is>
      </c>
      <c r="B2" t="n">
        <v>70</v>
      </c>
      <c r="C2" t="n">
        <v>68</v>
      </c>
      <c r="D2" t="n">
        <v>61</v>
      </c>
      <c r="E2" t="n">
        <v>55</v>
      </c>
      <c r="F2">
        <f>IFERROR(ROUND(AVERAGE(C2:E2),1),"")</f>
        <v/>
      </c>
      <c r="G2">
        <f>IF(C2="","",B2-C2)</f>
        <v/>
      </c>
      <c r="H2">
        <f>IF(D2="","",B2-D2)</f>
        <v/>
      </c>
      <c r="I2">
        <f>IF(E2="","",B2-E2)</f>
        <v/>
      </c>
      <c r="J2">
        <f>IF(AND(C2&lt;&gt;"",D2&lt;&gt;""),IF(C2&gt;D2,"↑",IF(C2&lt;D2,"↓","→")),"")</f>
        <v/>
      </c>
    </row>
    <row r="3">
      <c r="A3" t="inlineStr">
        <is>
          <t>PO9 – Communication</t>
        </is>
      </c>
      <c r="B3" t="n">
        <v>75</v>
      </c>
      <c r="C3" t="n">
        <v>72</v>
      </c>
      <c r="D3" t="n">
        <v>66</v>
      </c>
      <c r="E3" t="n">
        <v>60</v>
      </c>
      <c r="F3">
        <f>IFERROR(ROUND(AVERAGE(C3:E3),1),"")</f>
        <v/>
      </c>
      <c r="G3">
        <f>IF(C3="","",B3-C3)</f>
        <v/>
      </c>
      <c r="H3">
        <f>IF(D3="","",B3-D3)</f>
        <v/>
      </c>
      <c r="I3">
        <f>IF(E3="","",B3-E3)</f>
        <v/>
      </c>
      <c r="J3">
        <f>IF(AND(C3&lt;&gt;"",D3&lt;&gt;""),IF(C3&gt;D3,"↑",IF(C3&lt;D3,"↓","→")),"")</f>
        <v/>
      </c>
    </row>
    <row r="4">
      <c r="A4" t="inlineStr">
        <is>
          <t>PO12 – Lifelong Learning</t>
        </is>
      </c>
      <c r="B4" t="n">
        <v>70</v>
      </c>
      <c r="C4" t="n">
        <v>71</v>
      </c>
      <c r="D4" t="n">
        <v>63</v>
      </c>
      <c r="E4" t="n">
        <v>58</v>
      </c>
      <c r="F4">
        <f>IFERROR(ROUND(AVERAGE(C4:E4),1),"")</f>
        <v/>
      </c>
      <c r="G4">
        <f>IF(C4="","",B4-C4)</f>
        <v/>
      </c>
      <c r="H4">
        <f>IF(D4="","",B4-D4)</f>
        <v/>
      </c>
      <c r="I4">
        <f>IF(E4="","",B4-E4)</f>
        <v/>
      </c>
      <c r="J4">
        <f>IF(AND(C4&lt;&gt;"",D4&lt;&gt;""),IF(C4&gt;D4,"↑",IF(C4&lt;D4,"↓","→")),"")</f>
        <v/>
      </c>
    </row>
    <row r="5">
      <c r="A5" t="inlineStr">
        <is>
          <t>PSO1 – Domain Tools</t>
        </is>
      </c>
      <c r="B5" t="n">
        <v>70</v>
      </c>
      <c r="C5" t="n">
        <v>66</v>
      </c>
      <c r="D5" t="n">
        <v>60</v>
      </c>
      <c r="E5" t="n">
        <v>52</v>
      </c>
      <c r="F5">
        <f>IFERROR(ROUND(AVERAGE(C5:E5),1),"")</f>
        <v/>
      </c>
      <c r="G5">
        <f>IF(C5="","",B5-C5)</f>
        <v/>
      </c>
      <c r="H5">
        <f>IF(D5="","",B5-D5)</f>
        <v/>
      </c>
      <c r="I5">
        <f>IF(E5="","",B5-E5)</f>
        <v/>
      </c>
      <c r="J5">
        <f>IF(AND(C5&lt;&gt;"",D5&lt;&gt;""),IF(C5&gt;D5,"↑",IF(C5&lt;D5,"↓","→")),"")</f>
        <v/>
      </c>
    </row>
  </sheetData>
  <conditionalFormatting sqref="G2:I5">
    <cfRule type="colorScale" priority="1">
      <colorScale>
        <cfvo type="min"/>
        <cfvo type="percentile" val="50"/>
        <cfvo type="max"/>
        <color rgb="0063BE7B"/>
        <color rgb="00FFEB84"/>
        <color rgb="00F8696B"/>
      </colorScale>
    </cfRule>
  </conditionalFormatting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2025-08-28T06:21:17Z</dcterms:created>
  <dcterms:modified xmlns:dcterms="http://purl.org/dc/terms/" xmlns:xsi="http://www.w3.org/2001/XMLSchema-instance" xsi:type="dcterms:W3CDTF">2025-08-28T06:21:17Z</dcterms:modified>
</cp:coreProperties>
</file>