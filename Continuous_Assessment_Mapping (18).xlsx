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Mid-Term Mapping" sheetId="7" state="visible" r:id="rId7"/>
    <sheet xmlns:r="http://schemas.openxmlformats.org/officeDocument/2006/relationships" name="Attendance &amp; Marks Register" sheetId="8" state="visible" r:id="rId8"/>
    <sheet xmlns:r="http://schemas.openxmlformats.org/officeDocument/2006/relationships" name="Rubrics &amp; Answer Scripts" sheetId="9" state="visible" r:id="rId9"/>
    <sheet xmlns:r="http://schemas.openxmlformats.org/officeDocument/2006/relationships" name="CO Attainment Analysis" sheetId="10" state="visible" r:id="rId10"/>
    <sheet xmlns:r="http://schemas.openxmlformats.org/officeDocument/2006/relationships" name="Assignment-wise Attainment" sheetId="11" state="visible" r:id="rId11"/>
    <sheet xmlns:r="http://schemas.openxmlformats.org/officeDocument/2006/relationships" name="Unit Test-wise Attainment" sheetId="12" state="visible" r:id="rId12"/>
    <sheet xmlns:r="http://schemas.openxmlformats.org/officeDocument/2006/relationships" name="Mid-Term-wise Attainment" sheetId="13" state="visible" r:id="rId13"/>
    <sheet xmlns:r="http://schemas.openxmlformats.org/officeDocument/2006/relationships" name="CO Attainment Summary" sheetId="14" state="visible" r:id="rId14"/>
    <sheet xmlns:r="http://schemas.openxmlformats.org/officeDocument/2006/relationships" name="CO–PO &amp; PSO Matrix" sheetId="15" state="visible" r:id="rId15"/>
    <sheet xmlns:r="http://schemas.openxmlformats.org/officeDocument/2006/relationships" name="PO_PSO Aggregation" sheetId="16" state="visible" r:id="rId16"/>
    <sheet xmlns:r="http://schemas.openxmlformats.org/officeDocument/2006/relationships" name="Attainment Calc Sheets" sheetId="17" state="visible" r:id="rId17"/>
    <sheet xmlns:r="http://schemas.openxmlformats.org/officeDocument/2006/relationships" name="CO Score Shee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Records'!F:F,B2),"")</f>
        <v/>
      </c>
      <c r="E2" t="inlineStr"/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Records'!F:F,B3),"")</f>
        <v/>
      </c>
      <c r="E3" t="inlineStr"/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Records'!F:F,B4),"")</f>
        <v/>
      </c>
      <c r="E4" t="inlineStr"/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A5" t="inlineStr">
        <is>
          <t>CSE301</t>
        </is>
      </c>
      <c r="B5" t="inlineStr">
        <is>
          <t>CO4</t>
        </is>
      </c>
      <c r="C5" t="inlineStr">
        <is>
          <t>A3, UT2, MT1</t>
        </is>
      </c>
      <c r="D5">
        <f>IFERROR(AVERAGEIFS('Continuous Assessment Records'!M:M,'Continuous Assessment Records'!A:A,A5,'Continuous Assessment Records'!F:F,B5),"")</f>
        <v/>
      </c>
      <c r="E5" t="inlineStr"/>
      <c r="F5">
        <f>IF(E5="",D5,ROUND(0.8*D5+0.2*E5,0))</f>
        <v/>
      </c>
      <c r="G5" t="inlineStr">
        <is>
          <t>PO4, PO5</t>
        </is>
      </c>
      <c r="H5" t="inlineStr">
        <is>
          <t>PSO2</t>
        </is>
      </c>
    </row>
    <row r="6">
      <c r="D6">
        <f>IFERROR(AVERAGEIFS('Continuous Assessment Records'!M:M,'Continuous Assessment Records'!A:A,A6,'Continuous Assessment Records'!F:F,B6),"")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'CO–PO Attainment Summary' and 'CO Attainment Analysis' auto-pull attainment. Enter Indirect Attainment where applicable.</t>
        </is>
      </c>
    </row>
    <row r="5">
      <c r="A5" s="3" t="inlineStr">
        <is>
          <t>4) Use 'Assignment/UT/Mid-Term Mapping' sheets to maintain CO links and evidence for NBA.</t>
        </is>
      </c>
    </row>
    <row r="6">
      <c r="A6" s="3" t="inlineStr">
        <is>
          <t>5) 'PO_PSO Aggregation' computes program-level attainment via CO Final × Mapping Strengths.</t>
        </is>
      </c>
    </row>
    <row r="7">
      <c r="A7" s="3" t="inlineStr">
        <is>
          <t>6) Adjust weights in analysis/summary sheets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4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4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4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4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4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4">
        <f>IF(L4="","",L4/100)</f>
        <v/>
      </c>
      <c r="N4">
        <f>IF(M4="","",IF(M4&gt;=0.7,3,IF(M4&gt;=0.6,2,IF(M4&gt;=0.5,1,0))))</f>
        <v/>
      </c>
    </row>
    <row r="5">
      <c r="H5" s="4">
        <f>IF(F5=0,"",IFERROR(G5/F5, ""))</f>
        <v/>
      </c>
      <c r="L5">
        <f>IF(COUNTA(I5:K5)=3, I5+J5+K5, "")</f>
        <v/>
      </c>
      <c r="M5" s="4">
        <f>IF(L5="","",L5/100)</f>
        <v/>
      </c>
      <c r="N5">
        <f>IF(M5="","",IF(M5&gt;=0.7,3,IF(M5&gt;=0.6,2,IF(M5&gt;=0.5,1,0))))</f>
        <v/>
      </c>
    </row>
    <row r="6">
      <c r="H6" s="4">
        <f>IF(F6=0,"",IFERROR(G6/F6, ""))</f>
        <v/>
      </c>
      <c r="L6">
        <f>IF(COUNTA(I6:K6)=3, I6+J6+K6, "")</f>
        <v/>
      </c>
      <c r="M6" s="4">
        <f>IF(L6="","",L6/100)</f>
        <v/>
      </c>
      <c r="N6">
        <f>IF(M6="","",IF(M6&gt;=0.7,3,IF(M6&gt;=0.6,2,IF(M6&gt;=0.5,1,0))))</f>
        <v/>
      </c>
    </row>
    <row r="7">
      <c r="H7" s="4">
        <f>IF(F7=0,"",IFERROR(G7/F7, ""))</f>
        <v/>
      </c>
      <c r="L7">
        <f>IF(COUNTA(I7:K7)=3, I7+J7+K7, "")</f>
        <v/>
      </c>
      <c r="M7" s="4">
        <f>IF(L7="","",L7/100)</f>
        <v/>
      </c>
      <c r="N7">
        <f>IF(M7="","",IF(M7&gt;=0.7,3,IF(M7&gt;=0.6,2,IF(M7&gt;=0.5,1,0))))</f>
        <v/>
      </c>
    </row>
    <row r="8">
      <c r="H8" s="4">
        <f>IF(F8=0,"",IFERROR(G8/F8, ""))</f>
        <v/>
      </c>
      <c r="L8">
        <f>IF(COUNTA(I8:K8)=3, I8+J8+K8, "")</f>
        <v/>
      </c>
      <c r="M8" s="4">
        <f>IF(L8="","",L8/100)</f>
        <v/>
      </c>
      <c r="N8">
        <f>IF(M8="","",IF(M8&gt;=0.7,3,IF(M8&gt;=0.6,2,IF(M8&gt;=0.5,1,0))))</f>
        <v/>
      </c>
    </row>
    <row r="9">
      <c r="H9" s="4">
        <f>IF(F9=0,"",IFERROR(G9/F9, ""))</f>
        <v/>
      </c>
      <c r="L9">
        <f>IF(COUNTA(I9:K9)=3, I9+J9+K9, "")</f>
        <v/>
      </c>
      <c r="M9" s="4">
        <f>IF(L9="","",L9/100)</f>
        <v/>
      </c>
      <c r="N9">
        <f>IF(M9="","",IF(M9&gt;=0.7,3,IF(M9&gt;=0.6,2,IF(M9&gt;=0.5,1,0))))</f>
        <v/>
      </c>
    </row>
    <row r="10">
      <c r="H10" s="4">
        <f>IF(F10=0,"",IFERROR(G10/F10, ""))</f>
        <v/>
      </c>
      <c r="L10">
        <f>IF(COUNTA(I10:K10)=3, I10+J10+K10, "")</f>
        <v/>
      </c>
      <c r="M10" s="4">
        <f>IF(L10="","",L10/100)</f>
        <v/>
      </c>
      <c r="N10">
        <f>IF(M10="","",IF(M10&gt;=0.7,3,IF(M10&gt;=0.6,2,IF(M10&gt;=0.5,1,0))))</f>
        <v/>
      </c>
    </row>
    <row r="11">
      <c r="H11" s="4">
        <f>IF(F11=0,"",IFERROR(G11/F11, ""))</f>
        <v/>
      </c>
      <c r="L11">
        <f>IF(COUNTA(I11:K11)=3, I11+J11+K11, "")</f>
        <v/>
      </c>
      <c r="M11" s="4">
        <f>IF(L11="","",L11/100)</f>
        <v/>
      </c>
      <c r="N11">
        <f>IF(M11="","",IF(M11&gt;=0.7,3,IF(M11&gt;=0.6,2,IF(M11&gt;=0.5,1,0))))</f>
        <v/>
      </c>
    </row>
    <row r="12">
      <c r="H12" s="4">
        <f>IF(F12=0,"",IFERROR(G12/F12, ""))</f>
        <v/>
      </c>
      <c r="L12">
        <f>IF(COUNTA(I12:K12)=3, I12+J12+K12, "")</f>
        <v/>
      </c>
      <c r="M12" s="4">
        <f>IF(L12="","",L12/100)</f>
        <v/>
      </c>
      <c r="N12">
        <f>IF(M12="","",IF(M12&gt;=0.7,3,IF(M12&gt;=0.6,2,IF(M12&gt;=0.5,1,0))))</f>
        <v/>
      </c>
    </row>
    <row r="13">
      <c r="H13" s="4">
        <f>IF(F13=0,"",IFERROR(G13/F13, ""))</f>
        <v/>
      </c>
      <c r="L13">
        <f>IF(COUNTA(I13:K13)=3, I13+J13+K13, "")</f>
        <v/>
      </c>
      <c r="M13" s="4">
        <f>IF(L13="","",L13/100)</f>
        <v/>
      </c>
      <c r="N13">
        <f>IF(M13="","",IF(M13&gt;=0.7,3,IF(M13&gt;=0.6,2,IF(M13&gt;=0.5,1,0))))</f>
        <v/>
      </c>
    </row>
    <row r="14">
      <c r="H14" s="4">
        <f>IF(F14=0,"",IFERROR(G14/F14, ""))</f>
        <v/>
      </c>
      <c r="L14">
        <f>IF(COUNTA(I14:K14)=3, I14+J14+K14, "")</f>
        <v/>
      </c>
      <c r="M14" s="4">
        <f>IF(L14="","",L14/100)</f>
        <v/>
      </c>
      <c r="N14">
        <f>IF(M14="","",IF(M14&gt;=0.7,3,IF(M14&gt;=0.6,2,IF(M14&gt;=0.5,1,0))))</f>
        <v/>
      </c>
    </row>
    <row r="15">
      <c r="H15" s="4">
        <f>IF(F15=0,"",IFERROR(G15/F15, ""))</f>
        <v/>
      </c>
      <c r="L15">
        <f>IF(COUNTA(I15:K15)=3, I15+J15+K15, "")</f>
        <v/>
      </c>
      <c r="M15" s="4">
        <f>IF(L15="","",L15/100)</f>
        <v/>
      </c>
      <c r="N15">
        <f>IF(M15="","",IF(M15&gt;=0.7,3,IF(M15&gt;=0.6,2,IF(M15&gt;=0.5,1,0))))</f>
        <v/>
      </c>
    </row>
    <row r="16">
      <c r="H16" s="4">
        <f>IF(F16=0,"",IFERROR(G16/F16, ""))</f>
        <v/>
      </c>
      <c r="L16">
        <f>IF(COUNTA(I16:K16)=3, I16+J16+K16, "")</f>
        <v/>
      </c>
      <c r="M16" s="4">
        <f>IF(L16="","",L16/100)</f>
        <v/>
      </c>
      <c r="N16">
        <f>IF(M16="","",IF(M16&gt;=0.7,3,IF(M16&gt;=0.6,2,IF(M16&gt;=0.5,1,0))))</f>
        <v/>
      </c>
    </row>
    <row r="17">
      <c r="H17" s="4">
        <f>IF(F17=0,"",IFERROR(G17/F17, ""))</f>
        <v/>
      </c>
      <c r="L17">
        <f>IF(COUNTA(I17:K17)=3, I17+J17+K17, "")</f>
        <v/>
      </c>
      <c r="M17" s="4">
        <f>IF(L17="","",L17/100)</f>
        <v/>
      </c>
      <c r="N17">
        <f>IF(M17="","",IF(M17&gt;=0.7,3,IF(M17&gt;=0.6,2,IF(M17&gt;=0.5,1,0))))</f>
        <v/>
      </c>
    </row>
    <row r="18">
      <c r="H18" s="4">
        <f>IF(F18=0,"",IFERROR(G18/F18, ""))</f>
        <v/>
      </c>
      <c r="L18">
        <f>IF(COUNTA(I18:K18)=3, I18+J18+K18, "")</f>
        <v/>
      </c>
      <c r="M18" s="4">
        <f>IF(L18="","",L18/100)</f>
        <v/>
      </c>
      <c r="N18">
        <f>IF(M18="","",IF(M18&gt;=0.7,3,IF(M18&gt;=0.6,2,IF(M18&gt;=0.5,1,0))))</f>
        <v/>
      </c>
    </row>
    <row r="19">
      <c r="H19" s="4">
        <f>IF(F19=0,"",IFERROR(G19/F19, ""))</f>
        <v/>
      </c>
      <c r="L19">
        <f>IF(COUNTA(I19:K19)=3, I19+J19+K19, "")</f>
        <v/>
      </c>
      <c r="M19" s="4">
        <f>IF(L19="","",L19/100)</f>
        <v/>
      </c>
      <c r="N19">
        <f>IF(M19="","",IF(M19&gt;=0.7,3,IF(M19&gt;=0.6,2,IF(M19&gt;=0.5,1,0))))</f>
        <v/>
      </c>
    </row>
    <row r="20">
      <c r="H20" s="4">
        <f>IF(F20=0,"",IFERROR(G20/F20, ""))</f>
        <v/>
      </c>
      <c r="L20">
        <f>IF(COUNTA(I20:K20)=3, I20+J20+K20, "")</f>
        <v/>
      </c>
      <c r="M20" s="4">
        <f>IF(L20="","",L20/100)</f>
        <v/>
      </c>
      <c r="N20">
        <f>IF(M20="","",IF(M20&gt;=0.7,3,IF(M20&gt;=0.6,2,IF(M20&gt;=0.5,1,0))))</f>
        <v/>
      </c>
    </row>
    <row r="21">
      <c r="H21" s="4">
        <f>IF(F21=0,"",IFERROR(G21/F21, ""))</f>
        <v/>
      </c>
      <c r="L21">
        <f>IF(COUNTA(I21:K21)=3, I21+J21+K21, "")</f>
        <v/>
      </c>
      <c r="M21" s="4">
        <f>IF(L21="","",L21/100)</f>
        <v/>
      </c>
      <c r="N21">
        <f>IF(M21="","",IF(M21&gt;=0.7,3,IF(M21&gt;=0.6,2,IF(M21&gt;=0.5,1,0))))</f>
        <v/>
      </c>
    </row>
    <row r="22">
      <c r="H22" s="4">
        <f>IF(F22=0,"",IFERROR(G22/F22, ""))</f>
        <v/>
      </c>
      <c r="L22">
        <f>IF(COUNTA(I22:K22)=3, I22+J22+K22, "")</f>
        <v/>
      </c>
      <c r="M22" s="4">
        <f>IF(L22="","",L22/100)</f>
        <v/>
      </c>
      <c r="N22">
        <f>IF(M22="","",IF(M22&gt;=0.7,3,IF(M22&gt;=0.6,2,IF(M22&gt;=0.5,1,0))))</f>
        <v/>
      </c>
    </row>
    <row r="23">
      <c r="H23" s="4">
        <f>IF(F23=0,"",IFERROR(G23/F23, ""))</f>
        <v/>
      </c>
      <c r="L23">
        <f>IF(COUNTA(I23:K23)=3, I23+J23+K23, "")</f>
        <v/>
      </c>
      <c r="M23" s="4">
        <f>IF(L23="","",L23/100)</f>
        <v/>
      </c>
      <c r="N23">
        <f>IF(M23="","",IF(M23&gt;=0.7,3,IF(M23&gt;=0.6,2,IF(M23&gt;=0.5,1,0))))</f>
        <v/>
      </c>
    </row>
    <row r="24">
      <c r="H24" s="4">
        <f>IF(F24=0,"",IFERROR(G24/F24, ""))</f>
        <v/>
      </c>
      <c r="L24">
        <f>IF(COUNTA(I24:K24)=3, I24+J24+K24, "")</f>
        <v/>
      </c>
      <c r="M24" s="4">
        <f>IF(L24="","",L24/100)</f>
        <v/>
      </c>
      <c r="N24">
        <f>IF(M24="","",IF(M24&gt;=0.7,3,IF(M24&gt;=0.6,2,IF(M24&gt;=0.5,1,0))))</f>
        <v/>
      </c>
    </row>
    <row r="25">
      <c r="H25" s="4">
        <f>IF(F25=0,"",IFERROR(G25/F25, ""))</f>
        <v/>
      </c>
      <c r="L25">
        <f>IF(COUNTA(I25:K25)=3, I25+J25+K25, "")</f>
        <v/>
      </c>
      <c r="M25" s="4">
        <f>IF(L25="","",L25/100)</f>
        <v/>
      </c>
      <c r="N25">
        <f>IF(M25="","",IF(M25&gt;=0.7,3,IF(M25&gt;=0.6,2,IF(M25&gt;=0.5,1,0))))</f>
        <v/>
      </c>
    </row>
    <row r="26">
      <c r="H26" s="4">
        <f>IF(F26=0,"",IFERROR(G26/F26, ""))</f>
        <v/>
      </c>
      <c r="L26">
        <f>IF(COUNTA(I26:K26)=3, I26+J26+K26, "")</f>
        <v/>
      </c>
      <c r="M26" s="4">
        <f>IF(L26="","",L26/100)</f>
        <v/>
      </c>
      <c r="N26">
        <f>IF(M26="","",IF(M26&gt;=0.7,3,IF(M26&gt;=0.6,2,IF(M26&gt;=0.5,1,0))))</f>
        <v/>
      </c>
    </row>
    <row r="27">
      <c r="H27" s="4">
        <f>IF(F27=0,"",IFERROR(G27/F27, ""))</f>
        <v/>
      </c>
      <c r="L27">
        <f>IF(COUNTA(I27:K27)=3, I27+J27+K27, "")</f>
        <v/>
      </c>
      <c r="M27" s="4">
        <f>IF(L27="","",L27/100)</f>
        <v/>
      </c>
      <c r="N27">
        <f>IF(M27="","",IF(M27&gt;=0.7,3,IF(M27&gt;=0.6,2,IF(M27&gt;=0.5,1,0))))</f>
        <v/>
      </c>
    </row>
    <row r="28">
      <c r="H28" s="4">
        <f>IF(F28=0,"",IFERROR(G28/F28, ""))</f>
        <v/>
      </c>
      <c r="L28">
        <f>IF(COUNTA(I28:K28)=3, I28+J28+K28, "")</f>
        <v/>
      </c>
      <c r="M28" s="4">
        <f>IF(L28="","",L28/100)</f>
        <v/>
      </c>
      <c r="N28">
        <f>IF(M28="","",IF(M28&gt;=0.7,3,IF(M28&gt;=0.6,2,IF(M28&gt;=0.5,1,0))))</f>
        <v/>
      </c>
    </row>
    <row r="29">
      <c r="H29" s="4">
        <f>IF(F29=0,"",IFERROR(G29/F29, ""))</f>
        <v/>
      </c>
      <c r="L29">
        <f>IF(COUNTA(I29:K29)=3, I29+J29+K29, "")</f>
        <v/>
      </c>
      <c r="M29" s="4">
        <f>IF(L29="","",L29/100)</f>
        <v/>
      </c>
      <c r="N29">
        <f>IF(M29="","",IF(M29&gt;=0.7,3,IF(M29&gt;=0.6,2,IF(M29&gt;=0.5,1,0))))</f>
        <v/>
      </c>
    </row>
    <row r="30">
      <c r="H30" s="4">
        <f>IF(F30=0,"",IFERROR(G30/F30, ""))</f>
        <v/>
      </c>
      <c r="L30">
        <f>IF(COUNTA(I30:K30)=3, I30+J30+K30, "")</f>
        <v/>
      </c>
      <c r="M30" s="4">
        <f>IF(L30="","",L30/100)</f>
        <v/>
      </c>
      <c r="N30">
        <f>IF(M30="","",IF(M30&gt;=0.7,3,IF(M30&gt;=0.6,2,IF(M30&gt;=0.5,1,0))))</f>
        <v/>
      </c>
    </row>
    <row r="31">
      <c r="H31" s="4">
        <f>IF(F31=0,"",IFERROR(G31/F31, ""))</f>
        <v/>
      </c>
      <c r="L31">
        <f>IF(COUNTA(I31:K31)=3, I31+J31+K31, "")</f>
        <v/>
      </c>
      <c r="M31" s="4">
        <f>IF(L31="","",L31/100)</f>
        <v/>
      </c>
      <c r="N31">
        <f>IF(M31="","",IF(M31&gt;=0.7,3,IF(M31&gt;=0.6,2,IF(M31&gt;=0.5,1,0))))</f>
        <v/>
      </c>
    </row>
    <row r="32">
      <c r="H32" s="4">
        <f>IF(F32=0,"",IFERROR(G32/F32, ""))</f>
        <v/>
      </c>
      <c r="L32">
        <f>IF(COUNTA(I32:K32)=3, I32+J32+K32, "")</f>
        <v/>
      </c>
      <c r="M32" s="4">
        <f>IF(L32="","",L32/100)</f>
        <v/>
      </c>
      <c r="N32">
        <f>IF(M32="","",IF(M32&gt;=0.7,3,IF(M32&gt;=0.6,2,IF(M32&gt;=0.5,1,0))))</f>
        <v/>
      </c>
    </row>
    <row r="33">
      <c r="H33" s="4">
        <f>IF(F33=0,"",IFERROR(G33/F33, ""))</f>
        <v/>
      </c>
      <c r="L33">
        <f>IF(COUNTA(I33:K33)=3, I33+J33+K33, "")</f>
        <v/>
      </c>
      <c r="M33" s="4">
        <f>IF(L33="","",L33/100)</f>
        <v/>
      </c>
      <c r="N33">
        <f>IF(M33="","",IF(M33&gt;=0.7,3,IF(M33&gt;=0.6,2,IF(M33&gt;=0.5,1,0))))</f>
        <v/>
      </c>
    </row>
    <row r="34">
      <c r="H34" s="4">
        <f>IF(F34=0,"",IFERROR(G34/F34, ""))</f>
        <v/>
      </c>
      <c r="L34">
        <f>IF(COUNTA(I34:K34)=3, I34+J34+K34, "")</f>
        <v/>
      </c>
      <c r="M34" s="4">
        <f>IF(L34="","",L34/100)</f>
        <v/>
      </c>
      <c r="N34">
        <f>IF(M34="","",IF(M34&gt;=0.7,3,IF(M34&gt;=0.6,2,IF(M34&gt;=0.5,1,0))))</f>
        <v/>
      </c>
    </row>
    <row r="35">
      <c r="H35" s="4">
        <f>IF(F35=0,"",IFERROR(G35/F35, ""))</f>
        <v/>
      </c>
      <c r="L35">
        <f>IF(COUNTA(I35:K35)=3, I35+J35+K35, "")</f>
        <v/>
      </c>
      <c r="M35" s="4">
        <f>IF(L35="","",L35/100)</f>
        <v/>
      </c>
      <c r="N35">
        <f>IF(M35="","",IF(M35&gt;=0.7,3,IF(M35&gt;=0.6,2,IF(M35&gt;=0.5,1,0))))</f>
        <v/>
      </c>
    </row>
    <row r="36">
      <c r="H36" s="4">
        <f>IF(F36=0,"",IFERROR(G36/F36, ""))</f>
        <v/>
      </c>
      <c r="L36">
        <f>IF(COUNTA(I36:K36)=3, I36+J36+K36, "")</f>
        <v/>
      </c>
      <c r="M36" s="4">
        <f>IF(L36="","",L36/100)</f>
        <v/>
      </c>
      <c r="N36">
        <f>IF(M36="","",IF(M36&gt;=0.7,3,IF(M36&gt;=0.6,2,IF(M36&gt;=0.5,1,0))))</f>
        <v/>
      </c>
    </row>
    <row r="37">
      <c r="H37" s="4">
        <f>IF(F37=0,"",IFERROR(G37/F37, ""))</f>
        <v/>
      </c>
      <c r="L37">
        <f>IF(COUNTA(I37:K37)=3, I37+J37+K37, "")</f>
        <v/>
      </c>
      <c r="M37" s="4">
        <f>IF(L37="","",L37/100)</f>
        <v/>
      </c>
      <c r="N37">
        <f>IF(M37="","",IF(M37&gt;=0.7,3,IF(M37&gt;=0.6,2,IF(M37&gt;=0.5,1,0))))</f>
        <v/>
      </c>
    </row>
    <row r="38">
      <c r="H38" s="4">
        <f>IF(F38=0,"",IFERROR(G38/F38, ""))</f>
        <v/>
      </c>
      <c r="L38">
        <f>IF(COUNTA(I38:K38)=3, I38+J38+K38, "")</f>
        <v/>
      </c>
      <c r="M38" s="4">
        <f>IF(L38="","",L38/100)</f>
        <v/>
      </c>
      <c r="N38">
        <f>IF(M38="","",IF(M38&gt;=0.7,3,IF(M38&gt;=0.6,2,IF(M38&gt;=0.5,1,0))))</f>
        <v/>
      </c>
    </row>
    <row r="39">
      <c r="H39" s="4">
        <f>IF(F39=0,"",IFERROR(G39/F39, ""))</f>
        <v/>
      </c>
      <c r="L39">
        <f>IF(COUNTA(I39:K39)=3, I39+J39+K39, "")</f>
        <v/>
      </c>
      <c r="M39" s="4">
        <f>IF(L39="","",L39/100)</f>
        <v/>
      </c>
      <c r="N39">
        <f>IF(M39="","",IF(M39&gt;=0.7,3,IF(M39&gt;=0.6,2,IF(M39&gt;=0.5,1,0))))</f>
        <v/>
      </c>
    </row>
    <row r="40">
      <c r="H40" s="4">
        <f>IF(F40=0,"",IFERROR(G40/F40, ""))</f>
        <v/>
      </c>
      <c r="L40">
        <f>IF(COUNTA(I40:K40)=3, I40+J40+K40, "")</f>
        <v/>
      </c>
      <c r="M40" s="4">
        <f>IF(L40="","",L40/100)</f>
        <v/>
      </c>
      <c r="N40">
        <f>IF(M40="","",IF(M40&gt;=0.7,3,IF(M40&gt;=0.6,2,IF(M40&gt;=0.5,1,0))))</f>
        <v/>
      </c>
    </row>
    <row r="41">
      <c r="H41" s="4">
        <f>IF(F41=0,"",IFERROR(G41/F41, ""))</f>
        <v/>
      </c>
      <c r="L41">
        <f>IF(COUNTA(I41:K41)=3, I41+J41+K41, "")</f>
        <v/>
      </c>
      <c r="M41" s="4">
        <f>IF(L41="","",L41/100)</f>
        <v/>
      </c>
      <c r="N41">
        <f>IF(M41="","",IF(M41&gt;=0.7,3,IF(M41&gt;=0.6,2,IF(M41&gt;=0.5,1,0))))</f>
        <v/>
      </c>
    </row>
    <row r="42">
      <c r="H42" s="4">
        <f>IF(F42=0,"",IFERROR(G42/F42, ""))</f>
        <v/>
      </c>
      <c r="L42">
        <f>IF(COUNTA(I42:K42)=3, I42+J42+K42, "")</f>
        <v/>
      </c>
      <c r="M42" s="4">
        <f>IF(L42="","",L42/100)</f>
        <v/>
      </c>
      <c r="N42">
        <f>IF(M42="","",IF(M42&gt;=0.7,3,IF(M42&gt;=0.6,2,IF(M42&gt;=0.5,1,0))))</f>
        <v/>
      </c>
    </row>
    <row r="43">
      <c r="H43" s="4">
        <f>IF(F43=0,"",IFERROR(G43/F43, ""))</f>
        <v/>
      </c>
      <c r="L43">
        <f>IF(COUNTA(I43:K43)=3, I43+J43+K43, "")</f>
        <v/>
      </c>
      <c r="M43" s="4">
        <f>IF(L43="","",L43/100)</f>
        <v/>
      </c>
      <c r="N43">
        <f>IF(M43="","",IF(M43&gt;=0.7,3,IF(M43&gt;=0.6,2,IF(M43&gt;=0.5,1,0))))</f>
        <v/>
      </c>
    </row>
    <row r="44">
      <c r="H44" s="4">
        <f>IF(F44=0,"",IFERROR(G44/F44, ""))</f>
        <v/>
      </c>
      <c r="L44">
        <f>IF(COUNTA(I44:K44)=3, I44+J44+K44, "")</f>
        <v/>
      </c>
      <c r="M44" s="4">
        <f>IF(L44="","",L44/100)</f>
        <v/>
      </c>
      <c r="N44">
        <f>IF(M44="","",IF(M44&gt;=0.7,3,IF(M44&gt;=0.6,2,IF(M44&gt;=0.5,1,0))))</f>
        <v/>
      </c>
    </row>
    <row r="45">
      <c r="H45" s="4">
        <f>IF(F45=0,"",IFERROR(G45/F45, ""))</f>
        <v/>
      </c>
      <c r="L45">
        <f>IF(COUNTA(I45:K45)=3, I45+J45+K45, "")</f>
        <v/>
      </c>
      <c r="M45" s="4">
        <f>IF(L45="","",L45/100)</f>
        <v/>
      </c>
      <c r="N45">
        <f>IF(M45="","",IF(M45&gt;=0.7,3,IF(M45&gt;=0.6,2,IF(M45&gt;=0.5,1,0))))</f>
        <v/>
      </c>
    </row>
    <row r="46">
      <c r="H46" s="4">
        <f>IF(F46=0,"",IFERROR(G46/F46, ""))</f>
        <v/>
      </c>
      <c r="L46">
        <f>IF(COUNTA(I46:K46)=3, I46+J46+K46, "")</f>
        <v/>
      </c>
      <c r="M46" s="4">
        <f>IF(L46="","",L46/100)</f>
        <v/>
      </c>
      <c r="N46">
        <f>IF(M46="","",IF(M46&gt;=0.7,3,IF(M46&gt;=0.6,2,IF(M46&gt;=0.5,1,0))))</f>
        <v/>
      </c>
    </row>
    <row r="47">
      <c r="H47" s="4">
        <f>IF(F47=0,"",IFERROR(G47/F47, ""))</f>
        <v/>
      </c>
      <c r="L47">
        <f>IF(COUNTA(I47:K47)=3, I47+J47+K47, "")</f>
        <v/>
      </c>
      <c r="M47" s="4">
        <f>IF(L47="","",L47/100)</f>
        <v/>
      </c>
      <c r="N47">
        <f>IF(M47="","",IF(M47&gt;=0.7,3,IF(M47&gt;=0.6,2,IF(M47&gt;=0.5,1,0))))</f>
        <v/>
      </c>
    </row>
    <row r="48">
      <c r="H48" s="4">
        <f>IF(F48=0,"",IFERROR(G48/F48, ""))</f>
        <v/>
      </c>
      <c r="L48">
        <f>IF(COUNTA(I48:K48)=3, I48+J48+K48, "")</f>
        <v/>
      </c>
      <c r="M48" s="4">
        <f>IF(L48="","",L48/100)</f>
        <v/>
      </c>
      <c r="N48">
        <f>IF(M48="","",IF(M48&gt;=0.7,3,IF(M48&gt;=0.6,2,IF(M48&gt;=0.5,1,0))))</f>
        <v/>
      </c>
    </row>
    <row r="49">
      <c r="H49" s="4">
        <f>IF(F49=0,"",IFERROR(G49/F49, ""))</f>
        <v/>
      </c>
      <c r="L49">
        <f>IF(COUNTA(I49:K49)=3, I49+J49+K49, "")</f>
        <v/>
      </c>
      <c r="M49" s="4">
        <f>IF(L49="","",L49/100)</f>
        <v/>
      </c>
      <c r="N49">
        <f>IF(M49="","",IF(M49&gt;=0.7,3,IF(M49&gt;=0.6,2,IF(M49&gt;=0.5,1,0))))</f>
        <v/>
      </c>
    </row>
    <row r="50">
      <c r="H50" s="4">
        <f>IF(F50=0,"",IFERROR(G50/F50, ""))</f>
        <v/>
      </c>
      <c r="L50">
        <f>IF(COUNTA(I50:K50)=3, I50+J50+K50, "")</f>
        <v/>
      </c>
      <c r="M50" s="4">
        <f>IF(L50="","",L50/100)</f>
        <v/>
      </c>
      <c r="N50">
        <f>IF(M50="","",IF(M50&gt;=0.7,3,IF(M50&gt;=0.6,2,IF(M50&gt;=0.5,1,0))))</f>
        <v/>
      </c>
    </row>
    <row r="51">
      <c r="H51" s="4">
        <f>IF(F51=0,"",IFERROR(G51/F51, ""))</f>
        <v/>
      </c>
      <c r="L51">
        <f>IF(COUNTA(I51:K51)=3, I51+J51+K51, "")</f>
        <v/>
      </c>
      <c r="M51" s="4">
        <f>IF(L51="","",L51/100)</f>
        <v/>
      </c>
      <c r="N51">
        <f>IF(M51="","",IF(M51&gt;=0.7,3,IF(M51&gt;=0.6,2,IF(M51&gt;=0.5,1,0))))</f>
        <v/>
      </c>
    </row>
    <row r="52">
      <c r="H52" s="4">
        <f>IF(F52=0,"",IFERROR(G52/F52, ""))</f>
        <v/>
      </c>
      <c r="L52">
        <f>IF(COUNTA(I52:K52)=3, I52+J52+K52, "")</f>
        <v/>
      </c>
      <c r="M52" s="4">
        <f>IF(L52="","",L52/100)</f>
        <v/>
      </c>
      <c r="N52">
        <f>IF(M52="","",IF(M52&gt;=0.7,3,IF(M52&gt;=0.6,2,IF(M52&gt;=0.5,1,0))))</f>
        <v/>
      </c>
    </row>
    <row r="53">
      <c r="H53" s="4">
        <f>IF(F53=0,"",IFERROR(G53/F53, ""))</f>
        <v/>
      </c>
      <c r="L53">
        <f>IF(COUNTA(I53:K53)=3, I53+J53+K53, "")</f>
        <v/>
      </c>
      <c r="M53" s="4">
        <f>IF(L53="","",L53/100)</f>
        <v/>
      </c>
      <c r="N53">
        <f>IF(M53="","",IF(M53&gt;=0.7,3,IF(M53&gt;=0.6,2,IF(M53&gt;=0.5,1,0))))</f>
        <v/>
      </c>
    </row>
    <row r="54">
      <c r="H54" s="4">
        <f>IF(F54=0,"",IFERROR(G54/F54, ""))</f>
        <v/>
      </c>
      <c r="L54">
        <f>IF(COUNTA(I54:K54)=3, I54+J54+K54, "")</f>
        <v/>
      </c>
      <c r="M54" s="4">
        <f>IF(L54="","",L54/100)</f>
        <v/>
      </c>
      <c r="N54">
        <f>IF(M54="","",IF(M54&gt;=0.7,3,IF(M54&gt;=0.6,2,IF(M54&gt;=0.5,1,0))))</f>
        <v/>
      </c>
    </row>
    <row r="55">
      <c r="H55" s="4">
        <f>IF(F55=0,"",IFERROR(G55/F55, ""))</f>
        <v/>
      </c>
      <c r="L55">
        <f>IF(COUNTA(I55:K55)=3, I55+J55+K55, "")</f>
        <v/>
      </c>
      <c r="M55" s="4">
        <f>IF(L55="","",L55/100)</f>
        <v/>
      </c>
      <c r="N55">
        <f>IF(M55="","",IF(M55&gt;=0.7,3,IF(M55&gt;=0.6,2,IF(M55&gt;=0.5,1,0))))</f>
        <v/>
      </c>
    </row>
    <row r="56">
      <c r="H56" s="4">
        <f>IF(F56=0,"",IFERROR(G56/F56, ""))</f>
        <v/>
      </c>
      <c r="L56">
        <f>IF(COUNTA(I56:K56)=3, I56+J56+K56, "")</f>
        <v/>
      </c>
      <c r="M56" s="4">
        <f>IF(L56="","",L56/100)</f>
        <v/>
      </c>
      <c r="N56">
        <f>IF(M56="","",IF(M56&gt;=0.7,3,IF(M56&gt;=0.6,2,IF(M56&gt;=0.5,1,0))))</f>
        <v/>
      </c>
    </row>
    <row r="57">
      <c r="H57" s="4">
        <f>IF(F57=0,"",IFERROR(G57/F57, ""))</f>
        <v/>
      </c>
      <c r="L57">
        <f>IF(COUNTA(I57:K57)=3, I57+J57+K57, "")</f>
        <v/>
      </c>
      <c r="M57" s="4">
        <f>IF(L57="","",L57/100)</f>
        <v/>
      </c>
      <c r="N57">
        <f>IF(M57="","",IF(M57&gt;=0.7,3,IF(M57&gt;=0.6,2,IF(M57&gt;=0.5,1,0))))</f>
        <v/>
      </c>
    </row>
    <row r="58">
      <c r="H58" s="4">
        <f>IF(F58=0,"",IFERROR(G58/F58, ""))</f>
        <v/>
      </c>
      <c r="L58">
        <f>IF(COUNTA(I58:K58)=3, I58+J58+K58, "")</f>
        <v/>
      </c>
      <c r="M58" s="4">
        <f>IF(L58="","",L58/100)</f>
        <v/>
      </c>
      <c r="N58">
        <f>IF(M58="","",IF(M58&gt;=0.7,3,IF(M58&gt;=0.6,2,IF(M58&gt;=0.5,1,0))))</f>
        <v/>
      </c>
    </row>
    <row r="59">
      <c r="H59" s="4">
        <f>IF(F59=0,"",IFERROR(G59/F59, ""))</f>
        <v/>
      </c>
      <c r="L59">
        <f>IF(COUNTA(I59:K59)=3, I59+J59+K59, "")</f>
        <v/>
      </c>
      <c r="M59" s="4">
        <f>IF(L59="","",L59/100)</f>
        <v/>
      </c>
      <c r="N59">
        <f>IF(M59="","",IF(M59&gt;=0.7,3,IF(M59&gt;=0.6,2,IF(M59&gt;=0.5,1,0))))</f>
        <v/>
      </c>
    </row>
    <row r="60">
      <c r="H60" s="4">
        <f>IF(F60=0,"",IFERROR(G60/F60, ""))</f>
        <v/>
      </c>
      <c r="L60">
        <f>IF(COUNTA(I60:K60)=3, I60+J60+K60, "")</f>
        <v/>
      </c>
      <c r="M60" s="4">
        <f>IF(L60="","",L60/100)</f>
        <v/>
      </c>
      <c r="N60">
        <f>IF(M60="","",IF(M60&gt;=0.7,3,IF(M60&gt;=0.6,2,IF(M60&gt;=0.5,1,0))))</f>
        <v/>
      </c>
    </row>
    <row r="61">
      <c r="H61" s="4">
        <f>IF(F61=0,"",IFERROR(G61/F61, ""))</f>
        <v/>
      </c>
      <c r="L61">
        <f>IF(COUNTA(I61:K61)=3, I61+J61+K61, "")</f>
        <v/>
      </c>
      <c r="M61" s="4">
        <f>IF(L61="","",L61/100)</f>
        <v/>
      </c>
      <c r="N61">
        <f>IF(M61="","",IF(M61&gt;=0.7,3,IF(M61&gt;=0.6,2,IF(M61&gt;=0.5,1,0))))</f>
        <v/>
      </c>
    </row>
    <row r="62">
      <c r="H62" s="4">
        <f>IF(F62=0,"",IFERROR(G62/F62, ""))</f>
        <v/>
      </c>
      <c r="L62">
        <f>IF(COUNTA(I62:K62)=3, I62+J62+K62, "")</f>
        <v/>
      </c>
      <c r="M62" s="4">
        <f>IF(L62="","",L62/100)</f>
        <v/>
      </c>
      <c r="N62">
        <f>IF(M62="","",IF(M62&gt;=0.7,3,IF(M62&gt;=0.6,2,IF(M62&gt;=0.5,1,0))))</f>
        <v/>
      </c>
    </row>
    <row r="63">
      <c r="H63" s="4">
        <f>IF(F63=0,"",IFERROR(G63/F63, ""))</f>
        <v/>
      </c>
      <c r="L63">
        <f>IF(COUNTA(I63:K63)=3, I63+J63+K63, "")</f>
        <v/>
      </c>
      <c r="M63" s="4">
        <f>IF(L63="","",L63/100)</f>
        <v/>
      </c>
      <c r="N63">
        <f>IF(M63="","",IF(M63&gt;=0.7,3,IF(M63&gt;=0.6,2,IF(M63&gt;=0.5,1,0))))</f>
        <v/>
      </c>
    </row>
    <row r="64">
      <c r="H64" s="4">
        <f>IF(F64=0,"",IFERROR(G64/F64, ""))</f>
        <v/>
      </c>
      <c r="L64">
        <f>IF(COUNTA(I64:K64)=3, I64+J64+K64, "")</f>
        <v/>
      </c>
      <c r="M64" s="4">
        <f>IF(L64="","",L64/100)</f>
        <v/>
      </c>
      <c r="N64">
        <f>IF(M64="","",IF(M64&gt;=0.7,3,IF(M64&gt;=0.6,2,IF(M64&gt;=0.5,1,0))))</f>
        <v/>
      </c>
    </row>
    <row r="65">
      <c r="H65" s="4">
        <f>IF(F65=0,"",IFERROR(G65/F65, ""))</f>
        <v/>
      </c>
      <c r="L65">
        <f>IF(COUNTA(I65:K65)=3, I65+J65+K65, "")</f>
        <v/>
      </c>
      <c r="M65" s="4">
        <f>IF(L65="","",L65/100)</f>
        <v/>
      </c>
      <c r="N65">
        <f>IF(M65="","",IF(M65&gt;=0.7,3,IF(M65&gt;=0.6,2,IF(M65&gt;=0.5,1,0))))</f>
        <v/>
      </c>
    </row>
    <row r="66">
      <c r="H66" s="4">
        <f>IF(F66=0,"",IFERROR(G66/F66, ""))</f>
        <v/>
      </c>
      <c r="L66">
        <f>IF(COUNTA(I66:K66)=3, I66+J66+K66, "")</f>
        <v/>
      </c>
      <c r="M66" s="4">
        <f>IF(L66="","",L66/100)</f>
        <v/>
      </c>
      <c r="N66">
        <f>IF(M66="","",IF(M66&gt;=0.7,3,IF(M66&gt;=0.6,2,IF(M66&gt;=0.5,1,0))))</f>
        <v/>
      </c>
    </row>
    <row r="67">
      <c r="H67" s="4">
        <f>IF(F67=0,"",IFERROR(G67/F67, ""))</f>
        <v/>
      </c>
      <c r="L67">
        <f>IF(COUNTA(I67:K67)=3, I67+J67+K67, "")</f>
        <v/>
      </c>
      <c r="M67" s="4">
        <f>IF(L67="","",L67/100)</f>
        <v/>
      </c>
      <c r="N67">
        <f>IF(M67="","",IF(M67&gt;=0.7,3,IF(M67&gt;=0.6,2,IF(M67&gt;=0.5,1,0))))</f>
        <v/>
      </c>
    </row>
    <row r="68">
      <c r="H68" s="4">
        <f>IF(F68=0,"",IFERROR(G68/F68, ""))</f>
        <v/>
      </c>
      <c r="L68">
        <f>IF(COUNTA(I68:K68)=3, I68+J68+K68, "")</f>
        <v/>
      </c>
      <c r="M68" s="4">
        <f>IF(L68="","",L68/100)</f>
        <v/>
      </c>
      <c r="N68">
        <f>IF(M68="","",IF(M68&gt;=0.7,3,IF(M68&gt;=0.6,2,IF(M68&gt;=0.5,1,0))))</f>
        <v/>
      </c>
    </row>
    <row r="69">
      <c r="H69" s="4">
        <f>IF(F69=0,"",IFERROR(G69/F69, ""))</f>
        <v/>
      </c>
      <c r="L69">
        <f>IF(COUNTA(I69:K69)=3, I69+J69+K69, "")</f>
        <v/>
      </c>
      <c r="M69" s="4">
        <f>IF(L69="","",L69/100)</f>
        <v/>
      </c>
      <c r="N69">
        <f>IF(M69="","",IF(M69&gt;=0.7,3,IF(M69&gt;=0.6,2,IF(M69&gt;=0.5,1,0))))</f>
        <v/>
      </c>
    </row>
    <row r="70">
      <c r="H70" s="4">
        <f>IF(F70=0,"",IFERROR(G70/F70, ""))</f>
        <v/>
      </c>
      <c r="L70">
        <f>IF(COUNTA(I70:K70)=3, I70+J70+K70, "")</f>
        <v/>
      </c>
      <c r="M70" s="4">
        <f>IF(L70="","",L70/100)</f>
        <v/>
      </c>
      <c r="N70">
        <f>IF(M70="","",IF(M70&gt;=0.7,3,IF(M70&gt;=0.6,2,IF(M70&gt;=0.5,1,0))))</f>
        <v/>
      </c>
    </row>
    <row r="71">
      <c r="H71" s="4">
        <f>IF(F71=0,"",IFERROR(G71/F71, ""))</f>
        <v/>
      </c>
      <c r="L71">
        <f>IF(COUNTA(I71:K71)=3, I71+J71+K71, "")</f>
        <v/>
      </c>
      <c r="M71" s="4">
        <f>IF(L71="","",L71/100)</f>
        <v/>
      </c>
      <c r="N71">
        <f>IF(M71="","",IF(M71&gt;=0.7,3,IF(M71&gt;=0.6,2,IF(M71&gt;=0.5,1,0))))</f>
        <v/>
      </c>
    </row>
    <row r="72">
      <c r="H72" s="4">
        <f>IF(F72=0,"",IFERROR(G72/F72, ""))</f>
        <v/>
      </c>
      <c r="L72">
        <f>IF(COUNTA(I72:K72)=3, I72+J72+K72, "")</f>
        <v/>
      </c>
      <c r="M72" s="4">
        <f>IF(L72="","",L72/100)</f>
        <v/>
      </c>
      <c r="N72">
        <f>IF(M72="","",IF(M72&gt;=0.7,3,IF(M72&gt;=0.6,2,IF(M72&gt;=0.5,1,0))))</f>
        <v/>
      </c>
    </row>
    <row r="73">
      <c r="H73" s="4">
        <f>IF(F73=0,"",IFERROR(G73/F73, ""))</f>
        <v/>
      </c>
      <c r="L73">
        <f>IF(COUNTA(I73:K73)=3, I73+J73+K73, "")</f>
        <v/>
      </c>
      <c r="M73" s="4">
        <f>IF(L73="","",L73/100)</f>
        <v/>
      </c>
      <c r="N73">
        <f>IF(M73="","",IF(M73&gt;=0.7,3,IF(M73&gt;=0.6,2,IF(M73&gt;=0.5,1,0))))</f>
        <v/>
      </c>
    </row>
    <row r="74">
      <c r="H74" s="4">
        <f>IF(F74=0,"",IFERROR(G74/F74, ""))</f>
        <v/>
      </c>
      <c r="L74">
        <f>IF(COUNTA(I74:K74)=3, I74+J74+K74, "")</f>
        <v/>
      </c>
      <c r="M74" s="4">
        <f>IF(L74="","",L74/100)</f>
        <v/>
      </c>
      <c r="N74">
        <f>IF(M74="","",IF(M74&gt;=0.7,3,IF(M74&gt;=0.6,2,IF(M74&gt;=0.5,1,0))))</f>
        <v/>
      </c>
    </row>
    <row r="75">
      <c r="H75" s="4">
        <f>IF(F75=0,"",IFERROR(G75/F75, ""))</f>
        <v/>
      </c>
      <c r="L75">
        <f>IF(COUNTA(I75:K75)=3, I75+J75+K75, "")</f>
        <v/>
      </c>
      <c r="M75" s="4">
        <f>IF(L75="","",L75/100)</f>
        <v/>
      </c>
      <c r="N75">
        <f>IF(M75="","",IF(M75&gt;=0.7,3,IF(M75&gt;=0.6,2,IF(M75&gt;=0.5,1,0))))</f>
        <v/>
      </c>
    </row>
    <row r="76">
      <c r="H76" s="4">
        <f>IF(F76=0,"",IFERROR(G76/F76, ""))</f>
        <v/>
      </c>
      <c r="L76">
        <f>IF(COUNTA(I76:K76)=3, I76+J76+K76, "")</f>
        <v/>
      </c>
      <c r="M76" s="4">
        <f>IF(L76="","",L76/100)</f>
        <v/>
      </c>
      <c r="N76">
        <f>IF(M76="","",IF(M76&gt;=0.7,3,IF(M76&gt;=0.6,2,IF(M76&gt;=0.5,1,0))))</f>
        <v/>
      </c>
    </row>
    <row r="77">
      <c r="H77" s="4">
        <f>IF(F77=0,"",IFERROR(G77/F77, ""))</f>
        <v/>
      </c>
      <c r="L77">
        <f>IF(COUNTA(I77:K77)=3, I77+J77+K77, "")</f>
        <v/>
      </c>
      <c r="M77" s="4">
        <f>IF(L77="","",L77/100)</f>
        <v/>
      </c>
      <c r="N77">
        <f>IF(M77="","",IF(M77&gt;=0.7,3,IF(M77&gt;=0.6,2,IF(M77&gt;=0.5,1,0))))</f>
        <v/>
      </c>
    </row>
    <row r="78">
      <c r="H78" s="4">
        <f>IF(F78=0,"",IFERROR(G78/F78, ""))</f>
        <v/>
      </c>
      <c r="L78">
        <f>IF(COUNTA(I78:K78)=3, I78+J78+K78, "")</f>
        <v/>
      </c>
      <c r="M78" s="4">
        <f>IF(L78="","",L78/100)</f>
        <v/>
      </c>
      <c r="N78">
        <f>IF(M78="","",IF(M78&gt;=0.7,3,IF(M78&gt;=0.6,2,IF(M78&gt;=0.5,1,0))))</f>
        <v/>
      </c>
    </row>
    <row r="79">
      <c r="H79" s="4">
        <f>IF(F79=0,"",IFERROR(G79/F79, ""))</f>
        <v/>
      </c>
      <c r="L79">
        <f>IF(COUNTA(I79:K79)=3, I79+J79+K79, "")</f>
        <v/>
      </c>
      <c r="M79" s="4">
        <f>IF(L79="","",L79/100)</f>
        <v/>
      </c>
      <c r="N79">
        <f>IF(M79="","",IF(M79&gt;=0.7,3,IF(M79&gt;=0.6,2,IF(M79&gt;=0.5,1,0))))</f>
        <v/>
      </c>
    </row>
    <row r="80">
      <c r="H80" s="4">
        <f>IF(F80=0,"",IFERROR(G80/F80, ""))</f>
        <v/>
      </c>
      <c r="L80">
        <f>IF(COUNTA(I80:K80)=3, I80+J80+K80, "")</f>
        <v/>
      </c>
      <c r="M80" s="4">
        <f>IF(L80="","",L80/100)</f>
        <v/>
      </c>
      <c r="N80">
        <f>IF(M80="","",IF(M80&gt;=0.7,3,IF(M80&gt;=0.6,2,IF(M80&gt;=0.5,1,0))))</f>
        <v/>
      </c>
    </row>
    <row r="81">
      <c r="H81" s="4">
        <f>IF(F81=0,"",IFERROR(G81/F81, ""))</f>
        <v/>
      </c>
      <c r="L81">
        <f>IF(COUNTA(I81:K81)=3, I81+J81+K81, "")</f>
        <v/>
      </c>
      <c r="M81" s="4">
        <f>IF(L81="","",L81/100)</f>
        <v/>
      </c>
      <c r="N81">
        <f>IF(M81="","",IF(M81&gt;=0.7,3,IF(M81&gt;=0.6,2,IF(M81&gt;=0.5,1,0))))</f>
        <v/>
      </c>
    </row>
    <row r="82">
      <c r="H82" s="4">
        <f>IF(F82=0,"",IFERROR(G82/F82, ""))</f>
        <v/>
      </c>
      <c r="L82">
        <f>IF(COUNTA(I82:K82)=3, I82+J82+K82, "")</f>
        <v/>
      </c>
      <c r="M82" s="4">
        <f>IF(L82="","",L82/100)</f>
        <v/>
      </c>
      <c r="N82">
        <f>IF(M82="","",IF(M82&gt;=0.7,3,IF(M82&gt;=0.6,2,IF(M82&gt;=0.5,1,0))))</f>
        <v/>
      </c>
    </row>
    <row r="83">
      <c r="H83" s="4">
        <f>IF(F83=0,"",IFERROR(G83/F83, ""))</f>
        <v/>
      </c>
      <c r="L83">
        <f>IF(COUNTA(I83:K83)=3, I83+J83+K83, "")</f>
        <v/>
      </c>
      <c r="M83" s="4">
        <f>IF(L83="","",L83/100)</f>
        <v/>
      </c>
      <c r="N83">
        <f>IF(M83="","",IF(M83&gt;=0.7,3,IF(M83&gt;=0.6,2,IF(M83&gt;=0.5,1,0))))</f>
        <v/>
      </c>
    </row>
    <row r="84">
      <c r="H84" s="4">
        <f>IF(F84=0,"",IFERROR(G84/F84, ""))</f>
        <v/>
      </c>
      <c r="L84">
        <f>IF(COUNTA(I84:K84)=3, I84+J84+K84, "")</f>
        <v/>
      </c>
      <c r="M84" s="4">
        <f>IF(L84="","",L84/100)</f>
        <v/>
      </c>
      <c r="N84">
        <f>IF(M84="","",IF(M84&gt;=0.7,3,IF(M84&gt;=0.6,2,IF(M84&gt;=0.5,1,0))))</f>
        <v/>
      </c>
    </row>
    <row r="85">
      <c r="H85" s="4">
        <f>IF(F85=0,"",IFERROR(G85/F85, ""))</f>
        <v/>
      </c>
      <c r="L85">
        <f>IF(COUNTA(I85:K85)=3, I85+J85+K85, "")</f>
        <v/>
      </c>
      <c r="M85" s="4">
        <f>IF(L85="","",L85/100)</f>
        <v/>
      </c>
      <c r="N85">
        <f>IF(M85="","",IF(M85&gt;=0.7,3,IF(M85&gt;=0.6,2,IF(M85&gt;=0.5,1,0))))</f>
        <v/>
      </c>
    </row>
    <row r="86">
      <c r="H86" s="4">
        <f>IF(F86=0,"",IFERROR(G86/F86, ""))</f>
        <v/>
      </c>
      <c r="L86">
        <f>IF(COUNTA(I86:K86)=3, I86+J86+K86, "")</f>
        <v/>
      </c>
      <c r="M86" s="4">
        <f>IF(L86="","",L86/100)</f>
        <v/>
      </c>
      <c r="N86">
        <f>IF(M86="","",IF(M86&gt;=0.7,3,IF(M86&gt;=0.6,2,IF(M86&gt;=0.5,1,0))))</f>
        <v/>
      </c>
    </row>
    <row r="87">
      <c r="H87" s="4">
        <f>IF(F87=0,"",IFERROR(G87/F87, ""))</f>
        <v/>
      </c>
      <c r="L87">
        <f>IF(COUNTA(I87:K87)=3, I87+J87+K87, "")</f>
        <v/>
      </c>
      <c r="M87" s="4">
        <f>IF(L87="","",L87/100)</f>
        <v/>
      </c>
      <c r="N87">
        <f>IF(M87="","",IF(M87&gt;=0.7,3,IF(M87&gt;=0.6,2,IF(M87&gt;=0.5,1,0))))</f>
        <v/>
      </c>
    </row>
    <row r="88">
      <c r="H88" s="4">
        <f>IF(F88=0,"",IFERROR(G88/F88, ""))</f>
        <v/>
      </c>
      <c r="L88">
        <f>IF(COUNTA(I88:K88)=3, I88+J88+K88, "")</f>
        <v/>
      </c>
      <c r="M88" s="4">
        <f>IF(L88="","",L88/100)</f>
        <v/>
      </c>
      <c r="N88">
        <f>IF(M88="","",IF(M88&gt;=0.7,3,IF(M88&gt;=0.6,2,IF(M88&gt;=0.5,1,0))))</f>
        <v/>
      </c>
    </row>
    <row r="89">
      <c r="H89" s="4">
        <f>IF(F89=0,"",IFERROR(G89/F89, ""))</f>
        <v/>
      </c>
      <c r="L89">
        <f>IF(COUNTA(I89:K89)=3, I89+J89+K89, "")</f>
        <v/>
      </c>
      <c r="M89" s="4">
        <f>IF(L89="","",L89/100)</f>
        <v/>
      </c>
      <c r="N89">
        <f>IF(M89="","",IF(M89&gt;=0.7,3,IF(M89&gt;=0.6,2,IF(M89&gt;=0.5,1,0))))</f>
        <v/>
      </c>
    </row>
    <row r="90">
      <c r="H90" s="4">
        <f>IF(F90=0,"",IFERROR(G90/F90, ""))</f>
        <v/>
      </c>
      <c r="L90">
        <f>IF(COUNTA(I90:K90)=3, I90+J90+K90, "")</f>
        <v/>
      </c>
      <c r="M90" s="4">
        <f>IF(L90="","",L90/100)</f>
        <v/>
      </c>
      <c r="N90">
        <f>IF(M90="","",IF(M90&gt;=0.7,3,IF(M90&gt;=0.6,2,IF(M90&gt;=0.5,1,0))))</f>
        <v/>
      </c>
    </row>
    <row r="91">
      <c r="H91" s="4">
        <f>IF(F91=0,"",IFERROR(G91/F91, ""))</f>
        <v/>
      </c>
      <c r="L91">
        <f>IF(COUNTA(I91:K91)=3, I91+J91+K91, "")</f>
        <v/>
      </c>
      <c r="M91" s="4">
        <f>IF(L91="","",L91/100)</f>
        <v/>
      </c>
      <c r="N91">
        <f>IF(M91="","",IF(M91&gt;=0.7,3,IF(M91&gt;=0.6,2,IF(M91&gt;=0.5,1,0))))</f>
        <v/>
      </c>
    </row>
    <row r="92">
      <c r="H92" s="4">
        <f>IF(F92=0,"",IFERROR(G92/F92, ""))</f>
        <v/>
      </c>
      <c r="L92">
        <f>IF(COUNTA(I92:K92)=3, I92+J92+K92, "")</f>
        <v/>
      </c>
      <c r="M92" s="4">
        <f>IF(L92="","",L92/100)</f>
        <v/>
      </c>
      <c r="N92">
        <f>IF(M92="","",IF(M92&gt;=0.7,3,IF(M92&gt;=0.6,2,IF(M92&gt;=0.5,1,0))))</f>
        <v/>
      </c>
    </row>
    <row r="93">
      <c r="H93" s="4">
        <f>IF(F93=0,"",IFERROR(G93/F93, ""))</f>
        <v/>
      </c>
      <c r="L93">
        <f>IF(COUNTA(I93:K93)=3, I93+J93+K93, "")</f>
        <v/>
      </c>
      <c r="M93" s="4">
        <f>IF(L93="","",L93/100)</f>
        <v/>
      </c>
      <c r="N93">
        <f>IF(M93="","",IF(M93&gt;=0.7,3,IF(M93&gt;=0.6,2,IF(M93&gt;=0.5,1,0))))</f>
        <v/>
      </c>
    </row>
    <row r="94">
      <c r="H94" s="4">
        <f>IF(F94=0,"",IFERROR(G94/F94, ""))</f>
        <v/>
      </c>
      <c r="L94">
        <f>IF(COUNTA(I94:K94)=3, I94+J94+K94, "")</f>
        <v/>
      </c>
      <c r="M94" s="4">
        <f>IF(L94="","",L94/100)</f>
        <v/>
      </c>
      <c r="N94">
        <f>IF(M94="","",IF(M94&gt;=0.7,3,IF(M94&gt;=0.6,2,IF(M94&gt;=0.5,1,0))))</f>
        <v/>
      </c>
    </row>
    <row r="95">
      <c r="H95" s="4">
        <f>IF(F95=0,"",IFERROR(G95/F95, ""))</f>
        <v/>
      </c>
      <c r="L95">
        <f>IF(COUNTA(I95:K95)=3, I95+J95+K95, "")</f>
        <v/>
      </c>
      <c r="M95" s="4">
        <f>IF(L95="","",L95/100)</f>
        <v/>
      </c>
      <c r="N95">
        <f>IF(M95="","",IF(M95&gt;=0.7,3,IF(M95&gt;=0.6,2,IF(M95&gt;=0.5,1,0))))</f>
        <v/>
      </c>
    </row>
    <row r="96">
      <c r="H96" s="4">
        <f>IF(F96=0,"",IFERROR(G96/F96, ""))</f>
        <v/>
      </c>
      <c r="L96">
        <f>IF(COUNTA(I96:K96)=3, I96+J96+K96, "")</f>
        <v/>
      </c>
      <c r="M96" s="4">
        <f>IF(L96="","",L96/100)</f>
        <v/>
      </c>
      <c r="N96">
        <f>IF(M96="","",IF(M96&gt;=0.7,3,IF(M96&gt;=0.6,2,IF(M96&gt;=0.5,1,0))))</f>
        <v/>
      </c>
    </row>
    <row r="97">
      <c r="H97" s="4">
        <f>IF(F97=0,"",IFERROR(G97/F97, ""))</f>
        <v/>
      </c>
      <c r="L97">
        <f>IF(COUNTA(I97:K97)=3, I97+J97+K97, "")</f>
        <v/>
      </c>
      <c r="M97" s="4">
        <f>IF(L97="","",L97/100)</f>
        <v/>
      </c>
      <c r="N97">
        <f>IF(M97="","",IF(M97&gt;=0.7,3,IF(M97&gt;=0.6,2,IF(M97&gt;=0.5,1,0))))</f>
        <v/>
      </c>
    </row>
    <row r="98">
      <c r="H98" s="4">
        <f>IF(F98=0,"",IFERROR(G98/F98, ""))</f>
        <v/>
      </c>
      <c r="L98">
        <f>IF(COUNTA(I98:K98)=3, I98+J98+K98, "")</f>
        <v/>
      </c>
      <c r="M98" s="4">
        <f>IF(L98="","",L98/100)</f>
        <v/>
      </c>
      <c r="N98">
        <f>IF(M98="","",IF(M98&gt;=0.7,3,IF(M98&gt;=0.6,2,IF(M98&gt;=0.5,1,0))))</f>
        <v/>
      </c>
    </row>
    <row r="99">
      <c r="H99" s="4">
        <f>IF(F99=0,"",IFERROR(G99/F99, ""))</f>
        <v/>
      </c>
      <c r="L99">
        <f>IF(COUNTA(I99:K99)=3, I99+J99+K99, "")</f>
        <v/>
      </c>
      <c r="M99" s="4">
        <f>IF(L99="","",L99/100)</f>
        <v/>
      </c>
      <c r="N99">
        <f>IF(M99="","",IF(M99&gt;=0.7,3,IF(M99&gt;=0.6,2,IF(M99&gt;=0.5,1,0))))</f>
        <v/>
      </c>
    </row>
    <row r="100">
      <c r="H100" s="4">
        <f>IF(F100=0,"",IFERROR(G100/F100, ""))</f>
        <v/>
      </c>
      <c r="L100">
        <f>IF(COUNTA(I100:K100)=3, I100+J100+K100, "")</f>
        <v/>
      </c>
      <c r="M100" s="4">
        <f>IF(L100="","",L100/100)</f>
        <v/>
      </c>
      <c r="N100">
        <f>IF(M100="","",IF(M100&gt;=0.7,3,IF(M100&gt;=0.6,2,IF(M100&gt;=0.5,1,0))))</f>
        <v/>
      </c>
    </row>
    <row r="101">
      <c r="H101" s="4">
        <f>IF(F101=0,"",IFERROR(G101/F101, ""))</f>
        <v/>
      </c>
      <c r="L101">
        <f>IF(COUNTA(I101:K101)=3, I101+J101+K101, "")</f>
        <v/>
      </c>
      <c r="M101" s="4">
        <f>IF(L101="","",L101/100)</f>
        <v/>
      </c>
      <c r="N101">
        <f>IF(M101="","",IF(M101&gt;=0.7,3,IF(M101&gt;=0.6,2,IF(M101&gt;=0.5,1,0))))</f>
        <v/>
      </c>
    </row>
    <row r="102">
      <c r="H102" s="4">
        <f>IF(F102=0,"",IFERROR(G102/F102, ""))</f>
        <v/>
      </c>
      <c r="L102">
        <f>IF(COUNTA(I102:K102)=3, I102+J102+K102, "")</f>
        <v/>
      </c>
      <c r="M102" s="4">
        <f>IF(L102="","",L102/100)</f>
        <v/>
      </c>
      <c r="N102">
        <f>IF(M102="","",IF(M102&gt;=0.7,3,IF(M102&gt;=0.6,2,IF(M102&gt;=0.5,1,0))))</f>
        <v/>
      </c>
    </row>
    <row r="103">
      <c r="H103" s="4">
        <f>IF(F103=0,"",IFERROR(G103/F103, ""))</f>
        <v/>
      </c>
      <c r="L103">
        <f>IF(COUNTA(I103:K103)=3, I103+J103+K103, "")</f>
        <v/>
      </c>
      <c r="M103" s="4">
        <f>IF(L103="","",L103/100)</f>
        <v/>
      </c>
      <c r="N103">
        <f>IF(M103="","",IF(M103&gt;=0.7,3,IF(M103&gt;=0.6,2,IF(M103&gt;=0.5,1,0))))</f>
        <v/>
      </c>
    </row>
    <row r="104">
      <c r="H104" s="4">
        <f>IF(F104=0,"",IFERROR(G104/F104, ""))</f>
        <v/>
      </c>
      <c r="L104">
        <f>IF(COUNTA(I104:K104)=3, I104+J104+K104, "")</f>
        <v/>
      </c>
      <c r="M104" s="4">
        <f>IF(L104="","",L104/100)</f>
        <v/>
      </c>
      <c r="N104">
        <f>IF(M104="","",IF(M104&gt;=0.7,3,IF(M104&gt;=0.6,2,IF(M104&gt;=0.5,1,0))))</f>
        <v/>
      </c>
    </row>
    <row r="105">
      <c r="H105" s="4">
        <f>IF(F105=0,"",IFERROR(G105/F105, ""))</f>
        <v/>
      </c>
      <c r="L105">
        <f>IF(COUNTA(I105:K105)=3, I105+J105+K105, "")</f>
        <v/>
      </c>
      <c r="M105" s="4">
        <f>IF(L105="","",L105/100)</f>
        <v/>
      </c>
      <c r="N105">
        <f>IF(M105="","",IF(M105&gt;=0.7,3,IF(M105&gt;=0.6,2,IF(M105&gt;=0.5,1,0))))</f>
        <v/>
      </c>
    </row>
    <row r="106">
      <c r="H106" s="4">
        <f>IF(F106=0,"",IFERROR(G106/F106, ""))</f>
        <v/>
      </c>
      <c r="L106">
        <f>IF(COUNTA(I106:K106)=3, I106+J106+K106, "")</f>
        <v/>
      </c>
      <c r="M106" s="4">
        <f>IF(L106="","",L106/100)</f>
        <v/>
      </c>
      <c r="N106">
        <f>IF(M106="","",IF(M106&gt;=0.7,3,IF(M106&gt;=0.6,2,IF(M106&gt;=0.5,1,0))))</f>
        <v/>
      </c>
    </row>
    <row r="107">
      <c r="H107" s="4">
        <f>IF(F107=0,"",IFERROR(G107/F107, ""))</f>
        <v/>
      </c>
      <c r="L107">
        <f>IF(COUNTA(I107:K107)=3, I107+J107+K107, "")</f>
        <v/>
      </c>
      <c r="M107" s="4">
        <f>IF(L107="","",L107/100)</f>
        <v/>
      </c>
      <c r="N107">
        <f>IF(M107="","",IF(M107&gt;=0.7,3,IF(M107&gt;=0.6,2,IF(M107&gt;=0.5,1,0))))</f>
        <v/>
      </c>
    </row>
    <row r="108">
      <c r="H108" s="4">
        <f>IF(F108=0,"",IFERROR(G108/F108, ""))</f>
        <v/>
      </c>
      <c r="L108">
        <f>IF(COUNTA(I108:K108)=3, I108+J108+K108, "")</f>
        <v/>
      </c>
      <c r="M108" s="4">
        <f>IF(L108="","",L108/100)</f>
        <v/>
      </c>
      <c r="N108">
        <f>IF(M108="","",IF(M108&gt;=0.7,3,IF(M108&gt;=0.6,2,IF(M108&gt;=0.5,1,0))))</f>
        <v/>
      </c>
    </row>
    <row r="109">
      <c r="H109" s="4">
        <f>IF(F109=0,"",IFERROR(G109/F109, ""))</f>
        <v/>
      </c>
      <c r="L109">
        <f>IF(COUNTA(I109:K109)=3, I109+J109+K109, "")</f>
        <v/>
      </c>
      <c r="M109" s="4">
        <f>IF(L109="","",L109/100)</f>
        <v/>
      </c>
      <c r="N109">
        <f>IF(M109="","",IF(M109&gt;=0.7,3,IF(M109&gt;=0.6,2,IF(M109&gt;=0.5,1,0))))</f>
        <v/>
      </c>
    </row>
    <row r="110">
      <c r="H110" s="4">
        <f>IF(F110=0,"",IFERROR(G110/F110, ""))</f>
        <v/>
      </c>
      <c r="L110">
        <f>IF(COUNTA(I110:K110)=3, I110+J110+K110, "")</f>
        <v/>
      </c>
      <c r="M110" s="4">
        <f>IF(L110="","",L110/100)</f>
        <v/>
      </c>
      <c r="N110">
        <f>IF(M110="","",IF(M110&gt;=0.7,3,IF(M110&gt;=0.6,2,IF(M110&gt;=0.5,1,0))))</f>
        <v/>
      </c>
    </row>
    <row r="111">
      <c r="H111" s="4">
        <f>IF(F111=0,"",IFERROR(G111/F111, ""))</f>
        <v/>
      </c>
      <c r="L111">
        <f>IF(COUNTA(I111:K111)=3, I111+J111+K111, "")</f>
        <v/>
      </c>
      <c r="M111" s="4">
        <f>IF(L111="","",L111/100)</f>
        <v/>
      </c>
      <c r="N111">
        <f>IF(M111="","",IF(M111&gt;=0.7,3,IF(M111&gt;=0.6,2,IF(M111&gt;=0.5,1,0))))</f>
        <v/>
      </c>
    </row>
    <row r="112">
      <c r="H112" s="4">
        <f>IF(F112=0,"",IFERROR(G112/F112, ""))</f>
        <v/>
      </c>
      <c r="L112">
        <f>IF(COUNTA(I112:K112)=3, I112+J112+K112, "")</f>
        <v/>
      </c>
      <c r="M112" s="4">
        <f>IF(L112="","",L112/100)</f>
        <v/>
      </c>
      <c r="N112">
        <f>IF(M112="","",IF(M112&gt;=0.7,3,IF(M112&gt;=0.6,2,IF(M112&gt;=0.5,1,0))))</f>
        <v/>
      </c>
    </row>
    <row r="113">
      <c r="H113" s="4">
        <f>IF(F113=0,"",IFERROR(G113/F113, ""))</f>
        <v/>
      </c>
      <c r="L113">
        <f>IF(COUNTA(I113:K113)=3, I113+J113+K113, "")</f>
        <v/>
      </c>
      <c r="M113" s="4">
        <f>IF(L113="","",L113/100)</f>
        <v/>
      </c>
      <c r="N113">
        <f>IF(M113="","",IF(M113&gt;=0.7,3,IF(M113&gt;=0.6,2,IF(M113&gt;=0.5,1,0))))</f>
        <v/>
      </c>
    </row>
    <row r="114">
      <c r="H114" s="4">
        <f>IF(F114=0,"",IFERROR(G114/F114, ""))</f>
        <v/>
      </c>
      <c r="L114">
        <f>IF(COUNTA(I114:K114)=3, I114+J114+K114, "")</f>
        <v/>
      </c>
      <c r="M114" s="4">
        <f>IF(L114="","",L114/100)</f>
        <v/>
      </c>
      <c r="N114">
        <f>IF(M114="","",IF(M114&gt;=0.7,3,IF(M114&gt;=0.6,2,IF(M114&gt;=0.5,1,0))))</f>
        <v/>
      </c>
    </row>
    <row r="115">
      <c r="H115" s="4">
        <f>IF(F115=0,"",IFERROR(G115/F115, ""))</f>
        <v/>
      </c>
      <c r="L115">
        <f>IF(COUNTA(I115:K115)=3, I115+J115+K115, "")</f>
        <v/>
      </c>
      <c r="M115" s="4">
        <f>IF(L115="","",L115/100)</f>
        <v/>
      </c>
      <c r="N115">
        <f>IF(M115="","",IF(M115&gt;=0.7,3,IF(M115&gt;=0.6,2,IF(M115&gt;=0.5,1,0))))</f>
        <v/>
      </c>
    </row>
    <row r="116">
      <c r="H116" s="4">
        <f>IF(F116=0,"",IFERROR(G116/F116, ""))</f>
        <v/>
      </c>
      <c r="L116">
        <f>IF(COUNTA(I116:K116)=3, I116+J116+K116, "")</f>
        <v/>
      </c>
      <c r="M116" s="4">
        <f>IF(L116="","",L116/100)</f>
        <v/>
      </c>
      <c r="N116">
        <f>IF(M116="","",IF(M116&gt;=0.7,3,IF(M116&gt;=0.6,2,IF(M116&gt;=0.5,1,0))))</f>
        <v/>
      </c>
    </row>
    <row r="117">
      <c r="H117" s="4">
        <f>IF(F117=0,"",IFERROR(G117/F117, ""))</f>
        <v/>
      </c>
      <c r="L117">
        <f>IF(COUNTA(I117:K117)=3, I117+J117+K117, "")</f>
        <v/>
      </c>
      <c r="M117" s="4">
        <f>IF(L117="","",L117/100)</f>
        <v/>
      </c>
      <c r="N117">
        <f>IF(M117="","",IF(M117&gt;=0.7,3,IF(M117&gt;=0.6,2,IF(M117&gt;=0.5,1,0))))</f>
        <v/>
      </c>
    </row>
    <row r="118">
      <c r="H118" s="4">
        <f>IF(F118=0,"",IFERROR(G118/F118, ""))</f>
        <v/>
      </c>
      <c r="L118">
        <f>IF(COUNTA(I118:K118)=3, I118+J118+K118, "")</f>
        <v/>
      </c>
      <c r="M118" s="4">
        <f>IF(L118="","",L118/100)</f>
        <v/>
      </c>
      <c r="N118">
        <f>IF(M118="","",IF(M118&gt;=0.7,3,IF(M118&gt;=0.6,2,IF(M118&gt;=0.5,1,0))))</f>
        <v/>
      </c>
    </row>
    <row r="119">
      <c r="H119" s="4">
        <f>IF(F119=0,"",IFERROR(G119/F119, ""))</f>
        <v/>
      </c>
      <c r="L119">
        <f>IF(COUNTA(I119:K119)=3, I119+J119+K119, "")</f>
        <v/>
      </c>
      <c r="M119" s="4">
        <f>IF(L119="","",L119/100)</f>
        <v/>
      </c>
      <c r="N119">
        <f>IF(M119="","",IF(M119&gt;=0.7,3,IF(M119&gt;=0.6,2,IF(M119&gt;=0.5,1,0))))</f>
        <v/>
      </c>
    </row>
    <row r="120">
      <c r="H120" s="4">
        <f>IF(F120=0,"",IFERROR(G120/F120, ""))</f>
        <v/>
      </c>
      <c r="L120">
        <f>IF(COUNTA(I120:K120)=3, I120+J120+K120, "")</f>
        <v/>
      </c>
      <c r="M120" s="4">
        <f>IF(L120="","",L120/100)</f>
        <v/>
      </c>
      <c r="N120">
        <f>IF(M120="","",IF(M120&gt;=0.7,3,IF(M120&gt;=0.6,2,IF(M120&gt;=0.5,1,0))))</f>
        <v/>
      </c>
    </row>
    <row r="121">
      <c r="H121" s="4">
        <f>IF(F121=0,"",IFERROR(G121/F121, ""))</f>
        <v/>
      </c>
      <c r="L121">
        <f>IF(COUNTA(I121:K121)=3, I121+J121+K121, "")</f>
        <v/>
      </c>
      <c r="M121" s="4">
        <f>IF(L121="","",L121/100)</f>
        <v/>
      </c>
      <c r="N121">
        <f>IF(M121="","",IF(M121&gt;=0.7,3,IF(M121&gt;=0.6,2,IF(M121&gt;=0.5,1,0))))</f>
        <v/>
      </c>
    </row>
    <row r="122">
      <c r="H122" s="4">
        <f>IF(F122=0,"",IFERROR(G122/F122, ""))</f>
        <v/>
      </c>
      <c r="L122">
        <f>IF(COUNTA(I122:K122)=3, I122+J122+K122, "")</f>
        <v/>
      </c>
      <c r="M122" s="4">
        <f>IF(L122="","",L122/100)</f>
        <v/>
      </c>
      <c r="N122">
        <f>IF(M122="","",IF(M122&gt;=0.7,3,IF(M122&gt;=0.6,2,IF(M122&gt;=0.5,1,0))))</f>
        <v/>
      </c>
    </row>
    <row r="123">
      <c r="H123" s="4">
        <f>IF(F123=0,"",IFERROR(G123/F123, ""))</f>
        <v/>
      </c>
      <c r="L123">
        <f>IF(COUNTA(I123:K123)=3, I123+J123+K123, "")</f>
        <v/>
      </c>
      <c r="M123" s="4">
        <f>IF(L123="","",L123/100)</f>
        <v/>
      </c>
      <c r="N123">
        <f>IF(M123="","",IF(M123&gt;=0.7,3,IF(M123&gt;=0.6,2,IF(M123&gt;=0.5,1,0))))</f>
        <v/>
      </c>
    </row>
    <row r="124">
      <c r="H124" s="4">
        <f>IF(F124=0,"",IFERROR(G124/F124, ""))</f>
        <v/>
      </c>
      <c r="L124">
        <f>IF(COUNTA(I124:K124)=3, I124+J124+K124, "")</f>
        <v/>
      </c>
      <c r="M124" s="4">
        <f>IF(L124="","",L124/100)</f>
        <v/>
      </c>
      <c r="N124">
        <f>IF(M124="","",IF(M124&gt;=0.7,3,IF(M124&gt;=0.6,2,IF(M124&gt;=0.5,1,0))))</f>
        <v/>
      </c>
    </row>
    <row r="125">
      <c r="H125" s="4">
        <f>IF(F125=0,"",IFERROR(G125/F125, ""))</f>
        <v/>
      </c>
      <c r="L125">
        <f>IF(COUNTA(I125:K125)=3, I125+J125+K125, "")</f>
        <v/>
      </c>
      <c r="M125" s="4">
        <f>IF(L125="","",L125/100)</f>
        <v/>
      </c>
      <c r="N125">
        <f>IF(M125="","",IF(M125&gt;=0.7,3,IF(M125&gt;=0.6,2,IF(M125&gt;=0.5,1,0))))</f>
        <v/>
      </c>
    </row>
    <row r="126">
      <c r="H126" s="4">
        <f>IF(F126=0,"",IFERROR(G126/F126, ""))</f>
        <v/>
      </c>
      <c r="L126">
        <f>IF(COUNTA(I126:K126)=3, I126+J126+K126, "")</f>
        <v/>
      </c>
      <c r="M126" s="4">
        <f>IF(L126="","",L126/100)</f>
        <v/>
      </c>
      <c r="N126">
        <f>IF(M126="","",IF(M126&gt;=0.7,3,IF(M126&gt;=0.6,2,IF(M126&gt;=0.5,1,0))))</f>
        <v/>
      </c>
    </row>
    <row r="127">
      <c r="H127" s="4">
        <f>IF(F127=0,"",IFERROR(G127/F127, ""))</f>
        <v/>
      </c>
      <c r="L127">
        <f>IF(COUNTA(I127:K127)=3, I127+J127+K127, "")</f>
        <v/>
      </c>
      <c r="M127" s="4">
        <f>IF(L127="","",L127/100)</f>
        <v/>
      </c>
      <c r="N127">
        <f>IF(M127="","",IF(M127&gt;=0.7,3,IF(M127&gt;=0.6,2,IF(M127&gt;=0.5,1,0))))</f>
        <v/>
      </c>
    </row>
    <row r="128">
      <c r="H128" s="4">
        <f>IF(F128=0,"",IFERROR(G128/F128, ""))</f>
        <v/>
      </c>
      <c r="L128">
        <f>IF(COUNTA(I128:K128)=3, I128+J128+K128, "")</f>
        <v/>
      </c>
      <c r="M128" s="4">
        <f>IF(L128="","",L128/100)</f>
        <v/>
      </c>
      <c r="N128">
        <f>IF(M128="","",IF(M128&gt;=0.7,3,IF(M128&gt;=0.6,2,IF(M128&gt;=0.5,1,0))))</f>
        <v/>
      </c>
    </row>
    <row r="129">
      <c r="H129" s="4">
        <f>IF(F129=0,"",IFERROR(G129/F129, ""))</f>
        <v/>
      </c>
      <c r="L129">
        <f>IF(COUNTA(I129:K129)=3, I129+J129+K129, "")</f>
        <v/>
      </c>
      <c r="M129" s="4">
        <f>IF(L129="","",L129/100)</f>
        <v/>
      </c>
      <c r="N129">
        <f>IF(M129="","",IF(M129&gt;=0.7,3,IF(M129&gt;=0.6,2,IF(M129&gt;=0.5,1,0))))</f>
        <v/>
      </c>
    </row>
    <row r="130">
      <c r="H130" s="4">
        <f>IF(F130=0,"",IFERROR(G130/F130, ""))</f>
        <v/>
      </c>
      <c r="L130">
        <f>IF(COUNTA(I130:K130)=3, I130+J130+K130, "")</f>
        <v/>
      </c>
      <c r="M130" s="4">
        <f>IF(L130="","",L130/100)</f>
        <v/>
      </c>
      <c r="N130">
        <f>IF(M130="","",IF(M130&gt;=0.7,3,IF(M130&gt;=0.6,2,IF(M130&gt;=0.5,1,0))))</f>
        <v/>
      </c>
    </row>
    <row r="131">
      <c r="H131" s="4">
        <f>IF(F131=0,"",IFERROR(G131/F131, ""))</f>
        <v/>
      </c>
      <c r="L131">
        <f>IF(COUNTA(I131:K131)=3, I131+J131+K131, "")</f>
        <v/>
      </c>
      <c r="M131" s="4">
        <f>IF(L131="","",L131/100)</f>
        <v/>
      </c>
      <c r="N131">
        <f>IF(M131="","",IF(M131&gt;=0.7,3,IF(M131&gt;=0.6,2,IF(M131&gt;=0.5,1,0))))</f>
        <v/>
      </c>
    </row>
    <row r="132">
      <c r="H132" s="4">
        <f>IF(F132=0,"",IFERROR(G132/F132, ""))</f>
        <v/>
      </c>
      <c r="L132">
        <f>IF(COUNTA(I132:K132)=3, I132+J132+K132, "")</f>
        <v/>
      </c>
      <c r="M132" s="4">
        <f>IF(L132="","",L132/100)</f>
        <v/>
      </c>
      <c r="N132">
        <f>IF(M132="","",IF(M132&gt;=0.7,3,IF(M132&gt;=0.6,2,IF(M132&gt;=0.5,1,0))))</f>
        <v/>
      </c>
    </row>
    <row r="133">
      <c r="H133" s="4">
        <f>IF(F133=0,"",IFERROR(G133/F133, ""))</f>
        <v/>
      </c>
      <c r="L133">
        <f>IF(COUNTA(I133:K133)=3, I133+J133+K133, "")</f>
        <v/>
      </c>
      <c r="M133" s="4">
        <f>IF(L133="","",L133/100)</f>
        <v/>
      </c>
      <c r="N133">
        <f>IF(M133="","",IF(M133&gt;=0.7,3,IF(M133&gt;=0.6,2,IF(M133&gt;=0.5,1,0))))</f>
        <v/>
      </c>
    </row>
    <row r="134">
      <c r="H134" s="4">
        <f>IF(F134=0,"",IFERROR(G134/F134, ""))</f>
        <v/>
      </c>
      <c r="L134">
        <f>IF(COUNTA(I134:K134)=3, I134+J134+K134, "")</f>
        <v/>
      </c>
      <c r="M134" s="4">
        <f>IF(L134="","",L134/100)</f>
        <v/>
      </c>
      <c r="N134">
        <f>IF(M134="","",IF(M134&gt;=0.7,3,IF(M134&gt;=0.6,2,IF(M134&gt;=0.5,1,0))))</f>
        <v/>
      </c>
    </row>
    <row r="135">
      <c r="H135" s="4">
        <f>IF(F135=0,"",IFERROR(G135/F135, ""))</f>
        <v/>
      </c>
      <c r="L135">
        <f>IF(COUNTA(I135:K135)=3, I135+J135+K135, "")</f>
        <v/>
      </c>
      <c r="M135" s="4">
        <f>IF(L135="","",L135/100)</f>
        <v/>
      </c>
      <c r="N135">
        <f>IF(M135="","",IF(M135&gt;=0.7,3,IF(M135&gt;=0.6,2,IF(M135&gt;=0.5,1,0))))</f>
        <v/>
      </c>
    </row>
    <row r="136">
      <c r="H136" s="4">
        <f>IF(F136=0,"",IFERROR(G136/F136, ""))</f>
        <v/>
      </c>
      <c r="L136">
        <f>IF(COUNTA(I136:K136)=3, I136+J136+K136, "")</f>
        <v/>
      </c>
      <c r="M136" s="4">
        <f>IF(L136="","",L136/100)</f>
        <v/>
      </c>
      <c r="N136">
        <f>IF(M136="","",IF(M136&gt;=0.7,3,IF(M136&gt;=0.6,2,IF(M136&gt;=0.5,1,0))))</f>
        <v/>
      </c>
    </row>
    <row r="137">
      <c r="H137" s="4">
        <f>IF(F137=0,"",IFERROR(G137/F137, ""))</f>
        <v/>
      </c>
      <c r="L137">
        <f>IF(COUNTA(I137:K137)=3, I137+J137+K137, "")</f>
        <v/>
      </c>
      <c r="M137" s="4">
        <f>IF(L137="","",L137/100)</f>
        <v/>
      </c>
      <c r="N137">
        <f>IF(M137="","",IF(M137&gt;=0.7,3,IF(M137&gt;=0.6,2,IF(M137&gt;=0.5,1,0))))</f>
        <v/>
      </c>
    </row>
    <row r="138">
      <c r="H138" s="4">
        <f>IF(F138=0,"",IFERROR(G138/F138, ""))</f>
        <v/>
      </c>
      <c r="L138">
        <f>IF(COUNTA(I138:K138)=3, I138+J138+K138, "")</f>
        <v/>
      </c>
      <c r="M138" s="4">
        <f>IF(L138="","",L138/100)</f>
        <v/>
      </c>
      <c r="N138">
        <f>IF(M138="","",IF(M138&gt;=0.7,3,IF(M138&gt;=0.6,2,IF(M138&gt;=0.5,1,0))))</f>
        <v/>
      </c>
    </row>
    <row r="139">
      <c r="H139" s="4">
        <f>IF(F139=0,"",IFERROR(G139/F139, ""))</f>
        <v/>
      </c>
      <c r="L139">
        <f>IF(COUNTA(I139:K139)=3, I139+J139+K139, "")</f>
        <v/>
      </c>
      <c r="M139" s="4">
        <f>IF(L139="","",L139/100)</f>
        <v/>
      </c>
      <c r="N139">
        <f>IF(M139="","",IF(M139&gt;=0.7,3,IF(M139&gt;=0.6,2,IF(M139&gt;=0.5,1,0))))</f>
        <v/>
      </c>
    </row>
    <row r="140">
      <c r="H140" s="4">
        <f>IF(F140=0,"",IFERROR(G140/F140, ""))</f>
        <v/>
      </c>
      <c r="L140">
        <f>IF(COUNTA(I140:K140)=3, I140+J140+K140, "")</f>
        <v/>
      </c>
      <c r="M140" s="4">
        <f>IF(L140="","",L140/100)</f>
        <v/>
      </c>
      <c r="N140">
        <f>IF(M140="","",IF(M140&gt;=0.7,3,IF(M140&gt;=0.6,2,IF(M140&gt;=0.5,1,0))))</f>
        <v/>
      </c>
    </row>
    <row r="141">
      <c r="H141" s="4">
        <f>IF(F141=0,"",IFERROR(G141/F141, ""))</f>
        <v/>
      </c>
      <c r="L141">
        <f>IF(COUNTA(I141:K141)=3, I141+J141+K141, "")</f>
        <v/>
      </c>
      <c r="M141" s="4">
        <f>IF(L141="","",L141/100)</f>
        <v/>
      </c>
      <c r="N141">
        <f>IF(M141="","",IF(M141&gt;=0.7,3,IF(M141&gt;=0.6,2,IF(M141&gt;=0.5,1,0))))</f>
        <v/>
      </c>
    </row>
    <row r="142">
      <c r="H142" s="4">
        <f>IF(F142=0,"",IFERROR(G142/F142, ""))</f>
        <v/>
      </c>
      <c r="L142">
        <f>IF(COUNTA(I142:K142)=3, I142+J142+K142, "")</f>
        <v/>
      </c>
      <c r="M142" s="4">
        <f>IF(L142="","",L142/100)</f>
        <v/>
      </c>
      <c r="N142">
        <f>IF(M142="","",IF(M142&gt;=0.7,3,IF(M142&gt;=0.6,2,IF(M142&gt;=0.5,1,0))))</f>
        <v/>
      </c>
    </row>
    <row r="143">
      <c r="H143" s="4">
        <f>IF(F143=0,"",IFERROR(G143/F143, ""))</f>
        <v/>
      </c>
      <c r="L143">
        <f>IF(COUNTA(I143:K143)=3, I143+J143+K143, "")</f>
        <v/>
      </c>
      <c r="M143" s="4">
        <f>IF(L143="","",L143/100)</f>
        <v/>
      </c>
      <c r="N143">
        <f>IF(M143="","",IF(M143&gt;=0.7,3,IF(M143&gt;=0.6,2,IF(M143&gt;=0.5,1,0))))</f>
        <v/>
      </c>
    </row>
    <row r="144">
      <c r="H144" s="4">
        <f>IF(F144=0,"",IFERROR(G144/F144, ""))</f>
        <v/>
      </c>
      <c r="L144">
        <f>IF(COUNTA(I144:K144)=3, I144+J144+K144, "")</f>
        <v/>
      </c>
      <c r="M144" s="4">
        <f>IF(L144="","",L144/100)</f>
        <v/>
      </c>
      <c r="N144">
        <f>IF(M144="","",IF(M144&gt;=0.7,3,IF(M144&gt;=0.6,2,IF(M144&gt;=0.5,1,0))))</f>
        <v/>
      </c>
    </row>
    <row r="145">
      <c r="H145" s="4">
        <f>IF(F145=0,"",IFERROR(G145/F145, ""))</f>
        <v/>
      </c>
      <c r="L145">
        <f>IF(COUNTA(I145:K145)=3, I145+J145+K145, "")</f>
        <v/>
      </c>
      <c r="M145" s="4">
        <f>IF(L145="","",L145/100)</f>
        <v/>
      </c>
      <c r="N145">
        <f>IF(M145="","",IF(M145&gt;=0.7,3,IF(M145&gt;=0.6,2,IF(M145&gt;=0.5,1,0))))</f>
        <v/>
      </c>
    </row>
    <row r="146">
      <c r="H146" s="4">
        <f>IF(F146=0,"",IFERROR(G146/F146, ""))</f>
        <v/>
      </c>
      <c r="L146">
        <f>IF(COUNTA(I146:K146)=3, I146+J146+K146, "")</f>
        <v/>
      </c>
      <c r="M146" s="4">
        <f>IF(L146="","",L146/100)</f>
        <v/>
      </c>
      <c r="N146">
        <f>IF(M146="","",IF(M146&gt;=0.7,3,IF(M146&gt;=0.6,2,IF(M146&gt;=0.5,1,0))))</f>
        <v/>
      </c>
    </row>
    <row r="147">
      <c r="H147" s="4">
        <f>IF(F147=0,"",IFERROR(G147/F147, ""))</f>
        <v/>
      </c>
      <c r="L147">
        <f>IF(COUNTA(I147:K147)=3, I147+J147+K147, "")</f>
        <v/>
      </c>
      <c r="M147" s="4">
        <f>IF(L147="","",L147/100)</f>
        <v/>
      </c>
      <c r="N147">
        <f>IF(M147="","",IF(M147&gt;=0.7,3,IF(M147&gt;=0.6,2,IF(M147&gt;=0.5,1,0))))</f>
        <v/>
      </c>
    </row>
    <row r="148">
      <c r="H148" s="4">
        <f>IF(F148=0,"",IFERROR(G148/F148, ""))</f>
        <v/>
      </c>
      <c r="L148">
        <f>IF(COUNTA(I148:K148)=3, I148+J148+K148, "")</f>
        <v/>
      </c>
      <c r="M148" s="4">
        <f>IF(L148="","",L148/100)</f>
        <v/>
      </c>
      <c r="N148">
        <f>IF(M148="","",IF(M148&gt;=0.7,3,IF(M148&gt;=0.6,2,IF(M148&gt;=0.5,1,0))))</f>
        <v/>
      </c>
    </row>
    <row r="149">
      <c r="H149" s="4">
        <f>IF(F149=0,"",IFERROR(G149/F149, ""))</f>
        <v/>
      </c>
      <c r="L149">
        <f>IF(COUNTA(I149:K149)=3, I149+J149+K149, "")</f>
        <v/>
      </c>
      <c r="M149" s="4">
        <f>IF(L149="","",L149/100)</f>
        <v/>
      </c>
      <c r="N149">
        <f>IF(M149="","",IF(M149&gt;=0.7,3,IF(M149&gt;=0.6,2,IF(M149&gt;=0.5,1,0))))</f>
        <v/>
      </c>
    </row>
    <row r="150">
      <c r="H150" s="4">
        <f>IF(F150=0,"",IFERROR(G150/F150, ""))</f>
        <v/>
      </c>
      <c r="L150">
        <f>IF(COUNTA(I150:K150)=3, I150+J150+K150, "")</f>
        <v/>
      </c>
      <c r="M150" s="4">
        <f>IF(L150="","",L150/100)</f>
        <v/>
      </c>
      <c r="N150">
        <f>IF(M150="","",IF(M150&gt;=0.7,3,IF(M150&gt;=0.6,2,IF(M150&gt;=0.5,1,0))))</f>
        <v/>
      </c>
    </row>
    <row r="151">
      <c r="H151" s="4">
        <f>IF(F151=0,"",IFERROR(G151/F151, ""))</f>
        <v/>
      </c>
      <c r="L151">
        <f>IF(COUNTA(I151:K151)=3, I151+J151+K151, "")</f>
        <v/>
      </c>
      <c r="M151" s="4">
        <f>IF(L151="","",L151/100)</f>
        <v/>
      </c>
      <c r="N151">
        <f>IF(M151="","",IF(M151&gt;=0.7,3,IF(M151&gt;=0.6,2,IF(M151&gt;=0.5,1,0))))</f>
        <v/>
      </c>
    </row>
    <row r="152">
      <c r="H152" s="4">
        <f>IF(F152=0,"",IFERROR(G152/F152, ""))</f>
        <v/>
      </c>
      <c r="L152">
        <f>IF(COUNTA(I152:K152)=3, I152+J152+K152, "")</f>
        <v/>
      </c>
      <c r="M152" s="4">
        <f>IF(L152="","",L152/100)</f>
        <v/>
      </c>
      <c r="N152">
        <f>IF(M152="","",IF(M152&gt;=0.7,3,IF(M152&gt;=0.6,2,IF(M152&gt;=0.5,1,0))))</f>
        <v/>
      </c>
    </row>
    <row r="153">
      <c r="H153" s="4">
        <f>IF(F153=0,"",IFERROR(G153/F153, ""))</f>
        <v/>
      </c>
      <c r="L153">
        <f>IF(COUNTA(I153:K153)=3, I153+J153+K153, "")</f>
        <v/>
      </c>
      <c r="M153" s="4">
        <f>IF(L153="","",L153/100)</f>
        <v/>
      </c>
      <c r="N153">
        <f>IF(M153="","",IF(M153&gt;=0.7,3,IF(M153&gt;=0.6,2,IF(M153&gt;=0.5,1,0))))</f>
        <v/>
      </c>
    </row>
    <row r="154">
      <c r="H154" s="4">
        <f>IF(F154=0,"",IFERROR(G154/F154, ""))</f>
        <v/>
      </c>
      <c r="L154">
        <f>IF(COUNTA(I154:K154)=3, I154+J154+K154, "")</f>
        <v/>
      </c>
      <c r="M154" s="4">
        <f>IF(L154="","",L154/100)</f>
        <v/>
      </c>
      <c r="N154">
        <f>IF(M154="","",IF(M154&gt;=0.7,3,IF(M154&gt;=0.6,2,IF(M154&gt;=0.5,1,0))))</f>
        <v/>
      </c>
    </row>
    <row r="155">
      <c r="H155" s="4">
        <f>IF(F155=0,"",IFERROR(G155/F155, ""))</f>
        <v/>
      </c>
      <c r="L155">
        <f>IF(COUNTA(I155:K155)=3, I155+J155+K155, "")</f>
        <v/>
      </c>
      <c r="M155" s="4">
        <f>IF(L155="","",L155/100)</f>
        <v/>
      </c>
      <c r="N155">
        <f>IF(M155="","",IF(M155&gt;=0.7,3,IF(M155&gt;=0.6,2,IF(M155&gt;=0.5,1,0))))</f>
        <v/>
      </c>
    </row>
    <row r="156">
      <c r="H156" s="4">
        <f>IF(F156=0,"",IFERROR(G156/F156, ""))</f>
        <v/>
      </c>
      <c r="L156">
        <f>IF(COUNTA(I156:K156)=3, I156+J156+K156, "")</f>
        <v/>
      </c>
      <c r="M156" s="4">
        <f>IF(L156="","",L156/100)</f>
        <v/>
      </c>
      <c r="N156">
        <f>IF(M156="","",IF(M156&gt;=0.7,3,IF(M156&gt;=0.6,2,IF(M156&gt;=0.5,1,0))))</f>
        <v/>
      </c>
    </row>
    <row r="157">
      <c r="H157" s="4">
        <f>IF(F157=0,"",IFERROR(G157/F157, ""))</f>
        <v/>
      </c>
      <c r="L157">
        <f>IF(COUNTA(I157:K157)=3, I157+J157+K157, "")</f>
        <v/>
      </c>
      <c r="M157" s="4">
        <f>IF(L157="","",L157/100)</f>
        <v/>
      </c>
      <c r="N157">
        <f>IF(M157="","",IF(M157&gt;=0.7,3,IF(M157&gt;=0.6,2,IF(M157&gt;=0.5,1,0))))</f>
        <v/>
      </c>
    </row>
    <row r="158">
      <c r="H158" s="4">
        <f>IF(F158=0,"",IFERROR(G158/F158, ""))</f>
        <v/>
      </c>
      <c r="L158">
        <f>IF(COUNTA(I158:K158)=3, I158+J158+K158, "")</f>
        <v/>
      </c>
      <c r="M158" s="4">
        <f>IF(L158="","",L158/100)</f>
        <v/>
      </c>
      <c r="N158">
        <f>IF(M158="","",IF(M158&gt;=0.7,3,IF(M158&gt;=0.6,2,IF(M158&gt;=0.5,1,0))))</f>
        <v/>
      </c>
    </row>
    <row r="159">
      <c r="H159" s="4">
        <f>IF(F159=0,"",IFERROR(G159/F159, ""))</f>
        <v/>
      </c>
      <c r="L159">
        <f>IF(COUNTA(I159:K159)=3, I159+J159+K159, "")</f>
        <v/>
      </c>
      <c r="M159" s="4">
        <f>IF(L159="","",L159/100)</f>
        <v/>
      </c>
      <c r="N159">
        <f>IF(M159="","",IF(M159&gt;=0.7,3,IF(M159&gt;=0.6,2,IF(M159&gt;=0.5,1,0))))</f>
        <v/>
      </c>
    </row>
    <row r="160">
      <c r="H160" s="4">
        <f>IF(F160=0,"",IFERROR(G160/F160, ""))</f>
        <v/>
      </c>
      <c r="L160">
        <f>IF(COUNTA(I160:K160)=3, I160+J160+K160, "")</f>
        <v/>
      </c>
      <c r="M160" s="4">
        <f>IF(L160="","",L160/100)</f>
        <v/>
      </c>
      <c r="N160">
        <f>IF(M160="","",IF(M160&gt;=0.7,3,IF(M160&gt;=0.6,2,IF(M160&gt;=0.5,1,0))))</f>
        <v/>
      </c>
    </row>
    <row r="161">
      <c r="H161" s="4">
        <f>IF(F161=0,"",IFERROR(G161/F161, ""))</f>
        <v/>
      </c>
      <c r="L161">
        <f>IF(COUNTA(I161:K161)=3, I161+J161+K161, "")</f>
        <v/>
      </c>
      <c r="M161" s="4">
        <f>IF(L161="","",L161/100)</f>
        <v/>
      </c>
      <c r="N161">
        <f>IF(M161="","",IF(M161&gt;=0.7,3,IF(M161&gt;=0.6,2,IF(M161&gt;=0.5,1,0))))</f>
        <v/>
      </c>
    </row>
    <row r="162">
      <c r="H162" s="4">
        <f>IF(F162=0,"",IFERROR(G162/F162, ""))</f>
        <v/>
      </c>
      <c r="L162">
        <f>IF(COUNTA(I162:K162)=3, I162+J162+K162, "")</f>
        <v/>
      </c>
      <c r="M162" s="4">
        <f>IF(L162="","",L162/100)</f>
        <v/>
      </c>
      <c r="N162">
        <f>IF(M162="","",IF(M162&gt;=0.7,3,IF(M162&gt;=0.6,2,IF(M162&gt;=0.5,1,0))))</f>
        <v/>
      </c>
    </row>
    <row r="163">
      <c r="H163" s="4">
        <f>IF(F163=0,"",IFERROR(G163/F163, ""))</f>
        <v/>
      </c>
      <c r="L163">
        <f>IF(COUNTA(I163:K163)=3, I163+J163+K163, "")</f>
        <v/>
      </c>
      <c r="M163" s="4">
        <f>IF(L163="","",L163/100)</f>
        <v/>
      </c>
      <c r="N163">
        <f>IF(M163="","",IF(M163&gt;=0.7,3,IF(M163&gt;=0.6,2,IF(M163&gt;=0.5,1,0))))</f>
        <v/>
      </c>
    </row>
    <row r="164">
      <c r="H164" s="4">
        <f>IF(F164=0,"",IFERROR(G164/F164, ""))</f>
        <v/>
      </c>
      <c r="L164">
        <f>IF(COUNTA(I164:K164)=3, I164+J164+K164, "")</f>
        <v/>
      </c>
      <c r="M164" s="4">
        <f>IF(L164="","",L164/100)</f>
        <v/>
      </c>
      <c r="N164">
        <f>IF(M164="","",IF(M164&gt;=0.7,3,IF(M164&gt;=0.6,2,IF(M164&gt;=0.5,1,0))))</f>
        <v/>
      </c>
    </row>
    <row r="165">
      <c r="H165" s="4">
        <f>IF(F165=0,"",IFERROR(G165/F165, ""))</f>
        <v/>
      </c>
      <c r="L165">
        <f>IF(COUNTA(I165:K165)=3, I165+J165+K165, "")</f>
        <v/>
      </c>
      <c r="M165" s="4">
        <f>IF(L165="","",L165/100)</f>
        <v/>
      </c>
      <c r="N165">
        <f>IF(M165="","",IF(M165&gt;=0.7,3,IF(M165&gt;=0.6,2,IF(M165&gt;=0.5,1,0))))</f>
        <v/>
      </c>
    </row>
    <row r="166">
      <c r="H166" s="4">
        <f>IF(F166=0,"",IFERROR(G166/F166, ""))</f>
        <v/>
      </c>
      <c r="L166">
        <f>IF(COUNTA(I166:K166)=3, I166+J166+K166, "")</f>
        <v/>
      </c>
      <c r="M166" s="4">
        <f>IF(L166="","",L166/100)</f>
        <v/>
      </c>
      <c r="N166">
        <f>IF(M166="","",IF(M166&gt;=0.7,3,IF(M166&gt;=0.6,2,IF(M166&gt;=0.5,1,0))))</f>
        <v/>
      </c>
    </row>
    <row r="167">
      <c r="H167" s="4">
        <f>IF(F167=0,"",IFERROR(G167/F167, ""))</f>
        <v/>
      </c>
      <c r="L167">
        <f>IF(COUNTA(I167:K167)=3, I167+J167+K167, "")</f>
        <v/>
      </c>
      <c r="M167" s="4">
        <f>IF(L167="","",L167/100)</f>
        <v/>
      </c>
      <c r="N167">
        <f>IF(M167="","",IF(M167&gt;=0.7,3,IF(M167&gt;=0.6,2,IF(M167&gt;=0.5,1,0))))</f>
        <v/>
      </c>
    </row>
    <row r="168">
      <c r="H168" s="4">
        <f>IF(F168=0,"",IFERROR(G168/F168, ""))</f>
        <v/>
      </c>
      <c r="L168">
        <f>IF(COUNTA(I168:K168)=3, I168+J168+K168, "")</f>
        <v/>
      </c>
      <c r="M168" s="4">
        <f>IF(L168="","",L168/100)</f>
        <v/>
      </c>
      <c r="N168">
        <f>IF(M168="","",IF(M168&gt;=0.7,3,IF(M168&gt;=0.6,2,IF(M168&gt;=0.5,1,0))))</f>
        <v/>
      </c>
    </row>
    <row r="169">
      <c r="H169" s="4">
        <f>IF(F169=0,"",IFERROR(G169/F169, ""))</f>
        <v/>
      </c>
      <c r="L169">
        <f>IF(COUNTA(I169:K169)=3, I169+J169+K169, "")</f>
        <v/>
      </c>
      <c r="M169" s="4">
        <f>IF(L169="","",L169/100)</f>
        <v/>
      </c>
      <c r="N169">
        <f>IF(M169="","",IF(M169&gt;=0.7,3,IF(M169&gt;=0.6,2,IF(M169&gt;=0.5,1,0))))</f>
        <v/>
      </c>
    </row>
    <row r="170">
      <c r="H170" s="4">
        <f>IF(F170=0,"",IFERROR(G170/F170, ""))</f>
        <v/>
      </c>
      <c r="L170">
        <f>IF(COUNTA(I170:K170)=3, I170+J170+K170, "")</f>
        <v/>
      </c>
      <c r="M170" s="4">
        <f>IF(L170="","",L170/100)</f>
        <v/>
      </c>
      <c r="N170">
        <f>IF(M170="","",IF(M170&gt;=0.7,3,IF(M170&gt;=0.6,2,IF(M170&gt;=0.5,1,0))))</f>
        <v/>
      </c>
    </row>
    <row r="171">
      <c r="H171" s="4">
        <f>IF(F171=0,"",IFERROR(G171/F171, ""))</f>
        <v/>
      </c>
      <c r="L171">
        <f>IF(COUNTA(I171:K171)=3, I171+J171+K171, "")</f>
        <v/>
      </c>
      <c r="M171" s="4">
        <f>IF(L171="","",L171/100)</f>
        <v/>
      </c>
      <c r="N171">
        <f>IF(M171="","",IF(M171&gt;=0.7,3,IF(M171&gt;=0.6,2,IF(M171&gt;=0.5,1,0))))</f>
        <v/>
      </c>
    </row>
    <row r="172">
      <c r="H172" s="4">
        <f>IF(F172=0,"",IFERROR(G172/F172, ""))</f>
        <v/>
      </c>
      <c r="L172">
        <f>IF(COUNTA(I172:K172)=3, I172+J172+K172, "")</f>
        <v/>
      </c>
      <c r="M172" s="4">
        <f>IF(L172="","",L172/100)</f>
        <v/>
      </c>
      <c r="N172">
        <f>IF(M172="","",IF(M172&gt;=0.7,3,IF(M172&gt;=0.6,2,IF(M172&gt;=0.5,1,0))))</f>
        <v/>
      </c>
    </row>
    <row r="173">
      <c r="H173" s="4">
        <f>IF(F173=0,"",IFERROR(G173/F173, ""))</f>
        <v/>
      </c>
      <c r="L173">
        <f>IF(COUNTA(I173:K173)=3, I173+J173+K173, "")</f>
        <v/>
      </c>
      <c r="M173" s="4">
        <f>IF(L173="","",L173/100)</f>
        <v/>
      </c>
      <c r="N173">
        <f>IF(M173="","",IF(M173&gt;=0.7,3,IF(M173&gt;=0.6,2,IF(M173&gt;=0.5,1,0))))</f>
        <v/>
      </c>
    </row>
    <row r="174">
      <c r="H174" s="4">
        <f>IF(F174=0,"",IFERROR(G174/F174, ""))</f>
        <v/>
      </c>
      <c r="L174">
        <f>IF(COUNTA(I174:K174)=3, I174+J174+K174, "")</f>
        <v/>
      </c>
      <c r="M174" s="4">
        <f>IF(L174="","",L174/100)</f>
        <v/>
      </c>
      <c r="N174">
        <f>IF(M174="","",IF(M174&gt;=0.7,3,IF(M174&gt;=0.6,2,IF(M174&gt;=0.5,1,0))))</f>
        <v/>
      </c>
    </row>
    <row r="175">
      <c r="H175" s="4">
        <f>IF(F175=0,"",IFERROR(G175/F175, ""))</f>
        <v/>
      </c>
      <c r="L175">
        <f>IF(COUNTA(I175:K175)=3, I175+J175+K175, "")</f>
        <v/>
      </c>
      <c r="M175" s="4">
        <f>IF(L175="","",L175/100)</f>
        <v/>
      </c>
      <c r="N175">
        <f>IF(M175="","",IF(M175&gt;=0.7,3,IF(M175&gt;=0.6,2,IF(M175&gt;=0.5,1,0))))</f>
        <v/>
      </c>
    </row>
    <row r="176">
      <c r="H176" s="4">
        <f>IF(F176=0,"",IFERROR(G176/F176, ""))</f>
        <v/>
      </c>
      <c r="L176">
        <f>IF(COUNTA(I176:K176)=3, I176+J176+K176, "")</f>
        <v/>
      </c>
      <c r="M176" s="4">
        <f>IF(L176="","",L176/100)</f>
        <v/>
      </c>
      <c r="N176">
        <f>IF(M176="","",IF(M176&gt;=0.7,3,IF(M176&gt;=0.6,2,IF(M176&gt;=0.5,1,0))))</f>
        <v/>
      </c>
    </row>
    <row r="177">
      <c r="H177" s="4">
        <f>IF(F177=0,"",IFERROR(G177/F177, ""))</f>
        <v/>
      </c>
      <c r="L177">
        <f>IF(COUNTA(I177:K177)=3, I177+J177+K177, "")</f>
        <v/>
      </c>
      <c r="M177" s="4">
        <f>IF(L177="","",L177/100)</f>
        <v/>
      </c>
      <c r="N177">
        <f>IF(M177="","",IF(M177&gt;=0.7,3,IF(M177&gt;=0.6,2,IF(M177&gt;=0.5,1,0))))</f>
        <v/>
      </c>
    </row>
    <row r="178">
      <c r="H178" s="4">
        <f>IF(F178=0,"",IFERROR(G178/F178, ""))</f>
        <v/>
      </c>
      <c r="L178">
        <f>IF(COUNTA(I178:K178)=3, I178+J178+K178, "")</f>
        <v/>
      </c>
      <c r="M178" s="4">
        <f>IF(L178="","",L178/100)</f>
        <v/>
      </c>
      <c r="N178">
        <f>IF(M178="","",IF(M178&gt;=0.7,3,IF(M178&gt;=0.6,2,IF(M178&gt;=0.5,1,0))))</f>
        <v/>
      </c>
    </row>
    <row r="179">
      <c r="H179" s="4">
        <f>IF(F179=0,"",IFERROR(G179/F179, ""))</f>
        <v/>
      </c>
      <c r="L179">
        <f>IF(COUNTA(I179:K179)=3, I179+J179+K179, "")</f>
        <v/>
      </c>
      <c r="M179" s="4">
        <f>IF(L179="","",L179/100)</f>
        <v/>
      </c>
      <c r="N179">
        <f>IF(M179="","",IF(M179&gt;=0.7,3,IF(M179&gt;=0.6,2,IF(M179&gt;=0.5,1,0))))</f>
        <v/>
      </c>
    </row>
    <row r="180">
      <c r="H180" s="4">
        <f>IF(F180=0,"",IFERROR(G180/F180, ""))</f>
        <v/>
      </c>
      <c r="L180">
        <f>IF(COUNTA(I180:K180)=3, I180+J180+K180, "")</f>
        <v/>
      </c>
      <c r="M180" s="4">
        <f>IF(L180="","",L180/100)</f>
        <v/>
      </c>
      <c r="N180">
        <f>IF(M180="","",IF(M180&gt;=0.7,3,IF(M180&gt;=0.6,2,IF(M180&gt;=0.5,1,0))))</f>
        <v/>
      </c>
    </row>
    <row r="181">
      <c r="H181" s="4">
        <f>IF(F181=0,"",IFERROR(G181/F181, ""))</f>
        <v/>
      </c>
      <c r="L181">
        <f>IF(COUNTA(I181:K181)=3, I181+J181+K181, "")</f>
        <v/>
      </c>
      <c r="M181" s="4">
        <f>IF(L181="","",L181/100)</f>
        <v/>
      </c>
      <c r="N181">
        <f>IF(M181="","",IF(M181&gt;=0.7,3,IF(M181&gt;=0.6,2,IF(M181&gt;=0.5,1,0))))</f>
        <v/>
      </c>
    </row>
    <row r="182">
      <c r="H182" s="4">
        <f>IF(F182=0,"",IFERROR(G182/F182, ""))</f>
        <v/>
      </c>
      <c r="L182">
        <f>IF(COUNTA(I182:K182)=3, I182+J182+K182, "")</f>
        <v/>
      </c>
      <c r="M182" s="4">
        <f>IF(L182="","",L182/100)</f>
        <v/>
      </c>
      <c r="N182">
        <f>IF(M182="","",IF(M182&gt;=0.7,3,IF(M182&gt;=0.6,2,IF(M182&gt;=0.5,1,0))))</f>
        <v/>
      </c>
    </row>
    <row r="183">
      <c r="H183" s="4">
        <f>IF(F183=0,"",IFERROR(G183/F183, ""))</f>
        <v/>
      </c>
      <c r="L183">
        <f>IF(COUNTA(I183:K183)=3, I183+J183+K183, "")</f>
        <v/>
      </c>
      <c r="M183" s="4">
        <f>IF(L183="","",L183/100)</f>
        <v/>
      </c>
      <c r="N183">
        <f>IF(M183="","",IF(M183&gt;=0.7,3,IF(M183&gt;=0.6,2,IF(M183&gt;=0.5,1,0))))</f>
        <v/>
      </c>
    </row>
    <row r="184">
      <c r="H184" s="4">
        <f>IF(F184=0,"",IFERROR(G184/F184, ""))</f>
        <v/>
      </c>
      <c r="L184">
        <f>IF(COUNTA(I184:K184)=3, I184+J184+K184, "")</f>
        <v/>
      </c>
      <c r="M184" s="4">
        <f>IF(L184="","",L184/100)</f>
        <v/>
      </c>
      <c r="N184">
        <f>IF(M184="","",IF(M184&gt;=0.7,3,IF(M184&gt;=0.6,2,IF(M184&gt;=0.5,1,0))))</f>
        <v/>
      </c>
    </row>
    <row r="185">
      <c r="H185" s="4">
        <f>IF(F185=0,"",IFERROR(G185/F185, ""))</f>
        <v/>
      </c>
      <c r="L185">
        <f>IF(COUNTA(I185:K185)=3, I185+J185+K185, "")</f>
        <v/>
      </c>
      <c r="M185" s="4">
        <f>IF(L185="","",L185/100)</f>
        <v/>
      </c>
      <c r="N185">
        <f>IF(M185="","",IF(M185&gt;=0.7,3,IF(M185&gt;=0.6,2,IF(M185&gt;=0.5,1,0))))</f>
        <v/>
      </c>
    </row>
    <row r="186">
      <c r="H186" s="4">
        <f>IF(F186=0,"",IFERROR(G186/F186, ""))</f>
        <v/>
      </c>
      <c r="L186">
        <f>IF(COUNTA(I186:K186)=3, I186+J186+K186, "")</f>
        <v/>
      </c>
      <c r="M186" s="4">
        <f>IF(L186="","",L186/100)</f>
        <v/>
      </c>
      <c r="N186">
        <f>IF(M186="","",IF(M186&gt;=0.7,3,IF(M186&gt;=0.6,2,IF(M186&gt;=0.5,1,0))))</f>
        <v/>
      </c>
    </row>
    <row r="187">
      <c r="H187" s="4">
        <f>IF(F187=0,"",IFERROR(G187/F187, ""))</f>
        <v/>
      </c>
      <c r="L187">
        <f>IF(COUNTA(I187:K187)=3, I187+J187+K187, "")</f>
        <v/>
      </c>
      <c r="M187" s="4">
        <f>IF(L187="","",L187/100)</f>
        <v/>
      </c>
      <c r="N187">
        <f>IF(M187="","",IF(M187&gt;=0.7,3,IF(M187&gt;=0.6,2,IF(M187&gt;=0.5,1,0))))</f>
        <v/>
      </c>
    </row>
    <row r="188">
      <c r="H188" s="4">
        <f>IF(F188=0,"",IFERROR(G188/F188, ""))</f>
        <v/>
      </c>
      <c r="L188">
        <f>IF(COUNTA(I188:K188)=3, I188+J188+K188, "")</f>
        <v/>
      </c>
      <c r="M188" s="4">
        <f>IF(L188="","",L188/100)</f>
        <v/>
      </c>
      <c r="N188">
        <f>IF(M188="","",IF(M188&gt;=0.7,3,IF(M188&gt;=0.6,2,IF(M188&gt;=0.5,1,0))))</f>
        <v/>
      </c>
    </row>
    <row r="189">
      <c r="H189" s="4">
        <f>IF(F189=0,"",IFERROR(G189/F189, ""))</f>
        <v/>
      </c>
      <c r="L189">
        <f>IF(COUNTA(I189:K189)=3, I189+J189+K189, "")</f>
        <v/>
      </c>
      <c r="M189" s="4">
        <f>IF(L189="","",L189/100)</f>
        <v/>
      </c>
      <c r="N189">
        <f>IF(M189="","",IF(M189&gt;=0.7,3,IF(M189&gt;=0.6,2,IF(M189&gt;=0.5,1,0))))</f>
        <v/>
      </c>
    </row>
    <row r="190">
      <c r="H190" s="4">
        <f>IF(F190=0,"",IFERROR(G190/F190, ""))</f>
        <v/>
      </c>
      <c r="L190">
        <f>IF(COUNTA(I190:K190)=3, I190+J190+K190, "")</f>
        <v/>
      </c>
      <c r="M190" s="4">
        <f>IF(L190="","",L190/100)</f>
        <v/>
      </c>
      <c r="N190">
        <f>IF(M190="","",IF(M190&gt;=0.7,3,IF(M190&gt;=0.6,2,IF(M190&gt;=0.5,1,0))))</f>
        <v/>
      </c>
    </row>
    <row r="191">
      <c r="H191" s="4">
        <f>IF(F191=0,"",IFERROR(G191/F191, ""))</f>
        <v/>
      </c>
      <c r="L191">
        <f>IF(COUNTA(I191:K191)=3, I191+J191+K191, "")</f>
        <v/>
      </c>
      <c r="M191" s="4">
        <f>IF(L191="","",L191/100)</f>
        <v/>
      </c>
      <c r="N191">
        <f>IF(M191="","",IF(M191&gt;=0.7,3,IF(M191&gt;=0.6,2,IF(M191&gt;=0.5,1,0))))</f>
        <v/>
      </c>
    </row>
    <row r="192">
      <c r="H192" s="4">
        <f>IF(F192=0,"",IFERROR(G192/F192, ""))</f>
        <v/>
      </c>
      <c r="L192">
        <f>IF(COUNTA(I192:K192)=3, I192+J192+K192, "")</f>
        <v/>
      </c>
      <c r="M192" s="4">
        <f>IF(L192="","",L192/100)</f>
        <v/>
      </c>
      <c r="N192">
        <f>IF(M192="","",IF(M192&gt;=0.7,3,IF(M192&gt;=0.6,2,IF(M192&gt;=0.5,1,0))))</f>
        <v/>
      </c>
    </row>
    <row r="193">
      <c r="H193" s="4">
        <f>IF(F193=0,"",IFERROR(G193/F193, ""))</f>
        <v/>
      </c>
      <c r="L193">
        <f>IF(COUNTA(I193:K193)=3, I193+J193+K193, "")</f>
        <v/>
      </c>
      <c r="M193" s="4">
        <f>IF(L193="","",L193/100)</f>
        <v/>
      </c>
      <c r="N193">
        <f>IF(M193="","",IF(M193&gt;=0.7,3,IF(M193&gt;=0.6,2,IF(M193&gt;=0.5,1,0))))</f>
        <v/>
      </c>
    </row>
    <row r="194">
      <c r="H194" s="4">
        <f>IF(F194=0,"",IFERROR(G194/F194, ""))</f>
        <v/>
      </c>
      <c r="L194">
        <f>IF(COUNTA(I194:K194)=3, I194+J194+K194, "")</f>
        <v/>
      </c>
      <c r="M194" s="4">
        <f>IF(L194="","",L194/100)</f>
        <v/>
      </c>
      <c r="N194">
        <f>IF(M194="","",IF(M194&gt;=0.7,3,IF(M194&gt;=0.6,2,IF(M194&gt;=0.5,1,0))))</f>
        <v/>
      </c>
    </row>
    <row r="195">
      <c r="H195" s="4">
        <f>IF(F195=0,"",IFERROR(G195/F195, ""))</f>
        <v/>
      </c>
      <c r="L195">
        <f>IF(COUNTA(I195:K195)=3, I195+J195+K195, "")</f>
        <v/>
      </c>
      <c r="M195" s="4">
        <f>IF(L195="","",L195/100)</f>
        <v/>
      </c>
      <c r="N195">
        <f>IF(M195="","",IF(M195&gt;=0.7,3,IF(M195&gt;=0.6,2,IF(M195&gt;=0.5,1,0))))</f>
        <v/>
      </c>
    </row>
    <row r="196">
      <c r="H196" s="4">
        <f>IF(F196=0,"",IFERROR(G196/F196, ""))</f>
        <v/>
      </c>
      <c r="L196">
        <f>IF(COUNTA(I196:K196)=3, I196+J196+K196, "")</f>
        <v/>
      </c>
      <c r="M196" s="4">
        <f>IF(L196="","",L196/100)</f>
        <v/>
      </c>
      <c r="N196">
        <f>IF(M196="","",IF(M196&gt;=0.7,3,IF(M196&gt;=0.6,2,IF(M196&gt;=0.5,1,0))))</f>
        <v/>
      </c>
    </row>
    <row r="197">
      <c r="H197" s="4">
        <f>IF(F197=0,"",IFERROR(G197/F197, ""))</f>
        <v/>
      </c>
      <c r="L197">
        <f>IF(COUNTA(I197:K197)=3, I197+J197+K197, "")</f>
        <v/>
      </c>
      <c r="M197" s="4">
        <f>IF(L197="","",L197/100)</f>
        <v/>
      </c>
      <c r="N197">
        <f>IF(M197="","",IF(M197&gt;=0.7,3,IF(M197&gt;=0.6,2,IF(M197&gt;=0.5,1,0))))</f>
        <v/>
      </c>
    </row>
    <row r="198">
      <c r="H198" s="4">
        <f>IF(F198=0,"",IFERROR(G198/F198, ""))</f>
        <v/>
      </c>
      <c r="L198">
        <f>IF(COUNTA(I198:K198)=3, I198+J198+K198, "")</f>
        <v/>
      </c>
      <c r="M198" s="4">
        <f>IF(L198="","",L198/100)</f>
        <v/>
      </c>
      <c r="N198">
        <f>IF(M198="","",IF(M198&gt;=0.7,3,IF(M198&gt;=0.6,2,IF(M198&gt;=0.5,1,0))))</f>
        <v/>
      </c>
    </row>
    <row r="199">
      <c r="H199" s="4">
        <f>IF(F199=0,"",IFERROR(G199/F199, ""))</f>
        <v/>
      </c>
      <c r="L199">
        <f>IF(COUNTA(I199:K199)=3, I199+J199+K199, "")</f>
        <v/>
      </c>
      <c r="M199" s="4">
        <f>IF(L199="","",L199/100)</f>
        <v/>
      </c>
      <c r="N199">
        <f>IF(M199="","",IF(M199&gt;=0.7,3,IF(M199&gt;=0.6,2,IF(M199&gt;=0.5,1,0))))</f>
        <v/>
      </c>
    </row>
    <row r="200">
      <c r="H200" s="4">
        <f>IF(F200=0,"",IFERROR(G200/F200, ""))</f>
        <v/>
      </c>
      <c r="L200">
        <f>IF(COUNTA(I200:K200)=3, I200+J200+K200, "")</f>
        <v/>
      </c>
      <c r="M200" s="4">
        <f>IF(L200="","",L200/100)</f>
        <v/>
      </c>
      <c r="N200">
        <f>IF(M200="","",IF(M200&gt;=0.7,3,IF(M200&gt;=0.6,2,IF(M200&gt;=0.5,1,0))))</f>
        <v/>
      </c>
    </row>
    <row r="201">
      <c r="H201" s="4">
        <f>IF(F201=0,"",IFERROR(G201/F201, ""))</f>
        <v/>
      </c>
      <c r="L201">
        <f>IF(COUNTA(I201:K201)=3, I201+J201+K201, "")</f>
        <v/>
      </c>
      <c r="M201" s="4">
        <f>IF(L201="","",L201/100)</f>
        <v/>
      </c>
      <c r="N201">
        <f>IF(M201="","",IF(M201&gt;=0.7,3,IF(M201&gt;=0.6,2,IF(M201&gt;=0.5,1,0))))</f>
        <v/>
      </c>
    </row>
    <row r="202">
      <c r="H202" s="4">
        <f>IF(F202=0,"",IFERROR(G202/F202, ""))</f>
        <v/>
      </c>
      <c r="L202">
        <f>IF(COUNTA(I202:K202)=3, I202+J202+K202, "")</f>
        <v/>
      </c>
      <c r="M202" s="4">
        <f>IF(L202="","",L202/100)</f>
        <v/>
      </c>
      <c r="N202">
        <f>IF(M202="","",IF(M202&gt;=0.7,3,IF(M202&gt;=0.6,2,IF(M202&gt;=0.5,1,0))))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Avg % – Assignments (Auto)</t>
        </is>
      </c>
      <c r="B1" s="1" t="inlineStr">
        <is>
          <t>Avg % – Unit Tests (Auto)</t>
        </is>
      </c>
      <c r="C1" s="1" t="inlineStr">
        <is>
          <t>Avg % – Mid-Terms (Auto)</t>
        </is>
      </c>
      <c r="D1" s="1" t="inlineStr">
        <is>
          <t>Weighted Avg % (Auto)</t>
        </is>
      </c>
      <c r="E1" s="1" t="inlineStr">
        <is>
          <t>Direct Attainment Level (0–3) (Auto)</t>
        </is>
      </c>
      <c r="F1" s="1" t="inlineStr">
        <is>
          <t>Indirect Attainment Level (Auto)</t>
        </is>
      </c>
      <c r="G1" s="1" t="inlineStr">
        <is>
          <t>Final Attainment Level (0–3) (Auto)</t>
        </is>
      </c>
      <c r="H1" s="1" t="inlineStr">
        <is>
          <t>PSO(s) Addressed (Auto)</t>
        </is>
      </c>
      <c r="I1" s="5" t="inlineStr">
        <is>
          <t>Avg % – Assignments (Auto)</t>
        </is>
      </c>
      <c r="J1" s="5" t="inlineStr">
        <is>
          <t>Avg % – Unit Tests (Auto)</t>
        </is>
      </c>
      <c r="K1" s="5" t="inlineStr">
        <is>
          <t>Avg % – Mid-Terms (Auto)</t>
        </is>
      </c>
      <c r="L1" s="5" t="inlineStr">
        <is>
          <t>Weighted Avg % (Auto)</t>
        </is>
      </c>
      <c r="M1" s="5" t="inlineStr">
        <is>
          <t>Direct Attainment Level (0–3) (Auto)</t>
        </is>
      </c>
      <c r="N1" s="5" t="inlineStr">
        <is>
          <t>Indirect Attainment Level (Auto)</t>
        </is>
      </c>
      <c r="O1" s="5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>
        <f>IFERROR(AVERAGEIFS('Continuous Assessment Records'!L:L,'Continuous Assessment Records'!A:A,$A2,'Continuous Assessment Records'!F:F,$B2,'Continuous Assessment Records'!C:C,"Assignment"),"")</f>
        <v/>
      </c>
      <c r="J2">
        <f>IFERROR(AVERAGEIFS('Continuous Assessment Records'!L:L,'Continuous Assessment Records'!A:A,$A2,'Continuous Assessment Records'!F:F,$B2,'Continuous Assessment Records'!C:C,"Unit Test"),"")</f>
        <v/>
      </c>
      <c r="K2">
        <f>IFERROR(AVERAGEIFS('Continuous Assessment Records'!L:L,'Continuous Assessment Records'!A:A,$A2,'Continuous Assessment Records'!F:F,$B2,'Continuous Assessment Records'!C:C,"Mid-Term"),"")</f>
        <v/>
      </c>
      <c r="L2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>
        <f>IFERROR(AVERAGEIFS('Continuous Assessment Records'!L:L,'Continuous Assessment Records'!A:A,$A3,'Continuous Assessment Records'!F:F,$B3,'Continuous Assessment Records'!C:C,"Assignment"),"")</f>
        <v/>
      </c>
      <c r="J3">
        <f>IFERROR(AVERAGEIFS('Continuous Assessment Records'!L:L,'Continuous Assessment Records'!A:A,$A3,'Continuous Assessment Records'!F:F,$B3,'Continuous Assessment Records'!C:C,"Unit Test"),"")</f>
        <v/>
      </c>
      <c r="K3">
        <f>IFERROR(AVERAGEIFS('Continuous Assessment Records'!L:L,'Continuous Assessment Records'!A:A,$A3,'Continuous Assessment Records'!F:F,$B3,'Continuous Assessment Records'!C:C,"Mid-Term"),"")</f>
        <v/>
      </c>
      <c r="L3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>
        <f>IFERROR(AVERAGEIFS('Continuous Assessment Records'!L:L,'Continuous Assessment Records'!A:A,$A4,'Continuous Assessment Records'!F:F,$B4,'Continuous Assessment Records'!C:C,"Assignment"),"")</f>
        <v/>
      </c>
      <c r="J4">
        <f>IFERROR(AVERAGEIFS('Continuous Assessment Records'!L:L,'Continuous Assessment Records'!A:A,$A4,'Continuous Assessment Records'!F:F,$B4,'Continuous Assessment Records'!C:C,"Unit Test"),"")</f>
        <v/>
      </c>
      <c r="K4">
        <f>IFERROR(AVERAGEIFS('Continuous Assessment Records'!L:L,'Continuous Assessment Records'!A:A,$A4,'Continuous Assessment Records'!F:F,$B4,'Continuous Assessment Records'!C:C,"Mid-Term"),"")</f>
        <v/>
      </c>
      <c r="L4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>
        <f>IFERROR(AVERAGEIFS('Continuous Assessment Records'!L:L,'Continuous Assessment Records'!A:A,$A5,'Continuous Assessment Records'!F:F,$B5,'Continuous Assessment Records'!C:C,"Assignment"),"")</f>
        <v/>
      </c>
      <c r="J5">
        <f>IFERROR(AVERAGEIFS('Continuous Assessment Records'!L:L,'Continuous Assessment Records'!A:A,$A5,'Continuous Assessment Records'!F:F,$B5,'Continuous Assessment Records'!C:C,"Unit Test"),"")</f>
        <v/>
      </c>
      <c r="K5">
        <f>IFERROR(AVERAGEIFS('Continuous Assessment Records'!L:L,'Continuous Assessment Records'!A:A,$A5,'Continuous Assessment Records'!F:F,$B5,'Continuous Assessment Records'!C:C,"Mid-Term"),"")</f>
        <v/>
      </c>
      <c r="L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>
        <f>IFERROR(AVERAGEIFS('Continuous Assessment Records'!L:L,'Continuous Assessment Records'!A:A,$A6,'Continuous Assessment Records'!F:F,$B6,'Continuous Assessment Records'!C:C,"Assignment"),"")</f>
        <v/>
      </c>
      <c r="J6">
        <f>IFERROR(AVERAGEIFS('Continuous Assessment Records'!L:L,'Continuous Assessment Records'!A:A,$A6,'Continuous Assessment Records'!F:F,$B6,'Continuous Assessment Records'!C:C,"Unit Test"),"")</f>
        <v/>
      </c>
      <c r="K6">
        <f>IFERROR(AVERAGEIFS('Continuous Assessment Records'!L:L,'Continuous Assessment Records'!A:A,$A6,'Continuous Assessment Records'!F:F,$B6,'Continuous Assessment Records'!C:C,"Mid-Term"),"")</f>
        <v/>
      </c>
      <c r="L6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>
        <f>IFERROR(AVERAGEIFS('Continuous Assessment Records'!L:L,'Continuous Assessment Records'!A:A,$A7,'Continuous Assessment Records'!F:F,$B7,'Continuous Assessment Records'!C:C,"Assignment"),"")</f>
        <v/>
      </c>
      <c r="J7">
        <f>IFERROR(AVERAGEIFS('Continuous Assessment Records'!L:L,'Continuous Assessment Records'!A:A,$A7,'Continuous Assessment Records'!F:F,$B7,'Continuous Assessment Records'!C:C,"Unit Test"),"")</f>
        <v/>
      </c>
      <c r="K7">
        <f>IFERROR(AVERAGEIFS('Continuous Assessment Records'!L:L,'Continuous Assessment Records'!A:A,$A7,'Continuous Assessment Records'!F:F,$B7,'Continuous Assessment Records'!C:C,"Mid-Term"),"")</f>
        <v/>
      </c>
      <c r="L7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>
        <f>IFERROR(AVERAGEIFS('Continuous Assessment Records'!L:L,'Continuous Assessment Records'!A:A,$A8,'Continuous Assessment Records'!F:F,$B8,'Continuous Assessment Records'!C:C,"Assignment"),"")</f>
        <v/>
      </c>
      <c r="J8">
        <f>IFERROR(AVERAGEIFS('Continuous Assessment Records'!L:L,'Continuous Assessment Records'!A:A,$A8,'Continuous Assessment Records'!F:F,$B8,'Continuous Assessment Records'!C:C,"Unit Test"),"")</f>
        <v/>
      </c>
      <c r="K8">
        <f>IFERROR(AVERAGEIFS('Continuous Assessment Records'!L:L,'Continuous Assessment Records'!A:A,$A8,'Continuous Assessment Records'!F:F,$B8,'Continuous Assessment Records'!C:C,"Mid-Term"),"")</f>
        <v/>
      </c>
      <c r="L8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>
        <f>IFERROR(AVERAGEIFS('Continuous Assessment Records'!L:L,'Continuous Assessment Records'!A:A,$A9,'Continuous Assessment Records'!F:F,$B9,'Continuous Assessment Records'!C:C,"Assignment"),"")</f>
        <v/>
      </c>
      <c r="J9">
        <f>IFERROR(AVERAGEIFS('Continuous Assessment Records'!L:L,'Continuous Assessment Records'!A:A,$A9,'Continuous Assessment Records'!F:F,$B9,'Continuous Assessment Records'!C:C,"Unit Test"),"")</f>
        <v/>
      </c>
      <c r="K9">
        <f>IFERROR(AVERAGEIFS('Continuous Assessment Records'!L:L,'Continuous Assessment Records'!A:A,$A9,'Continuous Assessment Records'!F:F,$B9,'Continuous Assessment Records'!C:C,"Mid-Term"),"")</f>
        <v/>
      </c>
      <c r="L9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>
        <f>IFERROR(AVERAGEIFS('Continuous Assessment Records'!L:L,'Continuous Assessment Records'!A:A,$A10,'Continuous Assessment Records'!F:F,$B10,'Continuous Assessment Records'!C:C,"Assignment"),"")</f>
        <v/>
      </c>
      <c r="J10">
        <f>IFERROR(AVERAGEIFS('Continuous Assessment Records'!L:L,'Continuous Assessment Records'!A:A,$A10,'Continuous Assessment Records'!F:F,$B10,'Continuous Assessment Records'!C:C,"Unit Test"),"")</f>
        <v/>
      </c>
      <c r="K10">
        <f>IFERROR(AVERAGEIFS('Continuous Assessment Records'!L:L,'Continuous Assessment Records'!A:A,$A10,'Continuous Assessment Records'!F:F,$B10,'Continuous Assessment Records'!C:C,"Mid-Term"),"")</f>
        <v/>
      </c>
      <c r="L10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>
        <f>IFERROR(AVERAGEIFS('Continuous Assessment Records'!L:L,'Continuous Assessment Records'!A:A,$A11,'Continuous Assessment Records'!F:F,$B11,'Continuous Assessment Records'!C:C,"Assignment"),"")</f>
        <v/>
      </c>
      <c r="J11">
        <f>IFERROR(AVERAGEIFS('Continuous Assessment Records'!L:L,'Continuous Assessment Records'!A:A,$A11,'Continuous Assessment Records'!F:F,$B11,'Continuous Assessment Records'!C:C,"Unit Test"),"")</f>
        <v/>
      </c>
      <c r="K11">
        <f>IFERROR(AVERAGEIFS('Continuous Assessment Records'!L:L,'Continuous Assessment Records'!A:A,$A11,'Continuous Assessment Records'!F:F,$B11,'Continuous Assessment Records'!C:C,"Mid-Term"),"")</f>
        <v/>
      </c>
      <c r="L11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>
        <f>IFERROR(AVERAGEIFS('Continuous Assessment Records'!L:L,'Continuous Assessment Records'!A:A,$A12,'Continuous Assessment Records'!F:F,$B12,'Continuous Assessment Records'!C:C,"Assignment"),"")</f>
        <v/>
      </c>
      <c r="J12">
        <f>IFERROR(AVERAGEIFS('Continuous Assessment Records'!L:L,'Continuous Assessment Records'!A:A,$A12,'Continuous Assessment Records'!F:F,$B12,'Continuous Assessment Records'!C:C,"Unit Test"),"")</f>
        <v/>
      </c>
      <c r="K12">
        <f>IFERROR(AVERAGEIFS('Continuous Assessment Records'!L:L,'Continuous Assessment Records'!A:A,$A12,'Continuous Assessment Records'!F:F,$B12,'Continuous Assessment Records'!C:C,"Mid-Term"),"")</f>
        <v/>
      </c>
      <c r="L12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>
        <f>IFERROR(AVERAGEIFS('Continuous Assessment Records'!L:L,'Continuous Assessment Records'!A:A,$A13,'Continuous Assessment Records'!F:F,$B13,'Continuous Assessment Records'!C:C,"Assignment"),"")</f>
        <v/>
      </c>
      <c r="J13">
        <f>IFERROR(AVERAGEIFS('Continuous Assessment Records'!L:L,'Continuous Assessment Records'!A:A,$A13,'Continuous Assessment Records'!F:F,$B13,'Continuous Assessment Records'!C:C,"Unit Test"),"")</f>
        <v/>
      </c>
      <c r="K13">
        <f>IFERROR(AVERAGEIFS('Continuous Assessment Records'!L:L,'Continuous Assessment Records'!A:A,$A13,'Continuous Assessment Records'!F:F,$B13,'Continuous Assessment Records'!C:C,"Mid-Term"),"")</f>
        <v/>
      </c>
      <c r="L13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>
        <f>IFERROR(AVERAGEIFS('Continuous Assessment Records'!L:L,'Continuous Assessment Records'!A:A,$A14,'Continuous Assessment Records'!F:F,$B14,'Continuous Assessment Records'!C:C,"Assignment"),"")</f>
        <v/>
      </c>
      <c r="J14">
        <f>IFERROR(AVERAGEIFS('Continuous Assessment Records'!L:L,'Continuous Assessment Records'!A:A,$A14,'Continuous Assessment Records'!F:F,$B14,'Continuous Assessment Records'!C:C,"Unit Test"),"")</f>
        <v/>
      </c>
      <c r="K14">
        <f>IFERROR(AVERAGEIFS('Continuous Assessment Records'!L:L,'Continuous Assessment Records'!A:A,$A14,'Continuous Assessment Records'!F:F,$B14,'Continuous Assessment Records'!C:C,"Mid-Term"),"")</f>
        <v/>
      </c>
      <c r="L14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>
        <f>IFERROR(AVERAGEIFS('Continuous Assessment Records'!L:L,'Continuous Assessment Records'!A:A,$A15,'Continuous Assessment Records'!F:F,$B15,'Continuous Assessment Records'!C:C,"Assignment"),"")</f>
        <v/>
      </c>
      <c r="J15">
        <f>IFERROR(AVERAGEIFS('Continuous Assessment Records'!L:L,'Continuous Assessment Records'!A:A,$A15,'Continuous Assessment Records'!F:F,$B15,'Continuous Assessment Records'!C:C,"Unit Test"),"")</f>
        <v/>
      </c>
      <c r="K15">
        <f>IFERROR(AVERAGEIFS('Continuous Assessment Records'!L:L,'Continuous Assessment Records'!A:A,$A15,'Continuous Assessment Records'!F:F,$B15,'Continuous Assessment Records'!C:C,"Mid-Term"),"")</f>
        <v/>
      </c>
      <c r="L1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>
        <f>IFERROR(AVERAGEIFS('Continuous Assessment Records'!L:L,'Continuous Assessment Records'!A:A,$A16,'Continuous Assessment Records'!F:F,$B16,'Continuous Assessment Records'!C:C,"Assignment"),"")</f>
        <v/>
      </c>
      <c r="J16">
        <f>IFERROR(AVERAGEIFS('Continuous Assessment Records'!L:L,'Continuous Assessment Records'!A:A,$A16,'Continuous Assessment Records'!F:F,$B16,'Continuous Assessment Records'!C:C,"Unit Test"),"")</f>
        <v/>
      </c>
      <c r="K16">
        <f>IFERROR(AVERAGEIFS('Continuous Assessment Records'!L:L,'Continuous Assessment Records'!A:A,$A16,'Continuous Assessment Records'!F:F,$B16,'Continuous Assessment Records'!C:C,"Mid-Term"),"")</f>
        <v/>
      </c>
      <c r="L16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>
        <f>IFERROR(AVERAGEIFS('Continuous Assessment Records'!L:L,'Continuous Assessment Records'!A:A,$A17,'Continuous Assessment Records'!F:F,$B17,'Continuous Assessment Records'!C:C,"Assignment"),"")</f>
        <v/>
      </c>
      <c r="J17">
        <f>IFERROR(AVERAGEIFS('Continuous Assessment Records'!L:L,'Continuous Assessment Records'!A:A,$A17,'Continuous Assessment Records'!F:F,$B17,'Continuous Assessment Records'!C:C,"Unit Test"),"")</f>
        <v/>
      </c>
      <c r="K17">
        <f>IFERROR(AVERAGEIFS('Continuous Assessment Records'!L:L,'Continuous Assessment Records'!A:A,$A17,'Continuous Assessment Records'!F:F,$B17,'Continuous Assessment Records'!C:C,"Mid-Term"),"")</f>
        <v/>
      </c>
      <c r="L17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>
        <f>IFERROR(AVERAGEIFS('Continuous Assessment Records'!L:L,'Continuous Assessment Records'!A:A,$A18,'Continuous Assessment Records'!F:F,$B18,'Continuous Assessment Records'!C:C,"Assignment"),"")</f>
        <v/>
      </c>
      <c r="J18">
        <f>IFERROR(AVERAGEIFS('Continuous Assessment Records'!L:L,'Continuous Assessment Records'!A:A,$A18,'Continuous Assessment Records'!F:F,$B18,'Continuous Assessment Records'!C:C,"Unit Test"),"")</f>
        <v/>
      </c>
      <c r="K18">
        <f>IFERROR(AVERAGEIFS('Continuous Assessment Records'!L:L,'Continuous Assessment Records'!A:A,$A18,'Continuous Assessment Records'!F:F,$B18,'Continuous Assessment Records'!C:C,"Mid-Term"),"")</f>
        <v/>
      </c>
      <c r="L18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>
        <f>IFERROR(AVERAGEIFS('Continuous Assessment Records'!L:L,'Continuous Assessment Records'!A:A,$A19,'Continuous Assessment Records'!F:F,$B19,'Continuous Assessment Records'!C:C,"Assignment"),"")</f>
        <v/>
      </c>
      <c r="J19">
        <f>IFERROR(AVERAGEIFS('Continuous Assessment Records'!L:L,'Continuous Assessment Records'!A:A,$A19,'Continuous Assessment Records'!F:F,$B19,'Continuous Assessment Records'!C:C,"Unit Test"),"")</f>
        <v/>
      </c>
      <c r="K19">
        <f>IFERROR(AVERAGEIFS('Continuous Assessment Records'!L:L,'Continuous Assessment Records'!A:A,$A19,'Continuous Assessment Records'!F:F,$B19,'Continuous Assessment Records'!C:C,"Mid-Term"),"")</f>
        <v/>
      </c>
      <c r="L19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>
        <f>IFERROR(AVERAGEIFS('Continuous Assessment Records'!L:L,'Continuous Assessment Records'!A:A,$A20,'Continuous Assessment Records'!F:F,$B20,'Continuous Assessment Records'!C:C,"Assignment"),"")</f>
        <v/>
      </c>
      <c r="J20">
        <f>IFERROR(AVERAGEIFS('Continuous Assessment Records'!L:L,'Continuous Assessment Records'!A:A,$A20,'Continuous Assessment Records'!F:F,$B20,'Continuous Assessment Records'!C:C,"Unit Test"),"")</f>
        <v/>
      </c>
      <c r="K20">
        <f>IFERROR(AVERAGEIFS('Continuous Assessment Records'!L:L,'Continuous Assessment Records'!A:A,$A20,'Continuous Assessment Records'!F:F,$B20,'Continuous Assessment Records'!C:C,"Mid-Term"),"")</f>
        <v/>
      </c>
      <c r="L20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>
        <f>IFERROR(AVERAGEIFS('Continuous Assessment Records'!L:L,'Continuous Assessment Records'!A:A,$A21,'Continuous Assessment Records'!F:F,$B21,'Continuous Assessment Records'!C:C,"Assignment"),"")</f>
        <v/>
      </c>
      <c r="J21">
        <f>IFERROR(AVERAGEIFS('Continuous Assessment Records'!L:L,'Continuous Assessment Records'!A:A,$A21,'Continuous Assessment Records'!F:F,$B21,'Continuous Assessment Records'!C:C,"Unit Test"),"")</f>
        <v/>
      </c>
      <c r="K21">
        <f>IFERROR(AVERAGEIFS('Continuous Assessment Records'!L:L,'Continuous Assessment Records'!A:A,$A21,'Continuous Assessment Records'!F:F,$B21,'Continuous Assessment Records'!C:C,"Mid-Term"),"")</f>
        <v/>
      </c>
      <c r="L21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>
        <f>IFERROR(AVERAGEIFS('Continuous Assessment Records'!L:L,'Continuous Assessment Records'!A:A,$A22,'Continuous Assessment Records'!F:F,$B22,'Continuous Assessment Records'!C:C,"Assignment"),"")</f>
        <v/>
      </c>
      <c r="J22">
        <f>IFERROR(AVERAGEIFS('Continuous Assessment Records'!L:L,'Continuous Assessment Records'!A:A,$A22,'Continuous Assessment Records'!F:F,$B22,'Continuous Assessment Records'!C:C,"Unit Test"),"")</f>
        <v/>
      </c>
      <c r="K22">
        <f>IFERROR(AVERAGEIFS('Continuous Assessment Records'!L:L,'Continuous Assessment Records'!A:A,$A22,'Continuous Assessment Records'!F:F,$B22,'Continuous Assessment Records'!C:C,"Mid-Term"),"")</f>
        <v/>
      </c>
      <c r="L22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>
        <f>IFERROR(AVERAGEIFS('Continuous Assessment Records'!L:L,'Continuous Assessment Records'!A:A,$A23,'Continuous Assessment Records'!F:F,$B23,'Continuous Assessment Records'!C:C,"Assignment"),"")</f>
        <v/>
      </c>
      <c r="J23">
        <f>IFERROR(AVERAGEIFS('Continuous Assessment Records'!L:L,'Continuous Assessment Records'!A:A,$A23,'Continuous Assessment Records'!F:F,$B23,'Continuous Assessment Records'!C:C,"Unit Test"),"")</f>
        <v/>
      </c>
      <c r="K23">
        <f>IFERROR(AVERAGEIFS('Continuous Assessment Records'!L:L,'Continuous Assessment Records'!A:A,$A23,'Continuous Assessment Records'!F:F,$B23,'Continuous Assessment Records'!C:C,"Mid-Term"),"")</f>
        <v/>
      </c>
      <c r="L23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>
        <f>IFERROR(AVERAGEIFS('Continuous Assessment Records'!L:L,'Continuous Assessment Records'!A:A,$A24,'Continuous Assessment Records'!F:F,$B24,'Continuous Assessment Records'!C:C,"Assignment"),"")</f>
        <v/>
      </c>
      <c r="J24">
        <f>IFERROR(AVERAGEIFS('Continuous Assessment Records'!L:L,'Continuous Assessment Records'!A:A,$A24,'Continuous Assessment Records'!F:F,$B24,'Continuous Assessment Records'!C:C,"Unit Test"),"")</f>
        <v/>
      </c>
      <c r="K24">
        <f>IFERROR(AVERAGEIFS('Continuous Assessment Records'!L:L,'Continuous Assessment Records'!A:A,$A24,'Continuous Assessment Records'!F:F,$B24,'Continuous Assessment Records'!C:C,"Mid-Term"),"")</f>
        <v/>
      </c>
      <c r="L24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>
        <f>IFERROR(AVERAGEIFS('Continuous Assessment Records'!L:L,'Continuous Assessment Records'!A:A,$A25,'Continuous Assessment Records'!F:F,$B25,'Continuous Assessment Records'!C:C,"Assignment"),"")</f>
        <v/>
      </c>
      <c r="J25">
        <f>IFERROR(AVERAGEIFS('Continuous Assessment Records'!L:L,'Continuous Assessment Records'!A:A,$A25,'Continuous Assessment Records'!F:F,$B25,'Continuous Assessment Records'!C:C,"Unit Test"),"")</f>
        <v/>
      </c>
      <c r="K25">
        <f>IFERROR(AVERAGEIFS('Continuous Assessment Records'!L:L,'Continuous Assessment Records'!A:A,$A25,'Continuous Assessment Records'!F:F,$B25,'Continuous Assessment Records'!C:C,"Mid-Term"),"")</f>
        <v/>
      </c>
      <c r="L2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>
        <f>IFERROR(AVERAGEIFS('Continuous Assessment Records'!L:L,'Continuous Assessment Records'!A:A,$A26,'Continuous Assessment Records'!F:F,$B26,'Continuous Assessment Records'!C:C,"Assignment"),"")</f>
        <v/>
      </c>
      <c r="J26">
        <f>IFERROR(AVERAGEIFS('Continuous Assessment Records'!L:L,'Continuous Assessment Records'!A:A,$A26,'Continuous Assessment Records'!F:F,$B26,'Continuous Assessment Records'!C:C,"Unit Test"),"")</f>
        <v/>
      </c>
      <c r="K26">
        <f>IFERROR(AVERAGEIFS('Continuous Assessment Records'!L:L,'Continuous Assessment Records'!A:A,$A26,'Continuous Assessment Records'!F:F,$B26,'Continuous Assessment Records'!C:C,"Mid-Term"),"")</f>
        <v/>
      </c>
      <c r="L26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>
        <f>IFERROR(AVERAGEIFS('Continuous Assessment Records'!L:L,'Continuous Assessment Records'!A:A,$A27,'Continuous Assessment Records'!F:F,$B27,'Continuous Assessment Records'!C:C,"Assignment"),"")</f>
        <v/>
      </c>
      <c r="J27">
        <f>IFERROR(AVERAGEIFS('Continuous Assessment Records'!L:L,'Continuous Assessment Records'!A:A,$A27,'Continuous Assessment Records'!F:F,$B27,'Continuous Assessment Records'!C:C,"Unit Test"),"")</f>
        <v/>
      </c>
      <c r="K27">
        <f>IFERROR(AVERAGEIFS('Continuous Assessment Records'!L:L,'Continuous Assessment Records'!A:A,$A27,'Continuous Assessment Records'!F:F,$B27,'Continuous Assessment Records'!C:C,"Mid-Term"),"")</f>
        <v/>
      </c>
      <c r="L27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>
        <f>IFERROR(AVERAGEIFS('Continuous Assessment Records'!L:L,'Continuous Assessment Records'!A:A,$A28,'Continuous Assessment Records'!F:F,$B28,'Continuous Assessment Records'!C:C,"Assignment"),"")</f>
        <v/>
      </c>
      <c r="J28">
        <f>IFERROR(AVERAGEIFS('Continuous Assessment Records'!L:L,'Continuous Assessment Records'!A:A,$A28,'Continuous Assessment Records'!F:F,$B28,'Continuous Assessment Records'!C:C,"Unit Test"),"")</f>
        <v/>
      </c>
      <c r="K28">
        <f>IFERROR(AVERAGEIFS('Continuous Assessment Records'!L:L,'Continuous Assessment Records'!A:A,$A28,'Continuous Assessment Records'!F:F,$B28,'Continuous Assessment Records'!C:C,"Mid-Term"),"")</f>
        <v/>
      </c>
      <c r="L28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>
        <f>IFERROR(AVERAGEIFS('Continuous Assessment Records'!L:L,'Continuous Assessment Records'!A:A,$A29,'Continuous Assessment Records'!F:F,$B29,'Continuous Assessment Records'!C:C,"Assignment"),"")</f>
        <v/>
      </c>
      <c r="J29">
        <f>IFERROR(AVERAGEIFS('Continuous Assessment Records'!L:L,'Continuous Assessment Records'!A:A,$A29,'Continuous Assessment Records'!F:F,$B29,'Continuous Assessment Records'!C:C,"Unit Test"),"")</f>
        <v/>
      </c>
      <c r="K29">
        <f>IFERROR(AVERAGEIFS('Continuous Assessment Records'!L:L,'Continuous Assessment Records'!A:A,$A29,'Continuous Assessment Records'!F:F,$B29,'Continuous Assessment Records'!C:C,"Mid-Term"),"")</f>
        <v/>
      </c>
      <c r="L29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>
        <f>IFERROR(AVERAGEIFS('Continuous Assessment Records'!L:L,'Continuous Assessment Records'!A:A,$A30,'Continuous Assessment Records'!F:F,$B30,'Continuous Assessment Records'!C:C,"Assignment"),"")</f>
        <v/>
      </c>
      <c r="J30">
        <f>IFERROR(AVERAGEIFS('Continuous Assessment Records'!L:L,'Continuous Assessment Records'!A:A,$A30,'Continuous Assessment Records'!F:F,$B30,'Continuous Assessment Records'!C:C,"Unit Test"),"")</f>
        <v/>
      </c>
      <c r="K30">
        <f>IFERROR(AVERAGEIFS('Continuous Assessment Records'!L:L,'Continuous Assessment Records'!A:A,$A30,'Continuous Assessment Records'!F:F,$B30,'Continuous Assessment Records'!C:C,"Mid-Term"),"")</f>
        <v/>
      </c>
      <c r="L30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>
        <f>IFERROR(AVERAGEIFS('Continuous Assessment Records'!L:L,'Continuous Assessment Records'!A:A,$A31,'Continuous Assessment Records'!F:F,$B31,'Continuous Assessment Records'!C:C,"Assignment"),"")</f>
        <v/>
      </c>
      <c r="J31">
        <f>IFERROR(AVERAGEIFS('Continuous Assessment Records'!L:L,'Continuous Assessment Records'!A:A,$A31,'Continuous Assessment Records'!F:F,$B31,'Continuous Assessment Records'!C:C,"Unit Test"),"")</f>
        <v/>
      </c>
      <c r="K31">
        <f>IFERROR(AVERAGEIFS('Continuous Assessment Records'!L:L,'Continuous Assessment Records'!A:A,$A31,'Continuous Assessment Records'!F:F,$B31,'Continuous Assessment Records'!C:C,"Mid-Term"),"")</f>
        <v/>
      </c>
      <c r="L31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>
        <f>IFERROR(AVERAGEIFS('Continuous Assessment Records'!L:L,'Continuous Assessment Records'!A:A,$A32,'Continuous Assessment Records'!F:F,$B32,'Continuous Assessment Records'!C:C,"Assignment"),"")</f>
        <v/>
      </c>
      <c r="J32">
        <f>IFERROR(AVERAGEIFS('Continuous Assessment Records'!L:L,'Continuous Assessment Records'!A:A,$A32,'Continuous Assessment Records'!F:F,$B32,'Continuous Assessment Records'!C:C,"Unit Test"),"")</f>
        <v/>
      </c>
      <c r="K32">
        <f>IFERROR(AVERAGEIFS('Continuous Assessment Records'!L:L,'Continuous Assessment Records'!A:A,$A32,'Continuous Assessment Records'!F:F,$B32,'Continuous Assessment Records'!C:C,"Mid-Term"),"")</f>
        <v/>
      </c>
      <c r="L32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>
        <f>IFERROR(AVERAGEIFS('Continuous Assessment Records'!L:L,'Continuous Assessment Records'!A:A,$A33,'Continuous Assessment Records'!F:F,$B33,'Continuous Assessment Records'!C:C,"Assignment"),"")</f>
        <v/>
      </c>
      <c r="J33">
        <f>IFERROR(AVERAGEIFS('Continuous Assessment Records'!L:L,'Continuous Assessment Records'!A:A,$A33,'Continuous Assessment Records'!F:F,$B33,'Continuous Assessment Records'!C:C,"Unit Test"),"")</f>
        <v/>
      </c>
      <c r="K33">
        <f>IFERROR(AVERAGEIFS('Continuous Assessment Records'!L:L,'Continuous Assessment Records'!A:A,$A33,'Continuous Assessment Records'!F:F,$B33,'Continuous Assessment Records'!C:C,"Mid-Term"),"")</f>
        <v/>
      </c>
      <c r="L33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>
        <f>IFERROR(AVERAGEIFS('Continuous Assessment Records'!L:L,'Continuous Assessment Records'!A:A,$A34,'Continuous Assessment Records'!F:F,$B34,'Continuous Assessment Records'!C:C,"Assignment"),"")</f>
        <v/>
      </c>
      <c r="J34">
        <f>IFERROR(AVERAGEIFS('Continuous Assessment Records'!L:L,'Continuous Assessment Records'!A:A,$A34,'Continuous Assessment Records'!F:F,$B34,'Continuous Assessment Records'!C:C,"Unit Test"),"")</f>
        <v/>
      </c>
      <c r="K34">
        <f>IFERROR(AVERAGEIFS('Continuous Assessment Records'!L:L,'Continuous Assessment Records'!A:A,$A34,'Continuous Assessment Records'!F:F,$B34,'Continuous Assessment Records'!C:C,"Mid-Term"),"")</f>
        <v/>
      </c>
      <c r="L34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>
        <f>IFERROR(AVERAGEIFS('Continuous Assessment Records'!L:L,'Continuous Assessment Records'!A:A,$A35,'Continuous Assessment Records'!F:F,$B35,'Continuous Assessment Records'!C:C,"Assignment"),"")</f>
        <v/>
      </c>
      <c r="J35">
        <f>IFERROR(AVERAGEIFS('Continuous Assessment Records'!L:L,'Continuous Assessment Records'!A:A,$A35,'Continuous Assessment Records'!F:F,$B35,'Continuous Assessment Records'!C:C,"Unit Test"),"")</f>
        <v/>
      </c>
      <c r="K35">
        <f>IFERROR(AVERAGEIFS('Continuous Assessment Records'!L:L,'Continuous Assessment Records'!A:A,$A35,'Continuous Assessment Records'!F:F,$B35,'Continuous Assessment Records'!C:C,"Mid-Term"),"")</f>
        <v/>
      </c>
      <c r="L3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>
        <f>IFERROR(AVERAGEIFS('Continuous Assessment Records'!L:L,'Continuous Assessment Records'!A:A,$A36,'Continuous Assessment Records'!F:F,$B36,'Continuous Assessment Records'!C:C,"Assignment"),"")</f>
        <v/>
      </c>
      <c r="J36">
        <f>IFERROR(AVERAGEIFS('Continuous Assessment Records'!L:L,'Continuous Assessment Records'!A:A,$A36,'Continuous Assessment Records'!F:F,$B36,'Continuous Assessment Records'!C:C,"Unit Test"),"")</f>
        <v/>
      </c>
      <c r="K36">
        <f>IFERROR(AVERAGEIFS('Continuous Assessment Records'!L:L,'Continuous Assessment Records'!A:A,$A36,'Continuous Assessment Records'!F:F,$B36,'Continuous Assessment Records'!C:C,"Mid-Term"),"")</f>
        <v/>
      </c>
      <c r="L36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>
        <f>IFERROR(AVERAGEIFS('Continuous Assessment Records'!L:L,'Continuous Assessment Records'!A:A,$A37,'Continuous Assessment Records'!F:F,$B37,'Continuous Assessment Records'!C:C,"Assignment"),"")</f>
        <v/>
      </c>
      <c r="J37">
        <f>IFERROR(AVERAGEIFS('Continuous Assessment Records'!L:L,'Continuous Assessment Records'!A:A,$A37,'Continuous Assessment Records'!F:F,$B37,'Continuous Assessment Records'!C:C,"Unit Test"),"")</f>
        <v/>
      </c>
      <c r="K37">
        <f>IFERROR(AVERAGEIFS('Continuous Assessment Records'!L:L,'Continuous Assessment Records'!A:A,$A37,'Continuous Assessment Records'!F:F,$B37,'Continuous Assessment Records'!C:C,"Mid-Term"),"")</f>
        <v/>
      </c>
      <c r="L37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>
        <f>IFERROR(AVERAGEIFS('Continuous Assessment Records'!L:L,'Continuous Assessment Records'!A:A,$A38,'Continuous Assessment Records'!F:F,$B38,'Continuous Assessment Records'!C:C,"Assignment"),"")</f>
        <v/>
      </c>
      <c r="J38">
        <f>IFERROR(AVERAGEIFS('Continuous Assessment Records'!L:L,'Continuous Assessment Records'!A:A,$A38,'Continuous Assessment Records'!F:F,$B38,'Continuous Assessment Records'!C:C,"Unit Test"),"")</f>
        <v/>
      </c>
      <c r="K38">
        <f>IFERROR(AVERAGEIFS('Continuous Assessment Records'!L:L,'Continuous Assessment Records'!A:A,$A38,'Continuous Assessment Records'!F:F,$B38,'Continuous Assessment Records'!C:C,"Mid-Term"),"")</f>
        <v/>
      </c>
      <c r="L38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>
        <f>IFERROR(AVERAGEIFS('Continuous Assessment Records'!L:L,'Continuous Assessment Records'!A:A,$A39,'Continuous Assessment Records'!F:F,$B39,'Continuous Assessment Records'!C:C,"Assignment"),"")</f>
        <v/>
      </c>
      <c r="J39">
        <f>IFERROR(AVERAGEIFS('Continuous Assessment Records'!L:L,'Continuous Assessment Records'!A:A,$A39,'Continuous Assessment Records'!F:F,$B39,'Continuous Assessment Records'!C:C,"Unit Test"),"")</f>
        <v/>
      </c>
      <c r="K39">
        <f>IFERROR(AVERAGEIFS('Continuous Assessment Records'!L:L,'Continuous Assessment Records'!A:A,$A39,'Continuous Assessment Records'!F:F,$B39,'Continuous Assessment Records'!C:C,"Mid-Term"),"")</f>
        <v/>
      </c>
      <c r="L39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>
        <f>IFERROR(AVERAGEIFS('Continuous Assessment Records'!L:L,'Continuous Assessment Records'!A:A,$A40,'Continuous Assessment Records'!F:F,$B40,'Continuous Assessment Records'!C:C,"Assignment"),"")</f>
        <v/>
      </c>
      <c r="J40">
        <f>IFERROR(AVERAGEIFS('Continuous Assessment Records'!L:L,'Continuous Assessment Records'!A:A,$A40,'Continuous Assessment Records'!F:F,$B40,'Continuous Assessment Records'!C:C,"Unit Test"),"")</f>
        <v/>
      </c>
      <c r="K40">
        <f>IFERROR(AVERAGEIFS('Continuous Assessment Records'!L:L,'Continuous Assessment Records'!A:A,$A40,'Continuous Assessment Records'!F:F,$B40,'Continuous Assessment Records'!C:C,"Mid-Term"),"")</f>
        <v/>
      </c>
      <c r="L40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>
        <f>IFERROR(AVERAGEIFS('Continuous Assessment Records'!L:L,'Continuous Assessment Records'!A:A,$A41,'Continuous Assessment Records'!F:F,$B41,'Continuous Assessment Records'!C:C,"Assignment"),"")</f>
        <v/>
      </c>
      <c r="J41">
        <f>IFERROR(AVERAGEIFS('Continuous Assessment Records'!L:L,'Continuous Assessment Records'!A:A,$A41,'Continuous Assessment Records'!F:F,$B41,'Continuous Assessment Records'!C:C,"Unit Test"),"")</f>
        <v/>
      </c>
      <c r="K41">
        <f>IFERROR(AVERAGEIFS('Continuous Assessment Records'!L:L,'Continuous Assessment Records'!A:A,$A41,'Continuous Assessment Records'!F:F,$B41,'Continuous Assessment Records'!C:C,"Mid-Term"),"")</f>
        <v/>
      </c>
      <c r="L41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>
        <f>IFERROR(AVERAGEIFS('Continuous Assessment Records'!L:L,'Continuous Assessment Records'!A:A,$A42,'Continuous Assessment Records'!F:F,$B42,'Continuous Assessment Records'!C:C,"Assignment"),"")</f>
        <v/>
      </c>
      <c r="J42">
        <f>IFERROR(AVERAGEIFS('Continuous Assessment Records'!L:L,'Continuous Assessment Records'!A:A,$A42,'Continuous Assessment Records'!F:F,$B42,'Continuous Assessment Records'!C:C,"Unit Test"),"")</f>
        <v/>
      </c>
      <c r="K42">
        <f>IFERROR(AVERAGEIFS('Continuous Assessment Records'!L:L,'Continuous Assessment Records'!A:A,$A42,'Continuous Assessment Records'!F:F,$B42,'Continuous Assessment Records'!C:C,"Mid-Term"),"")</f>
        <v/>
      </c>
      <c r="L42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>
        <f>IFERROR(AVERAGEIFS('Continuous Assessment Records'!L:L,'Continuous Assessment Records'!A:A,$A43,'Continuous Assessment Records'!F:F,$B43,'Continuous Assessment Records'!C:C,"Assignment"),"")</f>
        <v/>
      </c>
      <c r="J43">
        <f>IFERROR(AVERAGEIFS('Continuous Assessment Records'!L:L,'Continuous Assessment Records'!A:A,$A43,'Continuous Assessment Records'!F:F,$B43,'Continuous Assessment Records'!C:C,"Unit Test"),"")</f>
        <v/>
      </c>
      <c r="K43">
        <f>IFERROR(AVERAGEIFS('Continuous Assessment Records'!L:L,'Continuous Assessment Records'!A:A,$A43,'Continuous Assessment Records'!F:F,$B43,'Continuous Assessment Records'!C:C,"Mid-Term"),"")</f>
        <v/>
      </c>
      <c r="L43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>
        <f>IFERROR(AVERAGEIFS('Continuous Assessment Records'!L:L,'Continuous Assessment Records'!A:A,$A44,'Continuous Assessment Records'!F:F,$B44,'Continuous Assessment Records'!C:C,"Assignment"),"")</f>
        <v/>
      </c>
      <c r="J44">
        <f>IFERROR(AVERAGEIFS('Continuous Assessment Records'!L:L,'Continuous Assessment Records'!A:A,$A44,'Continuous Assessment Records'!F:F,$B44,'Continuous Assessment Records'!C:C,"Unit Test"),"")</f>
        <v/>
      </c>
      <c r="K44">
        <f>IFERROR(AVERAGEIFS('Continuous Assessment Records'!L:L,'Continuous Assessment Records'!A:A,$A44,'Continuous Assessment Records'!F:F,$B44,'Continuous Assessment Records'!C:C,"Mid-Term"),"")</f>
        <v/>
      </c>
      <c r="L44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>
        <f>IFERROR(AVERAGEIFS('Continuous Assessment Records'!L:L,'Continuous Assessment Records'!A:A,$A45,'Continuous Assessment Records'!F:F,$B45,'Continuous Assessment Records'!C:C,"Assignment"),"")</f>
        <v/>
      </c>
      <c r="J45">
        <f>IFERROR(AVERAGEIFS('Continuous Assessment Records'!L:L,'Continuous Assessment Records'!A:A,$A45,'Continuous Assessment Records'!F:F,$B45,'Continuous Assessment Records'!C:C,"Unit Test"),"")</f>
        <v/>
      </c>
      <c r="K45">
        <f>IFERROR(AVERAGEIFS('Continuous Assessment Records'!L:L,'Continuous Assessment Records'!A:A,$A45,'Continuous Assessment Records'!F:F,$B45,'Continuous Assessment Records'!C:C,"Mid-Term"),"")</f>
        <v/>
      </c>
      <c r="L4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>
        <f>IFERROR(AVERAGEIFS('Continuous Assessment Records'!L:L,'Continuous Assessment Records'!A:A,$A46,'Continuous Assessment Records'!F:F,$B46,'Continuous Assessment Records'!C:C,"Assignment"),"")</f>
        <v/>
      </c>
      <c r="J46">
        <f>IFERROR(AVERAGEIFS('Continuous Assessment Records'!L:L,'Continuous Assessment Records'!A:A,$A46,'Continuous Assessment Records'!F:F,$B46,'Continuous Assessment Records'!C:C,"Unit Test"),"")</f>
        <v/>
      </c>
      <c r="K46">
        <f>IFERROR(AVERAGEIFS('Continuous Assessment Records'!L:L,'Continuous Assessment Records'!A:A,$A46,'Continuous Assessment Records'!F:F,$B46,'Continuous Assessment Records'!C:C,"Mid-Term"),"")</f>
        <v/>
      </c>
      <c r="L46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>
        <f>IFERROR(AVERAGEIFS('Continuous Assessment Records'!L:L,'Continuous Assessment Records'!A:A,$A47,'Continuous Assessment Records'!F:F,$B47,'Continuous Assessment Records'!C:C,"Assignment"),"")</f>
        <v/>
      </c>
      <c r="J47">
        <f>IFERROR(AVERAGEIFS('Continuous Assessment Records'!L:L,'Continuous Assessment Records'!A:A,$A47,'Continuous Assessment Records'!F:F,$B47,'Continuous Assessment Records'!C:C,"Unit Test"),"")</f>
        <v/>
      </c>
      <c r="K47">
        <f>IFERROR(AVERAGEIFS('Continuous Assessment Records'!L:L,'Continuous Assessment Records'!A:A,$A47,'Continuous Assessment Records'!F:F,$B47,'Continuous Assessment Records'!C:C,"Mid-Term"),"")</f>
        <v/>
      </c>
      <c r="L47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>
        <f>IFERROR(AVERAGEIFS('Continuous Assessment Records'!L:L,'Continuous Assessment Records'!A:A,$A48,'Continuous Assessment Records'!F:F,$B48,'Continuous Assessment Records'!C:C,"Assignment"),"")</f>
        <v/>
      </c>
      <c r="J48">
        <f>IFERROR(AVERAGEIFS('Continuous Assessment Records'!L:L,'Continuous Assessment Records'!A:A,$A48,'Continuous Assessment Records'!F:F,$B48,'Continuous Assessment Records'!C:C,"Unit Test"),"")</f>
        <v/>
      </c>
      <c r="K48">
        <f>IFERROR(AVERAGEIFS('Continuous Assessment Records'!L:L,'Continuous Assessment Records'!A:A,$A48,'Continuous Assessment Records'!F:F,$B48,'Continuous Assessment Records'!C:C,"Mid-Term"),"")</f>
        <v/>
      </c>
      <c r="L48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>
        <f>IFERROR(AVERAGEIFS('Continuous Assessment Records'!L:L,'Continuous Assessment Records'!A:A,$A49,'Continuous Assessment Records'!F:F,$B49,'Continuous Assessment Records'!C:C,"Assignment"),"")</f>
        <v/>
      </c>
      <c r="J49">
        <f>IFERROR(AVERAGEIFS('Continuous Assessment Records'!L:L,'Continuous Assessment Records'!A:A,$A49,'Continuous Assessment Records'!F:F,$B49,'Continuous Assessment Records'!C:C,"Unit Test"),"")</f>
        <v/>
      </c>
      <c r="K49">
        <f>IFERROR(AVERAGEIFS('Continuous Assessment Records'!L:L,'Continuous Assessment Records'!A:A,$A49,'Continuous Assessment Records'!F:F,$B49,'Continuous Assessment Records'!C:C,"Mid-Term"),"")</f>
        <v/>
      </c>
      <c r="L49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>
        <f>IFERROR(AVERAGEIFS('Continuous Assessment Records'!L:L,'Continuous Assessment Records'!A:A,$A50,'Continuous Assessment Records'!F:F,$B50,'Continuous Assessment Records'!C:C,"Assignment"),"")</f>
        <v/>
      </c>
      <c r="J50">
        <f>IFERROR(AVERAGEIFS('Continuous Assessment Records'!L:L,'Continuous Assessment Records'!A:A,$A50,'Continuous Assessment Records'!F:F,$B50,'Continuous Assessment Records'!C:C,"Unit Test"),"")</f>
        <v/>
      </c>
      <c r="K50">
        <f>IFERROR(AVERAGEIFS('Continuous Assessment Records'!L:L,'Continuous Assessment Records'!A:A,$A50,'Continuous Assessment Records'!F:F,$B50,'Continuous Assessment Records'!C:C,"Mid-Term"),"")</f>
        <v/>
      </c>
      <c r="L50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>
        <f>IFERROR(AVERAGEIFS('Continuous Assessment Records'!L:L,'Continuous Assessment Records'!A:A,$A51,'Continuous Assessment Records'!F:F,$B51,'Continuous Assessment Records'!C:C,"Assignment"),"")</f>
        <v/>
      </c>
      <c r="J51">
        <f>IFERROR(AVERAGEIFS('Continuous Assessment Records'!L:L,'Continuous Assessment Records'!A:A,$A51,'Continuous Assessment Records'!F:F,$B51,'Continuous Assessment Records'!C:C,"Unit Test"),"")</f>
        <v/>
      </c>
      <c r="K51">
        <f>IFERROR(AVERAGEIFS('Continuous Assessment Records'!L:L,'Continuous Assessment Records'!A:A,$A51,'Continuous Assessment Records'!F:F,$B51,'Continuous Assessment Records'!C:C,"Mid-Term"),"")</f>
        <v/>
      </c>
      <c r="L51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>
        <f>IFERROR(AVERAGEIFS('Continuous Assessment Records'!L:L,'Continuous Assessment Records'!A:A,$A52,'Continuous Assessment Records'!F:F,$B52,'Continuous Assessment Records'!C:C,"Assignment"),"")</f>
        <v/>
      </c>
      <c r="J52">
        <f>IFERROR(AVERAGEIFS('Continuous Assessment Records'!L:L,'Continuous Assessment Records'!A:A,$A52,'Continuous Assessment Records'!F:F,$B52,'Continuous Assessment Records'!C:C,"Unit Test"),"")</f>
        <v/>
      </c>
      <c r="K52">
        <f>IFERROR(AVERAGEIFS('Continuous Assessment Records'!L:L,'Continuous Assessment Records'!A:A,$A52,'Continuous Assessment Records'!F:F,$B52,'Continuous Assessment Records'!C:C,"Mid-Term"),"")</f>
        <v/>
      </c>
      <c r="L52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>
        <f>IFERROR(AVERAGEIFS('Continuous Assessment Records'!L:L,'Continuous Assessment Records'!A:A,$A53,'Continuous Assessment Records'!F:F,$B53,'Continuous Assessment Records'!C:C,"Assignment"),"")</f>
        <v/>
      </c>
      <c r="J53">
        <f>IFERROR(AVERAGEIFS('Continuous Assessment Records'!L:L,'Continuous Assessment Records'!A:A,$A53,'Continuous Assessment Records'!F:F,$B53,'Continuous Assessment Records'!C:C,"Unit Test"),"")</f>
        <v/>
      </c>
      <c r="K53">
        <f>IFERROR(AVERAGEIFS('Continuous Assessment Records'!L:L,'Continuous Assessment Records'!A:A,$A53,'Continuous Assessment Records'!F:F,$B53,'Continuous Assessment Records'!C:C,"Mid-Term"),"")</f>
        <v/>
      </c>
      <c r="L53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>
        <f>IFERROR(AVERAGEIFS('Continuous Assessment Records'!L:L,'Continuous Assessment Records'!A:A,$A54,'Continuous Assessment Records'!F:F,$B54,'Continuous Assessment Records'!C:C,"Assignment"),"")</f>
        <v/>
      </c>
      <c r="J54">
        <f>IFERROR(AVERAGEIFS('Continuous Assessment Records'!L:L,'Continuous Assessment Records'!A:A,$A54,'Continuous Assessment Records'!F:F,$B54,'Continuous Assessment Records'!C:C,"Unit Test"),"")</f>
        <v/>
      </c>
      <c r="K54">
        <f>IFERROR(AVERAGEIFS('Continuous Assessment Records'!L:L,'Continuous Assessment Records'!A:A,$A54,'Continuous Assessment Records'!F:F,$B54,'Continuous Assessment Records'!C:C,"Mid-Term"),"")</f>
        <v/>
      </c>
      <c r="L54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>
        <f>IFERROR(AVERAGEIFS('Continuous Assessment Records'!L:L,'Continuous Assessment Records'!A:A,$A55,'Continuous Assessment Records'!F:F,$B55,'Continuous Assessment Records'!C:C,"Assignment"),"")</f>
        <v/>
      </c>
      <c r="J55">
        <f>IFERROR(AVERAGEIFS('Continuous Assessment Records'!L:L,'Continuous Assessment Records'!A:A,$A55,'Continuous Assessment Records'!F:F,$B55,'Continuous Assessment Records'!C:C,"Unit Test"),"")</f>
        <v/>
      </c>
      <c r="K55">
        <f>IFERROR(AVERAGEIFS('Continuous Assessment Records'!L:L,'Continuous Assessment Records'!A:A,$A55,'Continuous Assessment Records'!F:F,$B55,'Continuous Assessment Records'!C:C,"Mid-Term"),"")</f>
        <v/>
      </c>
      <c r="L5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>
        <f>IFERROR(AVERAGEIFS('Continuous Assessment Records'!L:L,'Continuous Assessment Records'!A:A,$A56,'Continuous Assessment Records'!F:F,$B56,'Continuous Assessment Records'!C:C,"Assignment"),"")</f>
        <v/>
      </c>
      <c r="J56">
        <f>IFERROR(AVERAGEIFS('Continuous Assessment Records'!L:L,'Continuous Assessment Records'!A:A,$A56,'Continuous Assessment Records'!F:F,$B56,'Continuous Assessment Records'!C:C,"Unit Test"),"")</f>
        <v/>
      </c>
      <c r="K56">
        <f>IFERROR(AVERAGEIFS('Continuous Assessment Records'!L:L,'Continuous Assessment Records'!A:A,$A56,'Continuous Assessment Records'!F:F,$B56,'Continuous Assessment Records'!C:C,"Mid-Term"),"")</f>
        <v/>
      </c>
      <c r="L56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>
        <f>IFERROR(AVERAGEIFS('Continuous Assessment Records'!L:L,'Continuous Assessment Records'!A:A,$A57,'Continuous Assessment Records'!F:F,$B57,'Continuous Assessment Records'!C:C,"Assignment"),"")</f>
        <v/>
      </c>
      <c r="J57">
        <f>IFERROR(AVERAGEIFS('Continuous Assessment Records'!L:L,'Continuous Assessment Records'!A:A,$A57,'Continuous Assessment Records'!F:F,$B57,'Continuous Assessment Records'!C:C,"Unit Test"),"")</f>
        <v/>
      </c>
      <c r="K57">
        <f>IFERROR(AVERAGEIFS('Continuous Assessment Records'!L:L,'Continuous Assessment Records'!A:A,$A57,'Continuous Assessment Records'!F:F,$B57,'Continuous Assessment Records'!C:C,"Mid-Term"),"")</f>
        <v/>
      </c>
      <c r="L57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>
        <f>IFERROR(AVERAGEIFS('Continuous Assessment Records'!L:L,'Continuous Assessment Records'!A:A,$A58,'Continuous Assessment Records'!F:F,$B58,'Continuous Assessment Records'!C:C,"Assignment"),"")</f>
        <v/>
      </c>
      <c r="J58">
        <f>IFERROR(AVERAGEIFS('Continuous Assessment Records'!L:L,'Continuous Assessment Records'!A:A,$A58,'Continuous Assessment Records'!F:F,$B58,'Continuous Assessment Records'!C:C,"Unit Test"),"")</f>
        <v/>
      </c>
      <c r="K58">
        <f>IFERROR(AVERAGEIFS('Continuous Assessment Records'!L:L,'Continuous Assessment Records'!A:A,$A58,'Continuous Assessment Records'!F:F,$B58,'Continuous Assessment Records'!C:C,"Mid-Term"),"")</f>
        <v/>
      </c>
      <c r="L58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>
        <f>IFERROR(AVERAGEIFS('Continuous Assessment Records'!L:L,'Continuous Assessment Records'!A:A,$A59,'Continuous Assessment Records'!F:F,$B59,'Continuous Assessment Records'!C:C,"Assignment"),"")</f>
        <v/>
      </c>
      <c r="J59">
        <f>IFERROR(AVERAGEIFS('Continuous Assessment Records'!L:L,'Continuous Assessment Records'!A:A,$A59,'Continuous Assessment Records'!F:F,$B59,'Continuous Assessment Records'!C:C,"Unit Test"),"")</f>
        <v/>
      </c>
      <c r="K59">
        <f>IFERROR(AVERAGEIFS('Continuous Assessment Records'!L:L,'Continuous Assessment Records'!A:A,$A59,'Continuous Assessment Records'!F:F,$B59,'Continuous Assessment Records'!C:C,"Mid-Term"),"")</f>
        <v/>
      </c>
      <c r="L59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>
        <f>IFERROR(AVERAGEIFS('Continuous Assessment Records'!L:L,'Continuous Assessment Records'!A:A,$A60,'Continuous Assessment Records'!F:F,$B60,'Continuous Assessment Records'!C:C,"Assignment"),"")</f>
        <v/>
      </c>
      <c r="J60">
        <f>IFERROR(AVERAGEIFS('Continuous Assessment Records'!L:L,'Continuous Assessment Records'!A:A,$A60,'Continuous Assessment Records'!F:F,$B60,'Continuous Assessment Records'!C:C,"Unit Test"),"")</f>
        <v/>
      </c>
      <c r="K60">
        <f>IFERROR(AVERAGEIFS('Continuous Assessment Records'!L:L,'Continuous Assessment Records'!A:A,$A60,'Continuous Assessment Records'!F:F,$B60,'Continuous Assessment Records'!C:C,"Mid-Term"),"")</f>
        <v/>
      </c>
      <c r="L60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>
        <f>IFERROR(AVERAGEIFS('Continuous Assessment Records'!L:L,'Continuous Assessment Records'!A:A,$A61,'Continuous Assessment Records'!F:F,$B61,'Continuous Assessment Records'!C:C,"Assignment"),"")</f>
        <v/>
      </c>
      <c r="J61">
        <f>IFERROR(AVERAGEIFS('Continuous Assessment Records'!L:L,'Continuous Assessment Records'!A:A,$A61,'Continuous Assessment Records'!F:F,$B61,'Continuous Assessment Records'!C:C,"Unit Test"),"")</f>
        <v/>
      </c>
      <c r="K61">
        <f>IFERROR(AVERAGEIFS('Continuous Assessment Records'!L:L,'Continuous Assessment Records'!A:A,$A61,'Continuous Assessment Records'!F:F,$B61,'Continuous Assessment Records'!C:C,"Mid-Term"),"")</f>
        <v/>
      </c>
      <c r="L61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>
        <f>IFERROR(AVERAGEIFS('Continuous Assessment Records'!L:L,'Continuous Assessment Records'!A:A,$A62,'Continuous Assessment Records'!F:F,$B62,'Continuous Assessment Records'!C:C,"Assignment"),"")</f>
        <v/>
      </c>
      <c r="J62">
        <f>IFERROR(AVERAGEIFS('Continuous Assessment Records'!L:L,'Continuous Assessment Records'!A:A,$A62,'Continuous Assessment Records'!F:F,$B62,'Continuous Assessment Records'!C:C,"Unit Test"),"")</f>
        <v/>
      </c>
      <c r="K62">
        <f>IFERROR(AVERAGEIFS('Continuous Assessment Records'!L:L,'Continuous Assessment Records'!A:A,$A62,'Continuous Assessment Records'!F:F,$B62,'Continuous Assessment Records'!C:C,"Mid-Term"),"")</f>
        <v/>
      </c>
      <c r="L62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>
        <f>IFERROR(AVERAGEIFS('Continuous Assessment Records'!L:L,'Continuous Assessment Records'!A:A,$A63,'Continuous Assessment Records'!F:F,$B63,'Continuous Assessment Records'!C:C,"Assignment"),"")</f>
        <v/>
      </c>
      <c r="J63">
        <f>IFERROR(AVERAGEIFS('Continuous Assessment Records'!L:L,'Continuous Assessment Records'!A:A,$A63,'Continuous Assessment Records'!F:F,$B63,'Continuous Assessment Records'!C:C,"Unit Test"),"")</f>
        <v/>
      </c>
      <c r="K63">
        <f>IFERROR(AVERAGEIFS('Continuous Assessment Records'!L:L,'Continuous Assessment Records'!A:A,$A63,'Continuous Assessment Records'!F:F,$B63,'Continuous Assessment Records'!C:C,"Mid-Term"),"")</f>
        <v/>
      </c>
      <c r="L63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>
        <f>IFERROR(AVERAGEIFS('Continuous Assessment Records'!L:L,'Continuous Assessment Records'!A:A,$A64,'Continuous Assessment Records'!F:F,$B64,'Continuous Assessment Records'!C:C,"Assignment"),"")</f>
        <v/>
      </c>
      <c r="J64">
        <f>IFERROR(AVERAGEIFS('Continuous Assessment Records'!L:L,'Continuous Assessment Records'!A:A,$A64,'Continuous Assessment Records'!F:F,$B64,'Continuous Assessment Records'!C:C,"Unit Test"),"")</f>
        <v/>
      </c>
      <c r="K64">
        <f>IFERROR(AVERAGEIFS('Continuous Assessment Records'!L:L,'Continuous Assessment Records'!A:A,$A64,'Continuous Assessment Records'!F:F,$B64,'Continuous Assessment Records'!C:C,"Mid-Term"),"")</f>
        <v/>
      </c>
      <c r="L64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>
        <f>IFERROR(AVERAGEIFS('Continuous Assessment Records'!L:L,'Continuous Assessment Records'!A:A,$A65,'Continuous Assessment Records'!F:F,$B65,'Continuous Assessment Records'!C:C,"Assignment"),"")</f>
        <v/>
      </c>
      <c r="J65">
        <f>IFERROR(AVERAGEIFS('Continuous Assessment Records'!L:L,'Continuous Assessment Records'!A:A,$A65,'Continuous Assessment Records'!F:F,$B65,'Continuous Assessment Records'!C:C,"Unit Test"),"")</f>
        <v/>
      </c>
      <c r="K65">
        <f>IFERROR(AVERAGEIFS('Continuous Assessment Records'!L:L,'Continuous Assessment Records'!A:A,$A65,'Continuous Assessment Records'!F:F,$B65,'Continuous Assessment Records'!C:C,"Mid-Term"),"")</f>
        <v/>
      </c>
      <c r="L6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>
        <f>IFERROR(AVERAGEIFS('Continuous Assessment Records'!L:L,'Continuous Assessment Records'!A:A,$A66,'Continuous Assessment Records'!F:F,$B66,'Continuous Assessment Records'!C:C,"Assignment"),"")</f>
        <v/>
      </c>
      <c r="J66">
        <f>IFERROR(AVERAGEIFS('Continuous Assessment Records'!L:L,'Continuous Assessment Records'!A:A,$A66,'Continuous Assessment Records'!F:F,$B66,'Continuous Assessment Records'!C:C,"Unit Test"),"")</f>
        <v/>
      </c>
      <c r="K66">
        <f>IFERROR(AVERAGEIFS('Continuous Assessment Records'!L:L,'Continuous Assessment Records'!A:A,$A66,'Continuous Assessment Records'!F:F,$B66,'Continuous Assessment Records'!C:C,"Mid-Term"),"")</f>
        <v/>
      </c>
      <c r="L66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>
        <f>IFERROR(AVERAGEIFS('Continuous Assessment Records'!L:L,'Continuous Assessment Records'!A:A,$A67,'Continuous Assessment Records'!F:F,$B67,'Continuous Assessment Records'!C:C,"Assignment"),"")</f>
        <v/>
      </c>
      <c r="J67">
        <f>IFERROR(AVERAGEIFS('Continuous Assessment Records'!L:L,'Continuous Assessment Records'!A:A,$A67,'Continuous Assessment Records'!F:F,$B67,'Continuous Assessment Records'!C:C,"Unit Test"),"")</f>
        <v/>
      </c>
      <c r="K67">
        <f>IFERROR(AVERAGEIFS('Continuous Assessment Records'!L:L,'Continuous Assessment Records'!A:A,$A67,'Continuous Assessment Records'!F:F,$B67,'Continuous Assessment Records'!C:C,"Mid-Term"),"")</f>
        <v/>
      </c>
      <c r="L67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>
        <f>IFERROR(AVERAGEIFS('Continuous Assessment Records'!L:L,'Continuous Assessment Records'!A:A,$A68,'Continuous Assessment Records'!F:F,$B68,'Continuous Assessment Records'!C:C,"Assignment"),"")</f>
        <v/>
      </c>
      <c r="J68">
        <f>IFERROR(AVERAGEIFS('Continuous Assessment Records'!L:L,'Continuous Assessment Records'!A:A,$A68,'Continuous Assessment Records'!F:F,$B68,'Continuous Assessment Records'!C:C,"Unit Test"),"")</f>
        <v/>
      </c>
      <c r="K68">
        <f>IFERROR(AVERAGEIFS('Continuous Assessment Records'!L:L,'Continuous Assessment Records'!A:A,$A68,'Continuous Assessment Records'!F:F,$B68,'Continuous Assessment Records'!C:C,"Mid-Term"),"")</f>
        <v/>
      </c>
      <c r="L68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>
        <f>IFERROR(AVERAGEIFS('Continuous Assessment Records'!L:L,'Continuous Assessment Records'!A:A,$A69,'Continuous Assessment Records'!F:F,$B69,'Continuous Assessment Records'!C:C,"Assignment"),"")</f>
        <v/>
      </c>
      <c r="J69">
        <f>IFERROR(AVERAGEIFS('Continuous Assessment Records'!L:L,'Continuous Assessment Records'!A:A,$A69,'Continuous Assessment Records'!F:F,$B69,'Continuous Assessment Records'!C:C,"Unit Test"),"")</f>
        <v/>
      </c>
      <c r="K69">
        <f>IFERROR(AVERAGEIFS('Continuous Assessment Records'!L:L,'Continuous Assessment Records'!A:A,$A69,'Continuous Assessment Records'!F:F,$B69,'Continuous Assessment Records'!C:C,"Mid-Term"),"")</f>
        <v/>
      </c>
      <c r="L69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>
        <f>IFERROR(AVERAGEIFS('Continuous Assessment Records'!L:L,'Continuous Assessment Records'!A:A,$A70,'Continuous Assessment Records'!F:F,$B70,'Continuous Assessment Records'!C:C,"Assignment"),"")</f>
        <v/>
      </c>
      <c r="J70">
        <f>IFERROR(AVERAGEIFS('Continuous Assessment Records'!L:L,'Continuous Assessment Records'!A:A,$A70,'Continuous Assessment Records'!F:F,$B70,'Continuous Assessment Records'!C:C,"Unit Test"),"")</f>
        <v/>
      </c>
      <c r="K70">
        <f>IFERROR(AVERAGEIFS('Continuous Assessment Records'!L:L,'Continuous Assessment Records'!A:A,$A70,'Continuous Assessment Records'!F:F,$B70,'Continuous Assessment Records'!C:C,"Mid-Term"),"")</f>
        <v/>
      </c>
      <c r="L70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>
        <f>IFERROR(AVERAGEIFS('Continuous Assessment Records'!L:L,'Continuous Assessment Records'!A:A,$A71,'Continuous Assessment Records'!F:F,$B71,'Continuous Assessment Records'!C:C,"Assignment"),"")</f>
        <v/>
      </c>
      <c r="J71">
        <f>IFERROR(AVERAGEIFS('Continuous Assessment Records'!L:L,'Continuous Assessment Records'!A:A,$A71,'Continuous Assessment Records'!F:F,$B71,'Continuous Assessment Records'!C:C,"Unit Test"),"")</f>
        <v/>
      </c>
      <c r="K71">
        <f>IFERROR(AVERAGEIFS('Continuous Assessment Records'!L:L,'Continuous Assessment Records'!A:A,$A71,'Continuous Assessment Records'!F:F,$B71,'Continuous Assessment Records'!C:C,"Mid-Term"),"")</f>
        <v/>
      </c>
      <c r="L71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>
        <f>IFERROR(AVERAGEIFS('Continuous Assessment Records'!L:L,'Continuous Assessment Records'!A:A,$A72,'Continuous Assessment Records'!F:F,$B72,'Continuous Assessment Records'!C:C,"Assignment"),"")</f>
        <v/>
      </c>
      <c r="J72">
        <f>IFERROR(AVERAGEIFS('Continuous Assessment Records'!L:L,'Continuous Assessment Records'!A:A,$A72,'Continuous Assessment Records'!F:F,$B72,'Continuous Assessment Records'!C:C,"Unit Test"),"")</f>
        <v/>
      </c>
      <c r="K72">
        <f>IFERROR(AVERAGEIFS('Continuous Assessment Records'!L:L,'Continuous Assessment Records'!A:A,$A72,'Continuous Assessment Records'!F:F,$B72,'Continuous Assessment Records'!C:C,"Mid-Term"),"")</f>
        <v/>
      </c>
      <c r="L72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>
        <f>IFERROR(AVERAGEIFS('Continuous Assessment Records'!L:L,'Continuous Assessment Records'!A:A,$A73,'Continuous Assessment Records'!F:F,$B73,'Continuous Assessment Records'!C:C,"Assignment"),"")</f>
        <v/>
      </c>
      <c r="J73">
        <f>IFERROR(AVERAGEIFS('Continuous Assessment Records'!L:L,'Continuous Assessment Records'!A:A,$A73,'Continuous Assessment Records'!F:F,$B73,'Continuous Assessment Records'!C:C,"Unit Test"),"")</f>
        <v/>
      </c>
      <c r="K73">
        <f>IFERROR(AVERAGEIFS('Continuous Assessment Records'!L:L,'Continuous Assessment Records'!A:A,$A73,'Continuous Assessment Records'!F:F,$B73,'Continuous Assessment Records'!C:C,"Mid-Term"),"")</f>
        <v/>
      </c>
      <c r="L73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>
        <f>IFERROR(AVERAGEIFS('Continuous Assessment Records'!L:L,'Continuous Assessment Records'!A:A,$A74,'Continuous Assessment Records'!F:F,$B74,'Continuous Assessment Records'!C:C,"Assignment"),"")</f>
        <v/>
      </c>
      <c r="J74">
        <f>IFERROR(AVERAGEIFS('Continuous Assessment Records'!L:L,'Continuous Assessment Records'!A:A,$A74,'Continuous Assessment Records'!F:F,$B74,'Continuous Assessment Records'!C:C,"Unit Test"),"")</f>
        <v/>
      </c>
      <c r="K74">
        <f>IFERROR(AVERAGEIFS('Continuous Assessment Records'!L:L,'Continuous Assessment Records'!A:A,$A74,'Continuous Assessment Records'!F:F,$B74,'Continuous Assessment Records'!C:C,"Mid-Term"),"")</f>
        <v/>
      </c>
      <c r="L74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>
        <f>IFERROR(AVERAGEIFS('Continuous Assessment Records'!L:L,'Continuous Assessment Records'!A:A,$A75,'Continuous Assessment Records'!F:F,$B75,'Continuous Assessment Records'!C:C,"Assignment"),"")</f>
        <v/>
      </c>
      <c r="J75">
        <f>IFERROR(AVERAGEIFS('Continuous Assessment Records'!L:L,'Continuous Assessment Records'!A:A,$A75,'Continuous Assessment Records'!F:F,$B75,'Continuous Assessment Records'!C:C,"Unit Test"),"")</f>
        <v/>
      </c>
      <c r="K75">
        <f>IFERROR(AVERAGEIFS('Continuous Assessment Records'!L:L,'Continuous Assessment Records'!A:A,$A75,'Continuous Assessment Records'!F:F,$B75,'Continuous Assessment Records'!C:C,"Mid-Term"),"")</f>
        <v/>
      </c>
      <c r="L7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>
        <f>IFERROR(AVERAGEIFS('Continuous Assessment Records'!L:L,'Continuous Assessment Records'!A:A,$A76,'Continuous Assessment Records'!F:F,$B76,'Continuous Assessment Records'!C:C,"Assignment"),"")</f>
        <v/>
      </c>
      <c r="J76">
        <f>IFERROR(AVERAGEIFS('Continuous Assessment Records'!L:L,'Continuous Assessment Records'!A:A,$A76,'Continuous Assessment Records'!F:F,$B76,'Continuous Assessment Records'!C:C,"Unit Test"),"")</f>
        <v/>
      </c>
      <c r="K76">
        <f>IFERROR(AVERAGEIFS('Continuous Assessment Records'!L:L,'Continuous Assessment Records'!A:A,$A76,'Continuous Assessment Records'!F:F,$B76,'Continuous Assessment Records'!C:C,"Mid-Term"),"")</f>
        <v/>
      </c>
      <c r="L76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>
        <f>IFERROR(AVERAGEIFS('Continuous Assessment Records'!L:L,'Continuous Assessment Records'!A:A,$A77,'Continuous Assessment Records'!F:F,$B77,'Continuous Assessment Records'!C:C,"Assignment"),"")</f>
        <v/>
      </c>
      <c r="J77">
        <f>IFERROR(AVERAGEIFS('Continuous Assessment Records'!L:L,'Continuous Assessment Records'!A:A,$A77,'Continuous Assessment Records'!F:F,$B77,'Continuous Assessment Records'!C:C,"Unit Test"),"")</f>
        <v/>
      </c>
      <c r="K77">
        <f>IFERROR(AVERAGEIFS('Continuous Assessment Records'!L:L,'Continuous Assessment Records'!A:A,$A77,'Continuous Assessment Records'!F:F,$B77,'Continuous Assessment Records'!C:C,"Mid-Term"),"")</f>
        <v/>
      </c>
      <c r="L77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>
        <f>IFERROR(AVERAGEIFS('Continuous Assessment Records'!L:L,'Continuous Assessment Records'!A:A,$A78,'Continuous Assessment Records'!F:F,$B78,'Continuous Assessment Records'!C:C,"Assignment"),"")</f>
        <v/>
      </c>
      <c r="J78">
        <f>IFERROR(AVERAGEIFS('Continuous Assessment Records'!L:L,'Continuous Assessment Records'!A:A,$A78,'Continuous Assessment Records'!F:F,$B78,'Continuous Assessment Records'!C:C,"Unit Test"),"")</f>
        <v/>
      </c>
      <c r="K78">
        <f>IFERROR(AVERAGEIFS('Continuous Assessment Records'!L:L,'Continuous Assessment Records'!A:A,$A78,'Continuous Assessment Records'!F:F,$B78,'Continuous Assessment Records'!C:C,"Mid-Term"),"")</f>
        <v/>
      </c>
      <c r="L78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>
        <f>IFERROR(AVERAGEIFS('Continuous Assessment Records'!L:L,'Continuous Assessment Records'!A:A,$A79,'Continuous Assessment Records'!F:F,$B79,'Continuous Assessment Records'!C:C,"Assignment"),"")</f>
        <v/>
      </c>
      <c r="J79">
        <f>IFERROR(AVERAGEIFS('Continuous Assessment Records'!L:L,'Continuous Assessment Records'!A:A,$A79,'Continuous Assessment Records'!F:F,$B79,'Continuous Assessment Records'!C:C,"Unit Test"),"")</f>
        <v/>
      </c>
      <c r="K79">
        <f>IFERROR(AVERAGEIFS('Continuous Assessment Records'!L:L,'Continuous Assessment Records'!A:A,$A79,'Continuous Assessment Records'!F:F,$B79,'Continuous Assessment Records'!C:C,"Mid-Term"),"")</f>
        <v/>
      </c>
      <c r="L79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>
        <f>IFERROR(AVERAGEIFS('Continuous Assessment Records'!L:L,'Continuous Assessment Records'!A:A,$A80,'Continuous Assessment Records'!F:F,$B80,'Continuous Assessment Records'!C:C,"Assignment"),"")</f>
        <v/>
      </c>
      <c r="J80">
        <f>IFERROR(AVERAGEIFS('Continuous Assessment Records'!L:L,'Continuous Assessment Records'!A:A,$A80,'Continuous Assessment Records'!F:F,$B80,'Continuous Assessment Records'!C:C,"Unit Test"),"")</f>
        <v/>
      </c>
      <c r="K80">
        <f>IFERROR(AVERAGEIFS('Continuous Assessment Records'!L:L,'Continuous Assessment Records'!A:A,$A80,'Continuous Assessment Records'!F:F,$B80,'Continuous Assessment Records'!C:C,"Mid-Term"),"")</f>
        <v/>
      </c>
      <c r="L80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>
        <f>IFERROR(AVERAGEIFS('Continuous Assessment Records'!L:L,'Continuous Assessment Records'!A:A,$A81,'Continuous Assessment Records'!F:F,$B81,'Continuous Assessment Records'!C:C,"Assignment"),"")</f>
        <v/>
      </c>
      <c r="J81">
        <f>IFERROR(AVERAGEIFS('Continuous Assessment Records'!L:L,'Continuous Assessment Records'!A:A,$A81,'Continuous Assessment Records'!F:F,$B81,'Continuous Assessment Records'!C:C,"Unit Test"),"")</f>
        <v/>
      </c>
      <c r="K81">
        <f>IFERROR(AVERAGEIFS('Continuous Assessment Records'!L:L,'Continuous Assessment Records'!A:A,$A81,'Continuous Assessment Records'!F:F,$B81,'Continuous Assessment Records'!C:C,"Mid-Term"),"")</f>
        <v/>
      </c>
      <c r="L81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>
        <f>IFERROR(AVERAGEIFS('Continuous Assessment Records'!L:L,'Continuous Assessment Records'!A:A,$A82,'Continuous Assessment Records'!F:F,$B82,'Continuous Assessment Records'!C:C,"Assignment"),"")</f>
        <v/>
      </c>
      <c r="J82">
        <f>IFERROR(AVERAGEIFS('Continuous Assessment Records'!L:L,'Continuous Assessment Records'!A:A,$A82,'Continuous Assessment Records'!F:F,$B82,'Continuous Assessment Records'!C:C,"Unit Test"),"")</f>
        <v/>
      </c>
      <c r="K82">
        <f>IFERROR(AVERAGEIFS('Continuous Assessment Records'!L:L,'Continuous Assessment Records'!A:A,$A82,'Continuous Assessment Records'!F:F,$B82,'Continuous Assessment Records'!C:C,"Mid-Term"),"")</f>
        <v/>
      </c>
      <c r="L82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>
        <f>IFERROR(AVERAGEIFS('Continuous Assessment Records'!L:L,'Continuous Assessment Records'!A:A,$A83,'Continuous Assessment Records'!F:F,$B83,'Continuous Assessment Records'!C:C,"Assignment"),"")</f>
        <v/>
      </c>
      <c r="J83">
        <f>IFERROR(AVERAGEIFS('Continuous Assessment Records'!L:L,'Continuous Assessment Records'!A:A,$A83,'Continuous Assessment Records'!F:F,$B83,'Continuous Assessment Records'!C:C,"Unit Test"),"")</f>
        <v/>
      </c>
      <c r="K83">
        <f>IFERROR(AVERAGEIFS('Continuous Assessment Records'!L:L,'Continuous Assessment Records'!A:A,$A83,'Continuous Assessment Records'!F:F,$B83,'Continuous Assessment Records'!C:C,"Mid-Term"),"")</f>
        <v/>
      </c>
      <c r="L83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>
        <f>IFERROR(AVERAGEIFS('Continuous Assessment Records'!L:L,'Continuous Assessment Records'!A:A,$A84,'Continuous Assessment Records'!F:F,$B84,'Continuous Assessment Records'!C:C,"Assignment"),"")</f>
        <v/>
      </c>
      <c r="J84">
        <f>IFERROR(AVERAGEIFS('Continuous Assessment Records'!L:L,'Continuous Assessment Records'!A:A,$A84,'Continuous Assessment Records'!F:F,$B84,'Continuous Assessment Records'!C:C,"Unit Test"),"")</f>
        <v/>
      </c>
      <c r="K84">
        <f>IFERROR(AVERAGEIFS('Continuous Assessment Records'!L:L,'Continuous Assessment Records'!A:A,$A84,'Continuous Assessment Records'!F:F,$B84,'Continuous Assessment Records'!C:C,"Mid-Term"),"")</f>
        <v/>
      </c>
      <c r="L84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>
        <f>IFERROR(AVERAGEIFS('Continuous Assessment Records'!L:L,'Continuous Assessment Records'!A:A,$A85,'Continuous Assessment Records'!F:F,$B85,'Continuous Assessment Records'!C:C,"Assignment"),"")</f>
        <v/>
      </c>
      <c r="J85">
        <f>IFERROR(AVERAGEIFS('Continuous Assessment Records'!L:L,'Continuous Assessment Records'!A:A,$A85,'Continuous Assessment Records'!F:F,$B85,'Continuous Assessment Records'!C:C,"Unit Test"),"")</f>
        <v/>
      </c>
      <c r="K85">
        <f>IFERROR(AVERAGEIFS('Continuous Assessment Records'!L:L,'Continuous Assessment Records'!A:A,$A85,'Continuous Assessment Records'!F:F,$B85,'Continuous Assessment Records'!C:C,"Mid-Term"),"")</f>
        <v/>
      </c>
      <c r="L8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>
        <f>IFERROR(AVERAGEIFS('Continuous Assessment Records'!L:L,'Continuous Assessment Records'!A:A,$A86,'Continuous Assessment Records'!F:F,$B86,'Continuous Assessment Records'!C:C,"Assignment"),"")</f>
        <v/>
      </c>
      <c r="J86">
        <f>IFERROR(AVERAGEIFS('Continuous Assessment Records'!L:L,'Continuous Assessment Records'!A:A,$A86,'Continuous Assessment Records'!F:F,$B86,'Continuous Assessment Records'!C:C,"Unit Test"),"")</f>
        <v/>
      </c>
      <c r="K86">
        <f>IFERROR(AVERAGEIFS('Continuous Assessment Records'!L:L,'Continuous Assessment Records'!A:A,$A86,'Continuous Assessment Records'!F:F,$B86,'Continuous Assessment Records'!C:C,"Mid-Term"),"")</f>
        <v/>
      </c>
      <c r="L86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>
        <f>IFERROR(AVERAGEIFS('Continuous Assessment Records'!L:L,'Continuous Assessment Records'!A:A,$A87,'Continuous Assessment Records'!F:F,$B87,'Continuous Assessment Records'!C:C,"Assignment"),"")</f>
        <v/>
      </c>
      <c r="J87">
        <f>IFERROR(AVERAGEIFS('Continuous Assessment Records'!L:L,'Continuous Assessment Records'!A:A,$A87,'Continuous Assessment Records'!F:F,$B87,'Continuous Assessment Records'!C:C,"Unit Test"),"")</f>
        <v/>
      </c>
      <c r="K87">
        <f>IFERROR(AVERAGEIFS('Continuous Assessment Records'!L:L,'Continuous Assessment Records'!A:A,$A87,'Continuous Assessment Records'!F:F,$B87,'Continuous Assessment Records'!C:C,"Mid-Term"),"")</f>
        <v/>
      </c>
      <c r="L87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>
        <f>IFERROR(AVERAGEIFS('Continuous Assessment Records'!L:L,'Continuous Assessment Records'!A:A,$A88,'Continuous Assessment Records'!F:F,$B88,'Continuous Assessment Records'!C:C,"Assignment"),"")</f>
        <v/>
      </c>
      <c r="J88">
        <f>IFERROR(AVERAGEIFS('Continuous Assessment Records'!L:L,'Continuous Assessment Records'!A:A,$A88,'Continuous Assessment Records'!F:F,$B88,'Continuous Assessment Records'!C:C,"Unit Test"),"")</f>
        <v/>
      </c>
      <c r="K88">
        <f>IFERROR(AVERAGEIFS('Continuous Assessment Records'!L:L,'Continuous Assessment Records'!A:A,$A88,'Continuous Assessment Records'!F:F,$B88,'Continuous Assessment Records'!C:C,"Mid-Term"),"")</f>
        <v/>
      </c>
      <c r="L88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>
        <f>IFERROR(AVERAGEIFS('Continuous Assessment Records'!L:L,'Continuous Assessment Records'!A:A,$A89,'Continuous Assessment Records'!F:F,$B89,'Continuous Assessment Records'!C:C,"Assignment"),"")</f>
        <v/>
      </c>
      <c r="J89">
        <f>IFERROR(AVERAGEIFS('Continuous Assessment Records'!L:L,'Continuous Assessment Records'!A:A,$A89,'Continuous Assessment Records'!F:F,$B89,'Continuous Assessment Records'!C:C,"Unit Test"),"")</f>
        <v/>
      </c>
      <c r="K89">
        <f>IFERROR(AVERAGEIFS('Continuous Assessment Records'!L:L,'Continuous Assessment Records'!A:A,$A89,'Continuous Assessment Records'!F:F,$B89,'Continuous Assessment Records'!C:C,"Mid-Term"),"")</f>
        <v/>
      </c>
      <c r="L89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>
        <f>IFERROR(AVERAGEIFS('Continuous Assessment Records'!L:L,'Continuous Assessment Records'!A:A,$A90,'Continuous Assessment Records'!F:F,$B90,'Continuous Assessment Records'!C:C,"Assignment"),"")</f>
        <v/>
      </c>
      <c r="J90">
        <f>IFERROR(AVERAGEIFS('Continuous Assessment Records'!L:L,'Continuous Assessment Records'!A:A,$A90,'Continuous Assessment Records'!F:F,$B90,'Continuous Assessment Records'!C:C,"Unit Test"),"")</f>
        <v/>
      </c>
      <c r="K90">
        <f>IFERROR(AVERAGEIFS('Continuous Assessment Records'!L:L,'Continuous Assessment Records'!A:A,$A90,'Continuous Assessment Records'!F:F,$B90,'Continuous Assessment Records'!C:C,"Mid-Term"),"")</f>
        <v/>
      </c>
      <c r="L90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>
        <f>IFERROR(AVERAGEIFS('Continuous Assessment Records'!L:L,'Continuous Assessment Records'!A:A,$A91,'Continuous Assessment Records'!F:F,$B91,'Continuous Assessment Records'!C:C,"Assignment"),"")</f>
        <v/>
      </c>
      <c r="J91">
        <f>IFERROR(AVERAGEIFS('Continuous Assessment Records'!L:L,'Continuous Assessment Records'!A:A,$A91,'Continuous Assessment Records'!F:F,$B91,'Continuous Assessment Records'!C:C,"Unit Test"),"")</f>
        <v/>
      </c>
      <c r="K91">
        <f>IFERROR(AVERAGEIFS('Continuous Assessment Records'!L:L,'Continuous Assessment Records'!A:A,$A91,'Continuous Assessment Records'!F:F,$B91,'Continuous Assessment Records'!C:C,"Mid-Term"),"")</f>
        <v/>
      </c>
      <c r="L91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>
        <f>IFERROR(AVERAGEIFS('Continuous Assessment Records'!L:L,'Continuous Assessment Records'!A:A,$A92,'Continuous Assessment Records'!F:F,$B92,'Continuous Assessment Records'!C:C,"Assignment"),"")</f>
        <v/>
      </c>
      <c r="J92">
        <f>IFERROR(AVERAGEIFS('Continuous Assessment Records'!L:L,'Continuous Assessment Records'!A:A,$A92,'Continuous Assessment Records'!F:F,$B92,'Continuous Assessment Records'!C:C,"Unit Test"),"")</f>
        <v/>
      </c>
      <c r="K92">
        <f>IFERROR(AVERAGEIFS('Continuous Assessment Records'!L:L,'Continuous Assessment Records'!A:A,$A92,'Continuous Assessment Records'!F:F,$B92,'Continuous Assessment Records'!C:C,"Mid-Term"),"")</f>
        <v/>
      </c>
      <c r="L92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>
        <f>IFERROR(AVERAGEIFS('Continuous Assessment Records'!L:L,'Continuous Assessment Records'!A:A,$A93,'Continuous Assessment Records'!F:F,$B93,'Continuous Assessment Records'!C:C,"Assignment"),"")</f>
        <v/>
      </c>
      <c r="J93">
        <f>IFERROR(AVERAGEIFS('Continuous Assessment Records'!L:L,'Continuous Assessment Records'!A:A,$A93,'Continuous Assessment Records'!F:F,$B93,'Continuous Assessment Records'!C:C,"Unit Test"),"")</f>
        <v/>
      </c>
      <c r="K93">
        <f>IFERROR(AVERAGEIFS('Continuous Assessment Records'!L:L,'Continuous Assessment Records'!A:A,$A93,'Continuous Assessment Records'!F:F,$B93,'Continuous Assessment Records'!C:C,"Mid-Term"),"")</f>
        <v/>
      </c>
      <c r="L93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>
        <f>IFERROR(AVERAGEIFS('Continuous Assessment Records'!L:L,'Continuous Assessment Records'!A:A,$A94,'Continuous Assessment Records'!F:F,$B94,'Continuous Assessment Records'!C:C,"Assignment"),"")</f>
        <v/>
      </c>
      <c r="J94">
        <f>IFERROR(AVERAGEIFS('Continuous Assessment Records'!L:L,'Continuous Assessment Records'!A:A,$A94,'Continuous Assessment Records'!F:F,$B94,'Continuous Assessment Records'!C:C,"Unit Test"),"")</f>
        <v/>
      </c>
      <c r="K94">
        <f>IFERROR(AVERAGEIFS('Continuous Assessment Records'!L:L,'Continuous Assessment Records'!A:A,$A94,'Continuous Assessment Records'!F:F,$B94,'Continuous Assessment Records'!C:C,"Mid-Term"),"")</f>
        <v/>
      </c>
      <c r="L94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>
        <f>IFERROR(AVERAGEIFS('Continuous Assessment Records'!L:L,'Continuous Assessment Records'!A:A,$A95,'Continuous Assessment Records'!F:F,$B95,'Continuous Assessment Records'!C:C,"Assignment"),"")</f>
        <v/>
      </c>
      <c r="J95">
        <f>IFERROR(AVERAGEIFS('Continuous Assessment Records'!L:L,'Continuous Assessment Records'!A:A,$A95,'Continuous Assessment Records'!F:F,$B95,'Continuous Assessment Records'!C:C,"Unit Test"),"")</f>
        <v/>
      </c>
      <c r="K95">
        <f>IFERROR(AVERAGEIFS('Continuous Assessment Records'!L:L,'Continuous Assessment Records'!A:A,$A95,'Continuous Assessment Records'!F:F,$B95,'Continuous Assessment Records'!C:C,"Mid-Term"),"")</f>
        <v/>
      </c>
      <c r="L9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>
        <f>IFERROR(AVERAGEIFS('Continuous Assessment Records'!L:L,'Continuous Assessment Records'!A:A,$A96,'Continuous Assessment Records'!F:F,$B96,'Continuous Assessment Records'!C:C,"Assignment"),"")</f>
        <v/>
      </c>
      <c r="J96">
        <f>IFERROR(AVERAGEIFS('Continuous Assessment Records'!L:L,'Continuous Assessment Records'!A:A,$A96,'Continuous Assessment Records'!F:F,$B96,'Continuous Assessment Records'!C:C,"Unit Test"),"")</f>
        <v/>
      </c>
      <c r="K96">
        <f>IFERROR(AVERAGEIFS('Continuous Assessment Records'!L:L,'Continuous Assessment Records'!A:A,$A96,'Continuous Assessment Records'!F:F,$B96,'Continuous Assessment Records'!C:C,"Mid-Term"),"")</f>
        <v/>
      </c>
      <c r="L96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>
        <f>IFERROR(AVERAGEIFS('Continuous Assessment Records'!L:L,'Continuous Assessment Records'!A:A,$A97,'Continuous Assessment Records'!F:F,$B97,'Continuous Assessment Records'!C:C,"Assignment"),"")</f>
        <v/>
      </c>
      <c r="J97">
        <f>IFERROR(AVERAGEIFS('Continuous Assessment Records'!L:L,'Continuous Assessment Records'!A:A,$A97,'Continuous Assessment Records'!F:F,$B97,'Continuous Assessment Records'!C:C,"Unit Test"),"")</f>
        <v/>
      </c>
      <c r="K97">
        <f>IFERROR(AVERAGEIFS('Continuous Assessment Records'!L:L,'Continuous Assessment Records'!A:A,$A97,'Continuous Assessment Records'!F:F,$B97,'Continuous Assessment Records'!C:C,"Mid-Term"),"")</f>
        <v/>
      </c>
      <c r="L97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>
        <f>IFERROR(AVERAGEIFS('Continuous Assessment Records'!L:L,'Continuous Assessment Records'!A:A,$A98,'Continuous Assessment Records'!F:F,$B98,'Continuous Assessment Records'!C:C,"Assignment"),"")</f>
        <v/>
      </c>
      <c r="J98">
        <f>IFERROR(AVERAGEIFS('Continuous Assessment Records'!L:L,'Continuous Assessment Records'!A:A,$A98,'Continuous Assessment Records'!F:F,$B98,'Continuous Assessment Records'!C:C,"Unit Test"),"")</f>
        <v/>
      </c>
      <c r="K98">
        <f>IFERROR(AVERAGEIFS('Continuous Assessment Records'!L:L,'Continuous Assessment Records'!A:A,$A98,'Continuous Assessment Records'!F:F,$B98,'Continuous Assessment Records'!C:C,"Mid-Term"),"")</f>
        <v/>
      </c>
      <c r="L98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>
        <f>IFERROR(AVERAGEIFS('Continuous Assessment Records'!L:L,'Continuous Assessment Records'!A:A,$A99,'Continuous Assessment Records'!F:F,$B99,'Continuous Assessment Records'!C:C,"Assignment"),"")</f>
        <v/>
      </c>
      <c r="J99">
        <f>IFERROR(AVERAGEIFS('Continuous Assessment Records'!L:L,'Continuous Assessment Records'!A:A,$A99,'Continuous Assessment Records'!F:F,$B99,'Continuous Assessment Records'!C:C,"Unit Test"),"")</f>
        <v/>
      </c>
      <c r="K99">
        <f>IFERROR(AVERAGEIFS('Continuous Assessment Records'!L:L,'Continuous Assessment Records'!A:A,$A99,'Continuous Assessment Records'!F:F,$B99,'Continuous Assessment Records'!C:C,"Mid-Term"),"")</f>
        <v/>
      </c>
      <c r="L99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>
        <f>IFERROR(AVERAGEIFS('Continuous Assessment Records'!L:L,'Continuous Assessment Records'!A:A,$A100,'Continuous Assessment Records'!F:F,$B100,'Continuous Assessment Records'!C:C,"Assignment"),"")</f>
        <v/>
      </c>
      <c r="J100">
        <f>IFERROR(AVERAGEIFS('Continuous Assessment Records'!L:L,'Continuous Assessment Records'!A:A,$A100,'Continuous Assessment Records'!F:F,$B100,'Continuous Assessment Records'!C:C,"Unit Test"),"")</f>
        <v/>
      </c>
      <c r="K100">
        <f>IFERROR(AVERAGEIFS('Continuous Assessment Records'!L:L,'Continuous Assessment Records'!A:A,$A100,'Continuous Assessment Records'!F:F,$B100,'Continuous Assessment Records'!C:C,"Mid-Term"),"")</f>
        <v/>
      </c>
      <c r="L100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>
        <f>IFERROR(AVERAGEIFS('Continuous Assessment Records'!L:L,'Continuous Assessment Records'!A:A,$A101,'Continuous Assessment Records'!F:F,$B101,'Continuous Assessment Records'!C:C,"Assignment"),"")</f>
        <v/>
      </c>
      <c r="J101">
        <f>IFERROR(AVERAGEIFS('Continuous Assessment Records'!L:L,'Continuous Assessment Records'!A:A,$A101,'Continuous Assessment Records'!F:F,$B101,'Continuous Assessment Records'!C:C,"Unit Test"),"")</f>
        <v/>
      </c>
      <c r="K101">
        <f>IFERROR(AVERAGEIFS('Continuous Assessment Records'!L:L,'Continuous Assessment Records'!A:A,$A101,'Continuous Assessment Records'!F:F,$B101,'Continuous Assessment Records'!C:C,"Mid-Term"),"")</f>
        <v/>
      </c>
      <c r="L101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>
        <f>IFERROR(AVERAGEIFS('Continuous Assessment Records'!L:L,'Continuous Assessment Records'!A:A,$A102,'Continuous Assessment Records'!F:F,$B102,'Continuous Assessment Records'!C:C,"Assignment"),"")</f>
        <v/>
      </c>
      <c r="J102">
        <f>IFERROR(AVERAGEIFS('Continuous Assessment Records'!L:L,'Continuous Assessment Records'!A:A,$A102,'Continuous Assessment Records'!F:F,$B102,'Continuous Assessment Records'!C:C,"Unit Test"),"")</f>
        <v/>
      </c>
      <c r="K102">
        <f>IFERROR(AVERAGEIFS('Continuous Assessment Records'!L:L,'Continuous Assessment Records'!A:A,$A102,'Continuous Assessment Records'!F:F,$B102,'Continuous Assessment Records'!C:C,"Mid-Term"),"")</f>
        <v/>
      </c>
      <c r="L102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>
        <f>IFERROR(AVERAGEIFS('Continuous Assessment Records'!L:L,'Continuous Assessment Records'!A:A,$A103,'Continuous Assessment Records'!F:F,$B103,'Continuous Assessment Records'!C:C,"Assignment"),"")</f>
        <v/>
      </c>
      <c r="J103">
        <f>IFERROR(AVERAGEIFS('Continuous Assessment Records'!L:L,'Continuous Assessment Records'!A:A,$A103,'Continuous Assessment Records'!F:F,$B103,'Continuous Assessment Records'!C:C,"Unit Test"),"")</f>
        <v/>
      </c>
      <c r="K103">
        <f>IFERROR(AVERAGEIFS('Continuous Assessment Records'!L:L,'Continuous Assessment Records'!A:A,$A103,'Continuous Assessment Records'!F:F,$B103,'Continuous Assessment Records'!C:C,"Mid-Term"),"")</f>
        <v/>
      </c>
      <c r="L103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>
        <f>IFERROR(AVERAGEIFS('Continuous Assessment Records'!L:L,'Continuous Assessment Records'!A:A,$A104,'Continuous Assessment Records'!F:F,$B104,'Continuous Assessment Records'!C:C,"Assignment"),"")</f>
        <v/>
      </c>
      <c r="J104">
        <f>IFERROR(AVERAGEIFS('Continuous Assessment Records'!L:L,'Continuous Assessment Records'!A:A,$A104,'Continuous Assessment Records'!F:F,$B104,'Continuous Assessment Records'!C:C,"Unit Test"),"")</f>
        <v/>
      </c>
      <c r="K104">
        <f>IFERROR(AVERAGEIFS('Continuous Assessment Records'!L:L,'Continuous Assessment Records'!A:A,$A104,'Continuous Assessment Records'!F:F,$B104,'Continuous Assessment Records'!C:C,"Mid-Term"),"")</f>
        <v/>
      </c>
      <c r="L104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>
        <f>IFERROR(AVERAGEIFS('Continuous Assessment Records'!L:L,'Continuous Assessment Records'!A:A,$A105,'Continuous Assessment Records'!F:F,$B105,'Continuous Assessment Records'!C:C,"Assignment"),"")</f>
        <v/>
      </c>
      <c r="J105">
        <f>IFERROR(AVERAGEIFS('Continuous Assessment Records'!L:L,'Continuous Assessment Records'!A:A,$A105,'Continuous Assessment Records'!F:F,$B105,'Continuous Assessment Records'!C:C,"Unit Test"),"")</f>
        <v/>
      </c>
      <c r="K105">
        <f>IFERROR(AVERAGEIFS('Continuous Assessment Records'!L:L,'Continuous Assessment Records'!A:A,$A105,'Continuous Assessment Records'!F:F,$B105,'Continuous Assessment Records'!C:C,"Mid-Term"),"")</f>
        <v/>
      </c>
      <c r="L10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>
        <f>IFERROR(AVERAGEIFS('Continuous Assessment Records'!L:L,'Continuous Assessment Records'!A:A,$A106,'Continuous Assessment Records'!F:F,$B106,'Continuous Assessment Records'!C:C,"Assignment"),"")</f>
        <v/>
      </c>
      <c r="J106">
        <f>IFERROR(AVERAGEIFS('Continuous Assessment Records'!L:L,'Continuous Assessment Records'!A:A,$A106,'Continuous Assessment Records'!F:F,$B106,'Continuous Assessment Records'!C:C,"Unit Test"),"")</f>
        <v/>
      </c>
      <c r="K106">
        <f>IFERROR(AVERAGEIFS('Continuous Assessment Records'!L:L,'Continuous Assessment Records'!A:A,$A106,'Continuous Assessment Records'!F:F,$B106,'Continuous Assessment Records'!C:C,"Mid-Term"),"")</f>
        <v/>
      </c>
      <c r="L106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>
        <f>IFERROR(AVERAGEIFS('Continuous Assessment Records'!L:L,'Continuous Assessment Records'!A:A,$A107,'Continuous Assessment Records'!F:F,$B107,'Continuous Assessment Records'!C:C,"Assignment"),"")</f>
        <v/>
      </c>
      <c r="J107">
        <f>IFERROR(AVERAGEIFS('Continuous Assessment Records'!L:L,'Continuous Assessment Records'!A:A,$A107,'Continuous Assessment Records'!F:F,$B107,'Continuous Assessment Records'!C:C,"Unit Test"),"")</f>
        <v/>
      </c>
      <c r="K107">
        <f>IFERROR(AVERAGEIFS('Continuous Assessment Records'!L:L,'Continuous Assessment Records'!A:A,$A107,'Continuous Assessment Records'!F:F,$B107,'Continuous Assessment Records'!C:C,"Mid-Term"),"")</f>
        <v/>
      </c>
      <c r="L107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>
        <f>IFERROR(AVERAGEIFS('Continuous Assessment Records'!L:L,'Continuous Assessment Records'!A:A,$A108,'Continuous Assessment Records'!F:F,$B108,'Continuous Assessment Records'!C:C,"Assignment"),"")</f>
        <v/>
      </c>
      <c r="J108">
        <f>IFERROR(AVERAGEIFS('Continuous Assessment Records'!L:L,'Continuous Assessment Records'!A:A,$A108,'Continuous Assessment Records'!F:F,$B108,'Continuous Assessment Records'!C:C,"Unit Test"),"")</f>
        <v/>
      </c>
      <c r="K108">
        <f>IFERROR(AVERAGEIFS('Continuous Assessment Records'!L:L,'Continuous Assessment Records'!A:A,$A108,'Continuous Assessment Records'!F:F,$B108,'Continuous Assessment Records'!C:C,"Mid-Term"),"")</f>
        <v/>
      </c>
      <c r="L108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>
        <f>IFERROR(AVERAGEIFS('Continuous Assessment Records'!L:L,'Continuous Assessment Records'!A:A,$A109,'Continuous Assessment Records'!F:F,$B109,'Continuous Assessment Records'!C:C,"Assignment"),"")</f>
        <v/>
      </c>
      <c r="J109">
        <f>IFERROR(AVERAGEIFS('Continuous Assessment Records'!L:L,'Continuous Assessment Records'!A:A,$A109,'Continuous Assessment Records'!F:F,$B109,'Continuous Assessment Records'!C:C,"Unit Test"),"")</f>
        <v/>
      </c>
      <c r="K109">
        <f>IFERROR(AVERAGEIFS('Continuous Assessment Records'!L:L,'Continuous Assessment Records'!A:A,$A109,'Continuous Assessment Records'!F:F,$B109,'Continuous Assessment Records'!C:C,"Mid-Term"),"")</f>
        <v/>
      </c>
      <c r="L109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>
        <f>IFERROR(AVERAGEIFS('Continuous Assessment Records'!L:L,'Continuous Assessment Records'!A:A,$A110,'Continuous Assessment Records'!F:F,$B110,'Continuous Assessment Records'!C:C,"Assignment"),"")</f>
        <v/>
      </c>
      <c r="J110">
        <f>IFERROR(AVERAGEIFS('Continuous Assessment Records'!L:L,'Continuous Assessment Records'!A:A,$A110,'Continuous Assessment Records'!F:F,$B110,'Continuous Assessment Records'!C:C,"Unit Test"),"")</f>
        <v/>
      </c>
      <c r="K110">
        <f>IFERROR(AVERAGEIFS('Continuous Assessment Records'!L:L,'Continuous Assessment Records'!A:A,$A110,'Continuous Assessment Records'!F:F,$B110,'Continuous Assessment Records'!C:C,"Mid-Term"),"")</f>
        <v/>
      </c>
      <c r="L110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>
        <f>IFERROR(AVERAGEIFS('Continuous Assessment Records'!L:L,'Continuous Assessment Records'!A:A,$A111,'Continuous Assessment Records'!F:F,$B111,'Continuous Assessment Records'!C:C,"Assignment"),"")</f>
        <v/>
      </c>
      <c r="J111">
        <f>IFERROR(AVERAGEIFS('Continuous Assessment Records'!L:L,'Continuous Assessment Records'!A:A,$A111,'Continuous Assessment Records'!F:F,$B111,'Continuous Assessment Records'!C:C,"Unit Test"),"")</f>
        <v/>
      </c>
      <c r="K111">
        <f>IFERROR(AVERAGEIFS('Continuous Assessment Records'!L:L,'Continuous Assessment Records'!A:A,$A111,'Continuous Assessment Records'!F:F,$B111,'Continuous Assessment Records'!C:C,"Mid-Term"),"")</f>
        <v/>
      </c>
      <c r="L111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>
        <f>IFERROR(AVERAGEIFS('Continuous Assessment Records'!L:L,'Continuous Assessment Records'!A:A,$A112,'Continuous Assessment Records'!F:F,$B112,'Continuous Assessment Records'!C:C,"Assignment"),"")</f>
        <v/>
      </c>
      <c r="J112">
        <f>IFERROR(AVERAGEIFS('Continuous Assessment Records'!L:L,'Continuous Assessment Records'!A:A,$A112,'Continuous Assessment Records'!F:F,$B112,'Continuous Assessment Records'!C:C,"Unit Test"),"")</f>
        <v/>
      </c>
      <c r="K112">
        <f>IFERROR(AVERAGEIFS('Continuous Assessment Records'!L:L,'Continuous Assessment Records'!A:A,$A112,'Continuous Assessment Records'!F:F,$B112,'Continuous Assessment Records'!C:C,"Mid-Term"),"")</f>
        <v/>
      </c>
      <c r="L112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>
        <f>IFERROR(AVERAGEIFS('Continuous Assessment Records'!L:L,'Continuous Assessment Records'!A:A,$A113,'Continuous Assessment Records'!F:F,$B113,'Continuous Assessment Records'!C:C,"Assignment"),"")</f>
        <v/>
      </c>
      <c r="J113">
        <f>IFERROR(AVERAGEIFS('Continuous Assessment Records'!L:L,'Continuous Assessment Records'!A:A,$A113,'Continuous Assessment Records'!F:F,$B113,'Continuous Assessment Records'!C:C,"Unit Test"),"")</f>
        <v/>
      </c>
      <c r="K113">
        <f>IFERROR(AVERAGEIFS('Continuous Assessment Records'!L:L,'Continuous Assessment Records'!A:A,$A113,'Continuous Assessment Records'!F:F,$B113,'Continuous Assessment Records'!C:C,"Mid-Term"),"")</f>
        <v/>
      </c>
      <c r="L113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>
        <f>IFERROR(AVERAGEIFS('Continuous Assessment Records'!L:L,'Continuous Assessment Records'!A:A,$A114,'Continuous Assessment Records'!F:F,$B114,'Continuous Assessment Records'!C:C,"Assignment"),"")</f>
        <v/>
      </c>
      <c r="J114">
        <f>IFERROR(AVERAGEIFS('Continuous Assessment Records'!L:L,'Continuous Assessment Records'!A:A,$A114,'Continuous Assessment Records'!F:F,$B114,'Continuous Assessment Records'!C:C,"Unit Test"),"")</f>
        <v/>
      </c>
      <c r="K114">
        <f>IFERROR(AVERAGEIFS('Continuous Assessment Records'!L:L,'Continuous Assessment Records'!A:A,$A114,'Continuous Assessment Records'!F:F,$B114,'Continuous Assessment Records'!C:C,"Mid-Term"),"")</f>
        <v/>
      </c>
      <c r="L114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>
        <f>IFERROR(AVERAGEIFS('Continuous Assessment Records'!L:L,'Continuous Assessment Records'!A:A,$A115,'Continuous Assessment Records'!F:F,$B115,'Continuous Assessment Records'!C:C,"Assignment"),"")</f>
        <v/>
      </c>
      <c r="J115">
        <f>IFERROR(AVERAGEIFS('Continuous Assessment Records'!L:L,'Continuous Assessment Records'!A:A,$A115,'Continuous Assessment Records'!F:F,$B115,'Continuous Assessment Records'!C:C,"Unit Test"),"")</f>
        <v/>
      </c>
      <c r="K115">
        <f>IFERROR(AVERAGEIFS('Continuous Assessment Records'!L:L,'Continuous Assessment Records'!A:A,$A115,'Continuous Assessment Records'!F:F,$B115,'Continuous Assessment Records'!C:C,"Mid-Term"),"")</f>
        <v/>
      </c>
      <c r="L11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>
        <f>IFERROR(AVERAGEIFS('Continuous Assessment Records'!L:L,'Continuous Assessment Records'!A:A,$A116,'Continuous Assessment Records'!F:F,$B116,'Continuous Assessment Records'!C:C,"Assignment"),"")</f>
        <v/>
      </c>
      <c r="J116">
        <f>IFERROR(AVERAGEIFS('Continuous Assessment Records'!L:L,'Continuous Assessment Records'!A:A,$A116,'Continuous Assessment Records'!F:F,$B116,'Continuous Assessment Records'!C:C,"Unit Test"),"")</f>
        <v/>
      </c>
      <c r="K116">
        <f>IFERROR(AVERAGEIFS('Continuous Assessment Records'!L:L,'Continuous Assessment Records'!A:A,$A116,'Continuous Assessment Records'!F:F,$B116,'Continuous Assessment Records'!C:C,"Mid-Term"),"")</f>
        <v/>
      </c>
      <c r="L116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>
        <f>IFERROR(AVERAGEIFS('Continuous Assessment Records'!L:L,'Continuous Assessment Records'!A:A,$A117,'Continuous Assessment Records'!F:F,$B117,'Continuous Assessment Records'!C:C,"Assignment"),"")</f>
        <v/>
      </c>
      <c r="J117">
        <f>IFERROR(AVERAGEIFS('Continuous Assessment Records'!L:L,'Continuous Assessment Records'!A:A,$A117,'Continuous Assessment Records'!F:F,$B117,'Continuous Assessment Records'!C:C,"Unit Test"),"")</f>
        <v/>
      </c>
      <c r="K117">
        <f>IFERROR(AVERAGEIFS('Continuous Assessment Records'!L:L,'Continuous Assessment Records'!A:A,$A117,'Continuous Assessment Records'!F:F,$B117,'Continuous Assessment Records'!C:C,"Mid-Term"),"")</f>
        <v/>
      </c>
      <c r="L117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>
        <f>IFERROR(AVERAGEIFS('Continuous Assessment Records'!L:L,'Continuous Assessment Records'!A:A,$A118,'Continuous Assessment Records'!F:F,$B118,'Continuous Assessment Records'!C:C,"Assignment"),"")</f>
        <v/>
      </c>
      <c r="J118">
        <f>IFERROR(AVERAGEIFS('Continuous Assessment Records'!L:L,'Continuous Assessment Records'!A:A,$A118,'Continuous Assessment Records'!F:F,$B118,'Continuous Assessment Records'!C:C,"Unit Test"),"")</f>
        <v/>
      </c>
      <c r="K118">
        <f>IFERROR(AVERAGEIFS('Continuous Assessment Records'!L:L,'Continuous Assessment Records'!A:A,$A118,'Continuous Assessment Records'!F:F,$B118,'Continuous Assessment Records'!C:C,"Mid-Term"),"")</f>
        <v/>
      </c>
      <c r="L118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>
        <f>IFERROR(AVERAGEIFS('Continuous Assessment Records'!L:L,'Continuous Assessment Records'!A:A,$A119,'Continuous Assessment Records'!F:F,$B119,'Continuous Assessment Records'!C:C,"Assignment"),"")</f>
        <v/>
      </c>
      <c r="J119">
        <f>IFERROR(AVERAGEIFS('Continuous Assessment Records'!L:L,'Continuous Assessment Records'!A:A,$A119,'Continuous Assessment Records'!F:F,$B119,'Continuous Assessment Records'!C:C,"Unit Test"),"")</f>
        <v/>
      </c>
      <c r="K119">
        <f>IFERROR(AVERAGEIFS('Continuous Assessment Records'!L:L,'Continuous Assessment Records'!A:A,$A119,'Continuous Assessment Records'!F:F,$B119,'Continuous Assessment Records'!C:C,"Mid-Term"),"")</f>
        <v/>
      </c>
      <c r="L119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>
        <f>IFERROR(AVERAGEIFS('Continuous Assessment Records'!L:L,'Continuous Assessment Records'!A:A,$A120,'Continuous Assessment Records'!F:F,$B120,'Continuous Assessment Records'!C:C,"Assignment"),"")</f>
        <v/>
      </c>
      <c r="J120">
        <f>IFERROR(AVERAGEIFS('Continuous Assessment Records'!L:L,'Continuous Assessment Records'!A:A,$A120,'Continuous Assessment Records'!F:F,$B120,'Continuous Assessment Records'!C:C,"Unit Test"),"")</f>
        <v/>
      </c>
      <c r="K120">
        <f>IFERROR(AVERAGEIFS('Continuous Assessment Records'!L:L,'Continuous Assessment Records'!A:A,$A120,'Continuous Assessment Records'!F:F,$B120,'Continuous Assessment Records'!C:C,"Mid-Term"),"")</f>
        <v/>
      </c>
      <c r="L120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>
        <f>IFERROR(AVERAGEIFS('Continuous Assessment Records'!L:L,'Continuous Assessment Records'!A:A,$A121,'Continuous Assessment Records'!F:F,$B121,'Continuous Assessment Records'!C:C,"Assignment"),"")</f>
        <v/>
      </c>
      <c r="J121">
        <f>IFERROR(AVERAGEIFS('Continuous Assessment Records'!L:L,'Continuous Assessment Records'!A:A,$A121,'Continuous Assessment Records'!F:F,$B121,'Continuous Assessment Records'!C:C,"Unit Test"),"")</f>
        <v/>
      </c>
      <c r="K121">
        <f>IFERROR(AVERAGEIFS('Continuous Assessment Records'!L:L,'Continuous Assessment Records'!A:A,$A121,'Continuous Assessment Records'!F:F,$B121,'Continuous Assessment Records'!C:C,"Mid-Term"),"")</f>
        <v/>
      </c>
      <c r="L121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>
        <f>IFERROR(AVERAGEIFS('Continuous Assessment Records'!L:L,'Continuous Assessment Records'!A:A,$A122,'Continuous Assessment Records'!F:F,$B122,'Continuous Assessment Records'!C:C,"Assignment"),"")</f>
        <v/>
      </c>
      <c r="J122">
        <f>IFERROR(AVERAGEIFS('Continuous Assessment Records'!L:L,'Continuous Assessment Records'!A:A,$A122,'Continuous Assessment Records'!F:F,$B122,'Continuous Assessment Records'!C:C,"Unit Test"),"")</f>
        <v/>
      </c>
      <c r="K122">
        <f>IFERROR(AVERAGEIFS('Continuous Assessment Records'!L:L,'Continuous Assessment Records'!A:A,$A122,'Continuous Assessment Records'!F:F,$B122,'Continuous Assessment Records'!C:C,"Mid-Term"),"")</f>
        <v/>
      </c>
      <c r="L122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>
        <f>IFERROR(AVERAGEIFS('Continuous Assessment Records'!L:L,'Continuous Assessment Records'!A:A,$A123,'Continuous Assessment Records'!F:F,$B123,'Continuous Assessment Records'!C:C,"Assignment"),"")</f>
        <v/>
      </c>
      <c r="J123">
        <f>IFERROR(AVERAGEIFS('Continuous Assessment Records'!L:L,'Continuous Assessment Records'!A:A,$A123,'Continuous Assessment Records'!F:F,$B123,'Continuous Assessment Records'!C:C,"Unit Test"),"")</f>
        <v/>
      </c>
      <c r="K123">
        <f>IFERROR(AVERAGEIFS('Continuous Assessment Records'!L:L,'Continuous Assessment Records'!A:A,$A123,'Continuous Assessment Records'!F:F,$B123,'Continuous Assessment Records'!C:C,"Mid-Term"),"")</f>
        <v/>
      </c>
      <c r="L123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>
        <f>IFERROR(AVERAGEIFS('Continuous Assessment Records'!L:L,'Continuous Assessment Records'!A:A,$A124,'Continuous Assessment Records'!F:F,$B124,'Continuous Assessment Records'!C:C,"Assignment"),"")</f>
        <v/>
      </c>
      <c r="J124">
        <f>IFERROR(AVERAGEIFS('Continuous Assessment Records'!L:L,'Continuous Assessment Records'!A:A,$A124,'Continuous Assessment Records'!F:F,$B124,'Continuous Assessment Records'!C:C,"Unit Test"),"")</f>
        <v/>
      </c>
      <c r="K124">
        <f>IFERROR(AVERAGEIFS('Continuous Assessment Records'!L:L,'Continuous Assessment Records'!A:A,$A124,'Continuous Assessment Records'!F:F,$B124,'Continuous Assessment Records'!C:C,"Mid-Term"),"")</f>
        <v/>
      </c>
      <c r="L124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>
        <f>IFERROR(AVERAGEIFS('Continuous Assessment Records'!L:L,'Continuous Assessment Records'!A:A,$A125,'Continuous Assessment Records'!F:F,$B125,'Continuous Assessment Records'!C:C,"Assignment"),"")</f>
        <v/>
      </c>
      <c r="J125">
        <f>IFERROR(AVERAGEIFS('Continuous Assessment Records'!L:L,'Continuous Assessment Records'!A:A,$A125,'Continuous Assessment Records'!F:F,$B125,'Continuous Assessment Records'!C:C,"Unit Test"),"")</f>
        <v/>
      </c>
      <c r="K125">
        <f>IFERROR(AVERAGEIFS('Continuous Assessment Records'!L:L,'Continuous Assessment Records'!A:A,$A125,'Continuous Assessment Records'!F:F,$B125,'Continuous Assessment Records'!C:C,"Mid-Term"),"")</f>
        <v/>
      </c>
      <c r="L12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>
        <f>IFERROR(AVERAGEIFS('Continuous Assessment Records'!L:L,'Continuous Assessment Records'!A:A,$A126,'Continuous Assessment Records'!F:F,$B126,'Continuous Assessment Records'!C:C,"Assignment"),"")</f>
        <v/>
      </c>
      <c r="J126">
        <f>IFERROR(AVERAGEIFS('Continuous Assessment Records'!L:L,'Continuous Assessment Records'!A:A,$A126,'Continuous Assessment Records'!F:F,$B126,'Continuous Assessment Records'!C:C,"Unit Test"),"")</f>
        <v/>
      </c>
      <c r="K126">
        <f>IFERROR(AVERAGEIFS('Continuous Assessment Records'!L:L,'Continuous Assessment Records'!A:A,$A126,'Continuous Assessment Records'!F:F,$B126,'Continuous Assessment Records'!C:C,"Mid-Term"),"")</f>
        <v/>
      </c>
      <c r="L126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>
        <f>IFERROR(AVERAGEIFS('Continuous Assessment Records'!L:L,'Continuous Assessment Records'!A:A,$A127,'Continuous Assessment Records'!F:F,$B127,'Continuous Assessment Records'!C:C,"Assignment"),"")</f>
        <v/>
      </c>
      <c r="J127">
        <f>IFERROR(AVERAGEIFS('Continuous Assessment Records'!L:L,'Continuous Assessment Records'!A:A,$A127,'Continuous Assessment Records'!F:F,$B127,'Continuous Assessment Records'!C:C,"Unit Test"),"")</f>
        <v/>
      </c>
      <c r="K127">
        <f>IFERROR(AVERAGEIFS('Continuous Assessment Records'!L:L,'Continuous Assessment Records'!A:A,$A127,'Continuous Assessment Records'!F:F,$B127,'Continuous Assessment Records'!C:C,"Mid-Term"),"")</f>
        <v/>
      </c>
      <c r="L127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>
        <f>IFERROR(AVERAGEIFS('Continuous Assessment Records'!L:L,'Continuous Assessment Records'!A:A,$A128,'Continuous Assessment Records'!F:F,$B128,'Continuous Assessment Records'!C:C,"Assignment"),"")</f>
        <v/>
      </c>
      <c r="J128">
        <f>IFERROR(AVERAGEIFS('Continuous Assessment Records'!L:L,'Continuous Assessment Records'!A:A,$A128,'Continuous Assessment Records'!F:F,$B128,'Continuous Assessment Records'!C:C,"Unit Test"),"")</f>
        <v/>
      </c>
      <c r="K128">
        <f>IFERROR(AVERAGEIFS('Continuous Assessment Records'!L:L,'Continuous Assessment Records'!A:A,$A128,'Continuous Assessment Records'!F:F,$B128,'Continuous Assessment Records'!C:C,"Mid-Term"),"")</f>
        <v/>
      </c>
      <c r="L128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>
        <f>IFERROR(AVERAGEIFS('Continuous Assessment Records'!L:L,'Continuous Assessment Records'!A:A,$A129,'Continuous Assessment Records'!F:F,$B129,'Continuous Assessment Records'!C:C,"Assignment"),"")</f>
        <v/>
      </c>
      <c r="J129">
        <f>IFERROR(AVERAGEIFS('Continuous Assessment Records'!L:L,'Continuous Assessment Records'!A:A,$A129,'Continuous Assessment Records'!F:F,$B129,'Continuous Assessment Records'!C:C,"Unit Test"),"")</f>
        <v/>
      </c>
      <c r="K129">
        <f>IFERROR(AVERAGEIFS('Continuous Assessment Records'!L:L,'Continuous Assessment Records'!A:A,$A129,'Continuous Assessment Records'!F:F,$B129,'Continuous Assessment Records'!C:C,"Mid-Term"),"")</f>
        <v/>
      </c>
      <c r="L129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>
        <f>IFERROR(AVERAGEIFS('Continuous Assessment Records'!L:L,'Continuous Assessment Records'!A:A,$A130,'Continuous Assessment Records'!F:F,$B130,'Continuous Assessment Records'!C:C,"Assignment"),"")</f>
        <v/>
      </c>
      <c r="J130">
        <f>IFERROR(AVERAGEIFS('Continuous Assessment Records'!L:L,'Continuous Assessment Records'!A:A,$A130,'Continuous Assessment Records'!F:F,$B130,'Continuous Assessment Records'!C:C,"Unit Test"),"")</f>
        <v/>
      </c>
      <c r="K130">
        <f>IFERROR(AVERAGEIFS('Continuous Assessment Records'!L:L,'Continuous Assessment Records'!A:A,$A130,'Continuous Assessment Records'!F:F,$B130,'Continuous Assessment Records'!C:C,"Mid-Term"),"")</f>
        <v/>
      </c>
      <c r="L130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>
        <f>IFERROR(AVERAGEIFS('Continuous Assessment Records'!L:L,'Continuous Assessment Records'!A:A,$A131,'Continuous Assessment Records'!F:F,$B131,'Continuous Assessment Records'!C:C,"Assignment"),"")</f>
        <v/>
      </c>
      <c r="J131">
        <f>IFERROR(AVERAGEIFS('Continuous Assessment Records'!L:L,'Continuous Assessment Records'!A:A,$A131,'Continuous Assessment Records'!F:F,$B131,'Continuous Assessment Records'!C:C,"Unit Test"),"")</f>
        <v/>
      </c>
      <c r="K131">
        <f>IFERROR(AVERAGEIFS('Continuous Assessment Records'!L:L,'Continuous Assessment Records'!A:A,$A131,'Continuous Assessment Records'!F:F,$B131,'Continuous Assessment Records'!C:C,"Mid-Term"),"")</f>
        <v/>
      </c>
      <c r="L131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>
        <f>IFERROR(AVERAGEIFS('Continuous Assessment Records'!L:L,'Continuous Assessment Records'!A:A,$A132,'Continuous Assessment Records'!F:F,$B132,'Continuous Assessment Records'!C:C,"Assignment"),"")</f>
        <v/>
      </c>
      <c r="J132">
        <f>IFERROR(AVERAGEIFS('Continuous Assessment Records'!L:L,'Continuous Assessment Records'!A:A,$A132,'Continuous Assessment Records'!F:F,$B132,'Continuous Assessment Records'!C:C,"Unit Test"),"")</f>
        <v/>
      </c>
      <c r="K132">
        <f>IFERROR(AVERAGEIFS('Continuous Assessment Records'!L:L,'Continuous Assessment Records'!A:A,$A132,'Continuous Assessment Records'!F:F,$B132,'Continuous Assessment Records'!C:C,"Mid-Term"),"")</f>
        <v/>
      </c>
      <c r="L132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>
        <f>IFERROR(AVERAGEIFS('Continuous Assessment Records'!L:L,'Continuous Assessment Records'!A:A,$A133,'Continuous Assessment Records'!F:F,$B133,'Continuous Assessment Records'!C:C,"Assignment"),"")</f>
        <v/>
      </c>
      <c r="J133">
        <f>IFERROR(AVERAGEIFS('Continuous Assessment Records'!L:L,'Continuous Assessment Records'!A:A,$A133,'Continuous Assessment Records'!F:F,$B133,'Continuous Assessment Records'!C:C,"Unit Test"),"")</f>
        <v/>
      </c>
      <c r="K133">
        <f>IFERROR(AVERAGEIFS('Continuous Assessment Records'!L:L,'Continuous Assessment Records'!A:A,$A133,'Continuous Assessment Records'!F:F,$B133,'Continuous Assessment Records'!C:C,"Mid-Term"),"")</f>
        <v/>
      </c>
      <c r="L133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>
        <f>IFERROR(AVERAGEIFS('Continuous Assessment Records'!L:L,'Continuous Assessment Records'!A:A,$A134,'Continuous Assessment Records'!F:F,$B134,'Continuous Assessment Records'!C:C,"Assignment"),"")</f>
        <v/>
      </c>
      <c r="J134">
        <f>IFERROR(AVERAGEIFS('Continuous Assessment Records'!L:L,'Continuous Assessment Records'!A:A,$A134,'Continuous Assessment Records'!F:F,$B134,'Continuous Assessment Records'!C:C,"Unit Test"),"")</f>
        <v/>
      </c>
      <c r="K134">
        <f>IFERROR(AVERAGEIFS('Continuous Assessment Records'!L:L,'Continuous Assessment Records'!A:A,$A134,'Continuous Assessment Records'!F:F,$B134,'Continuous Assessment Records'!C:C,"Mid-Term"),"")</f>
        <v/>
      </c>
      <c r="L134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>
        <f>IFERROR(AVERAGEIFS('Continuous Assessment Records'!L:L,'Continuous Assessment Records'!A:A,$A135,'Continuous Assessment Records'!F:F,$B135,'Continuous Assessment Records'!C:C,"Assignment"),"")</f>
        <v/>
      </c>
      <c r="J135">
        <f>IFERROR(AVERAGEIFS('Continuous Assessment Records'!L:L,'Continuous Assessment Records'!A:A,$A135,'Continuous Assessment Records'!F:F,$B135,'Continuous Assessment Records'!C:C,"Unit Test"),"")</f>
        <v/>
      </c>
      <c r="K135">
        <f>IFERROR(AVERAGEIFS('Continuous Assessment Records'!L:L,'Continuous Assessment Records'!A:A,$A135,'Continuous Assessment Records'!F:F,$B135,'Continuous Assessment Records'!C:C,"Mid-Term"),"")</f>
        <v/>
      </c>
      <c r="L13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>
        <f>IFERROR(AVERAGEIFS('Continuous Assessment Records'!L:L,'Continuous Assessment Records'!A:A,$A136,'Continuous Assessment Records'!F:F,$B136,'Continuous Assessment Records'!C:C,"Assignment"),"")</f>
        <v/>
      </c>
      <c r="J136">
        <f>IFERROR(AVERAGEIFS('Continuous Assessment Records'!L:L,'Continuous Assessment Records'!A:A,$A136,'Continuous Assessment Records'!F:F,$B136,'Continuous Assessment Records'!C:C,"Unit Test"),"")</f>
        <v/>
      </c>
      <c r="K136">
        <f>IFERROR(AVERAGEIFS('Continuous Assessment Records'!L:L,'Continuous Assessment Records'!A:A,$A136,'Continuous Assessment Records'!F:F,$B136,'Continuous Assessment Records'!C:C,"Mid-Term"),"")</f>
        <v/>
      </c>
      <c r="L136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>
        <f>IFERROR(AVERAGEIFS('Continuous Assessment Records'!L:L,'Continuous Assessment Records'!A:A,$A137,'Continuous Assessment Records'!F:F,$B137,'Continuous Assessment Records'!C:C,"Assignment"),"")</f>
        <v/>
      </c>
      <c r="J137">
        <f>IFERROR(AVERAGEIFS('Continuous Assessment Records'!L:L,'Continuous Assessment Records'!A:A,$A137,'Continuous Assessment Records'!F:F,$B137,'Continuous Assessment Records'!C:C,"Unit Test"),"")</f>
        <v/>
      </c>
      <c r="K137">
        <f>IFERROR(AVERAGEIFS('Continuous Assessment Records'!L:L,'Continuous Assessment Records'!A:A,$A137,'Continuous Assessment Records'!F:F,$B137,'Continuous Assessment Records'!C:C,"Mid-Term"),"")</f>
        <v/>
      </c>
      <c r="L137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>
        <f>IFERROR(AVERAGEIFS('Continuous Assessment Records'!L:L,'Continuous Assessment Records'!A:A,$A138,'Continuous Assessment Records'!F:F,$B138,'Continuous Assessment Records'!C:C,"Assignment"),"")</f>
        <v/>
      </c>
      <c r="J138">
        <f>IFERROR(AVERAGEIFS('Continuous Assessment Records'!L:L,'Continuous Assessment Records'!A:A,$A138,'Continuous Assessment Records'!F:F,$B138,'Continuous Assessment Records'!C:C,"Unit Test"),"")</f>
        <v/>
      </c>
      <c r="K138">
        <f>IFERROR(AVERAGEIFS('Continuous Assessment Records'!L:L,'Continuous Assessment Records'!A:A,$A138,'Continuous Assessment Records'!F:F,$B138,'Continuous Assessment Records'!C:C,"Mid-Term"),"")</f>
        <v/>
      </c>
      <c r="L138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>
        <f>IFERROR(AVERAGEIFS('Continuous Assessment Records'!L:L,'Continuous Assessment Records'!A:A,$A139,'Continuous Assessment Records'!F:F,$B139,'Continuous Assessment Records'!C:C,"Assignment"),"")</f>
        <v/>
      </c>
      <c r="J139">
        <f>IFERROR(AVERAGEIFS('Continuous Assessment Records'!L:L,'Continuous Assessment Records'!A:A,$A139,'Continuous Assessment Records'!F:F,$B139,'Continuous Assessment Records'!C:C,"Unit Test"),"")</f>
        <v/>
      </c>
      <c r="K139">
        <f>IFERROR(AVERAGEIFS('Continuous Assessment Records'!L:L,'Continuous Assessment Records'!A:A,$A139,'Continuous Assessment Records'!F:F,$B139,'Continuous Assessment Records'!C:C,"Mid-Term"),"")</f>
        <v/>
      </c>
      <c r="L139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>
        <f>IFERROR(AVERAGEIFS('Continuous Assessment Records'!L:L,'Continuous Assessment Records'!A:A,$A140,'Continuous Assessment Records'!F:F,$B140,'Continuous Assessment Records'!C:C,"Assignment"),"")</f>
        <v/>
      </c>
      <c r="J140">
        <f>IFERROR(AVERAGEIFS('Continuous Assessment Records'!L:L,'Continuous Assessment Records'!A:A,$A140,'Continuous Assessment Records'!F:F,$B140,'Continuous Assessment Records'!C:C,"Unit Test"),"")</f>
        <v/>
      </c>
      <c r="K140">
        <f>IFERROR(AVERAGEIFS('Continuous Assessment Records'!L:L,'Continuous Assessment Records'!A:A,$A140,'Continuous Assessment Records'!F:F,$B140,'Continuous Assessment Records'!C:C,"Mid-Term"),"")</f>
        <v/>
      </c>
      <c r="L140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>
        <f>IFERROR(AVERAGEIFS('Continuous Assessment Records'!L:L,'Continuous Assessment Records'!A:A,$A141,'Continuous Assessment Records'!F:F,$B141,'Continuous Assessment Records'!C:C,"Assignment"),"")</f>
        <v/>
      </c>
      <c r="J141">
        <f>IFERROR(AVERAGEIFS('Continuous Assessment Records'!L:L,'Continuous Assessment Records'!A:A,$A141,'Continuous Assessment Records'!F:F,$B141,'Continuous Assessment Records'!C:C,"Unit Test"),"")</f>
        <v/>
      </c>
      <c r="K141">
        <f>IFERROR(AVERAGEIFS('Continuous Assessment Records'!L:L,'Continuous Assessment Records'!A:A,$A141,'Continuous Assessment Records'!F:F,$B141,'Continuous Assessment Records'!C:C,"Mid-Term"),"")</f>
        <v/>
      </c>
      <c r="L141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>
        <f>IFERROR(AVERAGEIFS('Continuous Assessment Records'!L:L,'Continuous Assessment Records'!A:A,$A142,'Continuous Assessment Records'!F:F,$B142,'Continuous Assessment Records'!C:C,"Assignment"),"")</f>
        <v/>
      </c>
      <c r="J142">
        <f>IFERROR(AVERAGEIFS('Continuous Assessment Records'!L:L,'Continuous Assessment Records'!A:A,$A142,'Continuous Assessment Records'!F:F,$B142,'Continuous Assessment Records'!C:C,"Unit Test"),"")</f>
        <v/>
      </c>
      <c r="K142">
        <f>IFERROR(AVERAGEIFS('Continuous Assessment Records'!L:L,'Continuous Assessment Records'!A:A,$A142,'Continuous Assessment Records'!F:F,$B142,'Continuous Assessment Records'!C:C,"Mid-Term"),"")</f>
        <v/>
      </c>
      <c r="L142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>
        <f>IFERROR(AVERAGEIFS('Continuous Assessment Records'!L:L,'Continuous Assessment Records'!A:A,$A143,'Continuous Assessment Records'!F:F,$B143,'Continuous Assessment Records'!C:C,"Assignment"),"")</f>
        <v/>
      </c>
      <c r="J143">
        <f>IFERROR(AVERAGEIFS('Continuous Assessment Records'!L:L,'Continuous Assessment Records'!A:A,$A143,'Continuous Assessment Records'!F:F,$B143,'Continuous Assessment Records'!C:C,"Unit Test"),"")</f>
        <v/>
      </c>
      <c r="K143">
        <f>IFERROR(AVERAGEIFS('Continuous Assessment Records'!L:L,'Continuous Assessment Records'!A:A,$A143,'Continuous Assessment Records'!F:F,$B143,'Continuous Assessment Records'!C:C,"Mid-Term"),"")</f>
        <v/>
      </c>
      <c r="L143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>
        <f>IFERROR(AVERAGEIFS('Continuous Assessment Records'!L:L,'Continuous Assessment Records'!A:A,$A144,'Continuous Assessment Records'!F:F,$B144,'Continuous Assessment Records'!C:C,"Assignment"),"")</f>
        <v/>
      </c>
      <c r="J144">
        <f>IFERROR(AVERAGEIFS('Continuous Assessment Records'!L:L,'Continuous Assessment Records'!A:A,$A144,'Continuous Assessment Records'!F:F,$B144,'Continuous Assessment Records'!C:C,"Unit Test"),"")</f>
        <v/>
      </c>
      <c r="K144">
        <f>IFERROR(AVERAGEIFS('Continuous Assessment Records'!L:L,'Continuous Assessment Records'!A:A,$A144,'Continuous Assessment Records'!F:F,$B144,'Continuous Assessment Records'!C:C,"Mid-Term"),"")</f>
        <v/>
      </c>
      <c r="L144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>
        <f>IFERROR(AVERAGEIFS('Continuous Assessment Records'!L:L,'Continuous Assessment Records'!A:A,$A145,'Continuous Assessment Records'!F:F,$B145,'Continuous Assessment Records'!C:C,"Assignment"),"")</f>
        <v/>
      </c>
      <c r="J145">
        <f>IFERROR(AVERAGEIFS('Continuous Assessment Records'!L:L,'Continuous Assessment Records'!A:A,$A145,'Continuous Assessment Records'!F:F,$B145,'Continuous Assessment Records'!C:C,"Unit Test"),"")</f>
        <v/>
      </c>
      <c r="K145">
        <f>IFERROR(AVERAGEIFS('Continuous Assessment Records'!L:L,'Continuous Assessment Records'!A:A,$A145,'Continuous Assessment Records'!F:F,$B145,'Continuous Assessment Records'!C:C,"Mid-Term"),"")</f>
        <v/>
      </c>
      <c r="L14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>
        <f>IFERROR(AVERAGEIFS('Continuous Assessment Records'!L:L,'Continuous Assessment Records'!A:A,$A146,'Continuous Assessment Records'!F:F,$B146,'Continuous Assessment Records'!C:C,"Assignment"),"")</f>
        <v/>
      </c>
      <c r="J146">
        <f>IFERROR(AVERAGEIFS('Continuous Assessment Records'!L:L,'Continuous Assessment Records'!A:A,$A146,'Continuous Assessment Records'!F:F,$B146,'Continuous Assessment Records'!C:C,"Unit Test"),"")</f>
        <v/>
      </c>
      <c r="K146">
        <f>IFERROR(AVERAGEIFS('Continuous Assessment Records'!L:L,'Continuous Assessment Records'!A:A,$A146,'Continuous Assessment Records'!F:F,$B146,'Continuous Assessment Records'!C:C,"Mid-Term"),"")</f>
        <v/>
      </c>
      <c r="L146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>
        <f>IFERROR(AVERAGEIFS('Continuous Assessment Records'!L:L,'Continuous Assessment Records'!A:A,$A147,'Continuous Assessment Records'!F:F,$B147,'Continuous Assessment Records'!C:C,"Assignment"),"")</f>
        <v/>
      </c>
      <c r="J147">
        <f>IFERROR(AVERAGEIFS('Continuous Assessment Records'!L:L,'Continuous Assessment Records'!A:A,$A147,'Continuous Assessment Records'!F:F,$B147,'Continuous Assessment Records'!C:C,"Unit Test"),"")</f>
        <v/>
      </c>
      <c r="K147">
        <f>IFERROR(AVERAGEIFS('Continuous Assessment Records'!L:L,'Continuous Assessment Records'!A:A,$A147,'Continuous Assessment Records'!F:F,$B147,'Continuous Assessment Records'!C:C,"Mid-Term"),"")</f>
        <v/>
      </c>
      <c r="L147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>
        <f>IFERROR(AVERAGEIFS('Continuous Assessment Records'!L:L,'Continuous Assessment Records'!A:A,$A148,'Continuous Assessment Records'!F:F,$B148,'Continuous Assessment Records'!C:C,"Assignment"),"")</f>
        <v/>
      </c>
      <c r="J148">
        <f>IFERROR(AVERAGEIFS('Continuous Assessment Records'!L:L,'Continuous Assessment Records'!A:A,$A148,'Continuous Assessment Records'!F:F,$B148,'Continuous Assessment Records'!C:C,"Unit Test"),"")</f>
        <v/>
      </c>
      <c r="K148">
        <f>IFERROR(AVERAGEIFS('Continuous Assessment Records'!L:L,'Continuous Assessment Records'!A:A,$A148,'Continuous Assessment Records'!F:F,$B148,'Continuous Assessment Records'!C:C,"Mid-Term"),"")</f>
        <v/>
      </c>
      <c r="L148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>
        <f>IFERROR(AVERAGEIFS('Continuous Assessment Records'!L:L,'Continuous Assessment Records'!A:A,$A149,'Continuous Assessment Records'!F:F,$B149,'Continuous Assessment Records'!C:C,"Assignment"),"")</f>
        <v/>
      </c>
      <c r="J149">
        <f>IFERROR(AVERAGEIFS('Continuous Assessment Records'!L:L,'Continuous Assessment Records'!A:A,$A149,'Continuous Assessment Records'!F:F,$B149,'Continuous Assessment Records'!C:C,"Unit Test"),"")</f>
        <v/>
      </c>
      <c r="K149">
        <f>IFERROR(AVERAGEIFS('Continuous Assessment Records'!L:L,'Continuous Assessment Records'!A:A,$A149,'Continuous Assessment Records'!F:F,$B149,'Continuous Assessment Records'!C:C,"Mid-Term"),"")</f>
        <v/>
      </c>
      <c r="L149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>
        <f>IFERROR(AVERAGEIFS('Continuous Assessment Records'!L:L,'Continuous Assessment Records'!A:A,$A150,'Continuous Assessment Records'!F:F,$B150,'Continuous Assessment Records'!C:C,"Assignment"),"")</f>
        <v/>
      </c>
      <c r="J150">
        <f>IFERROR(AVERAGEIFS('Continuous Assessment Records'!L:L,'Continuous Assessment Records'!A:A,$A150,'Continuous Assessment Records'!F:F,$B150,'Continuous Assessment Records'!C:C,"Unit Test"),"")</f>
        <v/>
      </c>
      <c r="K150">
        <f>IFERROR(AVERAGEIFS('Continuous Assessment Records'!L:L,'Continuous Assessment Records'!A:A,$A150,'Continuous Assessment Records'!F:F,$B150,'Continuous Assessment Records'!C:C,"Mid-Term"),"")</f>
        <v/>
      </c>
      <c r="L150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>
        <f>IFERROR(AVERAGEIFS('Continuous Assessment Records'!L:L,'Continuous Assessment Records'!A:A,$A151,'Continuous Assessment Records'!F:F,$B151,'Continuous Assessment Records'!C:C,"Assignment"),"")</f>
        <v/>
      </c>
      <c r="J151">
        <f>IFERROR(AVERAGEIFS('Continuous Assessment Records'!L:L,'Continuous Assessment Records'!A:A,$A151,'Continuous Assessment Records'!F:F,$B151,'Continuous Assessment Records'!C:C,"Unit Test"),"")</f>
        <v/>
      </c>
      <c r="K151">
        <f>IFERROR(AVERAGEIFS('Continuous Assessment Records'!L:L,'Continuous Assessment Records'!A:A,$A151,'Continuous Assessment Records'!F:F,$B151,'Continuous Assessment Records'!C:C,"Mid-Term"),"")</f>
        <v/>
      </c>
      <c r="L151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>
        <f>IFERROR(AVERAGEIFS('Continuous Assessment Records'!L:L,'Continuous Assessment Records'!A:A,$A152,'Continuous Assessment Records'!F:F,$B152,'Continuous Assessment Records'!C:C,"Assignment"),"")</f>
        <v/>
      </c>
      <c r="J152">
        <f>IFERROR(AVERAGEIFS('Continuous Assessment Records'!L:L,'Continuous Assessment Records'!A:A,$A152,'Continuous Assessment Records'!F:F,$B152,'Continuous Assessment Records'!C:C,"Unit Test"),"")</f>
        <v/>
      </c>
      <c r="K152">
        <f>IFERROR(AVERAGEIFS('Continuous Assessment Records'!L:L,'Continuous Assessment Records'!A:A,$A152,'Continuous Assessment Records'!F:F,$B152,'Continuous Assessment Records'!C:C,"Mid-Term"),"")</f>
        <v/>
      </c>
      <c r="L152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>
        <f>IFERROR(AVERAGEIFS('Continuous Assessment Records'!L:L,'Continuous Assessment Records'!A:A,$A153,'Continuous Assessment Records'!F:F,$B153,'Continuous Assessment Records'!C:C,"Assignment"),"")</f>
        <v/>
      </c>
      <c r="J153">
        <f>IFERROR(AVERAGEIFS('Continuous Assessment Records'!L:L,'Continuous Assessment Records'!A:A,$A153,'Continuous Assessment Records'!F:F,$B153,'Continuous Assessment Records'!C:C,"Unit Test"),"")</f>
        <v/>
      </c>
      <c r="K153">
        <f>IFERROR(AVERAGEIFS('Continuous Assessment Records'!L:L,'Continuous Assessment Records'!A:A,$A153,'Continuous Assessment Records'!F:F,$B153,'Continuous Assessment Records'!C:C,"Mid-Term"),"")</f>
        <v/>
      </c>
      <c r="L153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>
        <f>IFERROR(AVERAGEIFS('Continuous Assessment Records'!L:L,'Continuous Assessment Records'!A:A,$A154,'Continuous Assessment Records'!F:F,$B154,'Continuous Assessment Records'!C:C,"Assignment"),"")</f>
        <v/>
      </c>
      <c r="J154">
        <f>IFERROR(AVERAGEIFS('Continuous Assessment Records'!L:L,'Continuous Assessment Records'!A:A,$A154,'Continuous Assessment Records'!F:F,$B154,'Continuous Assessment Records'!C:C,"Unit Test"),"")</f>
        <v/>
      </c>
      <c r="K154">
        <f>IFERROR(AVERAGEIFS('Continuous Assessment Records'!L:L,'Continuous Assessment Records'!A:A,$A154,'Continuous Assessment Records'!F:F,$B154,'Continuous Assessment Records'!C:C,"Mid-Term"),"")</f>
        <v/>
      </c>
      <c r="L154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>
        <f>IFERROR(AVERAGEIFS('Continuous Assessment Records'!L:L,'Continuous Assessment Records'!A:A,$A155,'Continuous Assessment Records'!F:F,$B155,'Continuous Assessment Records'!C:C,"Assignment"),"")</f>
        <v/>
      </c>
      <c r="J155">
        <f>IFERROR(AVERAGEIFS('Continuous Assessment Records'!L:L,'Continuous Assessment Records'!A:A,$A155,'Continuous Assessment Records'!F:F,$B155,'Continuous Assessment Records'!C:C,"Unit Test"),"")</f>
        <v/>
      </c>
      <c r="K155">
        <f>IFERROR(AVERAGEIFS('Continuous Assessment Records'!L:L,'Continuous Assessment Records'!A:A,$A155,'Continuous Assessment Records'!F:F,$B155,'Continuous Assessment Records'!C:C,"Mid-Term"),"")</f>
        <v/>
      </c>
      <c r="L15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>
        <f>IFERROR(AVERAGEIFS('Continuous Assessment Records'!L:L,'Continuous Assessment Records'!A:A,$A156,'Continuous Assessment Records'!F:F,$B156,'Continuous Assessment Records'!C:C,"Assignment"),"")</f>
        <v/>
      </c>
      <c r="J156">
        <f>IFERROR(AVERAGEIFS('Continuous Assessment Records'!L:L,'Continuous Assessment Records'!A:A,$A156,'Continuous Assessment Records'!F:F,$B156,'Continuous Assessment Records'!C:C,"Unit Test"),"")</f>
        <v/>
      </c>
      <c r="K156">
        <f>IFERROR(AVERAGEIFS('Continuous Assessment Records'!L:L,'Continuous Assessment Records'!A:A,$A156,'Continuous Assessment Records'!F:F,$B156,'Continuous Assessment Records'!C:C,"Mid-Term"),"")</f>
        <v/>
      </c>
      <c r="L156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>
        <f>IFERROR(AVERAGEIFS('Continuous Assessment Records'!L:L,'Continuous Assessment Records'!A:A,$A157,'Continuous Assessment Records'!F:F,$B157,'Continuous Assessment Records'!C:C,"Assignment"),"")</f>
        <v/>
      </c>
      <c r="J157">
        <f>IFERROR(AVERAGEIFS('Continuous Assessment Records'!L:L,'Continuous Assessment Records'!A:A,$A157,'Continuous Assessment Records'!F:F,$B157,'Continuous Assessment Records'!C:C,"Unit Test"),"")</f>
        <v/>
      </c>
      <c r="K157">
        <f>IFERROR(AVERAGEIFS('Continuous Assessment Records'!L:L,'Continuous Assessment Records'!A:A,$A157,'Continuous Assessment Records'!F:F,$B157,'Continuous Assessment Records'!C:C,"Mid-Term"),"")</f>
        <v/>
      </c>
      <c r="L157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>
        <f>IFERROR(AVERAGEIFS('Continuous Assessment Records'!L:L,'Continuous Assessment Records'!A:A,$A158,'Continuous Assessment Records'!F:F,$B158,'Continuous Assessment Records'!C:C,"Assignment"),"")</f>
        <v/>
      </c>
      <c r="J158">
        <f>IFERROR(AVERAGEIFS('Continuous Assessment Records'!L:L,'Continuous Assessment Records'!A:A,$A158,'Continuous Assessment Records'!F:F,$B158,'Continuous Assessment Records'!C:C,"Unit Test"),"")</f>
        <v/>
      </c>
      <c r="K158">
        <f>IFERROR(AVERAGEIFS('Continuous Assessment Records'!L:L,'Continuous Assessment Records'!A:A,$A158,'Continuous Assessment Records'!F:F,$B158,'Continuous Assessment Records'!C:C,"Mid-Term"),"")</f>
        <v/>
      </c>
      <c r="L158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>
        <f>IFERROR(AVERAGEIFS('Continuous Assessment Records'!L:L,'Continuous Assessment Records'!A:A,$A159,'Continuous Assessment Records'!F:F,$B159,'Continuous Assessment Records'!C:C,"Assignment"),"")</f>
        <v/>
      </c>
      <c r="J159">
        <f>IFERROR(AVERAGEIFS('Continuous Assessment Records'!L:L,'Continuous Assessment Records'!A:A,$A159,'Continuous Assessment Records'!F:F,$B159,'Continuous Assessment Records'!C:C,"Unit Test"),"")</f>
        <v/>
      </c>
      <c r="K159">
        <f>IFERROR(AVERAGEIFS('Continuous Assessment Records'!L:L,'Continuous Assessment Records'!A:A,$A159,'Continuous Assessment Records'!F:F,$B159,'Continuous Assessment Records'!C:C,"Mid-Term"),"")</f>
        <v/>
      </c>
      <c r="L159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>
        <f>IFERROR(AVERAGEIFS('Continuous Assessment Records'!L:L,'Continuous Assessment Records'!A:A,$A160,'Continuous Assessment Records'!F:F,$B160,'Continuous Assessment Records'!C:C,"Assignment"),"")</f>
        <v/>
      </c>
      <c r="J160">
        <f>IFERROR(AVERAGEIFS('Continuous Assessment Records'!L:L,'Continuous Assessment Records'!A:A,$A160,'Continuous Assessment Records'!F:F,$B160,'Continuous Assessment Records'!C:C,"Unit Test"),"")</f>
        <v/>
      </c>
      <c r="K160">
        <f>IFERROR(AVERAGEIFS('Continuous Assessment Records'!L:L,'Continuous Assessment Records'!A:A,$A160,'Continuous Assessment Records'!F:F,$B160,'Continuous Assessment Records'!C:C,"Mid-Term"),"")</f>
        <v/>
      </c>
      <c r="L160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>
        <f>IFERROR(AVERAGEIFS('Continuous Assessment Records'!L:L,'Continuous Assessment Records'!A:A,$A161,'Continuous Assessment Records'!F:F,$B161,'Continuous Assessment Records'!C:C,"Assignment"),"")</f>
        <v/>
      </c>
      <c r="J161">
        <f>IFERROR(AVERAGEIFS('Continuous Assessment Records'!L:L,'Continuous Assessment Records'!A:A,$A161,'Continuous Assessment Records'!F:F,$B161,'Continuous Assessment Records'!C:C,"Unit Test"),"")</f>
        <v/>
      </c>
      <c r="K161">
        <f>IFERROR(AVERAGEIFS('Continuous Assessment Records'!L:L,'Continuous Assessment Records'!A:A,$A161,'Continuous Assessment Records'!F:F,$B161,'Continuous Assessment Records'!C:C,"Mid-Term"),"")</f>
        <v/>
      </c>
      <c r="L161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>
        <f>IFERROR(AVERAGEIFS('Continuous Assessment Records'!L:L,'Continuous Assessment Records'!A:A,$A162,'Continuous Assessment Records'!F:F,$B162,'Continuous Assessment Records'!C:C,"Assignment"),"")</f>
        <v/>
      </c>
      <c r="J162">
        <f>IFERROR(AVERAGEIFS('Continuous Assessment Records'!L:L,'Continuous Assessment Records'!A:A,$A162,'Continuous Assessment Records'!F:F,$B162,'Continuous Assessment Records'!C:C,"Unit Test"),"")</f>
        <v/>
      </c>
      <c r="K162">
        <f>IFERROR(AVERAGEIFS('Continuous Assessment Records'!L:L,'Continuous Assessment Records'!A:A,$A162,'Continuous Assessment Records'!F:F,$B162,'Continuous Assessment Records'!C:C,"Mid-Term"),"")</f>
        <v/>
      </c>
      <c r="L162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>
        <f>IFERROR(AVERAGEIFS('Continuous Assessment Records'!L:L,'Continuous Assessment Records'!A:A,$A163,'Continuous Assessment Records'!F:F,$B163,'Continuous Assessment Records'!C:C,"Assignment"),"")</f>
        <v/>
      </c>
      <c r="J163">
        <f>IFERROR(AVERAGEIFS('Continuous Assessment Records'!L:L,'Continuous Assessment Records'!A:A,$A163,'Continuous Assessment Records'!F:F,$B163,'Continuous Assessment Records'!C:C,"Unit Test"),"")</f>
        <v/>
      </c>
      <c r="K163">
        <f>IFERROR(AVERAGEIFS('Continuous Assessment Records'!L:L,'Continuous Assessment Records'!A:A,$A163,'Continuous Assessment Records'!F:F,$B163,'Continuous Assessment Records'!C:C,"Mid-Term"),"")</f>
        <v/>
      </c>
      <c r="L163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>
        <f>IFERROR(AVERAGEIFS('Continuous Assessment Records'!L:L,'Continuous Assessment Records'!A:A,$A164,'Continuous Assessment Records'!F:F,$B164,'Continuous Assessment Records'!C:C,"Assignment"),"")</f>
        <v/>
      </c>
      <c r="J164">
        <f>IFERROR(AVERAGEIFS('Continuous Assessment Records'!L:L,'Continuous Assessment Records'!A:A,$A164,'Continuous Assessment Records'!F:F,$B164,'Continuous Assessment Records'!C:C,"Unit Test"),"")</f>
        <v/>
      </c>
      <c r="K164">
        <f>IFERROR(AVERAGEIFS('Continuous Assessment Records'!L:L,'Continuous Assessment Records'!A:A,$A164,'Continuous Assessment Records'!F:F,$B164,'Continuous Assessment Records'!C:C,"Mid-Term"),"")</f>
        <v/>
      </c>
      <c r="L164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>
        <f>IFERROR(AVERAGEIFS('Continuous Assessment Records'!L:L,'Continuous Assessment Records'!A:A,$A165,'Continuous Assessment Records'!F:F,$B165,'Continuous Assessment Records'!C:C,"Assignment"),"")</f>
        <v/>
      </c>
      <c r="J165">
        <f>IFERROR(AVERAGEIFS('Continuous Assessment Records'!L:L,'Continuous Assessment Records'!A:A,$A165,'Continuous Assessment Records'!F:F,$B165,'Continuous Assessment Records'!C:C,"Unit Test"),"")</f>
        <v/>
      </c>
      <c r="K165">
        <f>IFERROR(AVERAGEIFS('Continuous Assessment Records'!L:L,'Continuous Assessment Records'!A:A,$A165,'Continuous Assessment Records'!F:F,$B165,'Continuous Assessment Records'!C:C,"Mid-Term"),"")</f>
        <v/>
      </c>
      <c r="L16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>
        <f>IFERROR(AVERAGEIFS('Continuous Assessment Records'!L:L,'Continuous Assessment Records'!A:A,$A166,'Continuous Assessment Records'!F:F,$B166,'Continuous Assessment Records'!C:C,"Assignment"),"")</f>
        <v/>
      </c>
      <c r="J166">
        <f>IFERROR(AVERAGEIFS('Continuous Assessment Records'!L:L,'Continuous Assessment Records'!A:A,$A166,'Continuous Assessment Records'!F:F,$B166,'Continuous Assessment Records'!C:C,"Unit Test"),"")</f>
        <v/>
      </c>
      <c r="K166">
        <f>IFERROR(AVERAGEIFS('Continuous Assessment Records'!L:L,'Continuous Assessment Records'!A:A,$A166,'Continuous Assessment Records'!F:F,$B166,'Continuous Assessment Records'!C:C,"Mid-Term"),"")</f>
        <v/>
      </c>
      <c r="L166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>
        <f>IFERROR(AVERAGEIFS('Continuous Assessment Records'!L:L,'Continuous Assessment Records'!A:A,$A167,'Continuous Assessment Records'!F:F,$B167,'Continuous Assessment Records'!C:C,"Assignment"),"")</f>
        <v/>
      </c>
      <c r="J167">
        <f>IFERROR(AVERAGEIFS('Continuous Assessment Records'!L:L,'Continuous Assessment Records'!A:A,$A167,'Continuous Assessment Records'!F:F,$B167,'Continuous Assessment Records'!C:C,"Unit Test"),"")</f>
        <v/>
      </c>
      <c r="K167">
        <f>IFERROR(AVERAGEIFS('Continuous Assessment Records'!L:L,'Continuous Assessment Records'!A:A,$A167,'Continuous Assessment Records'!F:F,$B167,'Continuous Assessment Records'!C:C,"Mid-Term"),"")</f>
        <v/>
      </c>
      <c r="L167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>
        <f>IFERROR(AVERAGEIFS('Continuous Assessment Records'!L:L,'Continuous Assessment Records'!A:A,$A168,'Continuous Assessment Records'!F:F,$B168,'Continuous Assessment Records'!C:C,"Assignment"),"")</f>
        <v/>
      </c>
      <c r="J168">
        <f>IFERROR(AVERAGEIFS('Continuous Assessment Records'!L:L,'Continuous Assessment Records'!A:A,$A168,'Continuous Assessment Records'!F:F,$B168,'Continuous Assessment Records'!C:C,"Unit Test"),"")</f>
        <v/>
      </c>
      <c r="K168">
        <f>IFERROR(AVERAGEIFS('Continuous Assessment Records'!L:L,'Continuous Assessment Records'!A:A,$A168,'Continuous Assessment Records'!F:F,$B168,'Continuous Assessment Records'!C:C,"Mid-Term"),"")</f>
        <v/>
      </c>
      <c r="L168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>
        <f>IFERROR(AVERAGEIFS('Continuous Assessment Records'!L:L,'Continuous Assessment Records'!A:A,$A169,'Continuous Assessment Records'!F:F,$B169,'Continuous Assessment Records'!C:C,"Assignment"),"")</f>
        <v/>
      </c>
      <c r="J169">
        <f>IFERROR(AVERAGEIFS('Continuous Assessment Records'!L:L,'Continuous Assessment Records'!A:A,$A169,'Continuous Assessment Records'!F:F,$B169,'Continuous Assessment Records'!C:C,"Unit Test"),"")</f>
        <v/>
      </c>
      <c r="K169">
        <f>IFERROR(AVERAGEIFS('Continuous Assessment Records'!L:L,'Continuous Assessment Records'!A:A,$A169,'Continuous Assessment Records'!F:F,$B169,'Continuous Assessment Records'!C:C,"Mid-Term"),"")</f>
        <v/>
      </c>
      <c r="L169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>
        <f>IFERROR(AVERAGEIFS('Continuous Assessment Records'!L:L,'Continuous Assessment Records'!A:A,$A170,'Continuous Assessment Records'!F:F,$B170,'Continuous Assessment Records'!C:C,"Assignment"),"")</f>
        <v/>
      </c>
      <c r="J170">
        <f>IFERROR(AVERAGEIFS('Continuous Assessment Records'!L:L,'Continuous Assessment Records'!A:A,$A170,'Continuous Assessment Records'!F:F,$B170,'Continuous Assessment Records'!C:C,"Unit Test"),"")</f>
        <v/>
      </c>
      <c r="K170">
        <f>IFERROR(AVERAGEIFS('Continuous Assessment Records'!L:L,'Continuous Assessment Records'!A:A,$A170,'Continuous Assessment Records'!F:F,$B170,'Continuous Assessment Records'!C:C,"Mid-Term"),"")</f>
        <v/>
      </c>
      <c r="L170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>
        <f>IFERROR(AVERAGEIFS('Continuous Assessment Records'!L:L,'Continuous Assessment Records'!A:A,$A171,'Continuous Assessment Records'!F:F,$B171,'Continuous Assessment Records'!C:C,"Assignment"),"")</f>
        <v/>
      </c>
      <c r="J171">
        <f>IFERROR(AVERAGEIFS('Continuous Assessment Records'!L:L,'Continuous Assessment Records'!A:A,$A171,'Continuous Assessment Records'!F:F,$B171,'Continuous Assessment Records'!C:C,"Unit Test"),"")</f>
        <v/>
      </c>
      <c r="K171">
        <f>IFERROR(AVERAGEIFS('Continuous Assessment Records'!L:L,'Continuous Assessment Records'!A:A,$A171,'Continuous Assessment Records'!F:F,$B171,'Continuous Assessment Records'!C:C,"Mid-Term"),"")</f>
        <v/>
      </c>
      <c r="L171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>
        <f>IFERROR(AVERAGEIFS('Continuous Assessment Records'!L:L,'Continuous Assessment Records'!A:A,$A172,'Continuous Assessment Records'!F:F,$B172,'Continuous Assessment Records'!C:C,"Assignment"),"")</f>
        <v/>
      </c>
      <c r="J172">
        <f>IFERROR(AVERAGEIFS('Continuous Assessment Records'!L:L,'Continuous Assessment Records'!A:A,$A172,'Continuous Assessment Records'!F:F,$B172,'Continuous Assessment Records'!C:C,"Unit Test"),"")</f>
        <v/>
      </c>
      <c r="K172">
        <f>IFERROR(AVERAGEIFS('Continuous Assessment Records'!L:L,'Continuous Assessment Records'!A:A,$A172,'Continuous Assessment Records'!F:F,$B172,'Continuous Assessment Records'!C:C,"Mid-Term"),"")</f>
        <v/>
      </c>
      <c r="L172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>
        <f>IFERROR(AVERAGEIFS('Continuous Assessment Records'!L:L,'Continuous Assessment Records'!A:A,$A173,'Continuous Assessment Records'!F:F,$B173,'Continuous Assessment Records'!C:C,"Assignment"),"")</f>
        <v/>
      </c>
      <c r="J173">
        <f>IFERROR(AVERAGEIFS('Continuous Assessment Records'!L:L,'Continuous Assessment Records'!A:A,$A173,'Continuous Assessment Records'!F:F,$B173,'Continuous Assessment Records'!C:C,"Unit Test"),"")</f>
        <v/>
      </c>
      <c r="K173">
        <f>IFERROR(AVERAGEIFS('Continuous Assessment Records'!L:L,'Continuous Assessment Records'!A:A,$A173,'Continuous Assessment Records'!F:F,$B173,'Continuous Assessment Records'!C:C,"Mid-Term"),"")</f>
        <v/>
      </c>
      <c r="L173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>
        <f>IFERROR(AVERAGEIFS('Continuous Assessment Records'!L:L,'Continuous Assessment Records'!A:A,$A174,'Continuous Assessment Records'!F:F,$B174,'Continuous Assessment Records'!C:C,"Assignment"),"")</f>
        <v/>
      </c>
      <c r="J174">
        <f>IFERROR(AVERAGEIFS('Continuous Assessment Records'!L:L,'Continuous Assessment Records'!A:A,$A174,'Continuous Assessment Records'!F:F,$B174,'Continuous Assessment Records'!C:C,"Unit Test"),"")</f>
        <v/>
      </c>
      <c r="K174">
        <f>IFERROR(AVERAGEIFS('Continuous Assessment Records'!L:L,'Continuous Assessment Records'!A:A,$A174,'Continuous Assessment Records'!F:F,$B174,'Continuous Assessment Records'!C:C,"Mid-Term"),"")</f>
        <v/>
      </c>
      <c r="L174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>
        <f>IFERROR(AVERAGEIFS('Continuous Assessment Records'!L:L,'Continuous Assessment Records'!A:A,$A175,'Continuous Assessment Records'!F:F,$B175,'Continuous Assessment Records'!C:C,"Assignment"),"")</f>
        <v/>
      </c>
      <c r="J175">
        <f>IFERROR(AVERAGEIFS('Continuous Assessment Records'!L:L,'Continuous Assessment Records'!A:A,$A175,'Continuous Assessment Records'!F:F,$B175,'Continuous Assessment Records'!C:C,"Unit Test"),"")</f>
        <v/>
      </c>
      <c r="K175">
        <f>IFERROR(AVERAGEIFS('Continuous Assessment Records'!L:L,'Continuous Assessment Records'!A:A,$A175,'Continuous Assessment Records'!F:F,$B175,'Continuous Assessment Records'!C:C,"Mid-Term"),"")</f>
        <v/>
      </c>
      <c r="L17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>
        <f>IFERROR(AVERAGEIFS('Continuous Assessment Records'!L:L,'Continuous Assessment Records'!A:A,$A176,'Continuous Assessment Records'!F:F,$B176,'Continuous Assessment Records'!C:C,"Assignment"),"")</f>
        <v/>
      </c>
      <c r="J176">
        <f>IFERROR(AVERAGEIFS('Continuous Assessment Records'!L:L,'Continuous Assessment Records'!A:A,$A176,'Continuous Assessment Records'!F:F,$B176,'Continuous Assessment Records'!C:C,"Unit Test"),"")</f>
        <v/>
      </c>
      <c r="K176">
        <f>IFERROR(AVERAGEIFS('Continuous Assessment Records'!L:L,'Continuous Assessment Records'!A:A,$A176,'Continuous Assessment Records'!F:F,$B176,'Continuous Assessment Records'!C:C,"Mid-Term"),"")</f>
        <v/>
      </c>
      <c r="L176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>
        <f>IFERROR(AVERAGEIFS('Continuous Assessment Records'!L:L,'Continuous Assessment Records'!A:A,$A177,'Continuous Assessment Records'!F:F,$B177,'Continuous Assessment Records'!C:C,"Assignment"),"")</f>
        <v/>
      </c>
      <c r="J177">
        <f>IFERROR(AVERAGEIFS('Continuous Assessment Records'!L:L,'Continuous Assessment Records'!A:A,$A177,'Continuous Assessment Records'!F:F,$B177,'Continuous Assessment Records'!C:C,"Unit Test"),"")</f>
        <v/>
      </c>
      <c r="K177">
        <f>IFERROR(AVERAGEIFS('Continuous Assessment Records'!L:L,'Continuous Assessment Records'!A:A,$A177,'Continuous Assessment Records'!F:F,$B177,'Continuous Assessment Records'!C:C,"Mid-Term"),"")</f>
        <v/>
      </c>
      <c r="L177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>
        <f>IFERROR(AVERAGEIFS('Continuous Assessment Records'!L:L,'Continuous Assessment Records'!A:A,$A178,'Continuous Assessment Records'!F:F,$B178,'Continuous Assessment Records'!C:C,"Assignment"),"")</f>
        <v/>
      </c>
      <c r="J178">
        <f>IFERROR(AVERAGEIFS('Continuous Assessment Records'!L:L,'Continuous Assessment Records'!A:A,$A178,'Continuous Assessment Records'!F:F,$B178,'Continuous Assessment Records'!C:C,"Unit Test"),"")</f>
        <v/>
      </c>
      <c r="K178">
        <f>IFERROR(AVERAGEIFS('Continuous Assessment Records'!L:L,'Continuous Assessment Records'!A:A,$A178,'Continuous Assessment Records'!F:F,$B178,'Continuous Assessment Records'!C:C,"Mid-Term"),"")</f>
        <v/>
      </c>
      <c r="L178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>
        <f>IFERROR(AVERAGEIFS('Continuous Assessment Records'!L:L,'Continuous Assessment Records'!A:A,$A179,'Continuous Assessment Records'!F:F,$B179,'Continuous Assessment Records'!C:C,"Assignment"),"")</f>
        <v/>
      </c>
      <c r="J179">
        <f>IFERROR(AVERAGEIFS('Continuous Assessment Records'!L:L,'Continuous Assessment Records'!A:A,$A179,'Continuous Assessment Records'!F:F,$B179,'Continuous Assessment Records'!C:C,"Unit Test"),"")</f>
        <v/>
      </c>
      <c r="K179">
        <f>IFERROR(AVERAGEIFS('Continuous Assessment Records'!L:L,'Continuous Assessment Records'!A:A,$A179,'Continuous Assessment Records'!F:F,$B179,'Continuous Assessment Records'!C:C,"Mid-Term"),"")</f>
        <v/>
      </c>
      <c r="L179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>
        <f>IFERROR(AVERAGEIFS('Continuous Assessment Records'!L:L,'Continuous Assessment Records'!A:A,$A180,'Continuous Assessment Records'!F:F,$B180,'Continuous Assessment Records'!C:C,"Assignment"),"")</f>
        <v/>
      </c>
      <c r="J180">
        <f>IFERROR(AVERAGEIFS('Continuous Assessment Records'!L:L,'Continuous Assessment Records'!A:A,$A180,'Continuous Assessment Records'!F:F,$B180,'Continuous Assessment Records'!C:C,"Unit Test"),"")</f>
        <v/>
      </c>
      <c r="K180">
        <f>IFERROR(AVERAGEIFS('Continuous Assessment Records'!L:L,'Continuous Assessment Records'!A:A,$A180,'Continuous Assessment Records'!F:F,$B180,'Continuous Assessment Records'!C:C,"Mid-Term"),"")</f>
        <v/>
      </c>
      <c r="L180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>
        <f>IFERROR(AVERAGEIFS('Continuous Assessment Records'!L:L,'Continuous Assessment Records'!A:A,$A181,'Continuous Assessment Records'!F:F,$B181,'Continuous Assessment Records'!C:C,"Assignment"),"")</f>
        <v/>
      </c>
      <c r="J181">
        <f>IFERROR(AVERAGEIFS('Continuous Assessment Records'!L:L,'Continuous Assessment Records'!A:A,$A181,'Continuous Assessment Records'!F:F,$B181,'Continuous Assessment Records'!C:C,"Unit Test"),"")</f>
        <v/>
      </c>
      <c r="K181">
        <f>IFERROR(AVERAGEIFS('Continuous Assessment Records'!L:L,'Continuous Assessment Records'!A:A,$A181,'Continuous Assessment Records'!F:F,$B181,'Continuous Assessment Records'!C:C,"Mid-Term"),"")</f>
        <v/>
      </c>
      <c r="L181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>
        <f>IFERROR(AVERAGEIFS('Continuous Assessment Records'!L:L,'Continuous Assessment Records'!A:A,$A182,'Continuous Assessment Records'!F:F,$B182,'Continuous Assessment Records'!C:C,"Assignment"),"")</f>
        <v/>
      </c>
      <c r="J182">
        <f>IFERROR(AVERAGEIFS('Continuous Assessment Records'!L:L,'Continuous Assessment Records'!A:A,$A182,'Continuous Assessment Records'!F:F,$B182,'Continuous Assessment Records'!C:C,"Unit Test"),"")</f>
        <v/>
      </c>
      <c r="K182">
        <f>IFERROR(AVERAGEIFS('Continuous Assessment Records'!L:L,'Continuous Assessment Records'!A:A,$A182,'Continuous Assessment Records'!F:F,$B182,'Continuous Assessment Records'!C:C,"Mid-Term"),"")</f>
        <v/>
      </c>
      <c r="L182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>
        <f>IFERROR(AVERAGEIFS('Continuous Assessment Records'!L:L,'Continuous Assessment Records'!A:A,$A183,'Continuous Assessment Records'!F:F,$B183,'Continuous Assessment Records'!C:C,"Assignment"),"")</f>
        <v/>
      </c>
      <c r="J183">
        <f>IFERROR(AVERAGEIFS('Continuous Assessment Records'!L:L,'Continuous Assessment Records'!A:A,$A183,'Continuous Assessment Records'!F:F,$B183,'Continuous Assessment Records'!C:C,"Unit Test"),"")</f>
        <v/>
      </c>
      <c r="K183">
        <f>IFERROR(AVERAGEIFS('Continuous Assessment Records'!L:L,'Continuous Assessment Records'!A:A,$A183,'Continuous Assessment Records'!F:F,$B183,'Continuous Assessment Records'!C:C,"Mid-Term"),"")</f>
        <v/>
      </c>
      <c r="L183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>
        <f>IFERROR(AVERAGEIFS('Continuous Assessment Records'!L:L,'Continuous Assessment Records'!A:A,$A184,'Continuous Assessment Records'!F:F,$B184,'Continuous Assessment Records'!C:C,"Assignment"),"")</f>
        <v/>
      </c>
      <c r="J184">
        <f>IFERROR(AVERAGEIFS('Continuous Assessment Records'!L:L,'Continuous Assessment Records'!A:A,$A184,'Continuous Assessment Records'!F:F,$B184,'Continuous Assessment Records'!C:C,"Unit Test"),"")</f>
        <v/>
      </c>
      <c r="K184">
        <f>IFERROR(AVERAGEIFS('Continuous Assessment Records'!L:L,'Continuous Assessment Records'!A:A,$A184,'Continuous Assessment Records'!F:F,$B184,'Continuous Assessment Records'!C:C,"Mid-Term"),"")</f>
        <v/>
      </c>
      <c r="L184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>
        <f>IFERROR(AVERAGEIFS('Continuous Assessment Records'!L:L,'Continuous Assessment Records'!A:A,$A185,'Continuous Assessment Records'!F:F,$B185,'Continuous Assessment Records'!C:C,"Assignment"),"")</f>
        <v/>
      </c>
      <c r="J185">
        <f>IFERROR(AVERAGEIFS('Continuous Assessment Records'!L:L,'Continuous Assessment Records'!A:A,$A185,'Continuous Assessment Records'!F:F,$B185,'Continuous Assessment Records'!C:C,"Unit Test"),"")</f>
        <v/>
      </c>
      <c r="K185">
        <f>IFERROR(AVERAGEIFS('Continuous Assessment Records'!L:L,'Continuous Assessment Records'!A:A,$A185,'Continuous Assessment Records'!F:F,$B185,'Continuous Assessment Records'!C:C,"Mid-Term"),"")</f>
        <v/>
      </c>
      <c r="L18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>
        <f>IFERROR(AVERAGEIFS('Continuous Assessment Records'!L:L,'Continuous Assessment Records'!A:A,$A186,'Continuous Assessment Records'!F:F,$B186,'Continuous Assessment Records'!C:C,"Assignment"),"")</f>
        <v/>
      </c>
      <c r="J186">
        <f>IFERROR(AVERAGEIFS('Continuous Assessment Records'!L:L,'Continuous Assessment Records'!A:A,$A186,'Continuous Assessment Records'!F:F,$B186,'Continuous Assessment Records'!C:C,"Unit Test"),"")</f>
        <v/>
      </c>
      <c r="K186">
        <f>IFERROR(AVERAGEIFS('Continuous Assessment Records'!L:L,'Continuous Assessment Records'!A:A,$A186,'Continuous Assessment Records'!F:F,$B186,'Continuous Assessment Records'!C:C,"Mid-Term"),"")</f>
        <v/>
      </c>
      <c r="L186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>
        <f>IFERROR(AVERAGEIFS('Continuous Assessment Records'!L:L,'Continuous Assessment Records'!A:A,$A187,'Continuous Assessment Records'!F:F,$B187,'Continuous Assessment Records'!C:C,"Assignment"),"")</f>
        <v/>
      </c>
      <c r="J187">
        <f>IFERROR(AVERAGEIFS('Continuous Assessment Records'!L:L,'Continuous Assessment Records'!A:A,$A187,'Continuous Assessment Records'!F:F,$B187,'Continuous Assessment Records'!C:C,"Unit Test"),"")</f>
        <v/>
      </c>
      <c r="K187">
        <f>IFERROR(AVERAGEIFS('Continuous Assessment Records'!L:L,'Continuous Assessment Records'!A:A,$A187,'Continuous Assessment Records'!F:F,$B187,'Continuous Assessment Records'!C:C,"Mid-Term"),"")</f>
        <v/>
      </c>
      <c r="L187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>
        <f>IFERROR(AVERAGEIFS('Continuous Assessment Records'!L:L,'Continuous Assessment Records'!A:A,$A188,'Continuous Assessment Records'!F:F,$B188,'Continuous Assessment Records'!C:C,"Assignment"),"")</f>
        <v/>
      </c>
      <c r="J188">
        <f>IFERROR(AVERAGEIFS('Continuous Assessment Records'!L:L,'Continuous Assessment Records'!A:A,$A188,'Continuous Assessment Records'!F:F,$B188,'Continuous Assessment Records'!C:C,"Unit Test"),"")</f>
        <v/>
      </c>
      <c r="K188">
        <f>IFERROR(AVERAGEIFS('Continuous Assessment Records'!L:L,'Continuous Assessment Records'!A:A,$A188,'Continuous Assessment Records'!F:F,$B188,'Continuous Assessment Records'!C:C,"Mid-Term"),"")</f>
        <v/>
      </c>
      <c r="L188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>
        <f>IFERROR(AVERAGEIFS('Continuous Assessment Records'!L:L,'Continuous Assessment Records'!A:A,$A189,'Continuous Assessment Records'!F:F,$B189,'Continuous Assessment Records'!C:C,"Assignment"),"")</f>
        <v/>
      </c>
      <c r="J189">
        <f>IFERROR(AVERAGEIFS('Continuous Assessment Records'!L:L,'Continuous Assessment Records'!A:A,$A189,'Continuous Assessment Records'!F:F,$B189,'Continuous Assessment Records'!C:C,"Unit Test"),"")</f>
        <v/>
      </c>
      <c r="K189">
        <f>IFERROR(AVERAGEIFS('Continuous Assessment Records'!L:L,'Continuous Assessment Records'!A:A,$A189,'Continuous Assessment Records'!F:F,$B189,'Continuous Assessment Records'!C:C,"Mid-Term"),"")</f>
        <v/>
      </c>
      <c r="L189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>
        <f>IFERROR(AVERAGEIFS('Continuous Assessment Records'!L:L,'Continuous Assessment Records'!A:A,$A190,'Continuous Assessment Records'!F:F,$B190,'Continuous Assessment Records'!C:C,"Assignment"),"")</f>
        <v/>
      </c>
      <c r="J190">
        <f>IFERROR(AVERAGEIFS('Continuous Assessment Records'!L:L,'Continuous Assessment Records'!A:A,$A190,'Continuous Assessment Records'!F:F,$B190,'Continuous Assessment Records'!C:C,"Unit Test"),"")</f>
        <v/>
      </c>
      <c r="K190">
        <f>IFERROR(AVERAGEIFS('Continuous Assessment Records'!L:L,'Continuous Assessment Records'!A:A,$A190,'Continuous Assessment Records'!F:F,$B190,'Continuous Assessment Records'!C:C,"Mid-Term"),"")</f>
        <v/>
      </c>
      <c r="L190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>
        <f>IFERROR(AVERAGEIFS('Continuous Assessment Records'!L:L,'Continuous Assessment Records'!A:A,$A191,'Continuous Assessment Records'!F:F,$B191,'Continuous Assessment Records'!C:C,"Assignment"),"")</f>
        <v/>
      </c>
      <c r="J191">
        <f>IFERROR(AVERAGEIFS('Continuous Assessment Records'!L:L,'Continuous Assessment Records'!A:A,$A191,'Continuous Assessment Records'!F:F,$B191,'Continuous Assessment Records'!C:C,"Unit Test"),"")</f>
        <v/>
      </c>
      <c r="K191">
        <f>IFERROR(AVERAGEIFS('Continuous Assessment Records'!L:L,'Continuous Assessment Records'!A:A,$A191,'Continuous Assessment Records'!F:F,$B191,'Continuous Assessment Records'!C:C,"Mid-Term"),"")</f>
        <v/>
      </c>
      <c r="L191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>
        <f>IFERROR(AVERAGEIFS('Continuous Assessment Records'!L:L,'Continuous Assessment Records'!A:A,$A192,'Continuous Assessment Records'!F:F,$B192,'Continuous Assessment Records'!C:C,"Assignment"),"")</f>
        <v/>
      </c>
      <c r="J192">
        <f>IFERROR(AVERAGEIFS('Continuous Assessment Records'!L:L,'Continuous Assessment Records'!A:A,$A192,'Continuous Assessment Records'!F:F,$B192,'Continuous Assessment Records'!C:C,"Unit Test"),"")</f>
        <v/>
      </c>
      <c r="K192">
        <f>IFERROR(AVERAGEIFS('Continuous Assessment Records'!L:L,'Continuous Assessment Records'!A:A,$A192,'Continuous Assessment Records'!F:F,$B192,'Continuous Assessment Records'!C:C,"Mid-Term"),"")</f>
        <v/>
      </c>
      <c r="L192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>
        <f>IFERROR(AVERAGEIFS('Continuous Assessment Records'!L:L,'Continuous Assessment Records'!A:A,$A193,'Continuous Assessment Records'!F:F,$B193,'Continuous Assessment Records'!C:C,"Assignment"),"")</f>
        <v/>
      </c>
      <c r="J193">
        <f>IFERROR(AVERAGEIFS('Continuous Assessment Records'!L:L,'Continuous Assessment Records'!A:A,$A193,'Continuous Assessment Records'!F:F,$B193,'Continuous Assessment Records'!C:C,"Unit Test"),"")</f>
        <v/>
      </c>
      <c r="K193">
        <f>IFERROR(AVERAGEIFS('Continuous Assessment Records'!L:L,'Continuous Assessment Records'!A:A,$A193,'Continuous Assessment Records'!F:F,$B193,'Continuous Assessment Records'!C:C,"Mid-Term"),"")</f>
        <v/>
      </c>
      <c r="L193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>
        <f>IFERROR(AVERAGEIFS('Continuous Assessment Records'!L:L,'Continuous Assessment Records'!A:A,$A194,'Continuous Assessment Records'!F:F,$B194,'Continuous Assessment Records'!C:C,"Assignment"),"")</f>
        <v/>
      </c>
      <c r="J194">
        <f>IFERROR(AVERAGEIFS('Continuous Assessment Records'!L:L,'Continuous Assessment Records'!A:A,$A194,'Continuous Assessment Records'!F:F,$B194,'Continuous Assessment Records'!C:C,"Unit Test"),"")</f>
        <v/>
      </c>
      <c r="K194">
        <f>IFERROR(AVERAGEIFS('Continuous Assessment Records'!L:L,'Continuous Assessment Records'!A:A,$A194,'Continuous Assessment Records'!F:F,$B194,'Continuous Assessment Records'!C:C,"Mid-Term"),"")</f>
        <v/>
      </c>
      <c r="L194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>
        <f>IFERROR(AVERAGEIFS('Continuous Assessment Records'!L:L,'Continuous Assessment Records'!A:A,$A195,'Continuous Assessment Records'!F:F,$B195,'Continuous Assessment Records'!C:C,"Assignment"),"")</f>
        <v/>
      </c>
      <c r="J195">
        <f>IFERROR(AVERAGEIFS('Continuous Assessment Records'!L:L,'Continuous Assessment Records'!A:A,$A195,'Continuous Assessment Records'!F:F,$B195,'Continuous Assessment Records'!C:C,"Unit Test"),"")</f>
        <v/>
      </c>
      <c r="K195">
        <f>IFERROR(AVERAGEIFS('Continuous Assessment Records'!L:L,'Continuous Assessment Records'!A:A,$A195,'Continuous Assessment Records'!F:F,$B195,'Continuous Assessment Records'!C:C,"Mid-Term"),"")</f>
        <v/>
      </c>
      <c r="L19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>
        <f>IFERROR(AVERAGEIFS('Continuous Assessment Records'!L:L,'Continuous Assessment Records'!A:A,$A196,'Continuous Assessment Records'!F:F,$B196,'Continuous Assessment Records'!C:C,"Assignment"),"")</f>
        <v/>
      </c>
      <c r="J196">
        <f>IFERROR(AVERAGEIFS('Continuous Assessment Records'!L:L,'Continuous Assessment Records'!A:A,$A196,'Continuous Assessment Records'!F:F,$B196,'Continuous Assessment Records'!C:C,"Unit Test"),"")</f>
        <v/>
      </c>
      <c r="K196">
        <f>IFERROR(AVERAGEIFS('Continuous Assessment Records'!L:L,'Continuous Assessment Records'!A:A,$A196,'Continuous Assessment Records'!F:F,$B196,'Continuous Assessment Records'!C:C,"Mid-Term"),"")</f>
        <v/>
      </c>
      <c r="L196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>
        <f>IFERROR(AVERAGEIFS('Continuous Assessment Records'!L:L,'Continuous Assessment Records'!A:A,$A197,'Continuous Assessment Records'!F:F,$B197,'Continuous Assessment Records'!C:C,"Assignment"),"")</f>
        <v/>
      </c>
      <c r="J197">
        <f>IFERROR(AVERAGEIFS('Continuous Assessment Records'!L:L,'Continuous Assessment Records'!A:A,$A197,'Continuous Assessment Records'!F:F,$B197,'Continuous Assessment Records'!C:C,"Unit Test"),"")</f>
        <v/>
      </c>
      <c r="K197">
        <f>IFERROR(AVERAGEIFS('Continuous Assessment Records'!L:L,'Continuous Assessment Records'!A:A,$A197,'Continuous Assessment Records'!F:F,$B197,'Continuous Assessment Records'!C:C,"Mid-Term"),"")</f>
        <v/>
      </c>
      <c r="L197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>
        <f>IFERROR(AVERAGEIFS('Continuous Assessment Records'!L:L,'Continuous Assessment Records'!A:A,$A198,'Continuous Assessment Records'!F:F,$B198,'Continuous Assessment Records'!C:C,"Assignment"),"")</f>
        <v/>
      </c>
      <c r="J198">
        <f>IFERROR(AVERAGEIFS('Continuous Assessment Records'!L:L,'Continuous Assessment Records'!A:A,$A198,'Continuous Assessment Records'!F:F,$B198,'Continuous Assessment Records'!C:C,"Unit Test"),"")</f>
        <v/>
      </c>
      <c r="K198">
        <f>IFERROR(AVERAGEIFS('Continuous Assessment Records'!L:L,'Continuous Assessment Records'!A:A,$A198,'Continuous Assessment Records'!F:F,$B198,'Continuous Assessment Records'!C:C,"Mid-Term"),"")</f>
        <v/>
      </c>
      <c r="L198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>
        <f>IFERROR(AVERAGEIFS('Continuous Assessment Records'!L:L,'Continuous Assessment Records'!A:A,$A199,'Continuous Assessment Records'!F:F,$B199,'Continuous Assessment Records'!C:C,"Assignment"),"")</f>
        <v/>
      </c>
      <c r="J199">
        <f>IFERROR(AVERAGEIFS('Continuous Assessment Records'!L:L,'Continuous Assessment Records'!A:A,$A199,'Continuous Assessment Records'!F:F,$B199,'Continuous Assessment Records'!C:C,"Unit Test"),"")</f>
        <v/>
      </c>
      <c r="K199">
        <f>IFERROR(AVERAGEIFS('Continuous Assessment Records'!L:L,'Continuous Assessment Records'!A:A,$A199,'Continuous Assessment Records'!F:F,$B199,'Continuous Assessment Records'!C:C,"Mid-Term"),"")</f>
        <v/>
      </c>
      <c r="L199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>
        <f>IFERROR(AVERAGEIFS('Continuous Assessment Records'!L:L,'Continuous Assessment Records'!A:A,$A200,'Continuous Assessment Records'!F:F,$B200,'Continuous Assessment Records'!C:C,"Assignment"),"")</f>
        <v/>
      </c>
      <c r="J200">
        <f>IFERROR(AVERAGEIFS('Continuous Assessment Records'!L:L,'Continuous Assessment Records'!A:A,$A200,'Continuous Assessment Records'!F:F,$B200,'Continuous Assessment Records'!C:C,"Unit Test"),"")</f>
        <v/>
      </c>
      <c r="K200">
        <f>IFERROR(AVERAGEIFS('Continuous Assessment Records'!L:L,'Continuous Assessment Records'!A:A,$A200,'Continuous Assessment Records'!F:F,$B200,'Continuous Assessment Records'!C:C,"Mid-Term"),"")</f>
        <v/>
      </c>
      <c r="L200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>
        <f>IFERROR(AVERAGEIFS('Continuous Assessment Records'!L:L,'Continuous Assessment Records'!A:A,$A201,'Continuous Assessment Records'!F:F,$B201,'Continuous Assessment Records'!C:C,"Assignment"),"")</f>
        <v/>
      </c>
      <c r="J201">
        <f>IFERROR(AVERAGEIFS('Continuous Assessment Records'!L:L,'Continuous Assessment Records'!A:A,$A201,'Continuous Assessment Records'!F:F,$B201,'Continuous Assessment Records'!C:C,"Unit Test"),"")</f>
        <v/>
      </c>
      <c r="K201">
        <f>IFERROR(AVERAGEIFS('Continuous Assessment Records'!L:L,'Continuous Assessment Records'!A:A,$A201,'Continuous Assessment Records'!F:F,$B201,'Continuous Assessment Records'!C:C,"Mid-Term"),"")</f>
        <v/>
      </c>
      <c r="L201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5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I205" t="n">
        <v>0.2</v>
      </c>
      <c r="J205" t="n">
        <v>0.3</v>
      </c>
      <c r="K205" t="n">
        <v>0.5</v>
      </c>
    </row>
    <row r="207">
      <c r="A207" t="inlineStr">
        <is>
          <t>Average Final Attainment</t>
        </is>
      </c>
      <c r="B207">
        <f>IFERROR(AVERAGE(O2:O200),"")</f>
        <v/>
      </c>
    </row>
    <row r="209">
      <c r="A209" t="inlineStr">
        <is>
          <t>Count of COs at Level 3</t>
        </is>
      </c>
      <c r="B209">
        <f>COUNTIF(O2:O200,3)</f>
        <v/>
      </c>
    </row>
    <row r="210">
      <c r="A210" t="inlineStr">
        <is>
          <t>Count of COs at Level 2</t>
        </is>
      </c>
      <c r="B210">
        <f>COUNTIF(O2:O200,2)</f>
        <v/>
      </c>
    </row>
    <row r="211">
      <c r="A211" t="inlineStr">
        <is>
          <t>Count of COs at Level 1</t>
        </is>
      </c>
      <c r="B211">
        <f>COUNTIF(O2:O200,1)</f>
        <v/>
      </c>
    </row>
    <row r="212">
      <c r="A212" t="inlineStr">
        <is>
          <t>Count of COs at Level 0</t>
        </is>
      </c>
      <c r="B212">
        <f>COUNTIF(O2:O200,0)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1" t="inlineStr">
        <is>
          <t>CO</t>
        </is>
      </c>
      <c r="B1" s="1" t="inlineStr">
        <is>
          <t>Assignments Mapped</t>
        </is>
      </c>
      <c r="C1" s="1" t="inlineStr">
        <is>
          <t>Avg % (Auto)</t>
        </is>
      </c>
      <c r="D1" s="1" t="inlineStr">
        <is>
          <t>Attainment Level (0–3 Auto)</t>
        </is>
      </c>
      <c r="E1" s="1" t="inlineStr">
        <is>
          <t>PO(s) Mapped</t>
        </is>
      </c>
      <c r="F1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CO</t>
        </is>
      </c>
      <c r="B1" s="1" t="inlineStr">
        <is>
          <t>Unit Test Questions Mapped</t>
        </is>
      </c>
      <c r="C1" s="1" t="inlineStr">
        <is>
          <t>Avg % (Auto)</t>
        </is>
      </c>
      <c r="D1" s="1" t="inlineStr">
        <is>
          <t>Attainment Level (0–3 Auto)</t>
        </is>
      </c>
      <c r="E1" s="1" t="inlineStr">
        <is>
          <t>PO(s) Mapped</t>
        </is>
      </c>
      <c r="F1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CO</t>
        </is>
      </c>
      <c r="B1" s="1" t="inlineStr">
        <is>
          <t>Mid-Term Questions Mapped</t>
        </is>
      </c>
      <c r="C1" s="1" t="inlineStr">
        <is>
          <t>Avg % (Auto)</t>
        </is>
      </c>
      <c r="D1" s="1" t="inlineStr">
        <is>
          <t>Attainment Level (0–3 Auto)</t>
        </is>
      </c>
      <c r="E1" s="1" t="inlineStr">
        <is>
          <t>PO(s) Mapped</t>
        </is>
      </c>
      <c r="F1" s="1" t="inlineStr">
        <is>
          <t>PSO(s) Mapped</t>
        </is>
      </c>
    </row>
    <row r="3">
      <c r="A3" t="inlineStr">
        <is>
          <t>CO1</t>
        </is>
      </c>
      <c r="B3">
        <f>TEXTJOIN(", ",TRUE,IF('Mid-Term Mapping'!G$2:G$1000=A3,'Mid-Term Mapping'!D$2:D$1000,""))</f>
        <v/>
      </c>
      <c r="C3">
        <f>IFERROR(AVERAGEIFS('Continuous Assessment Records'!L:L,'Continuous Assessment Records'!F:F,A3,'Continuous Assessment Records'!C:C,"Mid-Term"),"")</f>
        <v/>
      </c>
      <c r="D3">
        <f>IF(C3="","",IF(C3&gt;=0.7,3,IF(C3&gt;=0.6,2,IF(C3&gt;=0.5,1,0))))</f>
        <v/>
      </c>
      <c r="E3">
        <f>TEXTJOIN(", ",TRUE,IF('Mid-Term Mapping'!G$2:G$1000=A3,'Mid-Term Mapping'!H$2:H$1000,""))</f>
        <v/>
      </c>
      <c r="F3">
        <f>TEXTJOIN(", ",TRUE,IF('Mid-Term Mapping'!G$2:G$1000=A3,'Mid-Term Mapping'!I$2:I$1000,""))</f>
        <v/>
      </c>
    </row>
    <row r="4">
      <c r="A4" t="inlineStr">
        <is>
          <t>CO2</t>
        </is>
      </c>
      <c r="B4">
        <f>TEXTJOIN(", ",TRUE,IF('Mid-Term Mapping'!G$2:G$1000=A4,'Mid-Term Mapping'!D$2:D$1000,""))</f>
        <v/>
      </c>
      <c r="C4">
        <f>IFERROR(AVERAGEIFS('Continuous Assessment Records'!L:L,'Continuous Assessment Records'!F:F,A4,'Continuous Assessment Records'!C:C,"Mid-Term"),"")</f>
        <v/>
      </c>
      <c r="D4">
        <f>IF(C4="","",IF(C4&gt;=0.7,3,IF(C4&gt;=0.6,2,IF(C4&gt;=0.5,1,0))))</f>
        <v/>
      </c>
      <c r="E4">
        <f>TEXTJOIN(", ",TRUE,IF('Mid-Term Mapping'!G$2:G$1000=A4,'Mid-Term Mapping'!H$2:H$1000,""))</f>
        <v/>
      </c>
      <c r="F4">
        <f>TEXTJOIN(", ",TRUE,IF('Mid-Term Mapping'!G$2:G$1000=A4,'Mid-Term Mapping'!I$2:I$1000,""))</f>
        <v/>
      </c>
    </row>
    <row r="5">
      <c r="A5" t="inlineStr">
        <is>
          <t>CO3</t>
        </is>
      </c>
      <c r="B5">
        <f>TEXTJOIN(", ",TRUE,IF('Mid-Term Mapping'!G$2:G$1000=A5,'Mid-Term Mapping'!D$2:D$1000,""))</f>
        <v/>
      </c>
      <c r="C5">
        <f>IFERROR(AVERAGEIFS('Continuous Assessment Records'!L:L,'Continuous Assessment Records'!F:F,A5,'Continuous Assessment Records'!C:C,"Mid-Term"),"")</f>
        <v/>
      </c>
      <c r="D5">
        <f>IF(C5="","",IF(C5&gt;=0.7,3,IF(C5&gt;=0.6,2,IF(C5&gt;=0.5,1,0))))</f>
        <v/>
      </c>
      <c r="E5">
        <f>TEXTJOIN(", ",TRUE,IF('Mid-Term Mapping'!G$2:G$1000=A5,'Mid-Term Mapping'!H$2:H$1000,""))</f>
        <v/>
      </c>
      <c r="F5">
        <f>TEXTJOIN(", ",TRUE,IF('Mid-Term Mapping'!G$2:G$1000=A5,'Mid-Term Mapping'!I$2:I$1000,""))</f>
        <v/>
      </c>
    </row>
    <row r="6">
      <c r="A6" t="inlineStr">
        <is>
          <t>CO4</t>
        </is>
      </c>
      <c r="B6">
        <f>TEXTJOIN(", ",TRUE,IF('Mid-Term Mapping'!G$2:G$1000=A6,'Mid-Term Mapping'!D$2:D$1000,""))</f>
        <v/>
      </c>
      <c r="C6">
        <f>IFERROR(AVERAGEIFS('Continuous Assessment Records'!L:L,'Continuous Assessment Records'!F:F,A6,'Continuous Assessment Records'!C:C,"Mid-Term"),"")</f>
        <v/>
      </c>
      <c r="D6">
        <f>IF(C6="","",IF(C6&gt;=0.7,3,IF(C6&gt;=0.6,2,IF(C6&gt;=0.5,1,0))))</f>
        <v/>
      </c>
      <c r="E6">
        <f>TEXTJOIN(", ",TRUE,IF('Mid-Term Mapping'!G$2:G$1000=A6,'Mid-Term Mapping'!H$2:H$1000,""))</f>
        <v/>
      </c>
      <c r="F6">
        <f>TEXTJOIN(", ",TRUE,IF('Mid-Term Mapping'!G$2:G$1000=A6,'Mid-Term Mapping'!I$2:I$1000,""))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5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C3">
        <f>'Unit Test-wise Attainment'!C3</f>
        <v/>
      </c>
      <c r="D3">
        <f>'Mid-Term-wise Attainment'!C3</f>
        <v/>
      </c>
      <c r="E3">
        <f>IF(B3="","",B3*$B$20+C3*$C$20+D3*$D$20)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TEXTJOIN(", ",TRUE,UNIQUE(FILTER('Assignment Mapping'!G$2:G$1000,'Assignment Mapping'!F$2:F$1000=A3)))</f>
        <v/>
      </c>
      <c r="J3">
        <f>TEXTJOIN(", ",TRUE,UNIQUE(FILTER('Assignment Mapping'!H$2:H$1000,'Assignment Mapping'!F$2:F$1000=A3)))</f>
        <v/>
      </c>
    </row>
    <row r="4">
      <c r="A4" t="inlineStr">
        <is>
          <t>CO2</t>
        </is>
      </c>
      <c r="B4">
        <f>'Assignment-wise Attainment'!C4</f>
        <v/>
      </c>
      <c r="C4">
        <f>'Unit Test-wise Attainment'!C4</f>
        <v/>
      </c>
      <c r="D4">
        <f>'Mid-Term-wise Attainment'!C4</f>
        <v/>
      </c>
      <c r="E4">
        <f>IF(B4="","",B4*$B$20+C4*$C$20+D4*$D$20)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TEXTJOIN(", ",TRUE,UNIQUE(FILTER('Assignment Mapping'!G$2:G$1000,'Assignment Mapping'!F$2:F$1000=A4)))</f>
        <v/>
      </c>
      <c r="J4">
        <f>TEXTJOIN(", ",TRUE,UNIQUE(FILTER('Assignment Mapping'!H$2:H$1000,'Assignment Mapping'!F$2:F$1000=A4)))</f>
        <v/>
      </c>
    </row>
    <row r="5">
      <c r="A5" t="inlineStr">
        <is>
          <t>CO3</t>
        </is>
      </c>
      <c r="B5">
        <f>'Assignment-wise Attainment'!C5</f>
        <v/>
      </c>
      <c r="C5">
        <f>'Unit Test-wise Attainment'!C5</f>
        <v/>
      </c>
      <c r="D5">
        <f>'Mid-Term-wise Attainment'!C5</f>
        <v/>
      </c>
      <c r="E5">
        <f>IF(B5="","",B5*$B$20+C5*$C$20+D5*$D$20)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TEXTJOIN(", ",TRUE,UNIQUE(FILTER('Assignment Mapping'!G$2:G$1000,'Assignment Mapping'!F$2:F$1000=A5)))</f>
        <v/>
      </c>
      <c r="J5">
        <f>TEXTJOIN(", ",TRUE,UNIQUE(FILTER('Assignment Mapping'!H$2:H$1000,'Assignment Mapping'!F$2:F$1000=A5)))</f>
        <v/>
      </c>
    </row>
    <row r="6">
      <c r="A6" t="inlineStr">
        <is>
          <t>CO4</t>
        </is>
      </c>
      <c r="B6">
        <f>'Assignment-wise Attainment'!C6</f>
        <v/>
      </c>
      <c r="C6">
        <f>'Unit Test-wise Attainment'!C6</f>
        <v/>
      </c>
      <c r="D6">
        <f>'Mid-Term-wise Attainment'!C6</f>
        <v/>
      </c>
      <c r="E6">
        <f>IF(B6="","",B6*$B$20+C6*$C$20+D6*$D$20)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TEXTJOIN(", ",TRUE,UNIQUE(FILTER('Assignment Mapping'!G$2:G$1000,'Assignment Mapping'!F$2:F$1000=A6)))</f>
        <v/>
      </c>
      <c r="J6">
        <f>TEXTJOIN(", ",TRUE,UNIQUE(FILTER('Assignment Mapping'!H$2:H$1000,'Assignment Mapping'!F$2:F$1000=A6)))</f>
        <v/>
      </c>
    </row>
    <row r="19">
      <c r="A19" s="5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CO–PO &amp; CO–PSO Mapping Matrix (Strength Values: 3=Strong, 2=Moderate, 1=Slight, Blank=None)</t>
        </is>
      </c>
    </row>
    <row r="2">
      <c r="A2" s="1" t="inlineStr">
        <is>
          <t>CO</t>
        </is>
      </c>
      <c r="B2" s="1" t="inlineStr">
        <is>
          <t>PO1</t>
        </is>
      </c>
      <c r="C2" s="1" t="inlineStr">
        <is>
          <t>PO2</t>
        </is>
      </c>
      <c r="D2" s="1" t="inlineStr">
        <is>
          <t>PO3</t>
        </is>
      </c>
      <c r="E2" s="1" t="inlineStr">
        <is>
          <t>PO4</t>
        </is>
      </c>
      <c r="F2" s="1" t="inlineStr">
        <is>
          <t>PO5</t>
        </is>
      </c>
      <c r="G2" s="1" t="inlineStr">
        <is>
          <t>PO6</t>
        </is>
      </c>
      <c r="H2" s="1" t="inlineStr">
        <is>
          <t>PO7</t>
        </is>
      </c>
      <c r="I2" s="1" t="inlineStr">
        <is>
          <t>PO8</t>
        </is>
      </c>
      <c r="J2" s="1" t="inlineStr">
        <is>
          <t>PO9</t>
        </is>
      </c>
      <c r="K2" s="1" t="inlineStr">
        <is>
          <t>PO10</t>
        </is>
      </c>
      <c r="L2" s="1" t="inlineStr">
        <is>
          <t>PO11</t>
        </is>
      </c>
      <c r="M2" s="1" t="inlineStr">
        <is>
          <t>PO12</t>
        </is>
      </c>
      <c r="N2" s="1" t="inlineStr">
        <is>
          <t>PSO1</t>
        </is>
      </c>
      <c r="O2" s="1" t="inlineStr">
        <is>
          <t>PSO2</t>
        </is>
      </c>
      <c r="P2" s="1" t="inlineStr">
        <is>
          <t>PSO3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3" t="inlineStr">
        <is>
          <t>Note: Fill strength values (3/2/1) per CO vs PO/PSO. Used by PO_PSO Aggregation.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2" customWidth="1" min="4" max="4"/>
    <col width="26" customWidth="1" min="5" max="5"/>
  </cols>
  <sheetData>
    <row r="1">
      <c r="A1" s="5" t="inlineStr">
        <is>
          <t>PO and PSO Aggregation (Weighted Average of CO Final Attainments × Mapping Strengths)</t>
        </is>
      </c>
    </row>
    <row r="3">
      <c r="A3" s="1" t="inlineStr">
        <is>
          <t>PO</t>
        </is>
      </c>
      <c r="B3" s="1" t="inlineStr">
        <is>
          <t>Contributing COs</t>
        </is>
      </c>
      <c r="C3" s="1" t="inlineStr">
        <is>
          <t>Aggregated Attainment (0–3 Auto)</t>
        </is>
      </c>
    </row>
    <row r="4">
      <c r="A4" t="inlineStr">
        <is>
          <t>PO1</t>
        </is>
      </c>
      <c r="B4">
        <f>TEXTJOIN(", ",TRUE,IF('CO–PO &amp; PSO Matrix'!B$3:B$6&lt;&gt;"",'CO–PO &amp; PSO Matrix'!$A$3:$A$6,""))</f>
        <v/>
      </c>
      <c r="C4">
        <f>IF(SUM('CO–PO &amp; PSO Matrix'!B$3:B$6)=0,"",SUMPRODUCT(INDEX('CO Attainment Summary'!$H$3:$H$6, MATCH('CO–PO &amp; PSO Matrix'!$A$3:$A$6, 'CO Attainment Summary'!$A$3:$A$6,0)),'CO–PO &amp; PSO Matrix'!B$3:B$6)/SUM('CO–PO &amp; PSO Matrix'!B$3:B$6))</f>
        <v/>
      </c>
    </row>
    <row r="5">
      <c r="A5" t="inlineStr">
        <is>
          <t>PO2</t>
        </is>
      </c>
      <c r="B5">
        <f>TEXTJOIN(", ",TRUE,IF('CO–PO &amp; PSO Matrix'!C$3:C$6&lt;&gt;"",'CO–PO &amp; PSO Matrix'!$A$3:$A$6,""))</f>
        <v/>
      </c>
      <c r="C5">
        <f>IF(SUM('CO–PO &amp; PSO Matrix'!C$3:C$6)=0,"",SUMPRODUCT(INDEX('CO Attainment Summary'!$H$3:$H$6, MATCH('CO–PO &amp; PSO Matrix'!$A$3:$A$6, 'CO Attainment Summary'!$A$3:$A$6,0)),'CO–PO &amp; PSO Matrix'!C$3:C$6)/SUM('CO–PO &amp; PSO Matrix'!C$3:C$6))</f>
        <v/>
      </c>
    </row>
    <row r="6">
      <c r="A6" t="inlineStr">
        <is>
          <t>PO3</t>
        </is>
      </c>
      <c r="B6">
        <f>TEXTJOIN(", ",TRUE,IF('CO–PO &amp; PSO Matrix'!D$3:D$6&lt;&gt;"",'CO–PO &amp; PSO Matrix'!$A$3:$A$6,""))</f>
        <v/>
      </c>
      <c r="C6">
        <f>IF(SUM('CO–PO &amp; PSO Matrix'!D$3:D$6)=0,"",SUMPRODUCT(INDEX('CO Attainment Summary'!$H$3:$H$6, MATCH('CO–PO &amp; PSO Matrix'!$A$3:$A$6, 'CO Attainment Summary'!$A$3:$A$6,0)),'CO–PO &amp; PSO Matrix'!D$3:D$6)/SUM('CO–PO &amp; PSO Matrix'!D$3:D$6))</f>
        <v/>
      </c>
    </row>
    <row r="7">
      <c r="A7" t="inlineStr">
        <is>
          <t>PO4</t>
        </is>
      </c>
      <c r="B7">
        <f>TEXTJOIN(", ",TRUE,IF('CO–PO &amp; PSO Matrix'!E$3:E$6&lt;&gt;"",'CO–PO &amp; PSO Matrix'!$A$3:$A$6,""))</f>
        <v/>
      </c>
      <c r="C7">
        <f>IF(SUM('CO–PO &amp; PSO Matrix'!E$3:E$6)=0,"",SUMPRODUCT(INDEX('CO Attainment Summary'!$H$3:$H$6, MATCH('CO–PO &amp; PSO Matrix'!$A$3:$A$6, 'CO Attainment Summary'!$A$3:$A$6,0)),'CO–PO &amp; PSO Matrix'!E$3:E$6)/SUM('CO–PO &amp; PSO Matrix'!E$3:E$6))</f>
        <v/>
      </c>
    </row>
    <row r="8">
      <c r="A8" t="inlineStr">
        <is>
          <t>PO5</t>
        </is>
      </c>
      <c r="B8">
        <f>TEXTJOIN(", ",TRUE,IF('CO–PO &amp; PSO Matrix'!F$3:F$6&lt;&gt;"",'CO–PO &amp; PSO Matrix'!$A$3:$A$6,""))</f>
        <v/>
      </c>
      <c r="C8">
        <f>IF(SUM('CO–PO &amp; PSO Matrix'!F$3:F$6)=0,"",SUMPRODUCT(INDEX('CO Attainment Summary'!$H$3:$H$6, MATCH('CO–PO &amp; PSO Matrix'!$A$3:$A$6, 'CO Attainment Summary'!$A$3:$A$6,0)),'CO–PO &amp; PSO Matrix'!F$3:F$6)/SUM('CO–PO &amp; PSO Matrix'!F$3:F$6))</f>
        <v/>
      </c>
    </row>
    <row r="9">
      <c r="A9" t="inlineStr">
        <is>
          <t>PO6</t>
        </is>
      </c>
      <c r="B9">
        <f>TEXTJOIN(", ",TRUE,IF('CO–PO &amp; PSO Matrix'!G$3:G$6&lt;&gt;"",'CO–PO &amp; PSO Matrix'!$A$3:$A$6,""))</f>
        <v/>
      </c>
      <c r="C9">
        <f>IF(SUM('CO–PO &amp; PSO Matrix'!G$3:G$6)=0,"",SUMPRODUCT(INDEX('CO Attainment Summary'!$H$3:$H$6, MATCH('CO–PO &amp; PSO Matrix'!$A$3:$A$6, 'CO Attainment Summary'!$A$3:$A$6,0)),'CO–PO &amp; PSO Matrix'!G$3:G$6)/SUM('CO–PO &amp; PSO Matrix'!G$3:G$6))</f>
        <v/>
      </c>
    </row>
    <row r="10">
      <c r="A10" t="inlineStr">
        <is>
          <t>PO7</t>
        </is>
      </c>
      <c r="B10">
        <f>TEXTJOIN(", ",TRUE,IF('CO–PO &amp; PSO Matrix'!H$3:H$6&lt;&gt;"",'CO–PO &amp; PSO Matrix'!$A$3:$A$6,""))</f>
        <v/>
      </c>
      <c r="C10">
        <f>IF(SUM('CO–PO &amp; PSO Matrix'!H$3:H$6)=0,"",SUMPRODUCT(INDEX('CO Attainment Summary'!$H$3:$H$6, MATCH('CO–PO &amp; PSO Matrix'!$A$3:$A$6, 'CO Attainment Summary'!$A$3:$A$6,0)),'CO–PO &amp; PSO Matrix'!H$3:H$6)/SUM('CO–PO &amp; PSO Matrix'!H$3:H$6))</f>
        <v/>
      </c>
    </row>
    <row r="11">
      <c r="A11" t="inlineStr">
        <is>
          <t>PO8</t>
        </is>
      </c>
      <c r="B11">
        <f>TEXTJOIN(", ",TRUE,IF('CO–PO &amp; PSO Matrix'!I$3:I$6&lt;&gt;"",'CO–PO &amp; PSO Matrix'!$A$3:$A$6,""))</f>
        <v/>
      </c>
      <c r="C11">
        <f>IF(SUM('CO–PO &amp; PSO Matrix'!I$3:I$6)=0,"",SUMPRODUCT(INDEX('CO Attainment Summary'!$H$3:$H$6, MATCH('CO–PO &amp; PSO Matrix'!$A$3:$A$6, 'CO Attainment Summary'!$A$3:$A$6,0)),'CO–PO &amp; PSO Matrix'!I$3:I$6)/SUM('CO–PO &amp; PSO Matrix'!I$3:I$6))</f>
        <v/>
      </c>
    </row>
    <row r="12">
      <c r="A12" t="inlineStr">
        <is>
          <t>PO9</t>
        </is>
      </c>
      <c r="B12">
        <f>TEXTJOIN(", ",TRUE,IF('CO–PO &amp; PSO Matrix'!J$3:J$6&lt;&gt;"",'CO–PO &amp; PSO Matrix'!$A$3:$A$6,""))</f>
        <v/>
      </c>
      <c r="C12">
        <f>IF(SUM('CO–PO &amp; PSO Matrix'!J$3:J$6)=0,"",SUMPRODUCT(INDEX('CO Attainment Summary'!$H$3:$H$6, MATCH('CO–PO &amp; PSO Matrix'!$A$3:$A$6, 'CO Attainment Summary'!$A$3:$A$6,0)),'CO–PO &amp; PSO Matrix'!J$3:J$6)/SUM('CO–PO &amp; PSO Matrix'!J$3:J$6))</f>
        <v/>
      </c>
    </row>
    <row r="13">
      <c r="A13" t="inlineStr">
        <is>
          <t>PO10</t>
        </is>
      </c>
      <c r="B13">
        <f>TEXTJOIN(", ",TRUE,IF('CO–PO &amp; PSO Matrix'!K$3:K$6&lt;&gt;"",'CO–PO &amp; PSO Matrix'!$A$3:$A$6,""))</f>
        <v/>
      </c>
      <c r="C13">
        <f>IF(SUM('CO–PO &amp; PSO Matrix'!K$3:K$6)=0,"",SUMPRODUCT(INDEX('CO Attainment Summary'!$H$3:$H$6, MATCH('CO–PO &amp; PSO Matrix'!$A$3:$A$6, 'CO Attainment Summary'!$A$3:$A$6,0)),'CO–PO &amp; PSO Matrix'!K$3:K$6)/SUM('CO–PO &amp; PSO Matrix'!K$3:K$6))</f>
        <v/>
      </c>
    </row>
    <row r="14">
      <c r="A14" t="inlineStr">
        <is>
          <t>PO11</t>
        </is>
      </c>
      <c r="B14">
        <f>TEXTJOIN(", ",TRUE,IF('CO–PO &amp; PSO Matrix'!L$3:L$6&lt;&gt;"",'CO–PO &amp; PSO Matrix'!$A$3:$A$6,""))</f>
        <v/>
      </c>
      <c r="C14">
        <f>IF(SUM('CO–PO &amp; PSO Matrix'!L$3:L$6)=0,"",SUMPRODUCT(INDEX('CO Attainment Summary'!$H$3:$H$6, MATCH('CO–PO &amp; PSO Matrix'!$A$3:$A$6, 'CO Attainment Summary'!$A$3:$A$6,0)),'CO–PO &amp; PSO Matrix'!L$3:L$6)/SUM('CO–PO &amp; PSO Matrix'!L$3:L$6))</f>
        <v/>
      </c>
    </row>
    <row r="15">
      <c r="A15" t="inlineStr">
        <is>
          <t>PO12</t>
        </is>
      </c>
      <c r="B15">
        <f>TEXTJOIN(", ",TRUE,IF('CO–PO &amp; PSO Matrix'!M$3:M$6&lt;&gt;"",'CO–PO &amp; PSO Matrix'!$A$3:$A$6,""))</f>
        <v/>
      </c>
      <c r="C15">
        <f>IF(SUM('CO–PO &amp; PSO Matrix'!M$3:M$6)=0,"",SUMPRODUCT(INDEX('CO Attainment Summary'!$H$3:$H$6, MATCH('CO–PO &amp; PSO Matrix'!$A$3:$A$6, 'CO Attainment Summary'!$A$3:$A$6,0)),'CO–PO &amp; PSO Matrix'!M$3:M$6)/SUM('CO–PO &amp; PSO Matrix'!M$3:M$6))</f>
        <v/>
      </c>
    </row>
    <row r="22">
      <c r="A22" s="1" t="inlineStr">
        <is>
          <t>PSO</t>
        </is>
      </c>
      <c r="B22" s="1" t="inlineStr">
        <is>
          <t>Contributing COs</t>
        </is>
      </c>
      <c r="C22" s="1" t="inlineStr">
        <is>
          <t>Aggregated Attainment (0–3 Auto)</t>
        </is>
      </c>
    </row>
    <row r="23">
      <c r="A23" t="inlineStr">
        <is>
          <t>PSO1</t>
        </is>
      </c>
      <c r="B23">
        <f>TEXTJOIN(", ",TRUE,IF('CO–PO &amp; PSO Matrix'!N$3:N$6&lt;&gt;"",'CO–PO &amp; PSO Matrix'!$A$3:$A$6,""))</f>
        <v/>
      </c>
      <c r="C23">
        <f>IF(SUM('CO–PO &amp; PSO Matrix'!N$3:N$6)=0,"",SUMPRODUCT(INDEX('CO Attainment Summary'!$H$3:$H$6, MATCH('CO–PO &amp; PSO Matrix'!$A$3:$A$6, 'CO Attainment Summary'!$A$3:$A$6,0)),'CO–PO &amp; PSO Matrix'!N$3:N$6)/SUM('CO–PO &amp; PSO Matrix'!N$3:N$6))</f>
        <v/>
      </c>
    </row>
    <row r="24">
      <c r="A24" t="inlineStr">
        <is>
          <t>PSO2</t>
        </is>
      </c>
      <c r="B24">
        <f>TEXTJOIN(", ",TRUE,IF('CO–PO &amp; PSO Matrix'!O$3:O$6&lt;&gt;"",'CO–PO &amp; PSO Matrix'!$A$3:$A$6,""))</f>
        <v/>
      </c>
      <c r="C24">
        <f>IF(SUM('CO–PO &amp; PSO Matrix'!O$3:O$6)=0,"",SUMPRODUCT(INDEX('CO Attainment Summary'!$H$3:$H$6, MATCH('CO–PO &amp; PSO Matrix'!$A$3:$A$6, 'CO Attainment Summary'!$A$3:$A$6,0)),'CO–PO &amp; PSO Matrix'!O$3:O$6)/SUM('CO–PO &amp; PSO Matrix'!O$3:O$6))</f>
        <v/>
      </c>
    </row>
    <row r="25">
      <c r="A25" t="inlineStr">
        <is>
          <t>PSO3</t>
        </is>
      </c>
      <c r="B25">
        <f>TEXTJOIN(", ",TRUE,IF('CO–PO &amp; PSO Matrix'!P$3:P$6&lt;&gt;"",'CO–PO &amp; PSO Matrix'!$A$3:$A$6,""))</f>
        <v/>
      </c>
      <c r="C25">
        <f>IF(SUM('CO–PO &amp; PSO Matrix'!P$3:P$6)=0,"",SUMPRODUCT(INDEX('CO Attainment Summary'!$H$3:$H$6, MATCH('CO–PO &amp; PSO Matrix'!$A$3:$A$6, 'CO Attainment Summary'!$A$3:$A$6,0)),'CO–PO &amp; PSO Matrix'!P$3:P$6)/SUM('CO–PO &amp; PSO Matrix'!P$3:P$6))</f>
        <v/>
      </c>
    </row>
    <row r="35">
      <c r="A35" s="5" t="inlineStr">
        <is>
          <t>Final Aggregated PO/PSO Attainment Table (Expanded with CO Finals &amp; Mapping Strengths)</t>
        </is>
      </c>
    </row>
    <row r="36">
      <c r="A36" s="1" t="inlineStr">
        <is>
          <t>PO/PSO</t>
        </is>
      </c>
      <c r="B36" s="1" t="inlineStr">
        <is>
          <t>Contributing COs</t>
        </is>
      </c>
      <c r="C36" s="1" t="inlineStr">
        <is>
          <t>CO Final Attainments</t>
        </is>
      </c>
      <c r="D36" s="1" t="inlineStr">
        <is>
          <t>Mapping Strengths</t>
        </is>
      </c>
      <c r="E36" s="1" t="inlineStr">
        <is>
          <t>Aggregated Attainment (0–3)</t>
        </is>
      </c>
    </row>
    <row r="37">
      <c r="A37" t="inlineStr">
        <is>
          <t>PO1</t>
        </is>
      </c>
      <c r="B37">
        <f>TEXTJOIN(", ",TRUE,IF('CO–PO &amp; PSO Matrix'!B$3:B$6&lt;&gt;"",'CO–PO &amp; PSO Matrix'!$A$3:$A$6,""))</f>
        <v/>
      </c>
      <c r="C37">
        <f>TEXTJOIN(", ",TRUE,IF('CO–PO &amp; PSO Matrix'!B$3:B$6&lt;&gt;"", INDEX('CO Attainment Summary'!$H$3:$H$6, MATCH('CO–PO &amp; PSO Matrix'!$A$3:$A$6, 'CO Attainment Summary'!$A$3:$A$6,0)), ""))</f>
        <v/>
      </c>
      <c r="D37">
        <f>TEXTJOIN(", ",TRUE,IF('CO–PO &amp; PSO Matrix'!B$3:B$6&lt;&gt;"", 'CO–PO &amp; PSO Matrix'!B$3:B$6, ""))</f>
        <v/>
      </c>
      <c r="E37">
        <f>IF(SUM('CO–PO &amp; PSO Matrix'!B$3:B$6)=0,"",SUMPRODUCT(INDEX('CO Attainment Summary'!$H$3:$H$6, MATCH('CO–PO &amp; PSO Matrix'!$A$3:$A$6, 'CO Attainment Summary'!$A$3:$A$6,0)),'CO–PO &amp; PSO Matrix'!B$3:B$6)/SUM('CO–PO &amp; PSO Matrix'!B$3:B$6))</f>
        <v/>
      </c>
    </row>
    <row r="38">
      <c r="A38" t="inlineStr">
        <is>
          <t>PO2</t>
        </is>
      </c>
      <c r="B38">
        <f>TEXTJOIN(", ",TRUE,IF('CO–PO &amp; PSO Matrix'!C$3:C$6&lt;&gt;"",'CO–PO &amp; PSO Matrix'!$A$3:$A$6,""))</f>
        <v/>
      </c>
      <c r="C38">
        <f>TEXTJOIN(", ",TRUE,IF('CO–PO &amp; PSO Matrix'!C$3:C$6&lt;&gt;"", INDEX('CO Attainment Summary'!$H$3:$H$6, MATCH('CO–PO &amp; PSO Matrix'!$A$3:$A$6, 'CO Attainment Summary'!$A$3:$A$6,0)), ""))</f>
        <v/>
      </c>
      <c r="D38">
        <f>TEXTJOIN(", ",TRUE,IF('CO–PO &amp; PSO Matrix'!C$3:C$6&lt;&gt;"", 'CO–PO &amp; PSO Matrix'!C$3:C$6, ""))</f>
        <v/>
      </c>
      <c r="E38">
        <f>IF(SUM('CO–PO &amp; PSO Matrix'!C$3:C$6)=0,"",SUMPRODUCT(INDEX('CO Attainment Summary'!$H$3:$H$6, MATCH('CO–PO &amp; PSO Matrix'!$A$3:$A$6, 'CO Attainment Summary'!$A$3:$A$6,0)),'CO–PO &amp; PSO Matrix'!C$3:C$6)/SUM('CO–PO &amp; PSO Matrix'!C$3:C$6))</f>
        <v/>
      </c>
    </row>
    <row r="39">
      <c r="A39" t="inlineStr">
        <is>
          <t>PO3</t>
        </is>
      </c>
      <c r="B39">
        <f>TEXTJOIN(", ",TRUE,IF('CO–PO &amp; PSO Matrix'!D$3:D$6&lt;&gt;"",'CO–PO &amp; PSO Matrix'!$A$3:$A$6,""))</f>
        <v/>
      </c>
      <c r="C39">
        <f>TEXTJOIN(", ",TRUE,IF('CO–PO &amp; PSO Matrix'!D$3:D$6&lt;&gt;"", INDEX('CO Attainment Summary'!$H$3:$H$6, MATCH('CO–PO &amp; PSO Matrix'!$A$3:$A$6, 'CO Attainment Summary'!$A$3:$A$6,0)), ""))</f>
        <v/>
      </c>
      <c r="D39">
        <f>TEXTJOIN(", ",TRUE,IF('CO–PO &amp; PSO Matrix'!D$3:D$6&lt;&gt;"", 'CO–PO &amp; PSO Matrix'!D$3:D$6, ""))</f>
        <v/>
      </c>
      <c r="E39">
        <f>IF(SUM('CO–PO &amp; PSO Matrix'!D$3:D$6)=0,"",SUMPRODUCT(INDEX('CO Attainment Summary'!$H$3:$H$6, MATCH('CO–PO &amp; PSO Matrix'!$A$3:$A$6, 'CO Attainment Summary'!$A$3:$A$6,0)),'CO–PO &amp; PSO Matrix'!D$3:D$6)/SUM('CO–PO &amp; PSO Matrix'!D$3:D$6))</f>
        <v/>
      </c>
    </row>
    <row r="40">
      <c r="A40" t="inlineStr">
        <is>
          <t>PO4</t>
        </is>
      </c>
      <c r="B40">
        <f>TEXTJOIN(", ",TRUE,IF('CO–PO &amp; PSO Matrix'!E$3:E$6&lt;&gt;"",'CO–PO &amp; PSO Matrix'!$A$3:$A$6,""))</f>
        <v/>
      </c>
      <c r="C40">
        <f>TEXTJOIN(", ",TRUE,IF('CO–PO &amp; PSO Matrix'!E$3:E$6&lt;&gt;"", INDEX('CO Attainment Summary'!$H$3:$H$6, MATCH('CO–PO &amp; PSO Matrix'!$A$3:$A$6, 'CO Attainment Summary'!$A$3:$A$6,0)), ""))</f>
        <v/>
      </c>
      <c r="D40">
        <f>TEXTJOIN(", ",TRUE,IF('CO–PO &amp; PSO Matrix'!E$3:E$6&lt;&gt;"", 'CO–PO &amp; PSO Matrix'!E$3:E$6, ""))</f>
        <v/>
      </c>
      <c r="E40">
        <f>IF(SUM('CO–PO &amp; PSO Matrix'!E$3:E$6)=0,"",SUMPRODUCT(INDEX('CO Attainment Summary'!$H$3:$H$6, MATCH('CO–PO &amp; PSO Matrix'!$A$3:$A$6, 'CO Attainment Summary'!$A$3:$A$6,0)),'CO–PO &amp; PSO Matrix'!E$3:E$6)/SUM('CO–PO &amp; PSO Matrix'!E$3:E$6))</f>
        <v/>
      </c>
    </row>
    <row r="41">
      <c r="A41" t="inlineStr">
        <is>
          <t>PO5</t>
        </is>
      </c>
      <c r="B41">
        <f>TEXTJOIN(", ",TRUE,IF('CO–PO &amp; PSO Matrix'!F$3:F$6&lt;&gt;"",'CO–PO &amp; PSO Matrix'!$A$3:$A$6,""))</f>
        <v/>
      </c>
      <c r="C41">
        <f>TEXTJOIN(", ",TRUE,IF('CO–PO &amp; PSO Matrix'!F$3:F$6&lt;&gt;"", INDEX('CO Attainment Summary'!$H$3:$H$6, MATCH('CO–PO &amp; PSO Matrix'!$A$3:$A$6, 'CO Attainment Summary'!$A$3:$A$6,0)), ""))</f>
        <v/>
      </c>
      <c r="D41">
        <f>TEXTJOIN(", ",TRUE,IF('CO–PO &amp; PSO Matrix'!F$3:F$6&lt;&gt;"", 'CO–PO &amp; PSO Matrix'!F$3:F$6, ""))</f>
        <v/>
      </c>
      <c r="E41">
        <f>IF(SUM('CO–PO &amp; PSO Matrix'!F$3:F$6)=0,"",SUMPRODUCT(INDEX('CO Attainment Summary'!$H$3:$H$6, MATCH('CO–PO &amp; PSO Matrix'!$A$3:$A$6, 'CO Attainment Summary'!$A$3:$A$6,0)),'CO–PO &amp; PSO Matrix'!F$3:F$6)/SUM('CO–PO &amp; PSO Matrix'!F$3:F$6))</f>
        <v/>
      </c>
    </row>
    <row r="42">
      <c r="A42" t="inlineStr">
        <is>
          <t>PO6</t>
        </is>
      </c>
      <c r="B42">
        <f>TEXTJOIN(", ",TRUE,IF('CO–PO &amp; PSO Matrix'!G$3:G$6&lt;&gt;"",'CO–PO &amp; PSO Matrix'!$A$3:$A$6,""))</f>
        <v/>
      </c>
      <c r="C42">
        <f>TEXTJOIN(", ",TRUE,IF('CO–PO &amp; PSO Matrix'!G$3:G$6&lt;&gt;"", INDEX('CO Attainment Summary'!$H$3:$H$6, MATCH('CO–PO &amp; PSO Matrix'!$A$3:$A$6, 'CO Attainment Summary'!$A$3:$A$6,0)), ""))</f>
        <v/>
      </c>
      <c r="D42">
        <f>TEXTJOIN(", ",TRUE,IF('CO–PO &amp; PSO Matrix'!G$3:G$6&lt;&gt;"", 'CO–PO &amp; PSO Matrix'!G$3:G$6, ""))</f>
        <v/>
      </c>
      <c r="E42">
        <f>IF(SUM('CO–PO &amp; PSO Matrix'!G$3:G$6)=0,"",SUMPRODUCT(INDEX('CO Attainment Summary'!$H$3:$H$6, MATCH('CO–PO &amp; PSO Matrix'!$A$3:$A$6, 'CO Attainment Summary'!$A$3:$A$6,0)),'CO–PO &amp; PSO Matrix'!G$3:G$6)/SUM('CO–PO &amp; PSO Matrix'!G$3:G$6))</f>
        <v/>
      </c>
    </row>
    <row r="43">
      <c r="A43" t="inlineStr">
        <is>
          <t>PO7</t>
        </is>
      </c>
      <c r="B43">
        <f>TEXTJOIN(", ",TRUE,IF('CO–PO &amp; PSO Matrix'!H$3:H$6&lt;&gt;"",'CO–PO &amp; PSO Matrix'!$A$3:$A$6,""))</f>
        <v/>
      </c>
      <c r="C43">
        <f>TEXTJOIN(", ",TRUE,IF('CO–PO &amp; PSO Matrix'!H$3:H$6&lt;&gt;"", INDEX('CO Attainment Summary'!$H$3:$H$6, MATCH('CO–PO &amp; PSO Matrix'!$A$3:$A$6, 'CO Attainment Summary'!$A$3:$A$6,0)), ""))</f>
        <v/>
      </c>
      <c r="D43">
        <f>TEXTJOIN(", ",TRUE,IF('CO–PO &amp; PSO Matrix'!H$3:H$6&lt;&gt;"", 'CO–PO &amp; PSO Matrix'!H$3:H$6, ""))</f>
        <v/>
      </c>
      <c r="E43">
        <f>IF(SUM('CO–PO &amp; PSO Matrix'!H$3:H$6)=0,"",SUMPRODUCT(INDEX('CO Attainment Summary'!$H$3:$H$6, MATCH('CO–PO &amp; PSO Matrix'!$A$3:$A$6, 'CO Attainment Summary'!$A$3:$A$6,0)),'CO–PO &amp; PSO Matrix'!H$3:H$6)/SUM('CO–PO &amp; PSO Matrix'!H$3:H$6))</f>
        <v/>
      </c>
    </row>
    <row r="44">
      <c r="A44" t="inlineStr">
        <is>
          <t>PO8</t>
        </is>
      </c>
      <c r="B44">
        <f>TEXTJOIN(", ",TRUE,IF('CO–PO &amp; PSO Matrix'!I$3:I$6&lt;&gt;"",'CO–PO &amp; PSO Matrix'!$A$3:$A$6,""))</f>
        <v/>
      </c>
      <c r="C44">
        <f>TEXTJOIN(", ",TRUE,IF('CO–PO &amp; PSO Matrix'!I$3:I$6&lt;&gt;"", INDEX('CO Attainment Summary'!$H$3:$H$6, MATCH('CO–PO &amp; PSO Matrix'!$A$3:$A$6, 'CO Attainment Summary'!$A$3:$A$6,0)), ""))</f>
        <v/>
      </c>
      <c r="D44">
        <f>TEXTJOIN(", ",TRUE,IF('CO–PO &amp; PSO Matrix'!I$3:I$6&lt;&gt;"", 'CO–PO &amp; PSO Matrix'!I$3:I$6, ""))</f>
        <v/>
      </c>
      <c r="E44">
        <f>IF(SUM('CO–PO &amp; PSO Matrix'!I$3:I$6)=0,"",SUMPRODUCT(INDEX('CO Attainment Summary'!$H$3:$H$6, MATCH('CO–PO &amp; PSO Matrix'!$A$3:$A$6, 'CO Attainment Summary'!$A$3:$A$6,0)),'CO–PO &amp; PSO Matrix'!I$3:I$6)/SUM('CO–PO &amp; PSO Matrix'!I$3:I$6))</f>
        <v/>
      </c>
    </row>
    <row r="45">
      <c r="A45" t="inlineStr">
        <is>
          <t>PO9</t>
        </is>
      </c>
      <c r="B45">
        <f>TEXTJOIN(", ",TRUE,IF('CO–PO &amp; PSO Matrix'!J$3:J$6&lt;&gt;"",'CO–PO &amp; PSO Matrix'!$A$3:$A$6,""))</f>
        <v/>
      </c>
      <c r="C45">
        <f>TEXTJOIN(", ",TRUE,IF('CO–PO &amp; PSO Matrix'!J$3:J$6&lt;&gt;"", INDEX('CO Attainment Summary'!$H$3:$H$6, MATCH('CO–PO &amp; PSO Matrix'!$A$3:$A$6, 'CO Attainment Summary'!$A$3:$A$6,0)), ""))</f>
        <v/>
      </c>
      <c r="D45">
        <f>TEXTJOIN(", ",TRUE,IF('CO–PO &amp; PSO Matrix'!J$3:J$6&lt;&gt;"", 'CO–PO &amp; PSO Matrix'!J$3:J$6, ""))</f>
        <v/>
      </c>
      <c r="E45">
        <f>IF(SUM('CO–PO &amp; PSO Matrix'!J$3:J$6)=0,"",SUMPRODUCT(INDEX('CO Attainment Summary'!$H$3:$H$6, MATCH('CO–PO &amp; PSO Matrix'!$A$3:$A$6, 'CO Attainment Summary'!$A$3:$A$6,0)),'CO–PO &amp; PSO Matrix'!J$3:J$6)/SUM('CO–PO &amp; PSO Matrix'!J$3:J$6))</f>
        <v/>
      </c>
    </row>
    <row r="46">
      <c r="A46" t="inlineStr">
        <is>
          <t>PO10</t>
        </is>
      </c>
      <c r="B46">
        <f>TEXTJOIN(", ",TRUE,IF('CO–PO &amp; PSO Matrix'!K$3:K$6&lt;&gt;"",'CO–PO &amp; PSO Matrix'!$A$3:$A$6,""))</f>
        <v/>
      </c>
      <c r="C46">
        <f>TEXTJOIN(", ",TRUE,IF('CO–PO &amp; PSO Matrix'!K$3:K$6&lt;&gt;"", INDEX('CO Attainment Summary'!$H$3:$H$6, MATCH('CO–PO &amp; PSO Matrix'!$A$3:$A$6, 'CO Attainment Summary'!$A$3:$A$6,0)), ""))</f>
        <v/>
      </c>
      <c r="D46">
        <f>TEXTJOIN(", ",TRUE,IF('CO–PO &amp; PSO Matrix'!K$3:K$6&lt;&gt;"", 'CO–PO &amp; PSO Matrix'!K$3:K$6, ""))</f>
        <v/>
      </c>
      <c r="E46">
        <f>IF(SUM('CO–PO &amp; PSO Matrix'!K$3:K$6)=0,"",SUMPRODUCT(INDEX('CO Attainment Summary'!$H$3:$H$6, MATCH('CO–PO &amp; PSO Matrix'!$A$3:$A$6, 'CO Attainment Summary'!$A$3:$A$6,0)),'CO–PO &amp; PSO Matrix'!K$3:K$6)/SUM('CO–PO &amp; PSO Matrix'!K$3:K$6))</f>
        <v/>
      </c>
    </row>
    <row r="47">
      <c r="A47" t="inlineStr">
        <is>
          <t>PO11</t>
        </is>
      </c>
      <c r="B47">
        <f>TEXTJOIN(", ",TRUE,IF('CO–PO &amp; PSO Matrix'!L$3:L$6&lt;&gt;"",'CO–PO &amp; PSO Matrix'!$A$3:$A$6,""))</f>
        <v/>
      </c>
      <c r="C47">
        <f>TEXTJOIN(", ",TRUE,IF('CO–PO &amp; PSO Matrix'!L$3:L$6&lt;&gt;"", INDEX('CO Attainment Summary'!$H$3:$H$6, MATCH('CO–PO &amp; PSO Matrix'!$A$3:$A$6, 'CO Attainment Summary'!$A$3:$A$6,0)), ""))</f>
        <v/>
      </c>
      <c r="D47">
        <f>TEXTJOIN(", ",TRUE,IF('CO–PO &amp; PSO Matrix'!L$3:L$6&lt;&gt;"", 'CO–PO &amp; PSO Matrix'!L$3:L$6, ""))</f>
        <v/>
      </c>
      <c r="E47">
        <f>IF(SUM('CO–PO &amp; PSO Matrix'!L$3:L$6)=0,"",SUMPRODUCT(INDEX('CO Attainment Summary'!$H$3:$H$6, MATCH('CO–PO &amp; PSO Matrix'!$A$3:$A$6, 'CO Attainment Summary'!$A$3:$A$6,0)),'CO–PO &amp; PSO Matrix'!L$3:L$6)/SUM('CO–PO &amp; PSO Matrix'!L$3:L$6))</f>
        <v/>
      </c>
    </row>
    <row r="48">
      <c r="A48" t="inlineStr">
        <is>
          <t>PO12</t>
        </is>
      </c>
      <c r="B48">
        <f>TEXTJOIN(", ",TRUE,IF('CO–PO &amp; PSO Matrix'!M$3:M$6&lt;&gt;"",'CO–PO &amp; PSO Matrix'!$A$3:$A$6,""))</f>
        <v/>
      </c>
      <c r="C48">
        <f>TEXTJOIN(", ",TRUE,IF('CO–PO &amp; PSO Matrix'!M$3:M$6&lt;&gt;"", INDEX('CO Attainment Summary'!$H$3:$H$6, MATCH('CO–PO &amp; PSO Matrix'!$A$3:$A$6, 'CO Attainment Summary'!$A$3:$A$6,0)), ""))</f>
        <v/>
      </c>
      <c r="D48">
        <f>TEXTJOIN(", ",TRUE,IF('CO–PO &amp; PSO Matrix'!M$3:M$6&lt;&gt;"", 'CO–PO &amp; PSO Matrix'!M$3:M$6, ""))</f>
        <v/>
      </c>
      <c r="E48">
        <f>IF(SUM('CO–PO &amp; PSO Matrix'!M$3:M$6)=0,"",SUMPRODUCT(INDEX('CO Attainment Summary'!$H$3:$H$6, MATCH('CO–PO &amp; PSO Matrix'!$A$3:$A$6, 'CO Attainment Summary'!$A$3:$A$6,0)),'CO–PO &amp; PSO Matrix'!M$3:M$6)/SUM('CO–PO &amp; PSO Matrix'!M$3:M$6))</f>
        <v/>
      </c>
    </row>
    <row r="49">
      <c r="A49" t="inlineStr">
        <is>
          <t>PSO1</t>
        </is>
      </c>
      <c r="B49">
        <f>TEXTJOIN(", ",TRUE,IF('CO–PO &amp; PSO Matrix'!N$3:N$6&lt;&gt;"",'CO–PO &amp; PSO Matrix'!$A$3:$A$6,""))</f>
        <v/>
      </c>
      <c r="C49">
        <f>TEXTJOIN(", ",TRUE,IF('CO–PO &amp; PSO Matrix'!N$3:N$6&lt;&gt;"", INDEX('CO Attainment Summary'!$H$3:$H$6, MATCH('CO–PO &amp; PSO Matrix'!$A$3:$A$6, 'CO Attainment Summary'!$A$3:$A$6,0)), ""))</f>
        <v/>
      </c>
      <c r="D49">
        <f>TEXTJOIN(", ",TRUE,IF('CO–PO &amp; PSO Matrix'!N$3:N$6&lt;&gt;"", 'CO–PO &amp; PSO Matrix'!N$3:N$6, ""))</f>
        <v/>
      </c>
      <c r="E49">
        <f>IF(SUM('CO–PO &amp; PSO Matrix'!N$3:N$6)=0,"",SUMPRODUCT(INDEX('CO Attainment Summary'!$H$3:$H$6, MATCH('CO–PO &amp; PSO Matrix'!$A$3:$A$6, 'CO Attainment Summary'!$A$3:$A$6,0)),'CO–PO &amp; PSO Matrix'!N$3:N$6)/SUM('CO–PO &amp; PSO Matrix'!N$3:N$6))</f>
        <v/>
      </c>
    </row>
    <row r="50">
      <c r="A50" t="inlineStr">
        <is>
          <t>PSO2</t>
        </is>
      </c>
      <c r="B50">
        <f>TEXTJOIN(", ",TRUE,IF('CO–PO &amp; PSO Matrix'!O$3:O$6&lt;&gt;"",'CO–PO &amp; PSO Matrix'!$A$3:$A$6,""))</f>
        <v/>
      </c>
      <c r="C50">
        <f>TEXTJOIN(", ",TRUE,IF('CO–PO &amp; PSO Matrix'!O$3:O$6&lt;&gt;"", INDEX('CO Attainment Summary'!$H$3:$H$6, MATCH('CO–PO &amp; PSO Matrix'!$A$3:$A$6, 'CO Attainment Summary'!$A$3:$A$6,0)), ""))</f>
        <v/>
      </c>
      <c r="D50">
        <f>TEXTJOIN(", ",TRUE,IF('CO–PO &amp; PSO Matrix'!O$3:O$6&lt;&gt;"", 'CO–PO &amp; PSO Matrix'!O$3:O$6, ""))</f>
        <v/>
      </c>
      <c r="E50">
        <f>IF(SUM('CO–PO &amp; PSO Matrix'!O$3:O$6)=0,"",SUMPRODUCT(INDEX('CO Attainment Summary'!$H$3:$H$6, MATCH('CO–PO &amp; PSO Matrix'!$A$3:$A$6, 'CO Attainment Summary'!$A$3:$A$6,0)),'CO–PO &amp; PSO Matrix'!O$3:O$6)/SUM('CO–PO &amp; PSO Matrix'!O$3:O$6))</f>
        <v/>
      </c>
    </row>
    <row r="51">
      <c r="A51" t="inlineStr">
        <is>
          <t>PSO3</t>
        </is>
      </c>
      <c r="B51">
        <f>TEXTJOIN(", ",TRUE,IF('CO–PO &amp; PSO Matrix'!P$3:P$6&lt;&gt;"",'CO–PO &amp; PSO Matrix'!$A$3:$A$6,""))</f>
        <v/>
      </c>
      <c r="C51">
        <f>TEXTJOIN(", ",TRUE,IF('CO–PO &amp; PSO Matrix'!P$3:P$6&lt;&gt;"", INDEX('CO Attainment Summary'!$H$3:$H$6, MATCH('CO–PO &amp; PSO Matrix'!$A$3:$A$6, 'CO Attainment Summary'!$A$3:$A$6,0)), ""))</f>
        <v/>
      </c>
      <c r="D51">
        <f>TEXTJOIN(", ",TRUE,IF('CO–PO &amp; PSO Matrix'!P$3:P$6&lt;&gt;"", 'CO–PO &amp; PSO Matrix'!P$3:P$6, ""))</f>
        <v/>
      </c>
      <c r="E51">
        <f>IF(SUM('CO–PO &amp; PSO Matrix'!P$3:P$6)=0,"",SUMPRODUCT(INDEX('CO Attainment Summary'!$H$3:$H$6, MATCH('CO–PO &amp; PSO Matrix'!$A$3:$A$6, 'CO Attainment Summary'!$A$3:$A$6,0)),'CO–PO &amp; PSO Matrix'!P$3:P$6)/SUM('CO–PO &amp; PSO Matrix'!P$3:P$6))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5" t="inlineStr">
        <is>
          <t>Section A: Student-wise Attainment per CO (Raw to Levels)</t>
        </is>
      </c>
    </row>
    <row r="2">
      <c r="A2" s="1" t="inlineStr">
        <is>
          <t>Roll No.</t>
        </is>
      </c>
      <c r="B2" s="1" t="inlineStr">
        <is>
          <t>Student Name</t>
        </is>
      </c>
      <c r="C2" s="1" t="inlineStr">
        <is>
          <t>CO</t>
        </is>
      </c>
      <c r="D2" s="1" t="inlineStr">
        <is>
          <t>Max Marks</t>
        </is>
      </c>
      <c r="E2" s="1" t="inlineStr">
        <is>
          <t>Marks Obtained</t>
        </is>
      </c>
      <c r="F2" s="1" t="inlineStr">
        <is>
          <t>% Score (Auto)</t>
        </is>
      </c>
      <c r="G2" s="1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4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4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4">
        <f>IF(D5=0,"",E5/D5)</f>
        <v/>
      </c>
      <c r="G5">
        <f>IF(F5="","",IF(F5&gt;=0.7,3,IF(F5&gt;=0.6,2,IF(F5&gt;=0.5,1,0))))</f>
        <v/>
      </c>
    </row>
    <row r="6">
      <c r="F6" s="4">
        <f>IF(D6=0,"",E6/D6)</f>
        <v/>
      </c>
      <c r="G6">
        <f>IF(F6="","",IF(F6&gt;=0.7,3,IF(F6&gt;=0.6,2,IF(F6&gt;=0.5,1,0))))</f>
        <v/>
      </c>
    </row>
    <row r="7">
      <c r="F7" s="4">
        <f>IF(D7=0,"",E7/D7)</f>
        <v/>
      </c>
      <c r="G7">
        <f>IF(F7="","",IF(F7&gt;=0.7,3,IF(F7&gt;=0.6,2,IF(F7&gt;=0.5,1,0))))</f>
        <v/>
      </c>
    </row>
    <row r="8">
      <c r="F8" s="4">
        <f>IF(D8=0,"",E8/D8)</f>
        <v/>
      </c>
      <c r="G8">
        <f>IF(F8="","",IF(F8&gt;=0.7,3,IF(F8&gt;=0.6,2,IF(F8&gt;=0.5,1,0))))</f>
        <v/>
      </c>
    </row>
    <row r="9">
      <c r="F9" s="4">
        <f>IF(D9=0,"",E9/D9)</f>
        <v/>
      </c>
      <c r="G9">
        <f>IF(F9="","",IF(F9&gt;=0.7,3,IF(F9&gt;=0.6,2,IF(F9&gt;=0.5,1,0))))</f>
        <v/>
      </c>
    </row>
    <row r="10">
      <c r="F10" s="4">
        <f>IF(D10=0,"",E10/D10)</f>
        <v/>
      </c>
      <c r="G10">
        <f>IF(F10="","",IF(F10&gt;=0.7,3,IF(F10&gt;=0.6,2,IF(F10&gt;=0.5,1,0))))</f>
        <v/>
      </c>
    </row>
    <row r="11">
      <c r="F11" s="4">
        <f>IF(D11=0,"",E11/D11)</f>
        <v/>
      </c>
      <c r="G11">
        <f>IF(F11="","",IF(F11&gt;=0.7,3,IF(F11&gt;=0.6,2,IF(F11&gt;=0.5,1,0))))</f>
        <v/>
      </c>
    </row>
    <row r="12">
      <c r="F12" s="4">
        <f>IF(D12=0,"",E12/D12)</f>
        <v/>
      </c>
      <c r="G12">
        <f>IF(F12="","",IF(F12&gt;=0.7,3,IF(F12&gt;=0.6,2,IF(F12&gt;=0.5,1,0))))</f>
        <v/>
      </c>
    </row>
    <row r="13">
      <c r="F13" s="4">
        <f>IF(D13=0,"",E13/D13)</f>
        <v/>
      </c>
      <c r="G13">
        <f>IF(F13="","",IF(F13&gt;=0.7,3,IF(F13&gt;=0.6,2,IF(F13&gt;=0.5,1,0))))</f>
        <v/>
      </c>
    </row>
    <row r="14">
      <c r="F14" s="4">
        <f>IF(D14=0,"",E14/D14)</f>
        <v/>
      </c>
      <c r="G14">
        <f>IF(F14="","",IF(F14&gt;=0.7,3,IF(F14&gt;=0.6,2,IF(F14&gt;=0.5,1,0))))</f>
        <v/>
      </c>
    </row>
    <row r="15">
      <c r="F15" s="4">
        <f>IF(D15=0,"",E15/D15)</f>
        <v/>
      </c>
      <c r="G15">
        <f>IF(F15="","",IF(F15&gt;=0.7,3,IF(F15&gt;=0.6,2,IF(F15&gt;=0.5,1,0))))</f>
        <v/>
      </c>
    </row>
    <row r="16">
      <c r="F16" s="4">
        <f>IF(D16=0,"",E16/D16)</f>
        <v/>
      </c>
      <c r="G16">
        <f>IF(F16="","",IF(F16&gt;=0.7,3,IF(F16&gt;=0.6,2,IF(F16&gt;=0.5,1,0))))</f>
        <v/>
      </c>
    </row>
    <row r="17">
      <c r="F17" s="4">
        <f>IF(D17=0,"",E17/D17)</f>
        <v/>
      </c>
      <c r="G17">
        <f>IF(F17="","",IF(F17&gt;=0.7,3,IF(F17&gt;=0.6,2,IF(F17&gt;=0.5,1,0))))</f>
        <v/>
      </c>
    </row>
    <row r="18">
      <c r="F18" s="4">
        <f>IF(D18=0,"",E18/D18)</f>
        <v/>
      </c>
      <c r="G18">
        <f>IF(F18="","",IF(F18&gt;=0.7,3,IF(F18&gt;=0.6,2,IF(F18&gt;=0.5,1,0))))</f>
        <v/>
      </c>
    </row>
    <row r="19">
      <c r="F19" s="4">
        <f>IF(D19=0,"",E19/D19)</f>
        <v/>
      </c>
      <c r="G19">
        <f>IF(F19="","",IF(F19&gt;=0.7,3,IF(F19&gt;=0.6,2,IF(F19&gt;=0.5,1,0))))</f>
        <v/>
      </c>
    </row>
    <row r="20">
      <c r="F20" s="4">
        <f>IF(D20=0,"",E20/D20)</f>
        <v/>
      </c>
      <c r="G20">
        <f>IF(F20="","",IF(F20&gt;=0.7,3,IF(F20&gt;=0.6,2,IF(F20&gt;=0.5,1,0))))</f>
        <v/>
      </c>
    </row>
    <row r="21">
      <c r="F21" s="4">
        <f>IF(D21=0,"",E21/D21)</f>
        <v/>
      </c>
      <c r="G21">
        <f>IF(F21="","",IF(F21&gt;=0.7,3,IF(F21&gt;=0.6,2,IF(F21&gt;=0.5,1,0))))</f>
        <v/>
      </c>
    </row>
    <row r="22">
      <c r="F22" s="4">
        <f>IF(D22=0,"",E22/D22)</f>
        <v/>
      </c>
      <c r="G22">
        <f>IF(F22="","",IF(F22&gt;=0.7,3,IF(F22&gt;=0.6,2,IF(F22&gt;=0.5,1,0))))</f>
        <v/>
      </c>
    </row>
    <row r="23">
      <c r="F23" s="4">
        <f>IF(D23=0,"",E23/D23)</f>
        <v/>
      </c>
      <c r="G23">
        <f>IF(F23="","",IF(F23&gt;=0.7,3,IF(F23&gt;=0.6,2,IF(F23&gt;=0.5,1,0))))</f>
        <v/>
      </c>
    </row>
    <row r="24">
      <c r="F24" s="4">
        <f>IF(D24=0,"",E24/D24)</f>
        <v/>
      </c>
      <c r="G24">
        <f>IF(F24="","",IF(F24&gt;=0.7,3,IF(F24&gt;=0.6,2,IF(F24&gt;=0.5,1,0))))</f>
        <v/>
      </c>
    </row>
    <row r="25">
      <c r="F25" s="4">
        <f>IF(D25=0,"",E25/D25)</f>
        <v/>
      </c>
      <c r="G25">
        <f>IF(F25="","",IF(F25&gt;=0.7,3,IF(F25&gt;=0.6,2,IF(F25&gt;=0.5,1,0))))</f>
        <v/>
      </c>
    </row>
    <row r="26">
      <c r="F26" s="4">
        <f>IF(D26=0,"",E26/D26)</f>
        <v/>
      </c>
      <c r="G26">
        <f>IF(F26="","",IF(F26&gt;=0.7,3,IF(F26&gt;=0.6,2,IF(F26&gt;=0.5,1,0))))</f>
        <v/>
      </c>
    </row>
    <row r="27">
      <c r="F27" s="4">
        <f>IF(D27=0,"",E27/D27)</f>
        <v/>
      </c>
      <c r="G27">
        <f>IF(F27="","",IF(F27&gt;=0.7,3,IF(F27&gt;=0.6,2,IF(F27&gt;=0.5,1,0))))</f>
        <v/>
      </c>
    </row>
    <row r="28">
      <c r="F28" s="4">
        <f>IF(D28=0,"",E28/D28)</f>
        <v/>
      </c>
      <c r="G28">
        <f>IF(F28="","",IF(F28&gt;=0.7,3,IF(F28&gt;=0.6,2,IF(F28&gt;=0.5,1,0))))</f>
        <v/>
      </c>
    </row>
    <row r="29">
      <c r="F29" s="4">
        <f>IF(D29=0,"",E29/D29)</f>
        <v/>
      </c>
      <c r="G29">
        <f>IF(F29="","",IF(F29&gt;=0.7,3,IF(F29&gt;=0.6,2,IF(F29&gt;=0.5,1,0))))</f>
        <v/>
      </c>
    </row>
    <row r="30">
      <c r="F30" s="4">
        <f>IF(D30=0,"",E30/D30)</f>
        <v/>
      </c>
      <c r="G30">
        <f>IF(F30="","",IF(F30&gt;=0.7,3,IF(F30&gt;=0.6,2,IF(F30&gt;=0.5,1,0))))</f>
        <v/>
      </c>
    </row>
    <row r="31">
      <c r="F31" s="4">
        <f>IF(D31=0,"",E31/D31)</f>
        <v/>
      </c>
      <c r="G31">
        <f>IF(F31="","",IF(F31&gt;=0.7,3,IF(F31&gt;=0.6,2,IF(F31&gt;=0.5,1,0))))</f>
        <v/>
      </c>
    </row>
    <row r="32">
      <c r="F32" s="4">
        <f>IF(D32=0,"",E32/D32)</f>
        <v/>
      </c>
      <c r="G32">
        <f>IF(F32="","",IF(F32&gt;=0.7,3,IF(F32&gt;=0.6,2,IF(F32&gt;=0.5,1,0))))</f>
        <v/>
      </c>
    </row>
    <row r="33">
      <c r="F33" s="4">
        <f>IF(D33=0,"",E33/D33)</f>
        <v/>
      </c>
      <c r="G33">
        <f>IF(F33="","",IF(F33&gt;=0.7,3,IF(F33&gt;=0.6,2,IF(F33&gt;=0.5,1,0))))</f>
        <v/>
      </c>
    </row>
    <row r="34">
      <c r="F34" s="4">
        <f>IF(D34=0,"",E34/D34)</f>
        <v/>
      </c>
      <c r="G34">
        <f>IF(F34="","",IF(F34&gt;=0.7,3,IF(F34&gt;=0.6,2,IF(F34&gt;=0.5,1,0))))</f>
        <v/>
      </c>
    </row>
    <row r="35">
      <c r="F35" s="4">
        <f>IF(D35=0,"",E35/D35)</f>
        <v/>
      </c>
      <c r="G35">
        <f>IF(F35="","",IF(F35&gt;=0.7,3,IF(F35&gt;=0.6,2,IF(F35&gt;=0.5,1,0))))</f>
        <v/>
      </c>
    </row>
    <row r="36">
      <c r="F36" s="4">
        <f>IF(D36=0,"",E36/D36)</f>
        <v/>
      </c>
      <c r="G36">
        <f>IF(F36="","",IF(F36&gt;=0.7,3,IF(F36&gt;=0.6,2,IF(F36&gt;=0.5,1,0))))</f>
        <v/>
      </c>
    </row>
    <row r="37">
      <c r="F37" s="4">
        <f>IF(D37=0,"",E37/D37)</f>
        <v/>
      </c>
      <c r="G37">
        <f>IF(F37="","",IF(F37&gt;=0.7,3,IF(F37&gt;=0.6,2,IF(F37&gt;=0.5,1,0))))</f>
        <v/>
      </c>
    </row>
    <row r="38">
      <c r="F38" s="4">
        <f>IF(D38=0,"",E38/D38)</f>
        <v/>
      </c>
      <c r="G38">
        <f>IF(F38="","",IF(F38&gt;=0.7,3,IF(F38&gt;=0.6,2,IF(F38&gt;=0.5,1,0))))</f>
        <v/>
      </c>
    </row>
    <row r="39">
      <c r="F39" s="4">
        <f>IF(D39=0,"",E39/D39)</f>
        <v/>
      </c>
      <c r="G39">
        <f>IF(F39="","",IF(F39&gt;=0.7,3,IF(F39&gt;=0.6,2,IF(F39&gt;=0.5,1,0))))</f>
        <v/>
      </c>
    </row>
    <row r="40">
      <c r="F40" s="4">
        <f>IF(D40=0,"",E40/D40)</f>
        <v/>
      </c>
      <c r="G40">
        <f>IF(F40="","",IF(F40&gt;=0.7,3,IF(F40&gt;=0.6,2,IF(F40&gt;=0.5,1,0))))</f>
        <v/>
      </c>
    </row>
    <row r="41">
      <c r="F41" s="4">
        <f>IF(D41=0,"",E41/D41)</f>
        <v/>
      </c>
      <c r="G41">
        <f>IF(F41="","",IF(F41&gt;=0.7,3,IF(F41&gt;=0.6,2,IF(F41&gt;=0.5,1,0))))</f>
        <v/>
      </c>
    </row>
    <row r="42">
      <c r="F42" s="4">
        <f>IF(D42=0,"",E42/D42)</f>
        <v/>
      </c>
      <c r="G42">
        <f>IF(F42="","",IF(F42&gt;=0.7,3,IF(F42&gt;=0.6,2,IF(F42&gt;=0.5,1,0))))</f>
        <v/>
      </c>
    </row>
    <row r="43">
      <c r="F43" s="4">
        <f>IF(D43=0,"",E43/D43)</f>
        <v/>
      </c>
      <c r="G43">
        <f>IF(F43="","",IF(F43&gt;=0.7,3,IF(F43&gt;=0.6,2,IF(F43&gt;=0.5,1,0))))</f>
        <v/>
      </c>
    </row>
    <row r="44">
      <c r="F44" s="4">
        <f>IF(D44=0,"",E44/D44)</f>
        <v/>
      </c>
      <c r="G44">
        <f>IF(F44="","",IF(F44&gt;=0.7,3,IF(F44&gt;=0.6,2,IF(F44&gt;=0.5,1,0))))</f>
        <v/>
      </c>
    </row>
    <row r="45">
      <c r="F45" s="4">
        <f>IF(D45=0,"",E45/D45)</f>
        <v/>
      </c>
      <c r="G45">
        <f>IF(F45="","",IF(F45&gt;=0.7,3,IF(F45&gt;=0.6,2,IF(F45&gt;=0.5,1,0))))</f>
        <v/>
      </c>
    </row>
    <row r="46">
      <c r="F46" s="4">
        <f>IF(D46=0,"",E46/D46)</f>
        <v/>
      </c>
      <c r="G46">
        <f>IF(F46="","",IF(F46&gt;=0.7,3,IF(F46&gt;=0.6,2,IF(F46&gt;=0.5,1,0))))</f>
        <v/>
      </c>
    </row>
    <row r="47">
      <c r="F47" s="4">
        <f>IF(D47=0,"",E47/D47)</f>
        <v/>
      </c>
      <c r="G47">
        <f>IF(F47="","",IF(F47&gt;=0.7,3,IF(F47&gt;=0.6,2,IF(F47&gt;=0.5,1,0))))</f>
        <v/>
      </c>
    </row>
    <row r="48">
      <c r="F48" s="4">
        <f>IF(D48=0,"",E48/D48)</f>
        <v/>
      </c>
      <c r="G48">
        <f>IF(F48="","",IF(F48&gt;=0.7,3,IF(F48&gt;=0.6,2,IF(F48&gt;=0.5,1,0))))</f>
        <v/>
      </c>
    </row>
    <row r="49">
      <c r="F49" s="4">
        <f>IF(D49=0,"",E49/D49)</f>
        <v/>
      </c>
      <c r="G49">
        <f>IF(F49="","",IF(F49&gt;=0.7,3,IF(F49&gt;=0.6,2,IF(F49&gt;=0.5,1,0))))</f>
        <v/>
      </c>
    </row>
    <row r="50">
      <c r="F50" s="4">
        <f>IF(D50=0,"",E50/D50)</f>
        <v/>
      </c>
      <c r="G50">
        <f>IF(F50="","",IF(F50&gt;=0.7,3,IF(F50&gt;=0.6,2,IF(F50&gt;=0.5,1,0))))</f>
        <v/>
      </c>
    </row>
    <row r="51">
      <c r="F51" s="4">
        <f>IF(D51=0,"",E51/D51)</f>
        <v/>
      </c>
      <c r="G51">
        <f>IF(F51="","",IF(F51&gt;=0.7,3,IF(F51&gt;=0.6,2,IF(F51&gt;=0.5,1,0))))</f>
        <v/>
      </c>
    </row>
    <row r="52">
      <c r="F52" s="4">
        <f>IF(D52=0,"",E52/D52)</f>
        <v/>
      </c>
      <c r="G52">
        <f>IF(F52="","",IF(F52&gt;=0.7,3,IF(F52&gt;=0.6,2,IF(F52&gt;=0.5,1,0))))</f>
        <v/>
      </c>
    </row>
    <row r="53">
      <c r="F53" s="4">
        <f>IF(D53=0,"",E53/D53)</f>
        <v/>
      </c>
      <c r="G53">
        <f>IF(F53="","",IF(F53&gt;=0.7,3,IF(F53&gt;=0.6,2,IF(F53&gt;=0.5,1,0))))</f>
        <v/>
      </c>
    </row>
    <row r="54">
      <c r="F54" s="4">
        <f>IF(D54=0,"",E54/D54)</f>
        <v/>
      </c>
      <c r="G54">
        <f>IF(F54="","",IF(F54&gt;=0.7,3,IF(F54&gt;=0.6,2,IF(F54&gt;=0.5,1,0))))</f>
        <v/>
      </c>
    </row>
    <row r="55">
      <c r="F55" s="4">
        <f>IF(D55=0,"",E55/D55)</f>
        <v/>
      </c>
      <c r="G55">
        <f>IF(F55="","",IF(F55&gt;=0.7,3,IF(F55&gt;=0.6,2,IF(F55&gt;=0.5,1,0))))</f>
        <v/>
      </c>
    </row>
    <row r="56">
      <c r="F56" s="4">
        <f>IF(D56=0,"",E56/D56)</f>
        <v/>
      </c>
      <c r="G56">
        <f>IF(F56="","",IF(F56&gt;=0.7,3,IF(F56&gt;=0.6,2,IF(F56&gt;=0.5,1,0))))</f>
        <v/>
      </c>
    </row>
    <row r="57">
      <c r="F57" s="4">
        <f>IF(D57=0,"",E57/D57)</f>
        <v/>
      </c>
      <c r="G57">
        <f>IF(F57="","",IF(F57&gt;=0.7,3,IF(F57&gt;=0.6,2,IF(F57&gt;=0.5,1,0))))</f>
        <v/>
      </c>
    </row>
    <row r="58">
      <c r="F58" s="4">
        <f>IF(D58=0,"",E58/D58)</f>
        <v/>
      </c>
      <c r="G58">
        <f>IF(F58="","",IF(F58&gt;=0.7,3,IF(F58&gt;=0.6,2,IF(F58&gt;=0.5,1,0))))</f>
        <v/>
      </c>
    </row>
    <row r="59">
      <c r="F59" s="4">
        <f>IF(D59=0,"",E59/D59)</f>
        <v/>
      </c>
      <c r="G59">
        <f>IF(F59="","",IF(F59&gt;=0.7,3,IF(F59&gt;=0.6,2,IF(F59&gt;=0.5,1,0))))</f>
        <v/>
      </c>
    </row>
    <row r="60">
      <c r="F60" s="4">
        <f>IF(D60=0,"",E60/D60)</f>
        <v/>
      </c>
      <c r="G60">
        <f>IF(F60="","",IF(F60&gt;=0.7,3,IF(F60&gt;=0.6,2,IF(F60&gt;=0.5,1,0))))</f>
        <v/>
      </c>
    </row>
    <row r="61">
      <c r="F61" s="4">
        <f>IF(D61=0,"",E61/D61)</f>
        <v/>
      </c>
      <c r="G61">
        <f>IF(F61="","",IF(F61&gt;=0.7,3,IF(F61&gt;=0.6,2,IF(F61&gt;=0.5,1,0))))</f>
        <v/>
      </c>
    </row>
    <row r="62">
      <c r="F62" s="4">
        <f>IF(D62=0,"",E62/D62)</f>
        <v/>
      </c>
      <c r="G62">
        <f>IF(F62="","",IF(F62&gt;=0.7,3,IF(F62&gt;=0.6,2,IF(F62&gt;=0.5,1,0))))</f>
        <v/>
      </c>
    </row>
    <row r="63">
      <c r="F63" s="4">
        <f>IF(D63=0,"",E63/D63)</f>
        <v/>
      </c>
      <c r="G63">
        <f>IF(F63="","",IF(F63&gt;=0.7,3,IF(F63&gt;=0.6,2,IF(F63&gt;=0.5,1,0))))</f>
        <v/>
      </c>
    </row>
    <row r="64">
      <c r="F64" s="4">
        <f>IF(D64=0,"",E64/D64)</f>
        <v/>
      </c>
      <c r="G64">
        <f>IF(F64="","",IF(F64&gt;=0.7,3,IF(F64&gt;=0.6,2,IF(F64&gt;=0.5,1,0))))</f>
        <v/>
      </c>
    </row>
    <row r="65">
      <c r="F65" s="4">
        <f>IF(D65=0,"",E65/D65)</f>
        <v/>
      </c>
      <c r="G65">
        <f>IF(F65="","",IF(F65&gt;=0.7,3,IF(F65&gt;=0.6,2,IF(F65&gt;=0.5,1,0))))</f>
        <v/>
      </c>
    </row>
    <row r="66">
      <c r="F66" s="4">
        <f>IF(D66=0,"",E66/D66)</f>
        <v/>
      </c>
      <c r="G66">
        <f>IF(F66="","",IF(F66&gt;=0.7,3,IF(F66&gt;=0.6,2,IF(F66&gt;=0.5,1,0))))</f>
        <v/>
      </c>
    </row>
    <row r="67">
      <c r="F67" s="4">
        <f>IF(D67=0,"",E67/D67)</f>
        <v/>
      </c>
      <c r="G67">
        <f>IF(F67="","",IF(F67&gt;=0.7,3,IF(F67&gt;=0.6,2,IF(F67&gt;=0.5,1,0))))</f>
        <v/>
      </c>
    </row>
    <row r="68">
      <c r="F68" s="4">
        <f>IF(D68=0,"",E68/D68)</f>
        <v/>
      </c>
      <c r="G68">
        <f>IF(F68="","",IF(F68&gt;=0.7,3,IF(F68&gt;=0.6,2,IF(F68&gt;=0.5,1,0))))</f>
        <v/>
      </c>
    </row>
    <row r="69">
      <c r="F69" s="4">
        <f>IF(D69=0,"",E69/D69)</f>
        <v/>
      </c>
      <c r="G69">
        <f>IF(F69="","",IF(F69&gt;=0.7,3,IF(F69&gt;=0.6,2,IF(F69&gt;=0.5,1,0))))</f>
        <v/>
      </c>
    </row>
    <row r="70">
      <c r="F70" s="4">
        <f>IF(D70=0,"",E70/D70)</f>
        <v/>
      </c>
      <c r="G70">
        <f>IF(F70="","",IF(F70&gt;=0.7,3,IF(F70&gt;=0.6,2,IF(F70&gt;=0.5,1,0))))</f>
        <v/>
      </c>
    </row>
    <row r="71">
      <c r="F71" s="4">
        <f>IF(D71=0,"",E71/D71)</f>
        <v/>
      </c>
      <c r="G71">
        <f>IF(F71="","",IF(F71&gt;=0.7,3,IF(F71&gt;=0.6,2,IF(F71&gt;=0.5,1,0))))</f>
        <v/>
      </c>
    </row>
    <row r="72">
      <c r="F72" s="4">
        <f>IF(D72=0,"",E72/D72)</f>
        <v/>
      </c>
      <c r="G72">
        <f>IF(F72="","",IF(F72&gt;=0.7,3,IF(F72&gt;=0.6,2,IF(F72&gt;=0.5,1,0))))</f>
        <v/>
      </c>
    </row>
    <row r="73">
      <c r="F73" s="4">
        <f>IF(D73=0,"",E73/D73)</f>
        <v/>
      </c>
      <c r="G73">
        <f>IF(F73="","",IF(F73&gt;=0.7,3,IF(F73&gt;=0.6,2,IF(F73&gt;=0.5,1,0))))</f>
        <v/>
      </c>
    </row>
    <row r="74">
      <c r="F74" s="4">
        <f>IF(D74=0,"",E74/D74)</f>
        <v/>
      </c>
      <c r="G74">
        <f>IF(F74="","",IF(F74&gt;=0.7,3,IF(F74&gt;=0.6,2,IF(F74&gt;=0.5,1,0))))</f>
        <v/>
      </c>
    </row>
    <row r="75">
      <c r="F75" s="4">
        <f>IF(D75=0,"",E75/D75)</f>
        <v/>
      </c>
      <c r="G75">
        <f>IF(F75="","",IF(F75&gt;=0.7,3,IF(F75&gt;=0.6,2,IF(F75&gt;=0.5,1,0))))</f>
        <v/>
      </c>
    </row>
    <row r="76">
      <c r="F76" s="4">
        <f>IF(D76=0,"",E76/D76)</f>
        <v/>
      </c>
      <c r="G76">
        <f>IF(F76="","",IF(F76&gt;=0.7,3,IF(F76&gt;=0.6,2,IF(F76&gt;=0.5,1,0))))</f>
        <v/>
      </c>
    </row>
    <row r="77">
      <c r="F77" s="4">
        <f>IF(D77=0,"",E77/D77)</f>
        <v/>
      </c>
      <c r="G77">
        <f>IF(F77="","",IF(F77&gt;=0.7,3,IF(F77&gt;=0.6,2,IF(F77&gt;=0.5,1,0))))</f>
        <v/>
      </c>
    </row>
    <row r="78">
      <c r="F78" s="4">
        <f>IF(D78=0,"",E78/D78)</f>
        <v/>
      </c>
      <c r="G78">
        <f>IF(F78="","",IF(F78&gt;=0.7,3,IF(F78&gt;=0.6,2,IF(F78&gt;=0.5,1,0))))</f>
        <v/>
      </c>
    </row>
    <row r="79">
      <c r="F79" s="4">
        <f>IF(D79=0,"",E79/D79)</f>
        <v/>
      </c>
      <c r="G79">
        <f>IF(F79="","",IF(F79&gt;=0.7,3,IF(F79&gt;=0.6,2,IF(F79&gt;=0.5,1,0))))</f>
        <v/>
      </c>
    </row>
    <row r="80">
      <c r="F80" s="4">
        <f>IF(D80=0,"",E80/D80)</f>
        <v/>
      </c>
      <c r="G80">
        <f>IF(F80="","",IF(F80&gt;=0.7,3,IF(F80&gt;=0.6,2,IF(F80&gt;=0.5,1,0))))</f>
        <v/>
      </c>
    </row>
    <row r="81">
      <c r="F81" s="4">
        <f>IF(D81=0,"",E81/D81)</f>
        <v/>
      </c>
      <c r="G81">
        <f>IF(F81="","",IF(F81&gt;=0.7,3,IF(F81&gt;=0.6,2,IF(F81&gt;=0.5,1,0))))</f>
        <v/>
      </c>
    </row>
    <row r="82">
      <c r="F82" s="4">
        <f>IF(D82=0,"",E82/D82)</f>
        <v/>
      </c>
      <c r="G82">
        <f>IF(F82="","",IF(F82&gt;=0.7,3,IF(F82&gt;=0.6,2,IF(F82&gt;=0.5,1,0))))</f>
        <v/>
      </c>
    </row>
    <row r="83">
      <c r="F83" s="4">
        <f>IF(D83=0,"",E83/D83)</f>
        <v/>
      </c>
      <c r="G83">
        <f>IF(F83="","",IF(F83&gt;=0.7,3,IF(F83&gt;=0.6,2,IF(F83&gt;=0.5,1,0))))</f>
        <v/>
      </c>
    </row>
    <row r="84">
      <c r="F84" s="4">
        <f>IF(D84=0,"",E84/D84)</f>
        <v/>
      </c>
      <c r="G84">
        <f>IF(F84="","",IF(F84&gt;=0.7,3,IF(F84&gt;=0.6,2,IF(F84&gt;=0.5,1,0))))</f>
        <v/>
      </c>
    </row>
    <row r="85">
      <c r="F85" s="4">
        <f>IF(D85=0,"",E85/D85)</f>
        <v/>
      </c>
      <c r="G85">
        <f>IF(F85="","",IF(F85&gt;=0.7,3,IF(F85&gt;=0.6,2,IF(F85&gt;=0.5,1,0))))</f>
        <v/>
      </c>
    </row>
    <row r="86">
      <c r="F86" s="4">
        <f>IF(D86=0,"",E86/D86)</f>
        <v/>
      </c>
      <c r="G86">
        <f>IF(F86="","",IF(F86&gt;=0.7,3,IF(F86&gt;=0.6,2,IF(F86&gt;=0.5,1,0))))</f>
        <v/>
      </c>
    </row>
    <row r="87">
      <c r="F87" s="4">
        <f>IF(D87=0,"",E87/D87)</f>
        <v/>
      </c>
      <c r="G87">
        <f>IF(F87="","",IF(F87&gt;=0.7,3,IF(F87&gt;=0.6,2,IF(F87&gt;=0.5,1,0))))</f>
        <v/>
      </c>
    </row>
    <row r="88">
      <c r="F88" s="4">
        <f>IF(D88=0,"",E88/D88)</f>
        <v/>
      </c>
      <c r="G88">
        <f>IF(F88="","",IF(F88&gt;=0.7,3,IF(F88&gt;=0.6,2,IF(F88&gt;=0.5,1,0))))</f>
        <v/>
      </c>
    </row>
    <row r="89">
      <c r="F89" s="4">
        <f>IF(D89=0,"",E89/D89)</f>
        <v/>
      </c>
      <c r="G89">
        <f>IF(F89="","",IF(F89&gt;=0.7,3,IF(F89&gt;=0.6,2,IF(F89&gt;=0.5,1,0))))</f>
        <v/>
      </c>
    </row>
    <row r="90">
      <c r="F90" s="4">
        <f>IF(D90=0,"",E90/D90)</f>
        <v/>
      </c>
      <c r="G90">
        <f>IF(F90="","",IF(F90&gt;=0.7,3,IF(F90&gt;=0.6,2,IF(F90&gt;=0.5,1,0))))</f>
        <v/>
      </c>
    </row>
    <row r="91">
      <c r="F91" s="4">
        <f>IF(D91=0,"",E91/D91)</f>
        <v/>
      </c>
      <c r="G91">
        <f>IF(F91="","",IF(F91&gt;=0.7,3,IF(F91&gt;=0.6,2,IF(F91&gt;=0.5,1,0))))</f>
        <v/>
      </c>
    </row>
    <row r="92">
      <c r="F92" s="4">
        <f>IF(D92=0,"",E92/D92)</f>
        <v/>
      </c>
      <c r="G92">
        <f>IF(F92="","",IF(F92&gt;=0.7,3,IF(F92&gt;=0.6,2,IF(F92&gt;=0.5,1,0))))</f>
        <v/>
      </c>
    </row>
    <row r="93">
      <c r="F93" s="4">
        <f>IF(D93=0,"",E93/D93)</f>
        <v/>
      </c>
      <c r="G93">
        <f>IF(F93="","",IF(F93&gt;=0.7,3,IF(F93&gt;=0.6,2,IF(F93&gt;=0.5,1,0))))</f>
        <v/>
      </c>
    </row>
    <row r="94">
      <c r="F94" s="4">
        <f>IF(D94=0,"",E94/D94)</f>
        <v/>
      </c>
      <c r="G94">
        <f>IF(F94="","",IF(F94&gt;=0.7,3,IF(F94&gt;=0.6,2,IF(F94&gt;=0.5,1,0))))</f>
        <v/>
      </c>
    </row>
    <row r="95">
      <c r="F95" s="4">
        <f>IF(D95=0,"",E95/D95)</f>
        <v/>
      </c>
      <c r="G95">
        <f>IF(F95="","",IF(F95&gt;=0.7,3,IF(F95&gt;=0.6,2,IF(F95&gt;=0.5,1,0))))</f>
        <v/>
      </c>
    </row>
    <row r="96">
      <c r="F96" s="4">
        <f>IF(D96=0,"",E96/D96)</f>
        <v/>
      </c>
      <c r="G96">
        <f>IF(F96="","",IF(F96&gt;=0.7,3,IF(F96&gt;=0.6,2,IF(F96&gt;=0.5,1,0))))</f>
        <v/>
      </c>
    </row>
    <row r="97">
      <c r="F97" s="4">
        <f>IF(D97=0,"",E97/D97)</f>
        <v/>
      </c>
      <c r="G97">
        <f>IF(F97="","",IF(F97&gt;=0.7,3,IF(F97&gt;=0.6,2,IF(F97&gt;=0.5,1,0))))</f>
        <v/>
      </c>
    </row>
    <row r="98">
      <c r="F98" s="4">
        <f>IF(D98=0,"",E98/D98)</f>
        <v/>
      </c>
      <c r="G98">
        <f>IF(F98="","",IF(F98&gt;=0.7,3,IF(F98&gt;=0.6,2,IF(F98&gt;=0.5,1,0))))</f>
        <v/>
      </c>
    </row>
    <row r="99">
      <c r="F99" s="4">
        <f>IF(D99=0,"",E99/D99)</f>
        <v/>
      </c>
      <c r="G99">
        <f>IF(F99="","",IF(F99&gt;=0.7,3,IF(F99&gt;=0.6,2,IF(F99&gt;=0.5,1,0))))</f>
        <v/>
      </c>
    </row>
    <row r="100">
      <c r="F100" s="4">
        <f>IF(D100=0,"",E100/D100)</f>
        <v/>
      </c>
      <c r="G100">
        <f>IF(F100="","",IF(F100&gt;=0.7,3,IF(F100&gt;=0.6,2,IF(F100&gt;=0.5,1,0))))</f>
        <v/>
      </c>
    </row>
    <row r="101">
      <c r="F101" s="4">
        <f>IF(D101=0,"",E101/D101)</f>
        <v/>
      </c>
      <c r="G101">
        <f>IF(F101="","",IF(F101&gt;=0.7,3,IF(F101&gt;=0.6,2,IF(F101&gt;=0.5,1,0))))</f>
        <v/>
      </c>
    </row>
    <row r="102">
      <c r="F102" s="4">
        <f>IF(D102=0,"",E102/D102)</f>
        <v/>
      </c>
      <c r="G102">
        <f>IF(F102="","",IF(F102&gt;=0.7,3,IF(F102&gt;=0.6,2,IF(F102&gt;=0.5,1,0))))</f>
        <v/>
      </c>
    </row>
    <row r="103">
      <c r="F103" s="4">
        <f>IF(D103=0,"",E103/D103)</f>
        <v/>
      </c>
      <c r="G103">
        <f>IF(F103="","",IF(F103&gt;=0.7,3,IF(F103&gt;=0.6,2,IF(F103&gt;=0.5,1,0))))</f>
        <v/>
      </c>
    </row>
    <row r="104">
      <c r="F104" s="4">
        <f>IF(D104=0,"",E104/D104)</f>
        <v/>
      </c>
      <c r="G104">
        <f>IF(F104="","",IF(F104&gt;=0.7,3,IF(F104&gt;=0.6,2,IF(F104&gt;=0.5,1,0))))</f>
        <v/>
      </c>
    </row>
    <row r="105">
      <c r="F105" s="4">
        <f>IF(D105=0,"",E105/D105)</f>
        <v/>
      </c>
      <c r="G105">
        <f>IF(F105="","",IF(F105&gt;=0.7,3,IF(F105&gt;=0.6,2,IF(F105&gt;=0.5,1,0))))</f>
        <v/>
      </c>
    </row>
    <row r="106">
      <c r="F106" s="4">
        <f>IF(D106=0,"",E106/D106)</f>
        <v/>
      </c>
      <c r="G106">
        <f>IF(F106="","",IF(F106&gt;=0.7,3,IF(F106&gt;=0.6,2,IF(F106&gt;=0.5,1,0))))</f>
        <v/>
      </c>
    </row>
    <row r="107">
      <c r="F107" s="4">
        <f>IF(D107=0,"",E107/D107)</f>
        <v/>
      </c>
      <c r="G107">
        <f>IF(F107="","",IF(F107&gt;=0.7,3,IF(F107&gt;=0.6,2,IF(F107&gt;=0.5,1,0))))</f>
        <v/>
      </c>
    </row>
    <row r="108">
      <c r="F108" s="4">
        <f>IF(D108=0,"",E108/D108)</f>
        <v/>
      </c>
      <c r="G108">
        <f>IF(F108="","",IF(F108&gt;=0.7,3,IF(F108&gt;=0.6,2,IF(F108&gt;=0.5,1,0))))</f>
        <v/>
      </c>
    </row>
    <row r="109">
      <c r="F109" s="4">
        <f>IF(D109=0,"",E109/D109)</f>
        <v/>
      </c>
      <c r="G109">
        <f>IF(F109="","",IF(F109&gt;=0.7,3,IF(F109&gt;=0.6,2,IF(F109&gt;=0.5,1,0))))</f>
        <v/>
      </c>
    </row>
    <row r="110">
      <c r="F110" s="4">
        <f>IF(D110=0,"",E110/D110)</f>
        <v/>
      </c>
      <c r="G110">
        <f>IF(F110="","",IF(F110&gt;=0.7,3,IF(F110&gt;=0.6,2,IF(F110&gt;=0.5,1,0))))</f>
        <v/>
      </c>
    </row>
    <row r="111">
      <c r="F111" s="4">
        <f>IF(D111=0,"",E111/D111)</f>
        <v/>
      </c>
      <c r="G111">
        <f>IF(F111="","",IF(F111&gt;=0.7,3,IF(F111&gt;=0.6,2,IF(F111&gt;=0.5,1,0))))</f>
        <v/>
      </c>
    </row>
    <row r="112">
      <c r="F112" s="4">
        <f>IF(D112=0,"",E112/D112)</f>
        <v/>
      </c>
      <c r="G112">
        <f>IF(F112="","",IF(F112&gt;=0.7,3,IF(F112&gt;=0.6,2,IF(F112&gt;=0.5,1,0))))</f>
        <v/>
      </c>
    </row>
    <row r="113">
      <c r="F113" s="4">
        <f>IF(D113=0,"",E113/D113)</f>
        <v/>
      </c>
      <c r="G113">
        <f>IF(F113="","",IF(F113&gt;=0.7,3,IF(F113&gt;=0.6,2,IF(F113&gt;=0.5,1,0))))</f>
        <v/>
      </c>
    </row>
    <row r="114">
      <c r="F114" s="4">
        <f>IF(D114=0,"",E114/D114)</f>
        <v/>
      </c>
      <c r="G114">
        <f>IF(F114="","",IF(F114&gt;=0.7,3,IF(F114&gt;=0.6,2,IF(F114&gt;=0.5,1,0))))</f>
        <v/>
      </c>
    </row>
    <row r="115">
      <c r="F115" s="4">
        <f>IF(D115=0,"",E115/D115)</f>
        <v/>
      </c>
      <c r="G115">
        <f>IF(F115="","",IF(F115&gt;=0.7,3,IF(F115&gt;=0.6,2,IF(F115&gt;=0.5,1,0))))</f>
        <v/>
      </c>
    </row>
    <row r="116">
      <c r="F116" s="4">
        <f>IF(D116=0,"",E116/D116)</f>
        <v/>
      </c>
      <c r="G116">
        <f>IF(F116="","",IF(F116&gt;=0.7,3,IF(F116&gt;=0.6,2,IF(F116&gt;=0.5,1,0))))</f>
        <v/>
      </c>
    </row>
    <row r="117">
      <c r="F117" s="4">
        <f>IF(D117=0,"",E117/D117)</f>
        <v/>
      </c>
      <c r="G117">
        <f>IF(F117="","",IF(F117&gt;=0.7,3,IF(F117&gt;=0.6,2,IF(F117&gt;=0.5,1,0))))</f>
        <v/>
      </c>
    </row>
    <row r="118">
      <c r="F118" s="4">
        <f>IF(D118=0,"",E118/D118)</f>
        <v/>
      </c>
      <c r="G118">
        <f>IF(F118="","",IF(F118&gt;=0.7,3,IF(F118&gt;=0.6,2,IF(F118&gt;=0.5,1,0))))</f>
        <v/>
      </c>
    </row>
    <row r="119">
      <c r="F119" s="4">
        <f>IF(D119=0,"",E119/D119)</f>
        <v/>
      </c>
      <c r="G119">
        <f>IF(F119="","",IF(F119&gt;=0.7,3,IF(F119&gt;=0.6,2,IF(F119&gt;=0.5,1,0))))</f>
        <v/>
      </c>
    </row>
    <row r="120">
      <c r="F120" s="4">
        <f>IF(D120=0,"",E120/D120)</f>
        <v/>
      </c>
      <c r="G120">
        <f>IF(F120="","",IF(F120&gt;=0.7,3,IF(F120&gt;=0.6,2,IF(F120&gt;=0.5,1,0))))</f>
        <v/>
      </c>
    </row>
    <row r="121">
      <c r="F121" s="4">
        <f>IF(D121=0,"",E121/D121)</f>
        <v/>
      </c>
      <c r="G121">
        <f>IF(F121="","",IF(F121&gt;=0.7,3,IF(F121&gt;=0.6,2,IF(F121&gt;=0.5,1,0))))</f>
        <v/>
      </c>
    </row>
    <row r="122">
      <c r="F122" s="4">
        <f>IF(D122=0,"",E122/D122)</f>
        <v/>
      </c>
      <c r="G122">
        <f>IF(F122="","",IF(F122&gt;=0.7,3,IF(F122&gt;=0.6,2,IF(F122&gt;=0.5,1,0))))</f>
        <v/>
      </c>
    </row>
    <row r="123">
      <c r="F123" s="4">
        <f>IF(D123=0,"",E123/D123)</f>
        <v/>
      </c>
      <c r="G123">
        <f>IF(F123="","",IF(F123&gt;=0.7,3,IF(F123&gt;=0.6,2,IF(F123&gt;=0.5,1,0))))</f>
        <v/>
      </c>
    </row>
    <row r="124">
      <c r="F124" s="4">
        <f>IF(D124=0,"",E124/D124)</f>
        <v/>
      </c>
      <c r="G124">
        <f>IF(F124="","",IF(F124&gt;=0.7,3,IF(F124&gt;=0.6,2,IF(F124&gt;=0.5,1,0))))</f>
        <v/>
      </c>
    </row>
    <row r="125">
      <c r="F125" s="4">
        <f>IF(D125=0,"",E125/D125)</f>
        <v/>
      </c>
      <c r="G125">
        <f>IF(F125="","",IF(F125&gt;=0.7,3,IF(F125&gt;=0.6,2,IF(F125&gt;=0.5,1,0))))</f>
        <v/>
      </c>
    </row>
    <row r="126">
      <c r="F126" s="4">
        <f>IF(D126=0,"",E126/D126)</f>
        <v/>
      </c>
      <c r="G126">
        <f>IF(F126="","",IF(F126&gt;=0.7,3,IF(F126&gt;=0.6,2,IF(F126&gt;=0.5,1,0))))</f>
        <v/>
      </c>
    </row>
    <row r="127">
      <c r="F127" s="4">
        <f>IF(D127=0,"",E127/D127)</f>
        <v/>
      </c>
      <c r="G127">
        <f>IF(F127="","",IF(F127&gt;=0.7,3,IF(F127&gt;=0.6,2,IF(F127&gt;=0.5,1,0))))</f>
        <v/>
      </c>
    </row>
    <row r="128">
      <c r="F128" s="4">
        <f>IF(D128=0,"",E128/D128)</f>
        <v/>
      </c>
      <c r="G128">
        <f>IF(F128="","",IF(F128&gt;=0.7,3,IF(F128&gt;=0.6,2,IF(F128&gt;=0.5,1,0))))</f>
        <v/>
      </c>
    </row>
    <row r="129">
      <c r="F129" s="4">
        <f>IF(D129=0,"",E129/D129)</f>
        <v/>
      </c>
      <c r="G129">
        <f>IF(F129="","",IF(F129&gt;=0.7,3,IF(F129&gt;=0.6,2,IF(F129&gt;=0.5,1,0))))</f>
        <v/>
      </c>
    </row>
    <row r="130">
      <c r="F130" s="4">
        <f>IF(D130=0,"",E130/D130)</f>
        <v/>
      </c>
      <c r="G130">
        <f>IF(F130="","",IF(F130&gt;=0.7,3,IF(F130&gt;=0.6,2,IF(F130&gt;=0.5,1,0))))</f>
        <v/>
      </c>
    </row>
    <row r="131">
      <c r="F131" s="4">
        <f>IF(D131=0,"",E131/D131)</f>
        <v/>
      </c>
      <c r="G131">
        <f>IF(F131="","",IF(F131&gt;=0.7,3,IF(F131&gt;=0.6,2,IF(F131&gt;=0.5,1,0))))</f>
        <v/>
      </c>
    </row>
    <row r="132">
      <c r="F132" s="4">
        <f>IF(D132=0,"",E132/D132)</f>
        <v/>
      </c>
      <c r="G132">
        <f>IF(F132="","",IF(F132&gt;=0.7,3,IF(F132&gt;=0.6,2,IF(F132&gt;=0.5,1,0))))</f>
        <v/>
      </c>
    </row>
    <row r="133">
      <c r="F133" s="4">
        <f>IF(D133=0,"",E133/D133)</f>
        <v/>
      </c>
      <c r="G133">
        <f>IF(F133="","",IF(F133&gt;=0.7,3,IF(F133&gt;=0.6,2,IF(F133&gt;=0.5,1,0))))</f>
        <v/>
      </c>
    </row>
    <row r="134">
      <c r="F134" s="4">
        <f>IF(D134=0,"",E134/D134)</f>
        <v/>
      </c>
      <c r="G134">
        <f>IF(F134="","",IF(F134&gt;=0.7,3,IF(F134&gt;=0.6,2,IF(F134&gt;=0.5,1,0))))</f>
        <v/>
      </c>
    </row>
    <row r="135">
      <c r="F135" s="4">
        <f>IF(D135=0,"",E135/D135)</f>
        <v/>
      </c>
      <c r="G135">
        <f>IF(F135="","",IF(F135&gt;=0.7,3,IF(F135&gt;=0.6,2,IF(F135&gt;=0.5,1,0))))</f>
        <v/>
      </c>
    </row>
    <row r="136">
      <c r="F136" s="4">
        <f>IF(D136=0,"",E136/D136)</f>
        <v/>
      </c>
      <c r="G136">
        <f>IF(F136="","",IF(F136&gt;=0.7,3,IF(F136&gt;=0.6,2,IF(F136&gt;=0.5,1,0))))</f>
        <v/>
      </c>
    </row>
    <row r="137">
      <c r="F137" s="4">
        <f>IF(D137=0,"",E137/D137)</f>
        <v/>
      </c>
      <c r="G137">
        <f>IF(F137="","",IF(F137&gt;=0.7,3,IF(F137&gt;=0.6,2,IF(F137&gt;=0.5,1,0))))</f>
        <v/>
      </c>
    </row>
    <row r="138">
      <c r="F138" s="4">
        <f>IF(D138=0,"",E138/D138)</f>
        <v/>
      </c>
      <c r="G138">
        <f>IF(F138="","",IF(F138&gt;=0.7,3,IF(F138&gt;=0.6,2,IF(F138&gt;=0.5,1,0))))</f>
        <v/>
      </c>
    </row>
    <row r="139">
      <c r="F139" s="4">
        <f>IF(D139=0,"",E139/D139)</f>
        <v/>
      </c>
      <c r="G139">
        <f>IF(F139="","",IF(F139&gt;=0.7,3,IF(F139&gt;=0.6,2,IF(F139&gt;=0.5,1,0))))</f>
        <v/>
      </c>
    </row>
    <row r="140">
      <c r="F140" s="4">
        <f>IF(D140=0,"",E140/D140)</f>
        <v/>
      </c>
      <c r="G140">
        <f>IF(F140="","",IF(F140&gt;=0.7,3,IF(F140&gt;=0.6,2,IF(F140&gt;=0.5,1,0))))</f>
        <v/>
      </c>
    </row>
    <row r="141">
      <c r="F141" s="4">
        <f>IF(D141=0,"",E141/D141)</f>
        <v/>
      </c>
      <c r="G141">
        <f>IF(F141="","",IF(F141&gt;=0.7,3,IF(F141&gt;=0.6,2,IF(F141&gt;=0.5,1,0))))</f>
        <v/>
      </c>
    </row>
    <row r="142">
      <c r="F142" s="4">
        <f>IF(D142=0,"",E142/D142)</f>
        <v/>
      </c>
      <c r="G142">
        <f>IF(F142="","",IF(F142&gt;=0.7,3,IF(F142&gt;=0.6,2,IF(F142&gt;=0.5,1,0))))</f>
        <v/>
      </c>
    </row>
    <row r="143">
      <c r="F143" s="4">
        <f>IF(D143=0,"",E143/D143)</f>
        <v/>
      </c>
      <c r="G143">
        <f>IF(F143="","",IF(F143&gt;=0.7,3,IF(F143&gt;=0.6,2,IF(F143&gt;=0.5,1,0))))</f>
        <v/>
      </c>
    </row>
    <row r="144">
      <c r="F144" s="4">
        <f>IF(D144=0,"",E144/D144)</f>
        <v/>
      </c>
      <c r="G144">
        <f>IF(F144="","",IF(F144&gt;=0.7,3,IF(F144&gt;=0.6,2,IF(F144&gt;=0.5,1,0))))</f>
        <v/>
      </c>
    </row>
    <row r="145">
      <c r="F145" s="4">
        <f>IF(D145=0,"",E145/D145)</f>
        <v/>
      </c>
      <c r="G145">
        <f>IF(F145="","",IF(F145&gt;=0.7,3,IF(F145&gt;=0.6,2,IF(F145&gt;=0.5,1,0))))</f>
        <v/>
      </c>
    </row>
    <row r="146">
      <c r="F146" s="4">
        <f>IF(D146=0,"",E146/D146)</f>
        <v/>
      </c>
      <c r="G146">
        <f>IF(F146="","",IF(F146&gt;=0.7,3,IF(F146&gt;=0.6,2,IF(F146&gt;=0.5,1,0))))</f>
        <v/>
      </c>
    </row>
    <row r="147">
      <c r="F147" s="4">
        <f>IF(D147=0,"",E147/D147)</f>
        <v/>
      </c>
      <c r="G147">
        <f>IF(F147="","",IF(F147&gt;=0.7,3,IF(F147&gt;=0.6,2,IF(F147&gt;=0.5,1,0))))</f>
        <v/>
      </c>
    </row>
    <row r="148">
      <c r="F148" s="4">
        <f>IF(D148=0,"",E148/D148)</f>
        <v/>
      </c>
      <c r="G148">
        <f>IF(F148="","",IF(F148&gt;=0.7,3,IF(F148&gt;=0.6,2,IF(F148&gt;=0.5,1,0))))</f>
        <v/>
      </c>
    </row>
    <row r="149">
      <c r="F149" s="4">
        <f>IF(D149=0,"",E149/D149)</f>
        <v/>
      </c>
      <c r="G149">
        <f>IF(F149="","",IF(F149&gt;=0.7,3,IF(F149&gt;=0.6,2,IF(F149&gt;=0.5,1,0))))</f>
        <v/>
      </c>
    </row>
    <row r="150">
      <c r="F150" s="4">
        <f>IF(D150=0,"",E150/D150)</f>
        <v/>
      </c>
      <c r="G150">
        <f>IF(F150="","",IF(F150&gt;=0.7,3,IF(F150&gt;=0.6,2,IF(F150&gt;=0.5,1,0))))</f>
        <v/>
      </c>
    </row>
    <row r="151">
      <c r="F151" s="4">
        <f>IF(D151=0,"",E151/D151)</f>
        <v/>
      </c>
      <c r="G151">
        <f>IF(F151="","",IF(F151&gt;=0.7,3,IF(F151&gt;=0.6,2,IF(F151&gt;=0.5,1,0))))</f>
        <v/>
      </c>
    </row>
    <row r="152">
      <c r="F152" s="4">
        <f>IF(D152=0,"",E152/D152)</f>
        <v/>
      </c>
      <c r="G152">
        <f>IF(F152="","",IF(F152&gt;=0.7,3,IF(F152&gt;=0.6,2,IF(F152&gt;=0.5,1,0))))</f>
        <v/>
      </c>
    </row>
    <row r="153">
      <c r="F153" s="4">
        <f>IF(D153=0,"",E153/D153)</f>
        <v/>
      </c>
      <c r="G153">
        <f>IF(F153="","",IF(F153&gt;=0.7,3,IF(F153&gt;=0.6,2,IF(F153&gt;=0.5,1,0))))</f>
        <v/>
      </c>
    </row>
    <row r="154">
      <c r="F154" s="4">
        <f>IF(D154=0,"",E154/D154)</f>
        <v/>
      </c>
      <c r="G154">
        <f>IF(F154="","",IF(F154&gt;=0.7,3,IF(F154&gt;=0.6,2,IF(F154&gt;=0.5,1,0))))</f>
        <v/>
      </c>
    </row>
    <row r="155">
      <c r="F155" s="4">
        <f>IF(D155=0,"",E155/D155)</f>
        <v/>
      </c>
      <c r="G155">
        <f>IF(F155="","",IF(F155&gt;=0.7,3,IF(F155&gt;=0.6,2,IF(F155&gt;=0.5,1,0))))</f>
        <v/>
      </c>
    </row>
    <row r="156">
      <c r="F156" s="4">
        <f>IF(D156=0,"",E156/D156)</f>
        <v/>
      </c>
      <c r="G156">
        <f>IF(F156="","",IF(F156&gt;=0.7,3,IF(F156&gt;=0.6,2,IF(F156&gt;=0.5,1,0))))</f>
        <v/>
      </c>
    </row>
    <row r="157">
      <c r="F157" s="4">
        <f>IF(D157=0,"",E157/D157)</f>
        <v/>
      </c>
      <c r="G157">
        <f>IF(F157="","",IF(F157&gt;=0.7,3,IF(F157&gt;=0.6,2,IF(F157&gt;=0.5,1,0))))</f>
        <v/>
      </c>
    </row>
    <row r="158">
      <c r="F158" s="4">
        <f>IF(D158=0,"",E158/D158)</f>
        <v/>
      </c>
      <c r="G158">
        <f>IF(F158="","",IF(F158&gt;=0.7,3,IF(F158&gt;=0.6,2,IF(F158&gt;=0.5,1,0))))</f>
        <v/>
      </c>
    </row>
    <row r="159">
      <c r="F159" s="4">
        <f>IF(D159=0,"",E159/D159)</f>
        <v/>
      </c>
      <c r="G159">
        <f>IF(F159="","",IF(F159&gt;=0.7,3,IF(F159&gt;=0.6,2,IF(F159&gt;=0.5,1,0))))</f>
        <v/>
      </c>
    </row>
    <row r="160">
      <c r="F160" s="4">
        <f>IF(D160=0,"",E160/D160)</f>
        <v/>
      </c>
      <c r="G160">
        <f>IF(F160="","",IF(F160&gt;=0.7,3,IF(F160&gt;=0.6,2,IF(F160&gt;=0.5,1,0))))</f>
        <v/>
      </c>
    </row>
    <row r="161">
      <c r="F161" s="4">
        <f>IF(D161=0,"",E161/D161)</f>
        <v/>
      </c>
      <c r="G161">
        <f>IF(F161="","",IF(F161&gt;=0.7,3,IF(F161&gt;=0.6,2,IF(F161&gt;=0.5,1,0))))</f>
        <v/>
      </c>
    </row>
    <row r="162">
      <c r="F162" s="4">
        <f>IF(D162=0,"",E162/D162)</f>
        <v/>
      </c>
      <c r="G162">
        <f>IF(F162="","",IF(F162&gt;=0.7,3,IF(F162&gt;=0.6,2,IF(F162&gt;=0.5,1,0))))</f>
        <v/>
      </c>
    </row>
    <row r="163">
      <c r="F163" s="4">
        <f>IF(D163=0,"",E163/D163)</f>
        <v/>
      </c>
      <c r="G163">
        <f>IF(F163="","",IF(F163&gt;=0.7,3,IF(F163&gt;=0.6,2,IF(F163&gt;=0.5,1,0))))</f>
        <v/>
      </c>
    </row>
    <row r="164">
      <c r="F164" s="4">
        <f>IF(D164=0,"",E164/D164)</f>
        <v/>
      </c>
      <c r="G164">
        <f>IF(F164="","",IF(F164&gt;=0.7,3,IF(F164&gt;=0.6,2,IF(F164&gt;=0.5,1,0))))</f>
        <v/>
      </c>
    </row>
    <row r="165">
      <c r="F165" s="4">
        <f>IF(D165=0,"",E165/D165)</f>
        <v/>
      </c>
      <c r="G165">
        <f>IF(F165="","",IF(F165&gt;=0.7,3,IF(F165&gt;=0.6,2,IF(F165&gt;=0.5,1,0))))</f>
        <v/>
      </c>
    </row>
    <row r="166">
      <c r="F166" s="4">
        <f>IF(D166=0,"",E166/D166)</f>
        <v/>
      </c>
      <c r="G166">
        <f>IF(F166="","",IF(F166&gt;=0.7,3,IF(F166&gt;=0.6,2,IF(F166&gt;=0.5,1,0))))</f>
        <v/>
      </c>
    </row>
    <row r="167">
      <c r="F167" s="4">
        <f>IF(D167=0,"",E167/D167)</f>
        <v/>
      </c>
      <c r="G167">
        <f>IF(F167="","",IF(F167&gt;=0.7,3,IF(F167&gt;=0.6,2,IF(F167&gt;=0.5,1,0))))</f>
        <v/>
      </c>
    </row>
    <row r="168">
      <c r="F168" s="4">
        <f>IF(D168=0,"",E168/D168)</f>
        <v/>
      </c>
      <c r="G168">
        <f>IF(F168="","",IF(F168&gt;=0.7,3,IF(F168&gt;=0.6,2,IF(F168&gt;=0.5,1,0))))</f>
        <v/>
      </c>
    </row>
    <row r="169">
      <c r="F169" s="4">
        <f>IF(D169=0,"",E169/D169)</f>
        <v/>
      </c>
      <c r="G169">
        <f>IF(F169="","",IF(F169&gt;=0.7,3,IF(F169&gt;=0.6,2,IF(F169&gt;=0.5,1,0))))</f>
        <v/>
      </c>
    </row>
    <row r="170">
      <c r="F170" s="4">
        <f>IF(D170=0,"",E170/D170)</f>
        <v/>
      </c>
      <c r="G170">
        <f>IF(F170="","",IF(F170&gt;=0.7,3,IF(F170&gt;=0.6,2,IF(F170&gt;=0.5,1,0))))</f>
        <v/>
      </c>
    </row>
    <row r="171">
      <c r="F171" s="4">
        <f>IF(D171=0,"",E171/D171)</f>
        <v/>
      </c>
      <c r="G171">
        <f>IF(F171="","",IF(F171&gt;=0.7,3,IF(F171&gt;=0.6,2,IF(F171&gt;=0.5,1,0))))</f>
        <v/>
      </c>
    </row>
    <row r="172">
      <c r="F172" s="4">
        <f>IF(D172=0,"",E172/D172)</f>
        <v/>
      </c>
      <c r="G172">
        <f>IF(F172="","",IF(F172&gt;=0.7,3,IF(F172&gt;=0.6,2,IF(F172&gt;=0.5,1,0))))</f>
        <v/>
      </c>
    </row>
    <row r="173">
      <c r="F173" s="4">
        <f>IF(D173=0,"",E173/D173)</f>
        <v/>
      </c>
      <c r="G173">
        <f>IF(F173="","",IF(F173&gt;=0.7,3,IF(F173&gt;=0.6,2,IF(F173&gt;=0.5,1,0))))</f>
        <v/>
      </c>
    </row>
    <row r="174">
      <c r="F174" s="4">
        <f>IF(D174=0,"",E174/D174)</f>
        <v/>
      </c>
      <c r="G174">
        <f>IF(F174="","",IF(F174&gt;=0.7,3,IF(F174&gt;=0.6,2,IF(F174&gt;=0.5,1,0))))</f>
        <v/>
      </c>
    </row>
    <row r="175">
      <c r="F175" s="4">
        <f>IF(D175=0,"",E175/D175)</f>
        <v/>
      </c>
      <c r="G175">
        <f>IF(F175="","",IF(F175&gt;=0.7,3,IF(F175&gt;=0.6,2,IF(F175&gt;=0.5,1,0))))</f>
        <v/>
      </c>
    </row>
    <row r="176">
      <c r="F176" s="4">
        <f>IF(D176=0,"",E176/D176)</f>
        <v/>
      </c>
      <c r="G176">
        <f>IF(F176="","",IF(F176&gt;=0.7,3,IF(F176&gt;=0.6,2,IF(F176&gt;=0.5,1,0))))</f>
        <v/>
      </c>
    </row>
    <row r="177">
      <c r="F177" s="4">
        <f>IF(D177=0,"",E177/D177)</f>
        <v/>
      </c>
      <c r="G177">
        <f>IF(F177="","",IF(F177&gt;=0.7,3,IF(F177&gt;=0.6,2,IF(F177&gt;=0.5,1,0))))</f>
        <v/>
      </c>
    </row>
    <row r="178">
      <c r="F178" s="4">
        <f>IF(D178=0,"",E178/D178)</f>
        <v/>
      </c>
      <c r="G178">
        <f>IF(F178="","",IF(F178&gt;=0.7,3,IF(F178&gt;=0.6,2,IF(F178&gt;=0.5,1,0))))</f>
        <v/>
      </c>
    </row>
    <row r="179">
      <c r="F179" s="4">
        <f>IF(D179=0,"",E179/D179)</f>
        <v/>
      </c>
      <c r="G179">
        <f>IF(F179="","",IF(F179&gt;=0.7,3,IF(F179&gt;=0.6,2,IF(F179&gt;=0.5,1,0))))</f>
        <v/>
      </c>
    </row>
    <row r="180">
      <c r="F180" s="4">
        <f>IF(D180=0,"",E180/D180)</f>
        <v/>
      </c>
      <c r="G180">
        <f>IF(F180="","",IF(F180&gt;=0.7,3,IF(F180&gt;=0.6,2,IF(F180&gt;=0.5,1,0))))</f>
        <v/>
      </c>
    </row>
    <row r="181">
      <c r="F181" s="4">
        <f>IF(D181=0,"",E181/D181)</f>
        <v/>
      </c>
      <c r="G181">
        <f>IF(F181="","",IF(F181&gt;=0.7,3,IF(F181&gt;=0.6,2,IF(F181&gt;=0.5,1,0))))</f>
        <v/>
      </c>
    </row>
    <row r="182">
      <c r="F182" s="4">
        <f>IF(D182=0,"",E182/D182)</f>
        <v/>
      </c>
      <c r="G182">
        <f>IF(F182="","",IF(F182&gt;=0.7,3,IF(F182&gt;=0.6,2,IF(F182&gt;=0.5,1,0))))</f>
        <v/>
      </c>
    </row>
    <row r="183">
      <c r="F183" s="4">
        <f>IF(D183=0,"",E183/D183)</f>
        <v/>
      </c>
      <c r="G183">
        <f>IF(F183="","",IF(F183&gt;=0.7,3,IF(F183&gt;=0.6,2,IF(F183&gt;=0.5,1,0))))</f>
        <v/>
      </c>
    </row>
    <row r="184">
      <c r="F184" s="4">
        <f>IF(D184=0,"",E184/D184)</f>
        <v/>
      </c>
      <c r="G184">
        <f>IF(F184="","",IF(F184&gt;=0.7,3,IF(F184&gt;=0.6,2,IF(F184&gt;=0.5,1,0))))</f>
        <v/>
      </c>
    </row>
    <row r="185">
      <c r="F185" s="4">
        <f>IF(D185=0,"",E185/D185)</f>
        <v/>
      </c>
      <c r="G185">
        <f>IF(F185="","",IF(F185&gt;=0.7,3,IF(F185&gt;=0.6,2,IF(F185&gt;=0.5,1,0))))</f>
        <v/>
      </c>
    </row>
    <row r="186">
      <c r="F186" s="4">
        <f>IF(D186=0,"",E186/D186)</f>
        <v/>
      </c>
      <c r="G186">
        <f>IF(F186="","",IF(F186&gt;=0.7,3,IF(F186&gt;=0.6,2,IF(F186&gt;=0.5,1,0))))</f>
        <v/>
      </c>
    </row>
    <row r="187">
      <c r="F187" s="4">
        <f>IF(D187=0,"",E187/D187)</f>
        <v/>
      </c>
      <c r="G187">
        <f>IF(F187="","",IF(F187&gt;=0.7,3,IF(F187&gt;=0.6,2,IF(F187&gt;=0.5,1,0))))</f>
        <v/>
      </c>
    </row>
    <row r="188">
      <c r="F188" s="4">
        <f>IF(D188=0,"",E188/D188)</f>
        <v/>
      </c>
      <c r="G188">
        <f>IF(F188="","",IF(F188&gt;=0.7,3,IF(F188&gt;=0.6,2,IF(F188&gt;=0.5,1,0))))</f>
        <v/>
      </c>
    </row>
    <row r="189">
      <c r="F189" s="4">
        <f>IF(D189=0,"",E189/D189)</f>
        <v/>
      </c>
      <c r="G189">
        <f>IF(F189="","",IF(F189&gt;=0.7,3,IF(F189&gt;=0.6,2,IF(F189&gt;=0.5,1,0))))</f>
        <v/>
      </c>
    </row>
    <row r="190">
      <c r="F190" s="4">
        <f>IF(D190=0,"",E190/D190)</f>
        <v/>
      </c>
      <c r="G190">
        <f>IF(F190="","",IF(F190&gt;=0.7,3,IF(F190&gt;=0.6,2,IF(F190&gt;=0.5,1,0))))</f>
        <v/>
      </c>
    </row>
    <row r="191">
      <c r="F191" s="4">
        <f>IF(D191=0,"",E191/D191)</f>
        <v/>
      </c>
      <c r="G191">
        <f>IF(F191="","",IF(F191&gt;=0.7,3,IF(F191&gt;=0.6,2,IF(F191&gt;=0.5,1,0))))</f>
        <v/>
      </c>
    </row>
    <row r="192">
      <c r="F192" s="4">
        <f>IF(D192=0,"",E192/D192)</f>
        <v/>
      </c>
      <c r="G192">
        <f>IF(F192="","",IF(F192&gt;=0.7,3,IF(F192&gt;=0.6,2,IF(F192&gt;=0.5,1,0))))</f>
        <v/>
      </c>
    </row>
    <row r="193">
      <c r="F193" s="4">
        <f>IF(D193=0,"",E193/D193)</f>
        <v/>
      </c>
      <c r="G193">
        <f>IF(F193="","",IF(F193&gt;=0.7,3,IF(F193&gt;=0.6,2,IF(F193&gt;=0.5,1,0))))</f>
        <v/>
      </c>
    </row>
    <row r="194">
      <c r="F194" s="4">
        <f>IF(D194=0,"",E194/D194)</f>
        <v/>
      </c>
      <c r="G194">
        <f>IF(F194="","",IF(F194&gt;=0.7,3,IF(F194&gt;=0.6,2,IF(F194&gt;=0.5,1,0))))</f>
        <v/>
      </c>
    </row>
    <row r="195">
      <c r="F195" s="4">
        <f>IF(D195=0,"",E195/D195)</f>
        <v/>
      </c>
      <c r="G195">
        <f>IF(F195="","",IF(F195&gt;=0.7,3,IF(F195&gt;=0.6,2,IF(F195&gt;=0.5,1,0))))</f>
        <v/>
      </c>
    </row>
    <row r="196">
      <c r="F196" s="4">
        <f>IF(D196=0,"",E196/D196)</f>
        <v/>
      </c>
      <c r="G196">
        <f>IF(F196="","",IF(F196&gt;=0.7,3,IF(F196&gt;=0.6,2,IF(F196&gt;=0.5,1,0))))</f>
        <v/>
      </c>
    </row>
    <row r="197">
      <c r="F197" s="4">
        <f>IF(D197=0,"",E197/D197)</f>
        <v/>
      </c>
      <c r="G197">
        <f>IF(F197="","",IF(F197&gt;=0.7,3,IF(F197&gt;=0.6,2,IF(F197&gt;=0.5,1,0))))</f>
        <v/>
      </c>
    </row>
    <row r="198">
      <c r="F198" s="4">
        <f>IF(D198=0,"",E198/D198)</f>
        <v/>
      </c>
      <c r="G198">
        <f>IF(F198="","",IF(F198&gt;=0.7,3,IF(F198&gt;=0.6,2,IF(F198&gt;=0.5,1,0))))</f>
        <v/>
      </c>
    </row>
    <row r="199">
      <c r="F199" s="4">
        <f>IF(D199=0,"",E199/D199)</f>
        <v/>
      </c>
      <c r="G199">
        <f>IF(F199="","",IF(F199&gt;=0.7,3,IF(F199&gt;=0.6,2,IF(F199&gt;=0.5,1,0))))</f>
        <v/>
      </c>
    </row>
    <row r="200">
      <c r="F200" s="4">
        <f>IF(D200=0,"",E200/D200)</f>
        <v/>
      </c>
      <c r="G200">
        <f>IF(F200="","",IF(F200&gt;=0.7,3,IF(F200&gt;=0.6,2,IF(F200&gt;=0.5,1,0))))</f>
        <v/>
      </c>
    </row>
    <row r="201">
      <c r="F201" s="4">
        <f>IF(D201=0,"",E201/D201)</f>
        <v/>
      </c>
      <c r="G201">
        <f>IF(F201="","",IF(F201&gt;=0.7,3,IF(F201&gt;=0.6,2,IF(F201&gt;=0.5,1,0))))</f>
        <v/>
      </c>
    </row>
    <row r="202">
      <c r="F202" s="4">
        <f>IF(D202=0,"",E202/D202)</f>
        <v/>
      </c>
      <c r="G202">
        <f>IF(F202="","",IF(F202&gt;=0.7,3,IF(F202&gt;=0.6,2,IF(F202&gt;=0.5,1,0))))</f>
        <v/>
      </c>
    </row>
    <row r="210">
      <c r="A210" s="5" t="inlineStr">
        <is>
          <t>Section B: CO-wise Weighted Averages</t>
        </is>
      </c>
    </row>
    <row r="211">
      <c r="A211" s="1" t="inlineStr">
        <is>
          <t>CO</t>
        </is>
      </c>
      <c r="B211" s="1" t="inlineStr">
        <is>
          <t>Avg % Assignment</t>
        </is>
      </c>
      <c r="C211" s="1" t="inlineStr">
        <is>
          <t>Avg % UT</t>
        </is>
      </c>
      <c r="D211" s="1" t="inlineStr">
        <is>
          <t>Avg % Mid-Term</t>
        </is>
      </c>
      <c r="E211" s="1" t="inlineStr">
        <is>
          <t>Weighted Avg % (Auto)</t>
        </is>
      </c>
      <c r="F211" s="1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5" t="inlineStr">
        <is>
          <t>Section C: CO → PO Aggregation (Weighted by Mapping Strengths)</t>
        </is>
      </c>
    </row>
    <row r="231">
      <c r="A231" s="1" t="inlineStr">
        <is>
          <t>PO</t>
        </is>
      </c>
      <c r="B231" s="1" t="inlineStr">
        <is>
          <t>Contributing COs</t>
        </is>
      </c>
      <c r="C231" s="1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&amp; PSO Matrix'!B$3:B$6&lt;&gt;"",'CO–PO &amp; PSO Matrix'!$A$3:$A$6,""))</f>
        <v/>
      </c>
      <c r="C232">
        <f>IF(SUM('CO–PO &amp; PSO Matrix'!B$3:B$6)=0,"",SUMPRODUCT(INDEX('CO Attainment Summary'!$H$3:$H$6, MATCH('CO–PO &amp; PSO Matrix'!$A$3:$A$6, 'CO Attainment Summary'!$A$3:$A$6,0)),'CO–PO &amp; PSO Matrix'!B$3:B$6)/SUM('CO–PO &amp; PSO Matrix'!B$3:B$6))</f>
        <v/>
      </c>
    </row>
    <row r="233">
      <c r="A233" t="inlineStr">
        <is>
          <t>PO2</t>
        </is>
      </c>
      <c r="B233">
        <f>TEXTJOIN(", ",TRUE,IF('CO–PO &amp; PSO Matrix'!C$3:C$6&lt;&gt;"",'CO–PO &amp; PSO Matrix'!$A$3:$A$6,""))</f>
        <v/>
      </c>
      <c r="C233">
        <f>IF(SUM('CO–PO &amp; PSO Matrix'!C$3:C$6)=0,"",SUMPRODUCT(INDEX('CO Attainment Summary'!$H$3:$H$6, MATCH('CO–PO &amp; PSO Matrix'!$A$3:$A$6, 'CO Attainment Summary'!$A$3:$A$6,0)),'CO–PO &amp; PSO Matrix'!C$3:C$6)/SUM('CO–PO &amp; PSO Matrix'!C$3:C$6))</f>
        <v/>
      </c>
    </row>
    <row r="234">
      <c r="A234" t="inlineStr">
        <is>
          <t>PO3</t>
        </is>
      </c>
      <c r="B234">
        <f>TEXTJOIN(", ",TRUE,IF('CO–PO &amp; PSO Matrix'!D$3:D$6&lt;&gt;"",'CO–PO &amp; PSO Matrix'!$A$3:$A$6,""))</f>
        <v/>
      </c>
      <c r="C234">
        <f>IF(SUM('CO–PO &amp; PSO Matrix'!D$3:D$6)=0,"",SUMPRODUCT(INDEX('CO Attainment Summary'!$H$3:$H$6, MATCH('CO–PO &amp; PSO Matrix'!$A$3:$A$6, 'CO Attainment Summary'!$A$3:$A$6,0)),'CO–PO &amp; PSO Matrix'!D$3:D$6)/SUM('CO–PO &amp; PSO Matrix'!D$3:D$6))</f>
        <v/>
      </c>
    </row>
    <row r="235">
      <c r="A235" t="inlineStr">
        <is>
          <t>PO4</t>
        </is>
      </c>
      <c r="B235">
        <f>TEXTJOIN(", ",TRUE,IF('CO–PO &amp; PSO Matrix'!E$3:E$6&lt;&gt;"",'CO–PO &amp; PSO Matrix'!$A$3:$A$6,""))</f>
        <v/>
      </c>
      <c r="C235">
        <f>IF(SUM('CO–PO &amp; PSO Matrix'!E$3:E$6)=0,"",SUMPRODUCT(INDEX('CO Attainment Summary'!$H$3:$H$6, MATCH('CO–PO &amp; PSO Matrix'!$A$3:$A$6, 'CO Attainment Summary'!$A$3:$A$6,0)),'CO–PO &amp; PSO Matrix'!E$3:E$6)/SUM('CO–PO &amp; PSO Matrix'!E$3:E$6))</f>
        <v/>
      </c>
    </row>
    <row r="236">
      <c r="A236" t="inlineStr">
        <is>
          <t>PO5</t>
        </is>
      </c>
      <c r="B236">
        <f>TEXTJOIN(", ",TRUE,IF('CO–PO &amp; PSO Matrix'!F$3:F$6&lt;&gt;"",'CO–PO &amp; PSO Matrix'!$A$3:$A$6,""))</f>
        <v/>
      </c>
      <c r="C236">
        <f>IF(SUM('CO–PO &amp; PSO Matrix'!F$3:F$6)=0,"",SUMPRODUCT(INDEX('CO Attainment Summary'!$H$3:$H$6, MATCH('CO–PO &amp; PSO Matrix'!$A$3:$A$6, 'CO Attainment Summary'!$A$3:$A$6,0)),'CO–PO &amp; PSO Matrix'!F$3:F$6)/SUM('CO–PO &amp; PSO Matrix'!F$3:F$6))</f>
        <v/>
      </c>
    </row>
    <row r="237">
      <c r="A237" t="inlineStr">
        <is>
          <t>PO6</t>
        </is>
      </c>
      <c r="B237">
        <f>TEXTJOIN(", ",TRUE,IF('CO–PO &amp; PSO Matrix'!G$3:G$6&lt;&gt;"",'CO–PO &amp; PSO Matrix'!$A$3:$A$6,""))</f>
        <v/>
      </c>
      <c r="C237">
        <f>IF(SUM('CO–PO &amp; PSO Matrix'!G$3:G$6)=0,"",SUMPRODUCT(INDEX('CO Attainment Summary'!$H$3:$H$6, MATCH('CO–PO &amp; PSO Matrix'!$A$3:$A$6, 'CO Attainment Summary'!$A$3:$A$6,0)),'CO–PO &amp; PSO Matrix'!G$3:G$6)/SUM('CO–PO &amp; PSO Matrix'!G$3:G$6))</f>
        <v/>
      </c>
    </row>
    <row r="238">
      <c r="A238" t="inlineStr">
        <is>
          <t>PO7</t>
        </is>
      </c>
      <c r="B238">
        <f>TEXTJOIN(", ",TRUE,IF('CO–PO &amp; PSO Matrix'!H$3:H$6&lt;&gt;"",'CO–PO &amp; PSO Matrix'!$A$3:$A$6,""))</f>
        <v/>
      </c>
      <c r="C238">
        <f>IF(SUM('CO–PO &amp; PSO Matrix'!H$3:H$6)=0,"",SUMPRODUCT(INDEX('CO Attainment Summary'!$H$3:$H$6, MATCH('CO–PO &amp; PSO Matrix'!$A$3:$A$6, 'CO Attainment Summary'!$A$3:$A$6,0)),'CO–PO &amp; PSO Matrix'!H$3:H$6)/SUM('CO–PO &amp; PSO Matrix'!H$3:H$6))</f>
        <v/>
      </c>
    </row>
    <row r="239">
      <c r="A239" t="inlineStr">
        <is>
          <t>PO8</t>
        </is>
      </c>
      <c r="B239">
        <f>TEXTJOIN(", ",TRUE,IF('CO–PO &amp; PSO Matrix'!I$3:I$6&lt;&gt;"",'CO–PO &amp; PSO Matrix'!$A$3:$A$6,""))</f>
        <v/>
      </c>
      <c r="C239">
        <f>IF(SUM('CO–PO &amp; PSO Matrix'!I$3:I$6)=0,"",SUMPRODUCT(INDEX('CO Attainment Summary'!$H$3:$H$6, MATCH('CO–PO &amp; PSO Matrix'!$A$3:$A$6, 'CO Attainment Summary'!$A$3:$A$6,0)),'CO–PO &amp; PSO Matrix'!I$3:I$6)/SUM('CO–PO &amp; PSO Matrix'!I$3:I$6))</f>
        <v/>
      </c>
    </row>
    <row r="240">
      <c r="A240" t="inlineStr">
        <is>
          <t>PO9</t>
        </is>
      </c>
      <c r="B240">
        <f>TEXTJOIN(", ",TRUE,IF('CO–PO &amp; PSO Matrix'!J$3:J$6&lt;&gt;"",'CO–PO &amp; PSO Matrix'!$A$3:$A$6,""))</f>
        <v/>
      </c>
      <c r="C240">
        <f>IF(SUM('CO–PO &amp; PSO Matrix'!J$3:J$6)=0,"",SUMPRODUCT(INDEX('CO Attainment Summary'!$H$3:$H$6, MATCH('CO–PO &amp; PSO Matrix'!$A$3:$A$6, 'CO Attainment Summary'!$A$3:$A$6,0)),'CO–PO &amp; PSO Matrix'!J$3:J$6)/SUM('CO–PO &amp; PSO Matrix'!J$3:J$6))</f>
        <v/>
      </c>
    </row>
    <row r="241">
      <c r="A241" t="inlineStr">
        <is>
          <t>PO10</t>
        </is>
      </c>
      <c r="B241">
        <f>TEXTJOIN(", ",TRUE,IF('CO–PO &amp; PSO Matrix'!K$3:K$6&lt;&gt;"",'CO–PO &amp; PSO Matrix'!$A$3:$A$6,""))</f>
        <v/>
      </c>
      <c r="C241">
        <f>IF(SUM('CO–PO &amp; PSO Matrix'!K$3:K$6)=0,"",SUMPRODUCT(INDEX('CO Attainment Summary'!$H$3:$H$6, MATCH('CO–PO &amp; PSO Matrix'!$A$3:$A$6, 'CO Attainment Summary'!$A$3:$A$6,0)),'CO–PO &amp; PSO Matrix'!K$3:K$6)/SUM('CO–PO &amp; PSO Matrix'!K$3:K$6))</f>
        <v/>
      </c>
    </row>
    <row r="242">
      <c r="A242" t="inlineStr">
        <is>
          <t>PO11</t>
        </is>
      </c>
      <c r="B242">
        <f>TEXTJOIN(", ",TRUE,IF('CO–PO &amp; PSO Matrix'!L$3:L$6&lt;&gt;"",'CO–PO &amp; PSO Matrix'!$A$3:$A$6,""))</f>
        <v/>
      </c>
      <c r="C242">
        <f>IF(SUM('CO–PO &amp; PSO Matrix'!L$3:L$6)=0,"",SUMPRODUCT(INDEX('CO Attainment Summary'!$H$3:$H$6, MATCH('CO–PO &amp; PSO Matrix'!$A$3:$A$6, 'CO Attainment Summary'!$A$3:$A$6,0)),'CO–PO &amp; PSO Matrix'!L$3:L$6)/SUM('CO–PO &amp; PSO Matrix'!L$3:L$6))</f>
        <v/>
      </c>
    </row>
    <row r="243">
      <c r="A243" t="inlineStr">
        <is>
          <t>PO12</t>
        </is>
      </c>
      <c r="B243">
        <f>TEXTJOIN(", ",TRUE,IF('CO–PO &amp; PSO Matrix'!M$3:M$6&lt;&gt;"",'CO–PO &amp; PSO Matrix'!$A$3:$A$6,""))</f>
        <v/>
      </c>
      <c r="C243">
        <f>IF(SUM('CO–PO &amp; PSO Matrix'!M$3:M$6)=0,"",SUMPRODUCT(INDEX('CO Attainment Summary'!$H$3:$H$6, MATCH('CO–PO &amp; PSO Matrix'!$A$3:$A$6, 'CO Attainment Summary'!$A$3:$A$6,0)),'CO–PO &amp; PSO Matrix'!M$3:M$6)/SUM('CO–PO &amp; PSO Matrix'!M$3:M$6))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inlineStr"/>
      <c r="G2" t="inlineStr"/>
      <c r="H2" t="inlineStr"/>
      <c r="I2" t="inlineStr"/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inlineStr"/>
      <c r="G3" t="inlineStr"/>
      <c r="H3" t="inlineStr"/>
      <c r="I3" t="inlineStr"/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inlineStr"/>
      <c r="G4" t="inlineStr"/>
      <c r="H4" t="inlineStr"/>
      <c r="I4" t="inlineStr"/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5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