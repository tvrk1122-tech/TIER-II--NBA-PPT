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s_Details" sheetId="1" state="visible" r:id="rId1"/>
    <sheet xmlns:r="http://schemas.openxmlformats.org/officeDocument/2006/relationships" name="Yearly_Summary" sheetId="2" state="visible" r:id="rId2"/>
    <sheet xmlns:r="http://schemas.openxmlformats.org/officeDocument/2006/relationships" name="Marks_Calculator" sheetId="3" state="visible" r:id="rId3"/>
    <sheet xmlns:r="http://schemas.openxmlformats.org/officeDocument/2006/relationships" name="Evidence_Tracker" sheetId="4" state="visible" r:id="rId4"/>
    <sheet xmlns:r="http://schemas.openxmlformats.org/officeDocument/2006/relationships" name="ReadMe" sheetId="5" state="visible" r:id="rId5"/>
    <sheet xmlns:r="http://schemas.openxmlformats.org/officeDocument/2006/relationships" name="MoU_CSR_Tracker" sheetId="6" state="visible" r:id="rId6"/>
    <sheet xmlns:r="http://schemas.openxmlformats.org/officeDocument/2006/relationships" name="UC_Tracker" sheetId="7" state="visible" r:id="rId7"/>
    <sheet xmlns:r="http://schemas.openxmlformats.org/officeDocument/2006/relationships" name="Financial_Evidence_Tracker" sheetId="8" state="visible" r:id="rId8"/>
    <sheet xmlns:r="http://schemas.openxmlformats.org/officeDocument/2006/relationships" name="RD_Tracker" sheetId="9" state="visible" r:id="rId9"/>
    <sheet xmlns:r="http://schemas.openxmlformats.org/officeDocument/2006/relationships" name="NBA_Marks_Dashboard" sheetId="10" state="visible" r:id="rId10"/>
    <sheet xmlns:r="http://schemas.openxmlformats.org/officeDocument/2006/relationships" name="Consultancy_Tracker" sheetId="11" state="visible" r:id="rId11"/>
    <sheet xmlns:r="http://schemas.openxmlformats.org/officeDocument/2006/relationships" name="Faculty_Consultancy_Report" sheetId="12" state="visible" r:id="rId12"/>
    <sheet xmlns:r="http://schemas.openxmlformats.org/officeDocument/2006/relationships" name="Consultancy_Title_Repository" sheetId="13" state="visible" r:id="rId1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center" wrapText="1"/>
    </xf>
    <xf numFmtId="0" fontId="1" fillId="0" borderId="0" pivotButton="0" quotePrefix="0" xfId="0"/>
    <xf numFmtId="0" fontId="0" fillId="0" borderId="0" applyAlignment="1" pivotButton="0" quotePrefix="0" xfId="0">
      <alignment horizontal="left"/>
    </xf>
    <xf numFmtId="0" fontId="2" fillId="0" borderId="0" pivotButton="0" quotePrefix="0" xfId="0"/>
    <xf numFmtId="0" fontId="1"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ables/table1.xml><?xml version="1.0" encoding="utf-8"?>
<table xmlns="http://schemas.openxmlformats.org/spreadsheetml/2006/main" id="1" name="ProjectsTable" displayName="ProjectsTable" ref="A1:J500" headerRowCount="1">
  <autoFilter ref="A1:J500"/>
  <tableColumns count="10">
    <tableColumn id="1" name="S. No."/>
    <tableColumn id="2" name="PI Name"/>
    <tableColumn id="3" name="Co-PI Name"/>
    <tableColumn id="4" name="Department"/>
    <tableColumn id="5" name="Project Title"/>
    <tableColumn id="6" name="Funding Agency"/>
    <tableColumn id="7" name="Sanctioned Amount (INR)"/>
    <tableColumn id="8" name="Duration (Years)"/>
    <tableColumn id="9" name="Sanctioned Year"/>
    <tableColumn id="10" name="CAY (CAYm1/CAYm2/CAYm3)"/>
  </tableColumns>
  <tableStyleInfo name="TableStyleMedium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s>
  <sheetData>
    <row r="1">
      <c r="A1" s="1" t="inlineStr">
        <is>
          <t>S. No.</t>
        </is>
      </c>
      <c r="B1" s="1" t="inlineStr">
        <is>
          <t>PI Name</t>
        </is>
      </c>
      <c r="C1" s="1" t="inlineStr">
        <is>
          <t>Co-PI Name</t>
        </is>
      </c>
      <c r="D1" s="1" t="inlineStr">
        <is>
          <t>Department</t>
        </is>
      </c>
      <c r="E1" s="1" t="inlineStr">
        <is>
          <t>Project Title</t>
        </is>
      </c>
      <c r="F1" s="1" t="inlineStr">
        <is>
          <t>Funding Agency</t>
        </is>
      </c>
      <c r="G1" s="1" t="inlineStr">
        <is>
          <t>Sanctioned Amount (INR)</t>
        </is>
      </c>
      <c r="H1" s="1" t="inlineStr">
        <is>
          <t>Duration (Years)</t>
        </is>
      </c>
      <c r="I1" s="1" t="inlineStr">
        <is>
          <t>Sanctioned Year</t>
        </is>
      </c>
      <c r="J1" s="1" t="inlineStr">
        <is>
          <t>CAY (CAYm1/CAYm2/CAYm3)</t>
        </is>
      </c>
    </row>
    <row r="2">
      <c r="A2" t="n">
        <v>1</v>
      </c>
      <c r="B2" t="inlineStr">
        <is>
          <t>Prof. A</t>
        </is>
      </c>
      <c r="C2" t="inlineStr">
        <is>
          <t>Dr. B</t>
        </is>
      </c>
      <c r="D2" t="inlineStr">
        <is>
          <t>ECE</t>
        </is>
      </c>
      <c r="E2" t="inlineStr">
        <is>
          <t>IoT for Smart Health</t>
        </is>
      </c>
      <c r="F2" t="inlineStr">
        <is>
          <t>DST</t>
        </is>
      </c>
      <c r="G2" t="n">
        <v>2200000</v>
      </c>
      <c r="H2" t="n">
        <v>3</v>
      </c>
      <c r="I2" t="n">
        <v>2023</v>
      </c>
      <c r="J2" t="inlineStr">
        <is>
          <t>CAYm1</t>
        </is>
      </c>
    </row>
    <row r="3">
      <c r="A3" t="n">
        <v>2</v>
      </c>
      <c r="B3" t="inlineStr">
        <is>
          <t>Dr. C</t>
        </is>
      </c>
      <c r="D3" t="inlineStr">
        <is>
          <t>CSE</t>
        </is>
      </c>
      <c r="E3" t="inlineStr">
        <is>
          <t>AI in Agriculture</t>
        </is>
      </c>
      <c r="F3" t="inlineStr">
        <is>
          <t>Infosys CSR</t>
        </is>
      </c>
      <c r="G3" t="n">
        <v>1850000</v>
      </c>
      <c r="H3" t="n">
        <v>2</v>
      </c>
      <c r="I3" t="n">
        <v>2022</v>
      </c>
      <c r="J3" t="inlineStr">
        <is>
          <t>CAYm2</t>
        </is>
      </c>
    </row>
    <row r="4">
      <c r="A4" t="n">
        <v>3</v>
      </c>
      <c r="B4" t="inlineStr">
        <is>
          <t>Prof. D</t>
        </is>
      </c>
      <c r="C4" t="inlineStr">
        <is>
          <t>Dr. E</t>
        </is>
      </c>
      <c r="D4" t="inlineStr">
        <is>
          <t>ME</t>
        </is>
      </c>
      <c r="E4" t="inlineStr">
        <is>
          <t>Sustainable Energy</t>
        </is>
      </c>
      <c r="F4" t="inlineStr">
        <is>
          <t>UGC</t>
        </is>
      </c>
      <c r="G4" t="n">
        <v>900000</v>
      </c>
      <c r="H4" t="n">
        <v>2</v>
      </c>
      <c r="I4" t="n">
        <v>2021</v>
      </c>
      <c r="J4" t="inlineStr">
        <is>
          <t>CAYm3</t>
        </is>
      </c>
    </row>
  </sheetData>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showErrorMessage="1" showDropDown="1" showInputMessage="1" allowBlank="1" type="list">
      <formula1>"CAYm1,CAYm2,CAYm3"</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2" t="inlineStr">
        <is>
          <t>Academic Year</t>
        </is>
      </c>
      <c r="B1" s="2" t="inlineStr">
        <is>
          <t>Total Funding (INR)</t>
        </is>
      </c>
      <c r="C1" s="2" t="inlineStr">
        <is>
          <t>No. of Projects</t>
        </is>
      </c>
      <c r="D1" s="2" t="inlineStr">
        <is>
          <t>Highest Value Project (INR)</t>
        </is>
      </c>
      <c r="E1" s="2" t="inlineStr">
        <is>
          <t>NBA Marks (Auto)</t>
        </is>
      </c>
    </row>
    <row r="2">
      <c r="A2" s="3" t="inlineStr">
        <is>
          <t>CAYm1</t>
        </is>
      </c>
      <c r="B2">
        <f>SUMIF(Projects_Details!J2:J500,"CAYm1",Projects_Details!G2:G500)</f>
        <v/>
      </c>
      <c r="C2">
        <f>COUNTIF(Projects_Details!J2:J500,"CAYm1")</f>
        <v/>
      </c>
      <c r="D2">
        <f>IF(C2=0,0,MAXIFS(Projects_Details!G2:G500,Projects_Details!J2:J500,"CAYm1"))</f>
        <v/>
      </c>
      <c r="E2">
        <f>IF(B2&gt;2000000,15,
IF(B2&gt;1600000,12,
IF(B2&gt;1200000,9,
IF(B2&gt;800000,6,
IF(B2&gt;400000,3,
IF(B2&gt;100000,1,0))))))</f>
        <v/>
      </c>
    </row>
    <row r="3">
      <c r="A3" s="3" t="inlineStr">
        <is>
          <t>CAYm2</t>
        </is>
      </c>
      <c r="B3">
        <f>SUMIF(Projects_Details!J2:J500,"CAYm2",Projects_Details!G2:G500)</f>
        <v/>
      </c>
      <c r="C3">
        <f>COUNTIF(Projects_Details!J2:J500,"CAYm2")</f>
        <v/>
      </c>
      <c r="D3">
        <f>IF(C3=0,0,MAXIFS(Projects_Details!G2:G500,Projects_Details!J2:J500,"CAYm2"))</f>
        <v/>
      </c>
      <c r="E3">
        <f>IF(B3&gt;2000000,15,
IF(B3&gt;1600000,12,
IF(B3&gt;1200000,9,
IF(B3&gt;800000,6,
IF(B3&gt;400000,3,
IF(B3&gt;100000,1,0))))))</f>
        <v/>
      </c>
    </row>
    <row r="4">
      <c r="A4" s="3" t="inlineStr">
        <is>
          <t>CAYm3</t>
        </is>
      </c>
      <c r="B4">
        <f>SUMIF(Projects_Details!J2:J500,"CAYm3",Projects_Details!G2:G500)</f>
        <v/>
      </c>
      <c r="C4">
        <f>COUNTIF(Projects_Details!J2:J500,"CAYm3")</f>
        <v/>
      </c>
      <c r="D4">
        <f>IF(C4=0,0,MAXIFS(Projects_Details!G2:G500,Projects_Details!J2:J500,"CAYm3"))</f>
        <v/>
      </c>
      <c r="E4">
        <f>IF(B4&gt;2000000,15,
IF(B4&gt;1600000,12,
IF(B4&gt;1200000,9,
IF(B4&gt;800000,6,
IF(B4&gt;400000,3,
IF(B4&gt;100000,1,0))))))</f>
        <v/>
      </c>
    </row>
    <row r="5">
      <c r="A5" s="3" t="inlineStr">
        <is>
          <t>Cumulative</t>
        </is>
      </c>
      <c r="B5">
        <f>SUM(B2:B4)</f>
        <v/>
      </c>
      <c r="C5">
        <f>SUM(C2:C4)</f>
        <v/>
      </c>
      <c r="D5">
        <f>MAX(D2:D4)</f>
        <v/>
      </c>
      <c r="E5">
        <f>IF(B5&gt;2000000,15,
IF(B5&gt;1600000,12,
IF(B5&gt;1200000,9,
IF(B5&gt;800000,6,
IF(B5&gt;400000,3,
IF(B5&gt;100000,1,0))))))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42" customWidth="1" min="1" max="1"/>
    <col width="24" customWidth="1" min="2" max="2"/>
    <col width="22" customWidth="1" min="3" max="3"/>
  </cols>
  <sheetData>
    <row r="1">
      <c r="A1" s="2" t="inlineStr">
        <is>
          <t>Description</t>
        </is>
      </c>
      <c r="B1" s="2" t="inlineStr">
        <is>
          <t>Amount (INR)</t>
        </is>
      </c>
      <c r="C1" s="2" t="inlineStr">
        <is>
          <t>NBA Marks (Auto)</t>
        </is>
      </c>
    </row>
    <row r="2">
      <c r="A2" t="inlineStr">
        <is>
          <t>Enter cumulative sanctioned amount here</t>
        </is>
      </c>
      <c r="C2">
        <f>IF(B2&gt;2000000,15,
IF(B2&gt;1600000,12,
IF(B2&gt;1200000,9,
IF(B2&gt;800000,6,
IF(B2&gt;400000,3,
IF(B2&gt;100000,1,0))))))</f>
        <v/>
      </c>
    </row>
    <row r="3">
      <c r="A3" t="inlineStr">
        <is>
          <t>Note:</t>
        </is>
      </c>
      <c r="B3" t="inlineStr">
        <is>
          <t>Thresholds (INR): &gt;20L=15, &gt;16L=12, &gt;12L=9, &gt;8L=6, &gt;4L=3, &gt;1L=1, else=0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s>
  <sheetData>
    <row r="1">
      <c r="A1" s="2" t="inlineStr">
        <is>
          <t>Project Title</t>
        </is>
      </c>
      <c r="B1" s="2" t="inlineStr">
        <is>
          <t>Funding Agency</t>
        </is>
      </c>
      <c r="C1" s="2" t="inlineStr">
        <is>
          <t>Sanction Letter (Link/Ref No.)</t>
        </is>
      </c>
      <c r="D1" s="2" t="inlineStr">
        <is>
          <t>Utilization Certificate (Y/N)</t>
        </is>
      </c>
      <c r="E1" s="2" t="inlineStr">
        <is>
          <t>MoU/Agreement (Y/N)</t>
        </is>
      </c>
      <c r="F1" s="2" t="inlineStr">
        <is>
          <t>Progress/Final Report (Y/N)</t>
        </is>
      </c>
      <c r="G1" s="2" t="inlineStr">
        <is>
          <t>Remarks</t>
        </is>
      </c>
    </row>
    <row r="2">
      <c r="A2" t="inlineStr">
        <is>
          <t>IoT for Smart Health</t>
        </is>
      </c>
      <c r="B2" t="inlineStr">
        <is>
          <t>DST</t>
        </is>
      </c>
      <c r="C2" t="inlineStr">
        <is>
          <t>Doc123.pdf</t>
        </is>
      </c>
      <c r="D2" t="inlineStr">
        <is>
          <t>Yes</t>
        </is>
      </c>
      <c r="E2" t="inlineStr">
        <is>
          <t>Yes</t>
        </is>
      </c>
      <c r="F2" t="inlineStr">
        <is>
          <t>Yes</t>
        </is>
      </c>
      <c r="G2" t="inlineStr">
        <is>
          <t>Completed</t>
        </is>
      </c>
    </row>
    <row r="3">
      <c r="A3" t="inlineStr">
        <is>
          <t>AI in Agriculture</t>
        </is>
      </c>
      <c r="B3" t="inlineStr">
        <is>
          <t>Infosys CSR</t>
        </is>
      </c>
      <c r="C3" t="inlineStr">
        <is>
          <t>Doc456.pdf</t>
        </is>
      </c>
      <c r="D3" t="inlineStr">
        <is>
          <t>Yes</t>
        </is>
      </c>
      <c r="E3" t="inlineStr">
        <is>
          <t>Yes</t>
        </is>
      </c>
      <c r="F3" t="inlineStr">
        <is>
          <t>Ongoing</t>
        </is>
      </c>
      <c r="G3" t="inlineStr">
        <is>
          <t>Mid-term report submitted</t>
        </is>
      </c>
    </row>
    <row r="4">
      <c r="A4" t="inlineStr">
        <is>
          <t>Sustainable Energy</t>
        </is>
      </c>
      <c r="B4" t="inlineStr">
        <is>
          <t>UGC</t>
        </is>
      </c>
      <c r="C4" t="inlineStr">
        <is>
          <t>Doc789.pdf</t>
        </is>
      </c>
      <c r="D4" t="inlineStr">
        <is>
          <t>Yes</t>
        </is>
      </c>
      <c r="F4" t="inlineStr">
        <is>
          <t>Yes</t>
        </is>
      </c>
      <c r="G4" t="inlineStr">
        <is>
          <t>Completed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t="inlineStr">
        <is>
          <t>How to use this template:</t>
        </is>
      </c>
    </row>
    <row r="2">
      <c r="A2" t="inlineStr">
        <is>
          <t>1) Fill 'Projects_Details' with one row per sponsored research project. Use the dropdown in column J to select CAYm1/CAYm2/CAYm3.</t>
        </is>
      </c>
    </row>
    <row r="3">
      <c r="A3" t="inlineStr">
        <is>
          <t>2) 'Yearly_Summary' auto-calculates Year-wise totals, counts, highest-value project, and NBA marks.</t>
        </is>
      </c>
    </row>
    <row r="4">
      <c r="A4" t="inlineStr">
        <is>
          <t>3) 'Marks_Calculator' lets you manually test marks for any cumulative amount you enter in cell B2.</t>
        </is>
      </c>
    </row>
    <row r="5">
      <c r="A5" t="inlineStr">
        <is>
          <t>4) 'Evidence_Tracker' helps you keep links/refs to sanction letters, UCs, MoUs, and reports for NBA verification.</t>
        </is>
      </c>
    </row>
    <row r="6">
      <c r="A6" t="inlineStr">
        <is>
          <t>Notes: Amount thresholds are in INR (1 Lakh = 100,000). Ensure sanctioned amounts exclude consultancy or in-house R&amp;D to avoid duplication with 6.2.5 and 6.2.6.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2" t="inlineStr">
        <is>
          <t>Project Title</t>
        </is>
      </c>
      <c r="B1" s="2" t="inlineStr">
        <is>
          <t>Industry/CSR Partner</t>
        </is>
      </c>
      <c r="C1" s="2" t="inlineStr">
        <is>
          <t>MoU/Agreement Ref. No.</t>
        </is>
      </c>
      <c r="D1" s="2" t="inlineStr">
        <is>
          <t>Date Signed</t>
        </is>
      </c>
      <c r="E1" s="2" t="inlineStr">
        <is>
          <t>Funding Amount (Lakhs)</t>
        </is>
      </c>
      <c r="F1" s="2" t="inlineStr">
        <is>
          <t>Duration (Years)</t>
        </is>
      </c>
      <c r="G1" s="2" t="inlineStr">
        <is>
          <t>Link to Copy (PDF/Doc)</t>
        </is>
      </c>
      <c r="H1" s="2" t="inlineStr">
        <is>
          <t>Remarks</t>
        </is>
      </c>
    </row>
    <row r="2">
      <c r="A2" t="inlineStr">
        <is>
          <t>AI in Agriculture</t>
        </is>
      </c>
      <c r="B2" t="inlineStr">
        <is>
          <t>Infosys CSR</t>
        </is>
      </c>
      <c r="C2" t="inlineStr">
        <is>
          <t>MoU-CSR-2022-01</t>
        </is>
      </c>
      <c r="D2" t="inlineStr">
        <is>
          <t>2022-06-15</t>
        </is>
      </c>
      <c r="E2" t="n">
        <v>18.5</v>
      </c>
      <c r="F2" t="n">
        <v>2</v>
      </c>
      <c r="G2" t="inlineStr">
        <is>
          <t>MoU_AI_Agri.pdf</t>
        </is>
      </c>
      <c r="H2" t="inlineStr">
        <is>
          <t>Ongoing</t>
        </is>
      </c>
    </row>
    <row r="3">
      <c r="A3" t="inlineStr">
        <is>
          <t>Green Energy Research</t>
        </is>
      </c>
      <c r="B3" t="inlineStr">
        <is>
          <t>Reliance Foundation</t>
        </is>
      </c>
      <c r="C3" t="inlineStr">
        <is>
          <t>MoU-CSR-2021-05</t>
        </is>
      </c>
      <c r="D3" t="inlineStr">
        <is>
          <t>2021-09-10</t>
        </is>
      </c>
      <c r="E3" t="n">
        <v>12</v>
      </c>
      <c r="F3" t="n">
        <v>3</v>
      </c>
      <c r="G3" t="inlineStr">
        <is>
          <t>MoU_GreenEnergy.pdf</t>
        </is>
      </c>
      <c r="H3" t="inlineStr">
        <is>
          <t>Prototype Developed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s>
  <sheetData>
    <row r="1">
      <c r="A1" s="2" t="inlineStr">
        <is>
          <t>Project Title</t>
        </is>
      </c>
      <c r="B1" s="2" t="inlineStr">
        <is>
          <t>Funding Agency</t>
        </is>
      </c>
      <c r="C1" s="2" t="inlineStr">
        <is>
          <t>UC Reference No.</t>
        </is>
      </c>
      <c r="D1" s="2" t="inlineStr">
        <is>
          <t>Period Covered</t>
        </is>
      </c>
      <c r="E1" s="2" t="inlineStr">
        <is>
          <t>Amount Utilized (₹)</t>
        </is>
      </c>
      <c r="F1" s="2" t="inlineStr">
        <is>
          <t>Date of Submission</t>
        </is>
      </c>
      <c r="G1" s="2" t="inlineStr">
        <is>
          <t>Verified By (Head/Finance Officer)</t>
        </is>
      </c>
      <c r="H1" s="2" t="inlineStr">
        <is>
          <t>Link to UC (PDF/Doc)</t>
        </is>
      </c>
      <c r="I1" s="2" t="inlineStr">
        <is>
          <t>Remarks</t>
        </is>
      </c>
    </row>
    <row r="2">
      <c r="A2" t="inlineStr">
        <is>
          <t>IoT for Smart Health</t>
        </is>
      </c>
      <c r="B2" t="inlineStr">
        <is>
          <t>DST</t>
        </is>
      </c>
      <c r="C2" t="inlineStr">
        <is>
          <t>UC-DST-2023-01</t>
        </is>
      </c>
      <c r="D2" t="inlineStr">
        <is>
          <t>2022-23</t>
        </is>
      </c>
      <c r="E2" t="n">
        <v>1200000</v>
      </c>
      <c r="F2" t="inlineStr">
        <is>
          <t>2023-03-31</t>
        </is>
      </c>
      <c r="G2" t="inlineStr">
        <is>
          <t>Finance Officer</t>
        </is>
      </c>
      <c r="H2" t="inlineStr">
        <is>
          <t>UC_IoT_DST.pdf</t>
        </is>
      </c>
      <c r="I2" t="inlineStr">
        <is>
          <t>Acknowledged by DST</t>
        </is>
      </c>
    </row>
    <row r="3">
      <c r="A3" t="inlineStr">
        <is>
          <t>AI in Agriculture</t>
        </is>
      </c>
      <c r="B3" t="inlineStr">
        <is>
          <t>Infosys CSR</t>
        </is>
      </c>
      <c r="C3" t="inlineStr">
        <is>
          <t>UC-CSR-2022-04</t>
        </is>
      </c>
      <c r="D3" t="inlineStr">
        <is>
          <t>2021-22</t>
        </is>
      </c>
      <c r="E3" t="n">
        <v>1000000</v>
      </c>
      <c r="F3" t="inlineStr">
        <is>
          <t>2022-03-20</t>
        </is>
      </c>
      <c r="G3" t="inlineStr">
        <is>
          <t>Director</t>
        </is>
      </c>
      <c r="H3" t="inlineStr">
        <is>
          <t>UC_AI_CSR.pdf</t>
        </is>
      </c>
      <c r="I3" t="inlineStr">
        <is>
          <t>Second installment released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s>
  <sheetData>
    <row r="1">
      <c r="A1" s="2" t="inlineStr">
        <is>
          <t>Project Title</t>
        </is>
      </c>
      <c r="B1" s="2" t="inlineStr">
        <is>
          <t>Funding Agency</t>
        </is>
      </c>
      <c r="C1" s="2" t="inlineStr">
        <is>
          <t>Amount Sanctioned (₹ Lakhs)</t>
        </is>
      </c>
      <c r="D1" s="2" t="inlineStr">
        <is>
          <t>Amount Received (₹ Lakhs)</t>
        </is>
      </c>
      <c r="E1" s="2" t="inlineStr">
        <is>
          <t>Amount Utilized (₹ Lakhs)</t>
        </is>
      </c>
      <c r="F1" s="2" t="inlineStr">
        <is>
          <t>Bank Statement Ref/Date</t>
        </is>
      </c>
      <c r="G1" s="2" t="inlineStr">
        <is>
          <t>Audit Report Ref/Date</t>
        </is>
      </c>
      <c r="H1" s="2" t="inlineStr">
        <is>
          <t>Link to Document (PDF/Doc)</t>
        </is>
      </c>
      <c r="I1" s="2" t="inlineStr">
        <is>
          <t>Remarks</t>
        </is>
      </c>
    </row>
    <row r="2">
      <c r="A2" t="inlineStr">
        <is>
          <t>IoT for Smart Health</t>
        </is>
      </c>
      <c r="B2" t="inlineStr">
        <is>
          <t>DST</t>
        </is>
      </c>
      <c r="C2" t="n">
        <v>22</v>
      </c>
      <c r="D2" t="n">
        <v>22</v>
      </c>
      <c r="E2" t="n">
        <v>21.5</v>
      </c>
      <c r="F2" t="inlineStr">
        <is>
          <t>BankStmt_DST_2023.pdf</t>
        </is>
      </c>
      <c r="G2" t="inlineStr">
        <is>
          <t>Audit_DST_2023.pdf</t>
        </is>
      </c>
      <c r="H2" t="inlineStr">
        <is>
          <t>Link_DST_Fin.pdf</t>
        </is>
      </c>
      <c r="I2" t="inlineStr">
        <is>
          <t>Utilized fully, minor balance carried forward</t>
        </is>
      </c>
    </row>
    <row r="3">
      <c r="A3" t="inlineStr">
        <is>
          <t>AI in Agriculture</t>
        </is>
      </c>
      <c r="B3" t="inlineStr">
        <is>
          <t>Infosys CSR</t>
        </is>
      </c>
      <c r="C3" t="n">
        <v>18.5</v>
      </c>
      <c r="D3" t="n">
        <v>18.5</v>
      </c>
      <c r="E3" t="n">
        <v>18</v>
      </c>
      <c r="F3" t="inlineStr">
        <is>
          <t>BankStmt_CSR_2022.pdf</t>
        </is>
      </c>
      <c r="G3" t="inlineStr">
        <is>
          <t>Audit_CSR_2022.pdf</t>
        </is>
      </c>
      <c r="H3" t="inlineStr">
        <is>
          <t>Link_CSR_Fin.pdf</t>
        </is>
      </c>
      <c r="I3" t="inlineStr">
        <is>
          <t>Second installment pending at audit time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s>
  <sheetData>
    <row r="1">
      <c r="A1" s="2" t="inlineStr">
        <is>
          <t>S. No.</t>
        </is>
      </c>
      <c r="B1" s="2" t="inlineStr">
        <is>
          <t>PI Name</t>
        </is>
      </c>
      <c r="C1" s="2" t="inlineStr">
        <is>
          <t>Co-PI Name</t>
        </is>
      </c>
      <c r="D1" s="2" t="inlineStr">
        <is>
          <t>Department</t>
        </is>
      </c>
      <c r="E1" s="2" t="inlineStr">
        <is>
          <t>Project Title</t>
        </is>
      </c>
      <c r="F1" s="2" t="inlineStr">
        <is>
          <t>Funding Type (Seed/Internal)</t>
        </is>
      </c>
      <c r="G1" s="2" t="inlineStr">
        <is>
          <t>Sanctioned Amount (₹ Lakhs)</t>
        </is>
      </c>
      <c r="H1" s="2" t="inlineStr">
        <is>
          <t>Duration</t>
        </is>
      </c>
      <c r="I1" s="2" t="inlineStr">
        <is>
          <t>Sanctioned Year</t>
        </is>
      </c>
      <c r="J1" s="2" t="inlineStr">
        <is>
          <t>CAY (CAYm1/CAYm2/CAYm3)</t>
        </is>
      </c>
      <c r="K1" s="2" t="inlineStr">
        <is>
          <t>Amount Released (₹)</t>
        </is>
      </c>
      <c r="L1" s="2" t="inlineStr">
        <is>
          <t>Amount Utilized (₹)</t>
        </is>
      </c>
    </row>
    <row r="2">
      <c r="A2" t="n">
        <v>1</v>
      </c>
      <c r="B2" t="inlineStr">
        <is>
          <t>Prof. X</t>
        </is>
      </c>
      <c r="D2" t="inlineStr">
        <is>
          <t>CSE</t>
        </is>
      </c>
      <c r="E2" t="inlineStr">
        <is>
          <t>Dept. Seed Grant on Edge AI</t>
        </is>
      </c>
      <c r="F2" t="inlineStr">
        <is>
          <t>Seed</t>
        </is>
      </c>
      <c r="G2" t="n">
        <v>3</v>
      </c>
      <c r="H2" t="inlineStr">
        <is>
          <t>1 year</t>
        </is>
      </c>
      <c r="I2" t="n">
        <v>2023</v>
      </c>
      <c r="J2" t="inlineStr">
        <is>
          <t>CAYm1</t>
        </is>
      </c>
      <c r="K2" t="n">
        <v>300000</v>
      </c>
      <c r="L2" t="n">
        <v>250000</v>
      </c>
    </row>
    <row r="3">
      <c r="A3" t="n">
        <v>2</v>
      </c>
      <c r="B3" t="inlineStr">
        <is>
          <t>Dr. Y</t>
        </is>
      </c>
      <c r="C3" t="inlineStr">
        <is>
          <t>Dr. Z</t>
        </is>
      </c>
      <c r="D3" t="inlineStr">
        <is>
          <t>EEE</t>
        </is>
      </c>
      <c r="E3" t="inlineStr">
        <is>
          <t>Prototype Fund - Smart Inverter</t>
        </is>
      </c>
      <c r="F3" t="inlineStr">
        <is>
          <t>Internal</t>
        </is>
      </c>
      <c r="G3" t="n">
        <v>2</v>
      </c>
      <c r="H3" t="inlineStr">
        <is>
          <t>1 year</t>
        </is>
      </c>
      <c r="I3" t="n">
        <v>2022</v>
      </c>
      <c r="J3" t="inlineStr">
        <is>
          <t>CAYm2</t>
        </is>
      </c>
      <c r="K3" t="n">
        <v>200000</v>
      </c>
      <c r="L3" t="n">
        <v>180000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s>
  <sheetData>
    <row r="1">
      <c r="A1" s="4" t="inlineStr">
        <is>
          <t>NBA Marks Dashboard – Consolidated View (Sponsored Research + Consultancy + R&amp;D)</t>
        </is>
      </c>
    </row>
    <row r="3">
      <c r="A3" s="5" t="inlineStr">
        <is>
          <t>Category</t>
        </is>
      </c>
      <c r="B3" s="2" t="inlineStr">
        <is>
          <t>CAYm1 Total (₹)</t>
        </is>
      </c>
      <c r="C3" s="2" t="inlineStr">
        <is>
          <t>CAYm2 Total (₹)</t>
        </is>
      </c>
      <c r="D3" s="2" t="inlineStr">
        <is>
          <t>CAYm3 Total (₹)</t>
        </is>
      </c>
      <c r="E3" s="2" t="inlineStr">
        <is>
          <t>Cumulative (₹)</t>
        </is>
      </c>
      <c r="F3" s="2" t="inlineStr">
        <is>
          <t>NBA Marks (Auto)</t>
        </is>
      </c>
      <c r="G3" s="2" t="inlineStr">
        <is>
          <t>Notes</t>
        </is>
      </c>
    </row>
    <row r="4">
      <c r="A4" s="3" t="inlineStr">
        <is>
          <t>Sponsored Research</t>
        </is>
      </c>
      <c r="B4">
        <f>IFERROR(Yearly_Summary!B2, SUMIF(Projects_Details!J2:J500,"CAYm1",Projects_Details!G2:G500))</f>
        <v/>
      </c>
      <c r="C4">
        <f>IFERROR(Yearly_Summary!B3, SUMIF(Projects_Details!J2:J500,"CAYm2",Projects_Details!G2:G500))</f>
        <v/>
      </c>
      <c r="D4">
        <f>IFERROR(Yearly_Summary!B4, SUMIF(Projects_Details!J2:J500,"CAYm3",Projects_Details!G2:G500))</f>
        <v/>
      </c>
      <c r="E4">
        <f>SUM(B4:D4)</f>
        <v/>
      </c>
      <c r="F4">
        <f>IF(E4&gt;2000000,15,IF(E4&gt;1600000,12,IF(E4&gt;1200000,9,IF(E4&gt;800000,6,IF(E4&gt;400000,3,IF(E4&gt;100000,1,0))))))</f>
        <v/>
      </c>
      <c r="G4" t="inlineStr">
        <is>
          <t>Externally funded research only (exclude consultancy &amp; in-house R&amp;D)</t>
        </is>
      </c>
    </row>
    <row r="5">
      <c r="A5" s="3" t="inlineStr">
        <is>
          <t>Consultancy</t>
        </is>
      </c>
      <c r="B5">
        <f>SUMIF(Consultancy_Tracker!J2:J500,"CAYm1",Consultancy_Tracker!K2:K500)</f>
        <v/>
      </c>
      <c r="C5">
        <f>SUMIF(Consultancy_Tracker!J2:J500,"CAYm2",Consultancy_Tracker!K2:K500)</f>
        <v/>
      </c>
      <c r="D5">
        <f>SUMIF(Consultancy_Tracker!J2:J500,"CAYm3",Consultancy_Tracker!K2:K500)</f>
        <v/>
      </c>
      <c r="E5">
        <f>SUM(B5:D5)</f>
        <v/>
      </c>
      <c r="F5">
        <f>IF(E5&gt;2000000,15,IF(E5&gt;1600000,12,IF(E5&gt;1200000,9,IF(E5&gt;800000,6,IF(E5&gt;400000,3,IF(E5&gt;100000,1,0))))))</f>
        <v/>
      </c>
      <c r="G5" t="inlineStr">
        <is>
          <t>Exclude funded research &amp; in-house R&amp;D (no duplication with 6.2.4/6.2.6)</t>
        </is>
      </c>
    </row>
    <row r="6">
      <c r="A6" s="3" t="inlineStr">
        <is>
          <t>R&amp;D / Seed Money (Internal)</t>
        </is>
      </c>
      <c r="B6">
        <f>SUMIF(RD_Tracker!J2:J500,"CAYm1",RD_Tracker!K2:K500)</f>
        <v/>
      </c>
      <c r="C6">
        <f>SUMIF(RD_Tracker!J2:J500,"CAYm2",RD_Tracker!K2:K500)</f>
        <v/>
      </c>
      <c r="D6">
        <f>SUMIF(RD_Tracker!J2:J500,"CAYm3",RD_Tracker!K2:K500)</f>
        <v/>
      </c>
      <c r="E6">
        <f>SUM(B6:D6)</f>
        <v/>
      </c>
      <c r="F6" t="inlineStr">
        <is>
          <t>—</t>
        </is>
      </c>
      <c r="G6" t="inlineStr">
        <is>
          <t>Internal funding; scored under a different sub-criterion (6.2.6).</t>
        </is>
      </c>
    </row>
    <row r="8">
      <c r="A8" s="2" t="inlineStr">
        <is>
          <t>Grand Total (Sponsored + Consultancy + R&amp;D)</t>
        </is>
      </c>
      <c r="B8" s="2">
        <f>SUM(B4:B6)</f>
        <v/>
      </c>
      <c r="C8" s="2">
        <f>SUM(C4:C6)</f>
        <v/>
      </c>
      <c r="D8" s="2">
        <f>SUM(D4:D6)</f>
        <v/>
      </c>
      <c r="E8" s="2">
        <f>SUM(E4:E6)</f>
        <v/>
      </c>
    </row>
    <row r="10">
      <c r="A10" t="inlineStr">
        <is>
          <t>Notes:</t>
        </is>
      </c>
    </row>
    <row r="11">
      <c r="A11" t="inlineStr">
        <is>
          <t>1) Sponsored Research and Consultancy are each scored out of 15 marks based on cumulative receipts over CAYm1–CAYm3.</t>
        </is>
      </c>
    </row>
    <row r="12">
      <c r="A12" t="inlineStr">
        <is>
          <t>2) R&amp;D/Seed Money (internal) is shown for completeness but is evaluated under a separate NBA sub-criterion (6.2.6).</t>
        </is>
      </c>
    </row>
    <row r="13">
      <c r="A13" t="inlineStr">
        <is>
          <t>3) Ensure no duplication across categories; a project must appear in only one bucket.</t>
        </is>
      </c>
    </row>
    <row r="14">
      <c r="A14" t="inlineStr">
        <is>
          <t>4) Amount thresholds assume INR; 1 Lakh = 100,000.</t>
        </is>
      </c>
    </row>
  </sheetData>
  <mergeCells count="1">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500"/>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18" customWidth="1" min="7" max="7"/>
    <col width="28" customWidth="1" min="8" max="8"/>
    <col width="28" customWidth="1" min="9" max="9"/>
    <col width="28" customWidth="1" min="10" max="10"/>
    <col width="28" customWidth="1" min="11" max="11"/>
    <col width="28" customWidth="1" min="12" max="12"/>
    <col width="28" customWidth="1" min="13" max="13"/>
  </cols>
  <sheetData>
    <row r="1">
      <c r="A1" s="2" t="inlineStr">
        <is>
          <t>S. No.</t>
        </is>
      </c>
      <c r="B1" s="2" t="inlineStr">
        <is>
          <t>PI Name</t>
        </is>
      </c>
      <c r="C1" s="2" t="inlineStr">
        <is>
          <t>Co-PI Name</t>
        </is>
      </c>
      <c r="D1" s="2" t="inlineStr">
        <is>
          <t>Department</t>
        </is>
      </c>
      <c r="E1" s="2" t="inlineStr">
        <is>
          <t>Project Title</t>
        </is>
      </c>
      <c r="F1" s="2" t="inlineStr">
        <is>
          <t>Client/Funding Agency</t>
        </is>
      </c>
      <c r="G1" s="2" t="inlineStr">
        <is>
          <t>Agency Type</t>
        </is>
      </c>
      <c r="H1" s="2" t="inlineStr">
        <is>
          <t>Sanctioned Amount (₹ Lakhs)</t>
        </is>
      </c>
      <c r="I1" s="2" t="inlineStr">
        <is>
          <t>Duration</t>
        </is>
      </c>
      <c r="J1" s="2" t="inlineStr">
        <is>
          <t>Sanctioned Year</t>
        </is>
      </c>
      <c r="K1" s="2" t="inlineStr">
        <is>
          <t>CAYm1 Amount Received (₹)</t>
        </is>
      </c>
      <c r="L1" s="2" t="inlineStr">
        <is>
          <t>CAYm1 Amount Received (₹)</t>
        </is>
      </c>
      <c r="M1" s="2" t="inlineStr">
        <is>
          <t>CAYm2 Amount Received (₹)</t>
        </is>
      </c>
      <c r="N1" s="2" t="inlineStr">
        <is>
          <t>CAYm3 Amount Received (₹)</t>
        </is>
      </c>
      <c r="O1" s="2" t="inlineStr">
        <is>
          <t>Total Amount Received (₹)</t>
        </is>
      </c>
      <c r="P1" s="2" t="inlineStr">
        <is>
          <t>Total Amount (₹ Lakhs)</t>
        </is>
      </c>
      <c r="Q1" s="2" t="inlineStr">
        <is>
          <t>CAYm2 Amount Received (₹)</t>
        </is>
      </c>
      <c r="R1" s="2" t="inlineStr">
        <is>
          <t>CAYm3 Amount Received (₹)</t>
        </is>
      </c>
      <c r="S1" s="2" t="inlineStr">
        <is>
          <t>Total Amount Received (₹ Lakhs)</t>
        </is>
      </c>
    </row>
    <row r="2">
      <c r="A2" t="n">
        <v>1</v>
      </c>
      <c r="B2" t="inlineStr">
        <is>
          <t>Prof. A</t>
        </is>
      </c>
      <c r="C2" t="inlineStr">
        <is>
          <t>Dr. B</t>
        </is>
      </c>
      <c r="D2" t="inlineStr">
        <is>
          <t>Civil</t>
        </is>
      </c>
      <c r="E2" t="inlineStr">
        <is>
          <t>Structural Audit of XYZ</t>
        </is>
      </c>
      <c r="F2" t="inlineStr">
        <is>
          <t>XYZ Constructions Pvt. Ltd.</t>
        </is>
      </c>
      <c r="G2" t="inlineStr">
        <is>
          <t>Industry</t>
        </is>
      </c>
      <c r="H2" t="n">
        <v>5</v>
      </c>
      <c r="I2" t="inlineStr">
        <is>
          <t>1 year</t>
        </is>
      </c>
      <c r="J2" t="n">
        <v>2023</v>
      </c>
      <c r="K2" t="n">
        <v>300000</v>
      </c>
      <c r="O2">
        <f>SUM(K2:M2)</f>
        <v/>
      </c>
      <c r="P2">
        <f>N2/100000</f>
        <v/>
      </c>
      <c r="Q2" t="n">
        <v>200000</v>
      </c>
      <c r="R2" t="n">
        <v>0</v>
      </c>
      <c r="S2">
        <f>ROUND(SUM(J2:L2)/100000,2)</f>
        <v/>
      </c>
    </row>
    <row r="3">
      <c r="A3" t="n">
        <v>2</v>
      </c>
      <c r="B3" t="inlineStr">
        <is>
          <t>Dr. C</t>
        </is>
      </c>
      <c r="D3" t="inlineStr">
        <is>
          <t>Mechanical</t>
        </is>
      </c>
      <c r="E3" t="inlineStr">
        <is>
          <t>Material Testing for ABC</t>
        </is>
      </c>
      <c r="F3" t="inlineStr">
        <is>
          <t>ABC Industries</t>
        </is>
      </c>
      <c r="G3" t="inlineStr">
        <is>
          <t>Industry</t>
        </is>
      </c>
      <c r="H3" t="n">
        <v>3.5</v>
      </c>
      <c r="I3" t="inlineStr">
        <is>
          <t>6 months</t>
        </is>
      </c>
      <c r="J3" t="n">
        <v>2022</v>
      </c>
      <c r="K3" t="n">
        <v>0</v>
      </c>
      <c r="O3">
        <f>SUM(K3:M3)</f>
        <v/>
      </c>
      <c r="P3">
        <f>N3/100000</f>
        <v/>
      </c>
      <c r="Q3" t="n">
        <v>250000</v>
      </c>
      <c r="R3" t="n">
        <v>100000</v>
      </c>
      <c r="S3">
        <f>ROUND(SUM(J3:L3)/100000,2)</f>
        <v/>
      </c>
    </row>
    <row r="4">
      <c r="A4" t="n">
        <v>3</v>
      </c>
      <c r="B4" t="inlineStr">
        <is>
          <t>Prof. D</t>
        </is>
      </c>
      <c r="C4" t="inlineStr">
        <is>
          <t>Dr. E</t>
        </is>
      </c>
      <c r="D4" t="inlineStr">
        <is>
          <t>IT</t>
        </is>
      </c>
      <c r="E4" t="inlineStr">
        <is>
          <t>Software Audit for PQR Ltd.</t>
        </is>
      </c>
      <c r="F4" t="inlineStr">
        <is>
          <t>PQR Ltd.</t>
        </is>
      </c>
      <c r="G4" t="inlineStr">
        <is>
          <t>Industry</t>
        </is>
      </c>
      <c r="H4" t="n">
        <v>12</v>
      </c>
      <c r="I4" t="inlineStr">
        <is>
          <t>1.5 years</t>
        </is>
      </c>
      <c r="J4" t="n">
        <v>2021</v>
      </c>
      <c r="K4" t="n">
        <v>600000</v>
      </c>
      <c r="O4">
        <f>SUM(K4:M4)</f>
        <v/>
      </c>
      <c r="P4">
        <f>N4/100000</f>
        <v/>
      </c>
      <c r="Q4" t="n">
        <v>400000</v>
      </c>
      <c r="R4" t="n">
        <v>200000</v>
      </c>
      <c r="S4">
        <f>ROUND(SUM(J4:L4)/100000,2)</f>
        <v/>
      </c>
    </row>
    <row r="5">
      <c r="A5" t="inlineStr">
        <is>
          <t>Summary (Consultancy Revenue)</t>
        </is>
      </c>
      <c r="O5">
        <f>SUM(K5:M5)</f>
        <v/>
      </c>
      <c r="P5">
        <f>N5/100000</f>
        <v/>
      </c>
    </row>
    <row r="6">
      <c r="A6" s="2" t="inlineStr">
        <is>
          <t>Academic Year</t>
        </is>
      </c>
      <c r="B6" s="2" t="inlineStr">
        <is>
          <t>Total Consultancy Revenue (₹)</t>
        </is>
      </c>
      <c r="C6" s="2" t="inlineStr">
        <is>
          <t>NBA Marks (Auto)</t>
        </is>
      </c>
      <c r="O6">
        <f>SUM(K6:M6)</f>
        <v/>
      </c>
      <c r="P6">
        <f>N6/100000</f>
        <v/>
      </c>
    </row>
    <row r="7">
      <c r="A7" t="inlineStr">
        <is>
          <t>CAYm1</t>
        </is>
      </c>
      <c r="B7">
        <f>SUM(K2:K500)</f>
        <v/>
      </c>
      <c r="C7">
        <f>IF(B7&gt;2000000,15,
IF(B7&gt;1600000,12,
IF(B7&gt;1200000,9,
IF(B7&gt;800000,6,
IF(B7&gt;400000,3,
IF(B7&gt;100000,1,0))))))</f>
        <v/>
      </c>
      <c r="O7">
        <f>SUM(K7:M7)</f>
        <v/>
      </c>
      <c r="P7">
        <f>N7/100000</f>
        <v/>
      </c>
    </row>
    <row r="8">
      <c r="A8" t="inlineStr">
        <is>
          <t>CAYm2</t>
        </is>
      </c>
      <c r="B8">
        <f>SUM(L2:L500)</f>
        <v/>
      </c>
      <c r="C8">
        <f>IF(B8&gt;2000000,15,
IF(B8&gt;1600000,12,
IF(B8&gt;1200000,9,
IF(B8&gt;800000,6,
IF(B8&gt;400000,3,
IF(B8&gt;100000,1,0))))))</f>
        <v/>
      </c>
      <c r="O8">
        <f>SUM(K8:M8)</f>
        <v/>
      </c>
      <c r="P8">
        <f>N8/100000</f>
        <v/>
      </c>
    </row>
    <row r="9">
      <c r="A9" t="inlineStr">
        <is>
          <t>CAYm3</t>
        </is>
      </c>
      <c r="B9">
        <f>SUM(M2:M500)</f>
        <v/>
      </c>
      <c r="C9">
        <f>IF(B9&gt;2000000,15,
IF(B9&gt;1600000,12,
IF(B9&gt;1200000,9,
IF(B9&gt;800000,6,
IF(B9&gt;400000,3,
IF(B9&gt;100000,1,0))))))</f>
        <v/>
      </c>
      <c r="O9">
        <f>SUM(K9:M9)</f>
        <v/>
      </c>
      <c r="P9">
        <f>N9/100000</f>
        <v/>
      </c>
    </row>
    <row r="10">
      <c r="A10" t="inlineStr">
        <is>
          <t>Cumulative</t>
        </is>
      </c>
      <c r="B10">
        <f>SUM(B7:B9)</f>
        <v/>
      </c>
      <c r="C10">
        <f>IF(B10&gt;2000000,15,
IF(B10&gt;1600000,12,
IF(B10&gt;1200000,9,
IF(B10&gt;800000,6,
IF(B10&gt;400000,3,
IF(B10&gt;100000,1,0))))))</f>
        <v/>
      </c>
      <c r="O10">
        <f>SUM(K10:M10)</f>
        <v/>
      </c>
      <c r="P10">
        <f>N10/100000</f>
        <v/>
      </c>
    </row>
    <row r="11">
      <c r="O11">
        <f>SUM(K11:M11)</f>
        <v/>
      </c>
      <c r="P11">
        <f>N11/100000</f>
        <v/>
      </c>
    </row>
    <row r="12">
      <c r="O12">
        <f>SUM(K12:M12)</f>
        <v/>
      </c>
      <c r="P12">
        <f>N12/100000</f>
        <v/>
      </c>
    </row>
    <row r="13">
      <c r="O13">
        <f>SUM(K13:M13)</f>
        <v/>
      </c>
      <c r="P13">
        <f>N13/100000</f>
        <v/>
      </c>
    </row>
    <row r="14">
      <c r="O14">
        <f>SUM(K14:M14)</f>
        <v/>
      </c>
      <c r="P14">
        <f>N14/100000</f>
        <v/>
      </c>
    </row>
    <row r="15">
      <c r="O15">
        <f>SUM(K15:M15)</f>
        <v/>
      </c>
      <c r="P15">
        <f>N15/100000</f>
        <v/>
      </c>
    </row>
    <row r="16">
      <c r="O16">
        <f>SUM(K16:M16)</f>
        <v/>
      </c>
      <c r="P16">
        <f>N16/100000</f>
        <v/>
      </c>
    </row>
    <row r="17">
      <c r="O17">
        <f>SUM(K17:M17)</f>
        <v/>
      </c>
      <c r="P17">
        <f>N17/100000</f>
        <v/>
      </c>
    </row>
    <row r="18">
      <c r="O18">
        <f>SUM(K18:M18)</f>
        <v/>
      </c>
      <c r="P18">
        <f>N18/100000</f>
        <v/>
      </c>
    </row>
    <row r="19">
      <c r="O19">
        <f>SUM(K19:M19)</f>
        <v/>
      </c>
      <c r="P19">
        <f>N19/100000</f>
        <v/>
      </c>
    </row>
    <row r="20">
      <c r="O20">
        <f>SUM(K20:M20)</f>
        <v/>
      </c>
      <c r="P20">
        <f>N20/100000</f>
        <v/>
      </c>
    </row>
    <row r="21">
      <c r="O21">
        <f>SUM(K21:M21)</f>
        <v/>
      </c>
      <c r="P21">
        <f>N21/100000</f>
        <v/>
      </c>
    </row>
    <row r="22">
      <c r="O22">
        <f>SUM(K22:M22)</f>
        <v/>
      </c>
      <c r="P22">
        <f>N22/100000</f>
        <v/>
      </c>
    </row>
    <row r="23">
      <c r="O23">
        <f>SUM(K23:M23)</f>
        <v/>
      </c>
      <c r="P23">
        <f>N23/100000</f>
        <v/>
      </c>
    </row>
    <row r="24">
      <c r="O24">
        <f>SUM(K24:M24)</f>
        <v/>
      </c>
      <c r="P24">
        <f>N24/100000</f>
        <v/>
      </c>
    </row>
    <row r="25">
      <c r="O25">
        <f>SUM(K25:M25)</f>
        <v/>
      </c>
      <c r="P25">
        <f>N25/100000</f>
        <v/>
      </c>
    </row>
    <row r="26">
      <c r="O26">
        <f>SUM(K26:M26)</f>
        <v/>
      </c>
      <c r="P26">
        <f>N26/100000</f>
        <v/>
      </c>
    </row>
    <row r="27">
      <c r="O27">
        <f>SUM(K27:M27)</f>
        <v/>
      </c>
      <c r="P27">
        <f>N27/100000</f>
        <v/>
      </c>
    </row>
    <row r="28">
      <c r="O28">
        <f>SUM(K28:M28)</f>
        <v/>
      </c>
      <c r="P28">
        <f>N28/100000</f>
        <v/>
      </c>
    </row>
    <row r="29">
      <c r="O29">
        <f>SUM(K29:M29)</f>
        <v/>
      </c>
      <c r="P29">
        <f>N29/100000</f>
        <v/>
      </c>
    </row>
    <row r="30">
      <c r="O30">
        <f>SUM(K30:M30)</f>
        <v/>
      </c>
      <c r="P30">
        <f>N30/100000</f>
        <v/>
      </c>
    </row>
    <row r="31">
      <c r="O31">
        <f>SUM(K31:M31)</f>
        <v/>
      </c>
      <c r="P31">
        <f>N31/100000</f>
        <v/>
      </c>
    </row>
    <row r="32">
      <c r="O32">
        <f>SUM(K32:M32)</f>
        <v/>
      </c>
      <c r="P32">
        <f>N32/100000</f>
        <v/>
      </c>
    </row>
    <row r="33">
      <c r="O33">
        <f>SUM(K33:M33)</f>
        <v/>
      </c>
      <c r="P33">
        <f>N33/100000</f>
        <v/>
      </c>
    </row>
    <row r="34">
      <c r="O34">
        <f>SUM(K34:M34)</f>
        <v/>
      </c>
      <c r="P34">
        <f>N34/100000</f>
        <v/>
      </c>
    </row>
    <row r="35">
      <c r="O35">
        <f>SUM(K35:M35)</f>
        <v/>
      </c>
      <c r="P35">
        <f>N35/100000</f>
        <v/>
      </c>
    </row>
    <row r="36">
      <c r="O36">
        <f>SUM(K36:M36)</f>
        <v/>
      </c>
      <c r="P36">
        <f>N36/100000</f>
        <v/>
      </c>
    </row>
    <row r="37">
      <c r="O37">
        <f>SUM(K37:M37)</f>
        <v/>
      </c>
      <c r="P37">
        <f>N37/100000</f>
        <v/>
      </c>
    </row>
    <row r="38">
      <c r="O38">
        <f>SUM(K38:M38)</f>
        <v/>
      </c>
      <c r="P38">
        <f>N38/100000</f>
        <v/>
      </c>
    </row>
    <row r="39">
      <c r="O39">
        <f>SUM(K39:M39)</f>
        <v/>
      </c>
      <c r="P39">
        <f>N39/100000</f>
        <v/>
      </c>
    </row>
    <row r="40">
      <c r="O40">
        <f>SUM(K40:M40)</f>
        <v/>
      </c>
      <c r="P40">
        <f>N40/100000</f>
        <v/>
      </c>
    </row>
    <row r="41">
      <c r="O41">
        <f>SUM(K41:M41)</f>
        <v/>
      </c>
      <c r="P41">
        <f>N41/100000</f>
        <v/>
      </c>
    </row>
    <row r="42">
      <c r="O42">
        <f>SUM(K42:M42)</f>
        <v/>
      </c>
      <c r="P42">
        <f>N42/100000</f>
        <v/>
      </c>
    </row>
    <row r="43">
      <c r="O43">
        <f>SUM(K43:M43)</f>
        <v/>
      </c>
      <c r="P43">
        <f>N43/100000</f>
        <v/>
      </c>
    </row>
    <row r="44">
      <c r="O44">
        <f>SUM(K44:M44)</f>
        <v/>
      </c>
      <c r="P44">
        <f>N44/100000</f>
        <v/>
      </c>
    </row>
    <row r="45">
      <c r="O45">
        <f>SUM(K45:M45)</f>
        <v/>
      </c>
      <c r="P45">
        <f>N45/100000</f>
        <v/>
      </c>
    </row>
    <row r="46">
      <c r="O46">
        <f>SUM(K46:M46)</f>
        <v/>
      </c>
      <c r="P46">
        <f>N46/100000</f>
        <v/>
      </c>
    </row>
    <row r="47">
      <c r="O47">
        <f>SUM(K47:M47)</f>
        <v/>
      </c>
      <c r="P47">
        <f>N47/100000</f>
        <v/>
      </c>
    </row>
    <row r="48">
      <c r="O48">
        <f>SUM(K48:M48)</f>
        <v/>
      </c>
      <c r="P48">
        <f>N48/100000</f>
        <v/>
      </c>
    </row>
    <row r="49">
      <c r="O49">
        <f>SUM(K49:M49)</f>
        <v/>
      </c>
      <c r="P49">
        <f>N49/100000</f>
        <v/>
      </c>
    </row>
    <row r="50">
      <c r="O50">
        <f>SUM(K50:M50)</f>
        <v/>
      </c>
      <c r="P50">
        <f>N50/100000</f>
        <v/>
      </c>
    </row>
    <row r="51">
      <c r="O51">
        <f>SUM(K51:M51)</f>
        <v/>
      </c>
      <c r="P51">
        <f>N51/100000</f>
        <v/>
      </c>
    </row>
    <row r="52">
      <c r="O52">
        <f>SUM(K52:M52)</f>
        <v/>
      </c>
      <c r="P52">
        <f>N52/100000</f>
        <v/>
      </c>
    </row>
    <row r="53">
      <c r="O53">
        <f>SUM(K53:M53)</f>
        <v/>
      </c>
      <c r="P53">
        <f>N53/100000</f>
        <v/>
      </c>
    </row>
    <row r="54">
      <c r="O54">
        <f>SUM(K54:M54)</f>
        <v/>
      </c>
      <c r="P54">
        <f>N54/100000</f>
        <v/>
      </c>
    </row>
    <row r="55">
      <c r="O55">
        <f>SUM(K55:M55)</f>
        <v/>
      </c>
      <c r="P55">
        <f>N55/100000</f>
        <v/>
      </c>
    </row>
    <row r="56">
      <c r="O56">
        <f>SUM(K56:M56)</f>
        <v/>
      </c>
      <c r="P56">
        <f>N56/100000</f>
        <v/>
      </c>
    </row>
    <row r="57">
      <c r="O57">
        <f>SUM(K57:M57)</f>
        <v/>
      </c>
      <c r="P57">
        <f>N57/100000</f>
        <v/>
      </c>
    </row>
    <row r="58">
      <c r="O58">
        <f>SUM(K58:M58)</f>
        <v/>
      </c>
      <c r="P58">
        <f>N58/100000</f>
        <v/>
      </c>
    </row>
    <row r="59">
      <c r="O59">
        <f>SUM(K59:M59)</f>
        <v/>
      </c>
      <c r="P59">
        <f>N59/100000</f>
        <v/>
      </c>
    </row>
    <row r="60">
      <c r="O60">
        <f>SUM(K60:M60)</f>
        <v/>
      </c>
      <c r="P60">
        <f>N60/100000</f>
        <v/>
      </c>
    </row>
    <row r="61">
      <c r="O61">
        <f>SUM(K61:M61)</f>
        <v/>
      </c>
      <c r="P61">
        <f>N61/100000</f>
        <v/>
      </c>
    </row>
    <row r="62">
      <c r="O62">
        <f>SUM(K62:M62)</f>
        <v/>
      </c>
      <c r="P62">
        <f>N62/100000</f>
        <v/>
      </c>
    </row>
    <row r="63">
      <c r="O63">
        <f>SUM(K63:M63)</f>
        <v/>
      </c>
      <c r="P63">
        <f>N63/100000</f>
        <v/>
      </c>
    </row>
    <row r="64">
      <c r="O64">
        <f>SUM(K64:M64)</f>
        <v/>
      </c>
      <c r="P64">
        <f>N64/100000</f>
        <v/>
      </c>
    </row>
    <row r="65">
      <c r="O65">
        <f>SUM(K65:M65)</f>
        <v/>
      </c>
      <c r="P65">
        <f>N65/100000</f>
        <v/>
      </c>
    </row>
    <row r="66">
      <c r="O66">
        <f>SUM(K66:M66)</f>
        <v/>
      </c>
      <c r="P66">
        <f>N66/100000</f>
        <v/>
      </c>
    </row>
    <row r="67">
      <c r="O67">
        <f>SUM(K67:M67)</f>
        <v/>
      </c>
      <c r="P67">
        <f>N67/100000</f>
        <v/>
      </c>
    </row>
    <row r="68">
      <c r="O68">
        <f>SUM(K68:M68)</f>
        <v/>
      </c>
      <c r="P68">
        <f>N68/100000</f>
        <v/>
      </c>
    </row>
    <row r="69">
      <c r="O69">
        <f>SUM(K69:M69)</f>
        <v/>
      </c>
      <c r="P69">
        <f>N69/100000</f>
        <v/>
      </c>
    </row>
    <row r="70">
      <c r="O70">
        <f>SUM(K70:M70)</f>
        <v/>
      </c>
      <c r="P70">
        <f>N70/100000</f>
        <v/>
      </c>
    </row>
    <row r="71">
      <c r="O71">
        <f>SUM(K71:M71)</f>
        <v/>
      </c>
      <c r="P71">
        <f>N71/100000</f>
        <v/>
      </c>
    </row>
    <row r="72">
      <c r="O72">
        <f>SUM(K72:M72)</f>
        <v/>
      </c>
      <c r="P72">
        <f>N72/100000</f>
        <v/>
      </c>
    </row>
    <row r="73">
      <c r="O73">
        <f>SUM(K73:M73)</f>
        <v/>
      </c>
      <c r="P73">
        <f>N73/100000</f>
        <v/>
      </c>
    </row>
    <row r="74">
      <c r="O74">
        <f>SUM(K74:M74)</f>
        <v/>
      </c>
      <c r="P74">
        <f>N74/100000</f>
        <v/>
      </c>
    </row>
    <row r="75">
      <c r="O75">
        <f>SUM(K75:M75)</f>
        <v/>
      </c>
      <c r="P75">
        <f>N75/100000</f>
        <v/>
      </c>
    </row>
    <row r="76">
      <c r="O76">
        <f>SUM(K76:M76)</f>
        <v/>
      </c>
      <c r="P76">
        <f>N76/100000</f>
        <v/>
      </c>
    </row>
    <row r="77">
      <c r="O77">
        <f>SUM(K77:M77)</f>
        <v/>
      </c>
      <c r="P77">
        <f>N77/100000</f>
        <v/>
      </c>
    </row>
    <row r="78">
      <c r="O78">
        <f>SUM(K78:M78)</f>
        <v/>
      </c>
      <c r="P78">
        <f>N78/100000</f>
        <v/>
      </c>
    </row>
    <row r="79">
      <c r="O79">
        <f>SUM(K79:M79)</f>
        <v/>
      </c>
      <c r="P79">
        <f>N79/100000</f>
        <v/>
      </c>
    </row>
    <row r="80">
      <c r="O80">
        <f>SUM(K80:M80)</f>
        <v/>
      </c>
      <c r="P80">
        <f>N80/100000</f>
        <v/>
      </c>
    </row>
    <row r="81">
      <c r="O81">
        <f>SUM(K81:M81)</f>
        <v/>
      </c>
      <c r="P81">
        <f>N81/100000</f>
        <v/>
      </c>
    </row>
    <row r="82">
      <c r="O82">
        <f>SUM(K82:M82)</f>
        <v/>
      </c>
      <c r="P82">
        <f>N82/100000</f>
        <v/>
      </c>
    </row>
    <row r="83">
      <c r="O83">
        <f>SUM(K83:M83)</f>
        <v/>
      </c>
      <c r="P83">
        <f>N83/100000</f>
        <v/>
      </c>
    </row>
    <row r="84">
      <c r="O84">
        <f>SUM(K84:M84)</f>
        <v/>
      </c>
      <c r="P84">
        <f>N84/100000</f>
        <v/>
      </c>
    </row>
    <row r="85">
      <c r="O85">
        <f>SUM(K85:M85)</f>
        <v/>
      </c>
      <c r="P85">
        <f>N85/100000</f>
        <v/>
      </c>
    </row>
    <row r="86">
      <c r="O86">
        <f>SUM(K86:M86)</f>
        <v/>
      </c>
      <c r="P86">
        <f>N86/100000</f>
        <v/>
      </c>
    </row>
    <row r="87">
      <c r="O87">
        <f>SUM(K87:M87)</f>
        <v/>
      </c>
      <c r="P87">
        <f>N87/100000</f>
        <v/>
      </c>
    </row>
    <row r="88">
      <c r="O88">
        <f>SUM(K88:M88)</f>
        <v/>
      </c>
      <c r="P88">
        <f>N88/100000</f>
        <v/>
      </c>
    </row>
    <row r="89">
      <c r="O89">
        <f>SUM(K89:M89)</f>
        <v/>
      </c>
      <c r="P89">
        <f>N89/100000</f>
        <v/>
      </c>
    </row>
    <row r="90">
      <c r="O90">
        <f>SUM(K90:M90)</f>
        <v/>
      </c>
      <c r="P90">
        <f>N90/100000</f>
        <v/>
      </c>
    </row>
    <row r="91">
      <c r="O91">
        <f>SUM(K91:M91)</f>
        <v/>
      </c>
      <c r="P91">
        <f>N91/100000</f>
        <v/>
      </c>
    </row>
    <row r="92">
      <c r="O92">
        <f>SUM(K92:M92)</f>
        <v/>
      </c>
      <c r="P92">
        <f>N92/100000</f>
        <v/>
      </c>
    </row>
    <row r="93">
      <c r="O93">
        <f>SUM(K93:M93)</f>
        <v/>
      </c>
      <c r="P93">
        <f>N93/100000</f>
        <v/>
      </c>
    </row>
    <row r="94">
      <c r="O94">
        <f>SUM(K94:M94)</f>
        <v/>
      </c>
      <c r="P94">
        <f>N94/100000</f>
        <v/>
      </c>
    </row>
    <row r="95">
      <c r="O95">
        <f>SUM(K95:M95)</f>
        <v/>
      </c>
      <c r="P95">
        <f>N95/100000</f>
        <v/>
      </c>
    </row>
    <row r="96">
      <c r="O96">
        <f>SUM(K96:M96)</f>
        <v/>
      </c>
      <c r="P96">
        <f>N96/100000</f>
        <v/>
      </c>
    </row>
    <row r="97">
      <c r="O97">
        <f>SUM(K97:M97)</f>
        <v/>
      </c>
      <c r="P97">
        <f>N97/100000</f>
        <v/>
      </c>
    </row>
    <row r="98">
      <c r="O98">
        <f>SUM(K98:M98)</f>
        <v/>
      </c>
      <c r="P98">
        <f>N98/100000</f>
        <v/>
      </c>
    </row>
    <row r="99">
      <c r="O99">
        <f>SUM(K99:M99)</f>
        <v/>
      </c>
      <c r="P99">
        <f>N99/100000</f>
        <v/>
      </c>
    </row>
    <row r="100">
      <c r="O100">
        <f>SUM(K100:M100)</f>
        <v/>
      </c>
      <c r="P100">
        <f>N100/100000</f>
        <v/>
      </c>
    </row>
    <row r="101">
      <c r="O101">
        <f>SUM(K101:M101)</f>
        <v/>
      </c>
      <c r="P101">
        <f>N101/100000</f>
        <v/>
      </c>
    </row>
    <row r="102">
      <c r="O102">
        <f>SUM(K102:M102)</f>
        <v/>
      </c>
      <c r="P102">
        <f>N102/100000</f>
        <v/>
      </c>
    </row>
    <row r="103">
      <c r="O103">
        <f>SUM(K103:M103)</f>
        <v/>
      </c>
      <c r="P103">
        <f>N103/100000</f>
        <v/>
      </c>
    </row>
    <row r="104">
      <c r="O104">
        <f>SUM(K104:M104)</f>
        <v/>
      </c>
      <c r="P104">
        <f>N104/100000</f>
        <v/>
      </c>
    </row>
    <row r="105">
      <c r="O105">
        <f>SUM(K105:M105)</f>
        <v/>
      </c>
      <c r="P105">
        <f>N105/100000</f>
        <v/>
      </c>
    </row>
    <row r="106">
      <c r="O106">
        <f>SUM(K106:M106)</f>
        <v/>
      </c>
      <c r="P106">
        <f>N106/100000</f>
        <v/>
      </c>
    </row>
    <row r="107">
      <c r="O107">
        <f>SUM(K107:M107)</f>
        <v/>
      </c>
      <c r="P107">
        <f>N107/100000</f>
        <v/>
      </c>
    </row>
    <row r="108">
      <c r="O108">
        <f>SUM(K108:M108)</f>
        <v/>
      </c>
      <c r="P108">
        <f>N108/100000</f>
        <v/>
      </c>
    </row>
    <row r="109">
      <c r="O109">
        <f>SUM(K109:M109)</f>
        <v/>
      </c>
      <c r="P109">
        <f>N109/100000</f>
        <v/>
      </c>
    </row>
    <row r="110">
      <c r="O110">
        <f>SUM(K110:M110)</f>
        <v/>
      </c>
      <c r="P110">
        <f>N110/100000</f>
        <v/>
      </c>
    </row>
    <row r="111">
      <c r="O111">
        <f>SUM(K111:M111)</f>
        <v/>
      </c>
      <c r="P111">
        <f>N111/100000</f>
        <v/>
      </c>
    </row>
    <row r="112">
      <c r="O112">
        <f>SUM(K112:M112)</f>
        <v/>
      </c>
      <c r="P112">
        <f>N112/100000</f>
        <v/>
      </c>
    </row>
    <row r="113">
      <c r="O113">
        <f>SUM(K113:M113)</f>
        <v/>
      </c>
      <c r="P113">
        <f>N113/100000</f>
        <v/>
      </c>
    </row>
    <row r="114">
      <c r="O114">
        <f>SUM(K114:M114)</f>
        <v/>
      </c>
      <c r="P114">
        <f>N114/100000</f>
        <v/>
      </c>
    </row>
    <row r="115">
      <c r="O115">
        <f>SUM(K115:M115)</f>
        <v/>
      </c>
      <c r="P115">
        <f>N115/100000</f>
        <v/>
      </c>
    </row>
    <row r="116">
      <c r="O116">
        <f>SUM(K116:M116)</f>
        <v/>
      </c>
      <c r="P116">
        <f>N116/100000</f>
        <v/>
      </c>
    </row>
    <row r="117">
      <c r="O117">
        <f>SUM(K117:M117)</f>
        <v/>
      </c>
      <c r="P117">
        <f>N117/100000</f>
        <v/>
      </c>
    </row>
    <row r="118">
      <c r="O118">
        <f>SUM(K118:M118)</f>
        <v/>
      </c>
      <c r="P118">
        <f>N118/100000</f>
        <v/>
      </c>
    </row>
    <row r="119">
      <c r="O119">
        <f>SUM(K119:M119)</f>
        <v/>
      </c>
      <c r="P119">
        <f>N119/100000</f>
        <v/>
      </c>
    </row>
    <row r="120">
      <c r="O120">
        <f>SUM(K120:M120)</f>
        <v/>
      </c>
      <c r="P120">
        <f>N120/100000</f>
        <v/>
      </c>
    </row>
    <row r="121">
      <c r="O121">
        <f>SUM(K121:M121)</f>
        <v/>
      </c>
      <c r="P121">
        <f>N121/100000</f>
        <v/>
      </c>
    </row>
    <row r="122">
      <c r="O122">
        <f>SUM(K122:M122)</f>
        <v/>
      </c>
      <c r="P122">
        <f>N122/100000</f>
        <v/>
      </c>
    </row>
    <row r="123">
      <c r="O123">
        <f>SUM(K123:M123)</f>
        <v/>
      </c>
      <c r="P123">
        <f>N123/100000</f>
        <v/>
      </c>
    </row>
    <row r="124">
      <c r="O124">
        <f>SUM(K124:M124)</f>
        <v/>
      </c>
      <c r="P124">
        <f>N124/100000</f>
        <v/>
      </c>
    </row>
    <row r="125">
      <c r="O125">
        <f>SUM(K125:M125)</f>
        <v/>
      </c>
      <c r="P125">
        <f>N125/100000</f>
        <v/>
      </c>
    </row>
    <row r="126">
      <c r="O126">
        <f>SUM(K126:M126)</f>
        <v/>
      </c>
      <c r="P126">
        <f>N126/100000</f>
        <v/>
      </c>
    </row>
    <row r="127">
      <c r="O127">
        <f>SUM(K127:M127)</f>
        <v/>
      </c>
      <c r="P127">
        <f>N127/100000</f>
        <v/>
      </c>
    </row>
    <row r="128">
      <c r="O128">
        <f>SUM(K128:M128)</f>
        <v/>
      </c>
      <c r="P128">
        <f>N128/100000</f>
        <v/>
      </c>
    </row>
    <row r="129">
      <c r="O129">
        <f>SUM(K129:M129)</f>
        <v/>
      </c>
      <c r="P129">
        <f>N129/100000</f>
        <v/>
      </c>
    </row>
    <row r="130">
      <c r="O130">
        <f>SUM(K130:M130)</f>
        <v/>
      </c>
      <c r="P130">
        <f>N130/100000</f>
        <v/>
      </c>
    </row>
    <row r="131">
      <c r="O131">
        <f>SUM(K131:M131)</f>
        <v/>
      </c>
      <c r="P131">
        <f>N131/100000</f>
        <v/>
      </c>
    </row>
    <row r="132">
      <c r="O132">
        <f>SUM(K132:M132)</f>
        <v/>
      </c>
      <c r="P132">
        <f>N132/100000</f>
        <v/>
      </c>
    </row>
    <row r="133">
      <c r="O133">
        <f>SUM(K133:M133)</f>
        <v/>
      </c>
      <c r="P133">
        <f>N133/100000</f>
        <v/>
      </c>
    </row>
    <row r="134">
      <c r="O134">
        <f>SUM(K134:M134)</f>
        <v/>
      </c>
      <c r="P134">
        <f>N134/100000</f>
        <v/>
      </c>
    </row>
    <row r="135">
      <c r="O135">
        <f>SUM(K135:M135)</f>
        <v/>
      </c>
      <c r="P135">
        <f>N135/100000</f>
        <v/>
      </c>
    </row>
    <row r="136">
      <c r="O136">
        <f>SUM(K136:M136)</f>
        <v/>
      </c>
      <c r="P136">
        <f>N136/100000</f>
        <v/>
      </c>
    </row>
    <row r="137">
      <c r="O137">
        <f>SUM(K137:M137)</f>
        <v/>
      </c>
      <c r="P137">
        <f>N137/100000</f>
        <v/>
      </c>
    </row>
    <row r="138">
      <c r="O138">
        <f>SUM(K138:M138)</f>
        <v/>
      </c>
      <c r="P138">
        <f>N138/100000</f>
        <v/>
      </c>
    </row>
    <row r="139">
      <c r="O139">
        <f>SUM(K139:M139)</f>
        <v/>
      </c>
      <c r="P139">
        <f>N139/100000</f>
        <v/>
      </c>
    </row>
    <row r="140">
      <c r="O140">
        <f>SUM(K140:M140)</f>
        <v/>
      </c>
      <c r="P140">
        <f>N140/100000</f>
        <v/>
      </c>
    </row>
    <row r="141">
      <c r="O141">
        <f>SUM(K141:M141)</f>
        <v/>
      </c>
      <c r="P141">
        <f>N141/100000</f>
        <v/>
      </c>
    </row>
    <row r="142">
      <c r="O142">
        <f>SUM(K142:M142)</f>
        <v/>
      </c>
      <c r="P142">
        <f>N142/100000</f>
        <v/>
      </c>
    </row>
    <row r="143">
      <c r="O143">
        <f>SUM(K143:M143)</f>
        <v/>
      </c>
      <c r="P143">
        <f>N143/100000</f>
        <v/>
      </c>
    </row>
    <row r="144">
      <c r="O144">
        <f>SUM(K144:M144)</f>
        <v/>
      </c>
      <c r="P144">
        <f>N144/100000</f>
        <v/>
      </c>
    </row>
    <row r="145">
      <c r="O145">
        <f>SUM(K145:M145)</f>
        <v/>
      </c>
      <c r="P145">
        <f>N145/100000</f>
        <v/>
      </c>
    </row>
    <row r="146">
      <c r="O146">
        <f>SUM(K146:M146)</f>
        <v/>
      </c>
      <c r="P146">
        <f>N146/100000</f>
        <v/>
      </c>
    </row>
    <row r="147">
      <c r="O147">
        <f>SUM(K147:M147)</f>
        <v/>
      </c>
      <c r="P147">
        <f>N147/100000</f>
        <v/>
      </c>
    </row>
    <row r="148">
      <c r="O148">
        <f>SUM(K148:M148)</f>
        <v/>
      </c>
      <c r="P148">
        <f>N148/100000</f>
        <v/>
      </c>
    </row>
    <row r="149">
      <c r="O149">
        <f>SUM(K149:M149)</f>
        <v/>
      </c>
      <c r="P149">
        <f>N149/100000</f>
        <v/>
      </c>
    </row>
    <row r="150">
      <c r="O150">
        <f>SUM(K150:M150)</f>
        <v/>
      </c>
      <c r="P150">
        <f>N150/100000</f>
        <v/>
      </c>
    </row>
    <row r="151">
      <c r="O151">
        <f>SUM(K151:M151)</f>
        <v/>
      </c>
      <c r="P151">
        <f>N151/100000</f>
        <v/>
      </c>
    </row>
    <row r="152">
      <c r="O152">
        <f>SUM(K152:M152)</f>
        <v/>
      </c>
      <c r="P152">
        <f>N152/100000</f>
        <v/>
      </c>
    </row>
    <row r="153">
      <c r="O153">
        <f>SUM(K153:M153)</f>
        <v/>
      </c>
      <c r="P153">
        <f>N153/100000</f>
        <v/>
      </c>
    </row>
    <row r="154">
      <c r="O154">
        <f>SUM(K154:M154)</f>
        <v/>
      </c>
      <c r="P154">
        <f>N154/100000</f>
        <v/>
      </c>
    </row>
    <row r="155">
      <c r="O155">
        <f>SUM(K155:M155)</f>
        <v/>
      </c>
      <c r="P155">
        <f>N155/100000</f>
        <v/>
      </c>
    </row>
    <row r="156">
      <c r="O156">
        <f>SUM(K156:M156)</f>
        <v/>
      </c>
      <c r="P156">
        <f>N156/100000</f>
        <v/>
      </c>
    </row>
    <row r="157">
      <c r="O157">
        <f>SUM(K157:M157)</f>
        <v/>
      </c>
      <c r="P157">
        <f>N157/100000</f>
        <v/>
      </c>
    </row>
    <row r="158">
      <c r="O158">
        <f>SUM(K158:M158)</f>
        <v/>
      </c>
      <c r="P158">
        <f>N158/100000</f>
        <v/>
      </c>
    </row>
    <row r="159">
      <c r="O159">
        <f>SUM(K159:M159)</f>
        <v/>
      </c>
      <c r="P159">
        <f>N159/100000</f>
        <v/>
      </c>
    </row>
    <row r="160">
      <c r="O160">
        <f>SUM(K160:M160)</f>
        <v/>
      </c>
      <c r="P160">
        <f>N160/100000</f>
        <v/>
      </c>
    </row>
    <row r="161">
      <c r="O161">
        <f>SUM(K161:M161)</f>
        <v/>
      </c>
      <c r="P161">
        <f>N161/100000</f>
        <v/>
      </c>
    </row>
    <row r="162">
      <c r="O162">
        <f>SUM(K162:M162)</f>
        <v/>
      </c>
      <c r="P162">
        <f>N162/100000</f>
        <v/>
      </c>
    </row>
    <row r="163">
      <c r="O163">
        <f>SUM(K163:M163)</f>
        <v/>
      </c>
      <c r="P163">
        <f>N163/100000</f>
        <v/>
      </c>
    </row>
    <row r="164">
      <c r="O164">
        <f>SUM(K164:M164)</f>
        <v/>
      </c>
      <c r="P164">
        <f>N164/100000</f>
        <v/>
      </c>
    </row>
    <row r="165">
      <c r="O165">
        <f>SUM(K165:M165)</f>
        <v/>
      </c>
      <c r="P165">
        <f>N165/100000</f>
        <v/>
      </c>
    </row>
    <row r="166">
      <c r="O166">
        <f>SUM(K166:M166)</f>
        <v/>
      </c>
      <c r="P166">
        <f>N166/100000</f>
        <v/>
      </c>
    </row>
    <row r="167">
      <c r="O167">
        <f>SUM(K167:M167)</f>
        <v/>
      </c>
      <c r="P167">
        <f>N167/100000</f>
        <v/>
      </c>
    </row>
    <row r="168">
      <c r="O168">
        <f>SUM(K168:M168)</f>
        <v/>
      </c>
      <c r="P168">
        <f>N168/100000</f>
        <v/>
      </c>
    </row>
    <row r="169">
      <c r="O169">
        <f>SUM(K169:M169)</f>
        <v/>
      </c>
      <c r="P169">
        <f>N169/100000</f>
        <v/>
      </c>
    </row>
    <row r="170">
      <c r="O170">
        <f>SUM(K170:M170)</f>
        <v/>
      </c>
      <c r="P170">
        <f>N170/100000</f>
        <v/>
      </c>
    </row>
    <row r="171">
      <c r="O171">
        <f>SUM(K171:M171)</f>
        <v/>
      </c>
      <c r="P171">
        <f>N171/100000</f>
        <v/>
      </c>
    </row>
    <row r="172">
      <c r="O172">
        <f>SUM(K172:M172)</f>
        <v/>
      </c>
      <c r="P172">
        <f>N172/100000</f>
        <v/>
      </c>
    </row>
    <row r="173">
      <c r="O173">
        <f>SUM(K173:M173)</f>
        <v/>
      </c>
      <c r="P173">
        <f>N173/100000</f>
        <v/>
      </c>
    </row>
    <row r="174">
      <c r="O174">
        <f>SUM(K174:M174)</f>
        <v/>
      </c>
      <c r="P174">
        <f>N174/100000</f>
        <v/>
      </c>
    </row>
    <row r="175">
      <c r="O175">
        <f>SUM(K175:M175)</f>
        <v/>
      </c>
      <c r="P175">
        <f>N175/100000</f>
        <v/>
      </c>
    </row>
    <row r="176">
      <c r="O176">
        <f>SUM(K176:M176)</f>
        <v/>
      </c>
      <c r="P176">
        <f>N176/100000</f>
        <v/>
      </c>
    </row>
    <row r="177">
      <c r="O177">
        <f>SUM(K177:M177)</f>
        <v/>
      </c>
      <c r="P177">
        <f>N177/100000</f>
        <v/>
      </c>
    </row>
    <row r="178">
      <c r="O178">
        <f>SUM(K178:M178)</f>
        <v/>
      </c>
      <c r="P178">
        <f>N178/100000</f>
        <v/>
      </c>
    </row>
    <row r="179">
      <c r="O179">
        <f>SUM(K179:M179)</f>
        <v/>
      </c>
      <c r="P179">
        <f>N179/100000</f>
        <v/>
      </c>
    </row>
    <row r="180">
      <c r="O180">
        <f>SUM(K180:M180)</f>
        <v/>
      </c>
      <c r="P180">
        <f>N180/100000</f>
        <v/>
      </c>
    </row>
    <row r="181">
      <c r="O181">
        <f>SUM(K181:M181)</f>
        <v/>
      </c>
      <c r="P181">
        <f>N181/100000</f>
        <v/>
      </c>
    </row>
    <row r="182">
      <c r="O182">
        <f>SUM(K182:M182)</f>
        <v/>
      </c>
      <c r="P182">
        <f>N182/100000</f>
        <v/>
      </c>
    </row>
    <row r="183">
      <c r="O183">
        <f>SUM(K183:M183)</f>
        <v/>
      </c>
      <c r="P183">
        <f>N183/100000</f>
        <v/>
      </c>
    </row>
    <row r="184">
      <c r="O184">
        <f>SUM(K184:M184)</f>
        <v/>
      </c>
      <c r="P184">
        <f>N184/100000</f>
        <v/>
      </c>
    </row>
    <row r="185">
      <c r="O185">
        <f>SUM(K185:M185)</f>
        <v/>
      </c>
      <c r="P185">
        <f>N185/100000</f>
        <v/>
      </c>
    </row>
    <row r="186">
      <c r="O186">
        <f>SUM(K186:M186)</f>
        <v/>
      </c>
      <c r="P186">
        <f>N186/100000</f>
        <v/>
      </c>
    </row>
    <row r="187">
      <c r="O187">
        <f>SUM(K187:M187)</f>
        <v/>
      </c>
      <c r="P187">
        <f>N187/100000</f>
        <v/>
      </c>
    </row>
    <row r="188">
      <c r="O188">
        <f>SUM(K188:M188)</f>
        <v/>
      </c>
      <c r="P188">
        <f>N188/100000</f>
        <v/>
      </c>
    </row>
    <row r="189">
      <c r="O189">
        <f>SUM(K189:M189)</f>
        <v/>
      </c>
      <c r="P189">
        <f>N189/100000</f>
        <v/>
      </c>
    </row>
    <row r="190">
      <c r="O190">
        <f>SUM(K190:M190)</f>
        <v/>
      </c>
      <c r="P190">
        <f>N190/100000</f>
        <v/>
      </c>
    </row>
    <row r="191">
      <c r="O191">
        <f>SUM(K191:M191)</f>
        <v/>
      </c>
      <c r="P191">
        <f>N191/100000</f>
        <v/>
      </c>
    </row>
    <row r="192">
      <c r="O192">
        <f>SUM(K192:M192)</f>
        <v/>
      </c>
      <c r="P192">
        <f>N192/100000</f>
        <v/>
      </c>
    </row>
    <row r="193">
      <c r="O193">
        <f>SUM(K193:M193)</f>
        <v/>
      </c>
      <c r="P193">
        <f>N193/100000</f>
        <v/>
      </c>
    </row>
    <row r="194">
      <c r="O194">
        <f>SUM(K194:M194)</f>
        <v/>
      </c>
      <c r="P194">
        <f>N194/100000</f>
        <v/>
      </c>
    </row>
    <row r="195">
      <c r="O195">
        <f>SUM(K195:M195)</f>
        <v/>
      </c>
      <c r="P195">
        <f>N195/100000</f>
        <v/>
      </c>
    </row>
    <row r="196">
      <c r="O196">
        <f>SUM(K196:M196)</f>
        <v/>
      </c>
      <c r="P196">
        <f>N196/100000</f>
        <v/>
      </c>
    </row>
    <row r="197">
      <c r="O197">
        <f>SUM(K197:M197)</f>
        <v/>
      </c>
      <c r="P197">
        <f>N197/100000</f>
        <v/>
      </c>
    </row>
    <row r="198">
      <c r="O198">
        <f>SUM(K198:M198)</f>
        <v/>
      </c>
      <c r="P198">
        <f>N198/100000</f>
        <v/>
      </c>
    </row>
    <row r="199">
      <c r="O199">
        <f>SUM(K199:M199)</f>
        <v/>
      </c>
      <c r="P199">
        <f>N199/100000</f>
        <v/>
      </c>
    </row>
    <row r="200">
      <c r="O200">
        <f>SUM(K200:M200)</f>
        <v/>
      </c>
      <c r="P200">
        <f>N200/100000</f>
        <v/>
      </c>
    </row>
    <row r="201">
      <c r="O201">
        <f>SUM(K201:M201)</f>
        <v/>
      </c>
      <c r="P201">
        <f>N201/100000</f>
        <v/>
      </c>
    </row>
    <row r="202">
      <c r="O202">
        <f>SUM(K202:M202)</f>
        <v/>
      </c>
      <c r="P202">
        <f>N202/100000</f>
        <v/>
      </c>
    </row>
    <row r="203">
      <c r="O203">
        <f>SUM(K203:M203)</f>
        <v/>
      </c>
      <c r="P203">
        <f>N203/100000</f>
        <v/>
      </c>
    </row>
    <row r="204">
      <c r="O204">
        <f>SUM(K204:M204)</f>
        <v/>
      </c>
      <c r="P204">
        <f>N204/100000</f>
        <v/>
      </c>
    </row>
    <row r="205">
      <c r="O205">
        <f>SUM(K205:M205)</f>
        <v/>
      </c>
      <c r="P205">
        <f>N205/100000</f>
        <v/>
      </c>
    </row>
    <row r="206">
      <c r="O206">
        <f>SUM(K206:M206)</f>
        <v/>
      </c>
      <c r="P206">
        <f>N206/100000</f>
        <v/>
      </c>
    </row>
    <row r="207">
      <c r="O207">
        <f>SUM(K207:M207)</f>
        <v/>
      </c>
      <c r="P207">
        <f>N207/100000</f>
        <v/>
      </c>
    </row>
    <row r="208">
      <c r="O208">
        <f>SUM(K208:M208)</f>
        <v/>
      </c>
      <c r="P208">
        <f>N208/100000</f>
        <v/>
      </c>
    </row>
    <row r="209">
      <c r="O209">
        <f>SUM(K209:M209)</f>
        <v/>
      </c>
      <c r="P209">
        <f>N209/100000</f>
        <v/>
      </c>
    </row>
    <row r="210">
      <c r="O210">
        <f>SUM(K210:M210)</f>
        <v/>
      </c>
      <c r="P210">
        <f>N210/100000</f>
        <v/>
      </c>
    </row>
    <row r="211">
      <c r="O211">
        <f>SUM(K211:M211)</f>
        <v/>
      </c>
      <c r="P211">
        <f>N211/100000</f>
        <v/>
      </c>
    </row>
    <row r="212">
      <c r="O212">
        <f>SUM(K212:M212)</f>
        <v/>
      </c>
      <c r="P212">
        <f>N212/100000</f>
        <v/>
      </c>
    </row>
    <row r="213">
      <c r="O213">
        <f>SUM(K213:M213)</f>
        <v/>
      </c>
      <c r="P213">
        <f>N213/100000</f>
        <v/>
      </c>
    </row>
    <row r="214">
      <c r="O214">
        <f>SUM(K214:M214)</f>
        <v/>
      </c>
      <c r="P214">
        <f>N214/100000</f>
        <v/>
      </c>
    </row>
    <row r="215">
      <c r="O215">
        <f>SUM(K215:M215)</f>
        <v/>
      </c>
      <c r="P215">
        <f>N215/100000</f>
        <v/>
      </c>
    </row>
    <row r="216">
      <c r="O216">
        <f>SUM(K216:M216)</f>
        <v/>
      </c>
      <c r="P216">
        <f>N216/100000</f>
        <v/>
      </c>
    </row>
    <row r="217">
      <c r="O217">
        <f>SUM(K217:M217)</f>
        <v/>
      </c>
      <c r="P217">
        <f>N217/100000</f>
        <v/>
      </c>
    </row>
    <row r="218">
      <c r="O218">
        <f>SUM(K218:M218)</f>
        <v/>
      </c>
      <c r="P218">
        <f>N218/100000</f>
        <v/>
      </c>
    </row>
    <row r="219">
      <c r="O219">
        <f>SUM(K219:M219)</f>
        <v/>
      </c>
      <c r="P219">
        <f>N219/100000</f>
        <v/>
      </c>
    </row>
    <row r="220">
      <c r="O220">
        <f>SUM(K220:M220)</f>
        <v/>
      </c>
      <c r="P220">
        <f>N220/100000</f>
        <v/>
      </c>
    </row>
    <row r="221">
      <c r="O221">
        <f>SUM(K221:M221)</f>
        <v/>
      </c>
      <c r="P221">
        <f>N221/100000</f>
        <v/>
      </c>
    </row>
    <row r="222">
      <c r="O222">
        <f>SUM(K222:M222)</f>
        <v/>
      </c>
      <c r="P222">
        <f>N222/100000</f>
        <v/>
      </c>
    </row>
    <row r="223">
      <c r="O223">
        <f>SUM(K223:M223)</f>
        <v/>
      </c>
      <c r="P223">
        <f>N223/100000</f>
        <v/>
      </c>
    </row>
    <row r="224">
      <c r="O224">
        <f>SUM(K224:M224)</f>
        <v/>
      </c>
      <c r="P224">
        <f>N224/100000</f>
        <v/>
      </c>
    </row>
    <row r="225">
      <c r="O225">
        <f>SUM(K225:M225)</f>
        <v/>
      </c>
      <c r="P225">
        <f>N225/100000</f>
        <v/>
      </c>
    </row>
    <row r="226">
      <c r="O226">
        <f>SUM(K226:M226)</f>
        <v/>
      </c>
      <c r="P226">
        <f>N226/100000</f>
        <v/>
      </c>
    </row>
    <row r="227">
      <c r="O227">
        <f>SUM(K227:M227)</f>
        <v/>
      </c>
      <c r="P227">
        <f>N227/100000</f>
        <v/>
      </c>
    </row>
    <row r="228">
      <c r="O228">
        <f>SUM(K228:M228)</f>
        <v/>
      </c>
      <c r="P228">
        <f>N228/100000</f>
        <v/>
      </c>
    </row>
    <row r="229">
      <c r="O229">
        <f>SUM(K229:M229)</f>
        <v/>
      </c>
      <c r="P229">
        <f>N229/100000</f>
        <v/>
      </c>
    </row>
    <row r="230">
      <c r="O230">
        <f>SUM(K230:M230)</f>
        <v/>
      </c>
      <c r="P230">
        <f>N230/100000</f>
        <v/>
      </c>
    </row>
    <row r="231">
      <c r="O231">
        <f>SUM(K231:M231)</f>
        <v/>
      </c>
      <c r="P231">
        <f>N231/100000</f>
        <v/>
      </c>
    </row>
    <row r="232">
      <c r="O232">
        <f>SUM(K232:M232)</f>
        <v/>
      </c>
      <c r="P232">
        <f>N232/100000</f>
        <v/>
      </c>
    </row>
    <row r="233">
      <c r="O233">
        <f>SUM(K233:M233)</f>
        <v/>
      </c>
      <c r="P233">
        <f>N233/100000</f>
        <v/>
      </c>
    </row>
    <row r="234">
      <c r="O234">
        <f>SUM(K234:M234)</f>
        <v/>
      </c>
      <c r="P234">
        <f>N234/100000</f>
        <v/>
      </c>
    </row>
    <row r="235">
      <c r="O235">
        <f>SUM(K235:M235)</f>
        <v/>
      </c>
      <c r="P235">
        <f>N235/100000</f>
        <v/>
      </c>
    </row>
    <row r="236">
      <c r="O236">
        <f>SUM(K236:M236)</f>
        <v/>
      </c>
      <c r="P236">
        <f>N236/100000</f>
        <v/>
      </c>
    </row>
    <row r="237">
      <c r="O237">
        <f>SUM(K237:M237)</f>
        <v/>
      </c>
      <c r="P237">
        <f>N237/100000</f>
        <v/>
      </c>
    </row>
    <row r="238">
      <c r="O238">
        <f>SUM(K238:M238)</f>
        <v/>
      </c>
      <c r="P238">
        <f>N238/100000</f>
        <v/>
      </c>
    </row>
    <row r="239">
      <c r="O239">
        <f>SUM(K239:M239)</f>
        <v/>
      </c>
      <c r="P239">
        <f>N239/100000</f>
        <v/>
      </c>
    </row>
    <row r="240">
      <c r="O240">
        <f>SUM(K240:M240)</f>
        <v/>
      </c>
      <c r="P240">
        <f>N240/100000</f>
        <v/>
      </c>
    </row>
    <row r="241">
      <c r="O241">
        <f>SUM(K241:M241)</f>
        <v/>
      </c>
      <c r="P241">
        <f>N241/100000</f>
        <v/>
      </c>
    </row>
    <row r="242">
      <c r="O242">
        <f>SUM(K242:M242)</f>
        <v/>
      </c>
      <c r="P242">
        <f>N242/100000</f>
        <v/>
      </c>
    </row>
    <row r="243">
      <c r="O243">
        <f>SUM(K243:M243)</f>
        <v/>
      </c>
      <c r="P243">
        <f>N243/100000</f>
        <v/>
      </c>
    </row>
    <row r="244">
      <c r="O244">
        <f>SUM(K244:M244)</f>
        <v/>
      </c>
      <c r="P244">
        <f>N244/100000</f>
        <v/>
      </c>
    </row>
    <row r="245">
      <c r="O245">
        <f>SUM(K245:M245)</f>
        <v/>
      </c>
      <c r="P245">
        <f>N245/100000</f>
        <v/>
      </c>
    </row>
    <row r="246">
      <c r="O246">
        <f>SUM(K246:M246)</f>
        <v/>
      </c>
      <c r="P246">
        <f>N246/100000</f>
        <v/>
      </c>
    </row>
    <row r="247">
      <c r="O247">
        <f>SUM(K247:M247)</f>
        <v/>
      </c>
      <c r="P247">
        <f>N247/100000</f>
        <v/>
      </c>
    </row>
    <row r="248">
      <c r="O248">
        <f>SUM(K248:M248)</f>
        <v/>
      </c>
      <c r="P248">
        <f>N248/100000</f>
        <v/>
      </c>
    </row>
    <row r="249">
      <c r="O249">
        <f>SUM(K249:M249)</f>
        <v/>
      </c>
      <c r="P249">
        <f>N249/100000</f>
        <v/>
      </c>
    </row>
    <row r="250">
      <c r="O250">
        <f>SUM(K250:M250)</f>
        <v/>
      </c>
      <c r="P250">
        <f>N250/100000</f>
        <v/>
      </c>
    </row>
    <row r="251">
      <c r="O251">
        <f>SUM(K251:M251)</f>
        <v/>
      </c>
      <c r="P251">
        <f>N251/100000</f>
        <v/>
      </c>
    </row>
    <row r="252">
      <c r="O252">
        <f>SUM(K252:M252)</f>
        <v/>
      </c>
      <c r="P252">
        <f>N252/100000</f>
        <v/>
      </c>
    </row>
    <row r="253">
      <c r="O253">
        <f>SUM(K253:M253)</f>
        <v/>
      </c>
      <c r="P253">
        <f>N253/100000</f>
        <v/>
      </c>
    </row>
    <row r="254">
      <c r="O254">
        <f>SUM(K254:M254)</f>
        <v/>
      </c>
      <c r="P254">
        <f>N254/100000</f>
        <v/>
      </c>
    </row>
    <row r="255">
      <c r="O255">
        <f>SUM(K255:M255)</f>
        <v/>
      </c>
      <c r="P255">
        <f>N255/100000</f>
        <v/>
      </c>
    </row>
    <row r="256">
      <c r="O256">
        <f>SUM(K256:M256)</f>
        <v/>
      </c>
      <c r="P256">
        <f>N256/100000</f>
        <v/>
      </c>
    </row>
    <row r="257">
      <c r="O257">
        <f>SUM(K257:M257)</f>
        <v/>
      </c>
      <c r="P257">
        <f>N257/100000</f>
        <v/>
      </c>
    </row>
    <row r="258">
      <c r="O258">
        <f>SUM(K258:M258)</f>
        <v/>
      </c>
      <c r="P258">
        <f>N258/100000</f>
        <v/>
      </c>
    </row>
    <row r="259">
      <c r="O259">
        <f>SUM(K259:M259)</f>
        <v/>
      </c>
      <c r="P259">
        <f>N259/100000</f>
        <v/>
      </c>
    </row>
    <row r="260">
      <c r="O260">
        <f>SUM(K260:M260)</f>
        <v/>
      </c>
      <c r="P260">
        <f>N260/100000</f>
        <v/>
      </c>
    </row>
    <row r="261">
      <c r="O261">
        <f>SUM(K261:M261)</f>
        <v/>
      </c>
      <c r="P261">
        <f>N261/100000</f>
        <v/>
      </c>
    </row>
    <row r="262">
      <c r="O262">
        <f>SUM(K262:M262)</f>
        <v/>
      </c>
      <c r="P262">
        <f>N262/100000</f>
        <v/>
      </c>
    </row>
    <row r="263">
      <c r="O263">
        <f>SUM(K263:M263)</f>
        <v/>
      </c>
      <c r="P263">
        <f>N263/100000</f>
        <v/>
      </c>
    </row>
    <row r="264">
      <c r="O264">
        <f>SUM(K264:M264)</f>
        <v/>
      </c>
      <c r="P264">
        <f>N264/100000</f>
        <v/>
      </c>
    </row>
    <row r="265">
      <c r="O265">
        <f>SUM(K265:M265)</f>
        <v/>
      </c>
      <c r="P265">
        <f>N265/100000</f>
        <v/>
      </c>
    </row>
    <row r="266">
      <c r="O266">
        <f>SUM(K266:M266)</f>
        <v/>
      </c>
      <c r="P266">
        <f>N266/100000</f>
        <v/>
      </c>
    </row>
    <row r="267">
      <c r="O267">
        <f>SUM(K267:M267)</f>
        <v/>
      </c>
      <c r="P267">
        <f>N267/100000</f>
        <v/>
      </c>
    </row>
    <row r="268">
      <c r="O268">
        <f>SUM(K268:M268)</f>
        <v/>
      </c>
      <c r="P268">
        <f>N268/100000</f>
        <v/>
      </c>
    </row>
    <row r="269">
      <c r="O269">
        <f>SUM(K269:M269)</f>
        <v/>
      </c>
      <c r="P269">
        <f>N269/100000</f>
        <v/>
      </c>
    </row>
    <row r="270">
      <c r="O270">
        <f>SUM(K270:M270)</f>
        <v/>
      </c>
      <c r="P270">
        <f>N270/100000</f>
        <v/>
      </c>
    </row>
    <row r="271">
      <c r="O271">
        <f>SUM(K271:M271)</f>
        <v/>
      </c>
      <c r="P271">
        <f>N271/100000</f>
        <v/>
      </c>
    </row>
    <row r="272">
      <c r="O272">
        <f>SUM(K272:M272)</f>
        <v/>
      </c>
      <c r="P272">
        <f>N272/100000</f>
        <v/>
      </c>
    </row>
    <row r="273">
      <c r="O273">
        <f>SUM(K273:M273)</f>
        <v/>
      </c>
      <c r="P273">
        <f>N273/100000</f>
        <v/>
      </c>
    </row>
    <row r="274">
      <c r="O274">
        <f>SUM(K274:M274)</f>
        <v/>
      </c>
      <c r="P274">
        <f>N274/100000</f>
        <v/>
      </c>
    </row>
    <row r="275">
      <c r="O275">
        <f>SUM(K275:M275)</f>
        <v/>
      </c>
      <c r="P275">
        <f>N275/100000</f>
        <v/>
      </c>
    </row>
    <row r="276">
      <c r="O276">
        <f>SUM(K276:M276)</f>
        <v/>
      </c>
      <c r="P276">
        <f>N276/100000</f>
        <v/>
      </c>
    </row>
    <row r="277">
      <c r="O277">
        <f>SUM(K277:M277)</f>
        <v/>
      </c>
      <c r="P277">
        <f>N277/100000</f>
        <v/>
      </c>
    </row>
    <row r="278">
      <c r="O278">
        <f>SUM(K278:M278)</f>
        <v/>
      </c>
      <c r="P278">
        <f>N278/100000</f>
        <v/>
      </c>
    </row>
    <row r="279">
      <c r="O279">
        <f>SUM(K279:M279)</f>
        <v/>
      </c>
      <c r="P279">
        <f>N279/100000</f>
        <v/>
      </c>
    </row>
    <row r="280">
      <c r="O280">
        <f>SUM(K280:M280)</f>
        <v/>
      </c>
      <c r="P280">
        <f>N280/100000</f>
        <v/>
      </c>
    </row>
    <row r="281">
      <c r="O281">
        <f>SUM(K281:M281)</f>
        <v/>
      </c>
      <c r="P281">
        <f>N281/100000</f>
        <v/>
      </c>
    </row>
    <row r="282">
      <c r="O282">
        <f>SUM(K282:M282)</f>
        <v/>
      </c>
      <c r="P282">
        <f>N282/100000</f>
        <v/>
      </c>
    </row>
    <row r="283">
      <c r="O283">
        <f>SUM(K283:M283)</f>
        <v/>
      </c>
      <c r="P283">
        <f>N283/100000</f>
        <v/>
      </c>
    </row>
    <row r="284">
      <c r="O284">
        <f>SUM(K284:M284)</f>
        <v/>
      </c>
      <c r="P284">
        <f>N284/100000</f>
        <v/>
      </c>
    </row>
    <row r="285">
      <c r="O285">
        <f>SUM(K285:M285)</f>
        <v/>
      </c>
      <c r="P285">
        <f>N285/100000</f>
        <v/>
      </c>
    </row>
    <row r="286">
      <c r="O286">
        <f>SUM(K286:M286)</f>
        <v/>
      </c>
      <c r="P286">
        <f>N286/100000</f>
        <v/>
      </c>
    </row>
    <row r="287">
      <c r="O287">
        <f>SUM(K287:M287)</f>
        <v/>
      </c>
      <c r="P287">
        <f>N287/100000</f>
        <v/>
      </c>
    </row>
    <row r="288">
      <c r="O288">
        <f>SUM(K288:M288)</f>
        <v/>
      </c>
      <c r="P288">
        <f>N288/100000</f>
        <v/>
      </c>
    </row>
    <row r="289">
      <c r="O289">
        <f>SUM(K289:M289)</f>
        <v/>
      </c>
      <c r="P289">
        <f>N289/100000</f>
        <v/>
      </c>
    </row>
    <row r="290">
      <c r="O290">
        <f>SUM(K290:M290)</f>
        <v/>
      </c>
      <c r="P290">
        <f>N290/100000</f>
        <v/>
      </c>
    </row>
    <row r="291">
      <c r="O291">
        <f>SUM(K291:M291)</f>
        <v/>
      </c>
      <c r="P291">
        <f>N291/100000</f>
        <v/>
      </c>
    </row>
    <row r="292">
      <c r="O292">
        <f>SUM(K292:M292)</f>
        <v/>
      </c>
      <c r="P292">
        <f>N292/100000</f>
        <v/>
      </c>
    </row>
    <row r="293">
      <c r="O293">
        <f>SUM(K293:M293)</f>
        <v/>
      </c>
      <c r="P293">
        <f>N293/100000</f>
        <v/>
      </c>
    </row>
    <row r="294">
      <c r="O294">
        <f>SUM(K294:M294)</f>
        <v/>
      </c>
      <c r="P294">
        <f>N294/100000</f>
        <v/>
      </c>
    </row>
    <row r="295">
      <c r="O295">
        <f>SUM(K295:M295)</f>
        <v/>
      </c>
      <c r="P295">
        <f>N295/100000</f>
        <v/>
      </c>
    </row>
    <row r="296">
      <c r="O296">
        <f>SUM(K296:M296)</f>
        <v/>
      </c>
      <c r="P296">
        <f>N296/100000</f>
        <v/>
      </c>
    </row>
    <row r="297">
      <c r="O297">
        <f>SUM(K297:M297)</f>
        <v/>
      </c>
      <c r="P297">
        <f>N297/100000</f>
        <v/>
      </c>
    </row>
    <row r="298">
      <c r="O298">
        <f>SUM(K298:M298)</f>
        <v/>
      </c>
      <c r="P298">
        <f>N298/100000</f>
        <v/>
      </c>
    </row>
    <row r="299">
      <c r="O299">
        <f>SUM(K299:M299)</f>
        <v/>
      </c>
      <c r="P299">
        <f>N299/100000</f>
        <v/>
      </c>
    </row>
    <row r="300">
      <c r="O300">
        <f>SUM(K300:M300)</f>
        <v/>
      </c>
      <c r="P300">
        <f>N300/100000</f>
        <v/>
      </c>
    </row>
    <row r="301">
      <c r="O301">
        <f>SUM(K301:M301)</f>
        <v/>
      </c>
      <c r="P301">
        <f>N301/100000</f>
        <v/>
      </c>
    </row>
    <row r="302">
      <c r="O302">
        <f>SUM(K302:M302)</f>
        <v/>
      </c>
      <c r="P302">
        <f>N302/100000</f>
        <v/>
      </c>
    </row>
    <row r="303">
      <c r="O303">
        <f>SUM(K303:M303)</f>
        <v/>
      </c>
      <c r="P303">
        <f>N303/100000</f>
        <v/>
      </c>
    </row>
    <row r="304">
      <c r="O304">
        <f>SUM(K304:M304)</f>
        <v/>
      </c>
      <c r="P304">
        <f>N304/100000</f>
        <v/>
      </c>
    </row>
    <row r="305">
      <c r="O305">
        <f>SUM(K305:M305)</f>
        <v/>
      </c>
      <c r="P305">
        <f>N305/100000</f>
        <v/>
      </c>
    </row>
    <row r="306">
      <c r="O306">
        <f>SUM(K306:M306)</f>
        <v/>
      </c>
      <c r="P306">
        <f>N306/100000</f>
        <v/>
      </c>
    </row>
    <row r="307">
      <c r="O307">
        <f>SUM(K307:M307)</f>
        <v/>
      </c>
      <c r="P307">
        <f>N307/100000</f>
        <v/>
      </c>
    </row>
    <row r="308">
      <c r="O308">
        <f>SUM(K308:M308)</f>
        <v/>
      </c>
      <c r="P308">
        <f>N308/100000</f>
        <v/>
      </c>
    </row>
    <row r="309">
      <c r="O309">
        <f>SUM(K309:M309)</f>
        <v/>
      </c>
      <c r="P309">
        <f>N309/100000</f>
        <v/>
      </c>
    </row>
    <row r="310">
      <c r="O310">
        <f>SUM(K310:M310)</f>
        <v/>
      </c>
      <c r="P310">
        <f>N310/100000</f>
        <v/>
      </c>
    </row>
    <row r="311">
      <c r="O311">
        <f>SUM(K311:M311)</f>
        <v/>
      </c>
      <c r="P311">
        <f>N311/100000</f>
        <v/>
      </c>
    </row>
    <row r="312">
      <c r="O312">
        <f>SUM(K312:M312)</f>
        <v/>
      </c>
      <c r="P312">
        <f>N312/100000</f>
        <v/>
      </c>
    </row>
    <row r="313">
      <c r="O313">
        <f>SUM(K313:M313)</f>
        <v/>
      </c>
      <c r="P313">
        <f>N313/100000</f>
        <v/>
      </c>
    </row>
    <row r="314">
      <c r="O314">
        <f>SUM(K314:M314)</f>
        <v/>
      </c>
      <c r="P314">
        <f>N314/100000</f>
        <v/>
      </c>
    </row>
    <row r="315">
      <c r="O315">
        <f>SUM(K315:M315)</f>
        <v/>
      </c>
      <c r="P315">
        <f>N315/100000</f>
        <v/>
      </c>
    </row>
    <row r="316">
      <c r="O316">
        <f>SUM(K316:M316)</f>
        <v/>
      </c>
      <c r="P316">
        <f>N316/100000</f>
        <v/>
      </c>
    </row>
    <row r="317">
      <c r="O317">
        <f>SUM(K317:M317)</f>
        <v/>
      </c>
      <c r="P317">
        <f>N317/100000</f>
        <v/>
      </c>
    </row>
    <row r="318">
      <c r="O318">
        <f>SUM(K318:M318)</f>
        <v/>
      </c>
      <c r="P318">
        <f>N318/100000</f>
        <v/>
      </c>
    </row>
    <row r="319">
      <c r="O319">
        <f>SUM(K319:M319)</f>
        <v/>
      </c>
      <c r="P319">
        <f>N319/100000</f>
        <v/>
      </c>
    </row>
    <row r="320">
      <c r="O320">
        <f>SUM(K320:M320)</f>
        <v/>
      </c>
      <c r="P320">
        <f>N320/100000</f>
        <v/>
      </c>
    </row>
    <row r="321">
      <c r="O321">
        <f>SUM(K321:M321)</f>
        <v/>
      </c>
      <c r="P321">
        <f>N321/100000</f>
        <v/>
      </c>
    </row>
    <row r="322">
      <c r="O322">
        <f>SUM(K322:M322)</f>
        <v/>
      </c>
      <c r="P322">
        <f>N322/100000</f>
        <v/>
      </c>
    </row>
    <row r="323">
      <c r="O323">
        <f>SUM(K323:M323)</f>
        <v/>
      </c>
      <c r="P323">
        <f>N323/100000</f>
        <v/>
      </c>
    </row>
    <row r="324">
      <c r="O324">
        <f>SUM(K324:M324)</f>
        <v/>
      </c>
      <c r="P324">
        <f>N324/100000</f>
        <v/>
      </c>
    </row>
    <row r="325">
      <c r="O325">
        <f>SUM(K325:M325)</f>
        <v/>
      </c>
      <c r="P325">
        <f>N325/100000</f>
        <v/>
      </c>
    </row>
    <row r="326">
      <c r="O326">
        <f>SUM(K326:M326)</f>
        <v/>
      </c>
      <c r="P326">
        <f>N326/100000</f>
        <v/>
      </c>
    </row>
    <row r="327">
      <c r="O327">
        <f>SUM(K327:M327)</f>
        <v/>
      </c>
      <c r="P327">
        <f>N327/100000</f>
        <v/>
      </c>
    </row>
    <row r="328">
      <c r="O328">
        <f>SUM(K328:M328)</f>
        <v/>
      </c>
      <c r="P328">
        <f>N328/100000</f>
        <v/>
      </c>
    </row>
    <row r="329">
      <c r="O329">
        <f>SUM(K329:M329)</f>
        <v/>
      </c>
      <c r="P329">
        <f>N329/100000</f>
        <v/>
      </c>
    </row>
    <row r="330">
      <c r="O330">
        <f>SUM(K330:M330)</f>
        <v/>
      </c>
      <c r="P330">
        <f>N330/100000</f>
        <v/>
      </c>
    </row>
    <row r="331">
      <c r="O331">
        <f>SUM(K331:M331)</f>
        <v/>
      </c>
      <c r="P331">
        <f>N331/100000</f>
        <v/>
      </c>
    </row>
    <row r="332">
      <c r="O332">
        <f>SUM(K332:M332)</f>
        <v/>
      </c>
      <c r="P332">
        <f>N332/100000</f>
        <v/>
      </c>
    </row>
    <row r="333">
      <c r="O333">
        <f>SUM(K333:M333)</f>
        <v/>
      </c>
      <c r="P333">
        <f>N333/100000</f>
        <v/>
      </c>
    </row>
    <row r="334">
      <c r="O334">
        <f>SUM(K334:M334)</f>
        <v/>
      </c>
      <c r="P334">
        <f>N334/100000</f>
        <v/>
      </c>
    </row>
    <row r="335">
      <c r="O335">
        <f>SUM(K335:M335)</f>
        <v/>
      </c>
      <c r="P335">
        <f>N335/100000</f>
        <v/>
      </c>
    </row>
    <row r="336">
      <c r="O336">
        <f>SUM(K336:M336)</f>
        <v/>
      </c>
      <c r="P336">
        <f>N336/100000</f>
        <v/>
      </c>
    </row>
    <row r="337">
      <c r="O337">
        <f>SUM(K337:M337)</f>
        <v/>
      </c>
      <c r="P337">
        <f>N337/100000</f>
        <v/>
      </c>
    </row>
    <row r="338">
      <c r="O338">
        <f>SUM(K338:M338)</f>
        <v/>
      </c>
      <c r="P338">
        <f>N338/100000</f>
        <v/>
      </c>
    </row>
    <row r="339">
      <c r="O339">
        <f>SUM(K339:M339)</f>
        <v/>
      </c>
      <c r="P339">
        <f>N339/100000</f>
        <v/>
      </c>
    </row>
    <row r="340">
      <c r="O340">
        <f>SUM(K340:M340)</f>
        <v/>
      </c>
      <c r="P340">
        <f>N340/100000</f>
        <v/>
      </c>
    </row>
    <row r="341">
      <c r="O341">
        <f>SUM(K341:M341)</f>
        <v/>
      </c>
      <c r="P341">
        <f>N341/100000</f>
        <v/>
      </c>
    </row>
    <row r="342">
      <c r="O342">
        <f>SUM(K342:M342)</f>
        <v/>
      </c>
      <c r="P342">
        <f>N342/100000</f>
        <v/>
      </c>
    </row>
    <row r="343">
      <c r="O343">
        <f>SUM(K343:M343)</f>
        <v/>
      </c>
      <c r="P343">
        <f>N343/100000</f>
        <v/>
      </c>
    </row>
    <row r="344">
      <c r="O344">
        <f>SUM(K344:M344)</f>
        <v/>
      </c>
      <c r="P344">
        <f>N344/100000</f>
        <v/>
      </c>
    </row>
    <row r="345">
      <c r="O345">
        <f>SUM(K345:M345)</f>
        <v/>
      </c>
      <c r="P345">
        <f>N345/100000</f>
        <v/>
      </c>
    </row>
    <row r="346">
      <c r="O346">
        <f>SUM(K346:M346)</f>
        <v/>
      </c>
      <c r="P346">
        <f>N346/100000</f>
        <v/>
      </c>
    </row>
    <row r="347">
      <c r="O347">
        <f>SUM(K347:M347)</f>
        <v/>
      </c>
      <c r="P347">
        <f>N347/100000</f>
        <v/>
      </c>
    </row>
    <row r="348">
      <c r="O348">
        <f>SUM(K348:M348)</f>
        <v/>
      </c>
      <c r="P348">
        <f>N348/100000</f>
        <v/>
      </c>
    </row>
    <row r="349">
      <c r="O349">
        <f>SUM(K349:M349)</f>
        <v/>
      </c>
      <c r="P349">
        <f>N349/100000</f>
        <v/>
      </c>
    </row>
    <row r="350">
      <c r="O350">
        <f>SUM(K350:M350)</f>
        <v/>
      </c>
      <c r="P350">
        <f>N350/100000</f>
        <v/>
      </c>
    </row>
    <row r="351">
      <c r="O351">
        <f>SUM(K351:M351)</f>
        <v/>
      </c>
      <c r="P351">
        <f>N351/100000</f>
        <v/>
      </c>
    </row>
    <row r="352">
      <c r="O352">
        <f>SUM(K352:M352)</f>
        <v/>
      </c>
      <c r="P352">
        <f>N352/100000</f>
        <v/>
      </c>
    </row>
    <row r="353">
      <c r="O353">
        <f>SUM(K353:M353)</f>
        <v/>
      </c>
      <c r="P353">
        <f>N353/100000</f>
        <v/>
      </c>
    </row>
    <row r="354">
      <c r="O354">
        <f>SUM(K354:M354)</f>
        <v/>
      </c>
      <c r="P354">
        <f>N354/100000</f>
        <v/>
      </c>
    </row>
    <row r="355">
      <c r="O355">
        <f>SUM(K355:M355)</f>
        <v/>
      </c>
      <c r="P355">
        <f>N355/100000</f>
        <v/>
      </c>
    </row>
    <row r="356">
      <c r="O356">
        <f>SUM(K356:M356)</f>
        <v/>
      </c>
      <c r="P356">
        <f>N356/100000</f>
        <v/>
      </c>
    </row>
    <row r="357">
      <c r="O357">
        <f>SUM(K357:M357)</f>
        <v/>
      </c>
      <c r="P357">
        <f>N357/100000</f>
        <v/>
      </c>
    </row>
    <row r="358">
      <c r="O358">
        <f>SUM(K358:M358)</f>
        <v/>
      </c>
      <c r="P358">
        <f>N358/100000</f>
        <v/>
      </c>
    </row>
    <row r="359">
      <c r="O359">
        <f>SUM(K359:M359)</f>
        <v/>
      </c>
      <c r="P359">
        <f>N359/100000</f>
        <v/>
      </c>
    </row>
    <row r="360">
      <c r="O360">
        <f>SUM(K360:M360)</f>
        <v/>
      </c>
      <c r="P360">
        <f>N360/100000</f>
        <v/>
      </c>
    </row>
    <row r="361">
      <c r="O361">
        <f>SUM(K361:M361)</f>
        <v/>
      </c>
      <c r="P361">
        <f>N361/100000</f>
        <v/>
      </c>
    </row>
    <row r="362">
      <c r="O362">
        <f>SUM(K362:M362)</f>
        <v/>
      </c>
      <c r="P362">
        <f>N362/100000</f>
        <v/>
      </c>
    </row>
    <row r="363">
      <c r="O363">
        <f>SUM(K363:M363)</f>
        <v/>
      </c>
      <c r="P363">
        <f>N363/100000</f>
        <v/>
      </c>
    </row>
    <row r="364">
      <c r="O364">
        <f>SUM(K364:M364)</f>
        <v/>
      </c>
      <c r="P364">
        <f>N364/100000</f>
        <v/>
      </c>
    </row>
    <row r="365">
      <c r="O365">
        <f>SUM(K365:M365)</f>
        <v/>
      </c>
      <c r="P365">
        <f>N365/100000</f>
        <v/>
      </c>
    </row>
    <row r="366">
      <c r="O366">
        <f>SUM(K366:M366)</f>
        <v/>
      </c>
      <c r="P366">
        <f>N366/100000</f>
        <v/>
      </c>
    </row>
    <row r="367">
      <c r="O367">
        <f>SUM(K367:M367)</f>
        <v/>
      </c>
      <c r="P367">
        <f>N367/100000</f>
        <v/>
      </c>
    </row>
    <row r="368">
      <c r="O368">
        <f>SUM(K368:M368)</f>
        <v/>
      </c>
      <c r="P368">
        <f>N368/100000</f>
        <v/>
      </c>
    </row>
    <row r="369">
      <c r="O369">
        <f>SUM(K369:M369)</f>
        <v/>
      </c>
      <c r="P369">
        <f>N369/100000</f>
        <v/>
      </c>
    </row>
    <row r="370">
      <c r="O370">
        <f>SUM(K370:M370)</f>
        <v/>
      </c>
      <c r="P370">
        <f>N370/100000</f>
        <v/>
      </c>
    </row>
    <row r="371">
      <c r="O371">
        <f>SUM(K371:M371)</f>
        <v/>
      </c>
      <c r="P371">
        <f>N371/100000</f>
        <v/>
      </c>
    </row>
    <row r="372">
      <c r="O372">
        <f>SUM(K372:M372)</f>
        <v/>
      </c>
      <c r="P372">
        <f>N372/100000</f>
        <v/>
      </c>
    </row>
    <row r="373">
      <c r="O373">
        <f>SUM(K373:M373)</f>
        <v/>
      </c>
      <c r="P373">
        <f>N373/100000</f>
        <v/>
      </c>
    </row>
    <row r="374">
      <c r="O374">
        <f>SUM(K374:M374)</f>
        <v/>
      </c>
      <c r="P374">
        <f>N374/100000</f>
        <v/>
      </c>
    </row>
    <row r="375">
      <c r="O375">
        <f>SUM(K375:M375)</f>
        <v/>
      </c>
      <c r="P375">
        <f>N375/100000</f>
        <v/>
      </c>
    </row>
    <row r="376">
      <c r="O376">
        <f>SUM(K376:M376)</f>
        <v/>
      </c>
      <c r="P376">
        <f>N376/100000</f>
        <v/>
      </c>
    </row>
    <row r="377">
      <c r="O377">
        <f>SUM(K377:M377)</f>
        <v/>
      </c>
      <c r="P377">
        <f>N377/100000</f>
        <v/>
      </c>
    </row>
    <row r="378">
      <c r="O378">
        <f>SUM(K378:M378)</f>
        <v/>
      </c>
      <c r="P378">
        <f>N378/100000</f>
        <v/>
      </c>
    </row>
    <row r="379">
      <c r="O379">
        <f>SUM(K379:M379)</f>
        <v/>
      </c>
      <c r="P379">
        <f>N379/100000</f>
        <v/>
      </c>
    </row>
    <row r="380">
      <c r="O380">
        <f>SUM(K380:M380)</f>
        <v/>
      </c>
      <c r="P380">
        <f>N380/100000</f>
        <v/>
      </c>
    </row>
    <row r="381">
      <c r="O381">
        <f>SUM(K381:M381)</f>
        <v/>
      </c>
      <c r="P381">
        <f>N381/100000</f>
        <v/>
      </c>
    </row>
    <row r="382">
      <c r="O382">
        <f>SUM(K382:M382)</f>
        <v/>
      </c>
      <c r="P382">
        <f>N382/100000</f>
        <v/>
      </c>
    </row>
    <row r="383">
      <c r="O383">
        <f>SUM(K383:M383)</f>
        <v/>
      </c>
      <c r="P383">
        <f>N383/100000</f>
        <v/>
      </c>
    </row>
    <row r="384">
      <c r="O384">
        <f>SUM(K384:M384)</f>
        <v/>
      </c>
      <c r="P384">
        <f>N384/100000</f>
        <v/>
      </c>
    </row>
    <row r="385">
      <c r="O385">
        <f>SUM(K385:M385)</f>
        <v/>
      </c>
      <c r="P385">
        <f>N385/100000</f>
        <v/>
      </c>
    </row>
    <row r="386">
      <c r="O386">
        <f>SUM(K386:M386)</f>
        <v/>
      </c>
      <c r="P386">
        <f>N386/100000</f>
        <v/>
      </c>
    </row>
    <row r="387">
      <c r="O387">
        <f>SUM(K387:M387)</f>
        <v/>
      </c>
      <c r="P387">
        <f>N387/100000</f>
        <v/>
      </c>
    </row>
    <row r="388">
      <c r="O388">
        <f>SUM(K388:M388)</f>
        <v/>
      </c>
      <c r="P388">
        <f>N388/100000</f>
        <v/>
      </c>
    </row>
    <row r="389">
      <c r="O389">
        <f>SUM(K389:M389)</f>
        <v/>
      </c>
      <c r="P389">
        <f>N389/100000</f>
        <v/>
      </c>
    </row>
    <row r="390">
      <c r="O390">
        <f>SUM(K390:M390)</f>
        <v/>
      </c>
      <c r="P390">
        <f>N390/100000</f>
        <v/>
      </c>
    </row>
    <row r="391">
      <c r="O391">
        <f>SUM(K391:M391)</f>
        <v/>
      </c>
      <c r="P391">
        <f>N391/100000</f>
        <v/>
      </c>
    </row>
    <row r="392">
      <c r="O392">
        <f>SUM(K392:M392)</f>
        <v/>
      </c>
      <c r="P392">
        <f>N392/100000</f>
        <v/>
      </c>
    </row>
    <row r="393">
      <c r="O393">
        <f>SUM(K393:M393)</f>
        <v/>
      </c>
      <c r="P393">
        <f>N393/100000</f>
        <v/>
      </c>
    </row>
    <row r="394">
      <c r="O394">
        <f>SUM(K394:M394)</f>
        <v/>
      </c>
      <c r="P394">
        <f>N394/100000</f>
        <v/>
      </c>
    </row>
    <row r="395">
      <c r="O395">
        <f>SUM(K395:M395)</f>
        <v/>
      </c>
      <c r="P395">
        <f>N395/100000</f>
        <v/>
      </c>
    </row>
    <row r="396">
      <c r="O396">
        <f>SUM(K396:M396)</f>
        <v/>
      </c>
      <c r="P396">
        <f>N396/100000</f>
        <v/>
      </c>
    </row>
    <row r="397">
      <c r="O397">
        <f>SUM(K397:M397)</f>
        <v/>
      </c>
      <c r="P397">
        <f>N397/100000</f>
        <v/>
      </c>
    </row>
    <row r="398">
      <c r="O398">
        <f>SUM(K398:M398)</f>
        <v/>
      </c>
      <c r="P398">
        <f>N398/100000</f>
        <v/>
      </c>
    </row>
    <row r="399">
      <c r="O399">
        <f>SUM(K399:M399)</f>
        <v/>
      </c>
      <c r="P399">
        <f>N399/100000</f>
        <v/>
      </c>
    </row>
    <row r="400">
      <c r="O400">
        <f>SUM(K400:M400)</f>
        <v/>
      </c>
      <c r="P400">
        <f>N400/100000</f>
        <v/>
      </c>
    </row>
    <row r="401">
      <c r="O401">
        <f>SUM(K401:M401)</f>
        <v/>
      </c>
      <c r="P401">
        <f>N401/100000</f>
        <v/>
      </c>
    </row>
    <row r="402">
      <c r="O402">
        <f>SUM(K402:M402)</f>
        <v/>
      </c>
      <c r="P402">
        <f>N402/100000</f>
        <v/>
      </c>
    </row>
    <row r="403">
      <c r="O403">
        <f>SUM(K403:M403)</f>
        <v/>
      </c>
      <c r="P403">
        <f>N403/100000</f>
        <v/>
      </c>
    </row>
    <row r="404">
      <c r="O404">
        <f>SUM(K404:M404)</f>
        <v/>
      </c>
      <c r="P404">
        <f>N404/100000</f>
        <v/>
      </c>
    </row>
    <row r="405">
      <c r="O405">
        <f>SUM(K405:M405)</f>
        <v/>
      </c>
      <c r="P405">
        <f>N405/100000</f>
        <v/>
      </c>
    </row>
    <row r="406">
      <c r="O406">
        <f>SUM(K406:M406)</f>
        <v/>
      </c>
      <c r="P406">
        <f>N406/100000</f>
        <v/>
      </c>
    </row>
    <row r="407">
      <c r="O407">
        <f>SUM(K407:M407)</f>
        <v/>
      </c>
      <c r="P407">
        <f>N407/100000</f>
        <v/>
      </c>
    </row>
    <row r="408">
      <c r="O408">
        <f>SUM(K408:M408)</f>
        <v/>
      </c>
      <c r="P408">
        <f>N408/100000</f>
        <v/>
      </c>
    </row>
    <row r="409">
      <c r="O409">
        <f>SUM(K409:M409)</f>
        <v/>
      </c>
      <c r="P409">
        <f>N409/100000</f>
        <v/>
      </c>
    </row>
    <row r="410">
      <c r="O410">
        <f>SUM(K410:M410)</f>
        <v/>
      </c>
      <c r="P410">
        <f>N410/100000</f>
        <v/>
      </c>
    </row>
    <row r="411">
      <c r="O411">
        <f>SUM(K411:M411)</f>
        <v/>
      </c>
      <c r="P411">
        <f>N411/100000</f>
        <v/>
      </c>
    </row>
    <row r="412">
      <c r="O412">
        <f>SUM(K412:M412)</f>
        <v/>
      </c>
      <c r="P412">
        <f>N412/100000</f>
        <v/>
      </c>
    </row>
    <row r="413">
      <c r="O413">
        <f>SUM(K413:M413)</f>
        <v/>
      </c>
      <c r="P413">
        <f>N413/100000</f>
        <v/>
      </c>
    </row>
    <row r="414">
      <c r="O414">
        <f>SUM(K414:M414)</f>
        <v/>
      </c>
      <c r="P414">
        <f>N414/100000</f>
        <v/>
      </c>
    </row>
    <row r="415">
      <c r="O415">
        <f>SUM(K415:M415)</f>
        <v/>
      </c>
      <c r="P415">
        <f>N415/100000</f>
        <v/>
      </c>
    </row>
    <row r="416">
      <c r="O416">
        <f>SUM(K416:M416)</f>
        <v/>
      </c>
      <c r="P416">
        <f>N416/100000</f>
        <v/>
      </c>
    </row>
    <row r="417">
      <c r="O417">
        <f>SUM(K417:M417)</f>
        <v/>
      </c>
      <c r="P417">
        <f>N417/100000</f>
        <v/>
      </c>
    </row>
    <row r="418">
      <c r="O418">
        <f>SUM(K418:M418)</f>
        <v/>
      </c>
      <c r="P418">
        <f>N418/100000</f>
        <v/>
      </c>
    </row>
    <row r="419">
      <c r="O419">
        <f>SUM(K419:M419)</f>
        <v/>
      </c>
      <c r="P419">
        <f>N419/100000</f>
        <v/>
      </c>
    </row>
    <row r="420">
      <c r="O420">
        <f>SUM(K420:M420)</f>
        <v/>
      </c>
      <c r="P420">
        <f>N420/100000</f>
        <v/>
      </c>
    </row>
    <row r="421">
      <c r="O421">
        <f>SUM(K421:M421)</f>
        <v/>
      </c>
      <c r="P421">
        <f>N421/100000</f>
        <v/>
      </c>
    </row>
    <row r="422">
      <c r="O422">
        <f>SUM(K422:M422)</f>
        <v/>
      </c>
      <c r="P422">
        <f>N422/100000</f>
        <v/>
      </c>
    </row>
    <row r="423">
      <c r="O423">
        <f>SUM(K423:M423)</f>
        <v/>
      </c>
      <c r="P423">
        <f>N423/100000</f>
        <v/>
      </c>
    </row>
    <row r="424">
      <c r="O424">
        <f>SUM(K424:M424)</f>
        <v/>
      </c>
      <c r="P424">
        <f>N424/100000</f>
        <v/>
      </c>
    </row>
    <row r="425">
      <c r="O425">
        <f>SUM(K425:M425)</f>
        <v/>
      </c>
      <c r="P425">
        <f>N425/100000</f>
        <v/>
      </c>
    </row>
    <row r="426">
      <c r="O426">
        <f>SUM(K426:M426)</f>
        <v/>
      </c>
      <c r="P426">
        <f>N426/100000</f>
        <v/>
      </c>
    </row>
    <row r="427">
      <c r="O427">
        <f>SUM(K427:M427)</f>
        <v/>
      </c>
      <c r="P427">
        <f>N427/100000</f>
        <v/>
      </c>
    </row>
    <row r="428">
      <c r="O428">
        <f>SUM(K428:M428)</f>
        <v/>
      </c>
      <c r="P428">
        <f>N428/100000</f>
        <v/>
      </c>
    </row>
    <row r="429">
      <c r="O429">
        <f>SUM(K429:M429)</f>
        <v/>
      </c>
      <c r="P429">
        <f>N429/100000</f>
        <v/>
      </c>
    </row>
    <row r="430">
      <c r="O430">
        <f>SUM(K430:M430)</f>
        <v/>
      </c>
      <c r="P430">
        <f>N430/100000</f>
        <v/>
      </c>
    </row>
    <row r="431">
      <c r="O431">
        <f>SUM(K431:M431)</f>
        <v/>
      </c>
      <c r="P431">
        <f>N431/100000</f>
        <v/>
      </c>
    </row>
    <row r="432">
      <c r="O432">
        <f>SUM(K432:M432)</f>
        <v/>
      </c>
      <c r="P432">
        <f>N432/100000</f>
        <v/>
      </c>
    </row>
    <row r="433">
      <c r="O433">
        <f>SUM(K433:M433)</f>
        <v/>
      </c>
      <c r="P433">
        <f>N433/100000</f>
        <v/>
      </c>
    </row>
    <row r="434">
      <c r="O434">
        <f>SUM(K434:M434)</f>
        <v/>
      </c>
      <c r="P434">
        <f>N434/100000</f>
        <v/>
      </c>
    </row>
    <row r="435">
      <c r="O435">
        <f>SUM(K435:M435)</f>
        <v/>
      </c>
      <c r="P435">
        <f>N435/100000</f>
        <v/>
      </c>
    </row>
    <row r="436">
      <c r="O436">
        <f>SUM(K436:M436)</f>
        <v/>
      </c>
      <c r="P436">
        <f>N436/100000</f>
        <v/>
      </c>
    </row>
    <row r="437">
      <c r="O437">
        <f>SUM(K437:M437)</f>
        <v/>
      </c>
      <c r="P437">
        <f>N437/100000</f>
        <v/>
      </c>
    </row>
    <row r="438">
      <c r="O438">
        <f>SUM(K438:M438)</f>
        <v/>
      </c>
      <c r="P438">
        <f>N438/100000</f>
        <v/>
      </c>
    </row>
    <row r="439">
      <c r="O439">
        <f>SUM(K439:M439)</f>
        <v/>
      </c>
      <c r="P439">
        <f>N439/100000</f>
        <v/>
      </c>
    </row>
    <row r="440">
      <c r="O440">
        <f>SUM(K440:M440)</f>
        <v/>
      </c>
      <c r="P440">
        <f>N440/100000</f>
        <v/>
      </c>
    </row>
    <row r="441">
      <c r="O441">
        <f>SUM(K441:M441)</f>
        <v/>
      </c>
      <c r="P441">
        <f>N441/100000</f>
        <v/>
      </c>
    </row>
    <row r="442">
      <c r="O442">
        <f>SUM(K442:M442)</f>
        <v/>
      </c>
      <c r="P442">
        <f>N442/100000</f>
        <v/>
      </c>
    </row>
    <row r="443">
      <c r="O443">
        <f>SUM(K443:M443)</f>
        <v/>
      </c>
      <c r="P443">
        <f>N443/100000</f>
        <v/>
      </c>
    </row>
    <row r="444">
      <c r="O444">
        <f>SUM(K444:M444)</f>
        <v/>
      </c>
      <c r="P444">
        <f>N444/100000</f>
        <v/>
      </c>
    </row>
    <row r="445">
      <c r="O445">
        <f>SUM(K445:M445)</f>
        <v/>
      </c>
      <c r="P445">
        <f>N445/100000</f>
        <v/>
      </c>
    </row>
    <row r="446">
      <c r="O446">
        <f>SUM(K446:M446)</f>
        <v/>
      </c>
      <c r="P446">
        <f>N446/100000</f>
        <v/>
      </c>
    </row>
    <row r="447">
      <c r="O447">
        <f>SUM(K447:M447)</f>
        <v/>
      </c>
      <c r="P447">
        <f>N447/100000</f>
        <v/>
      </c>
    </row>
    <row r="448">
      <c r="O448">
        <f>SUM(K448:M448)</f>
        <v/>
      </c>
      <c r="P448">
        <f>N448/100000</f>
        <v/>
      </c>
    </row>
    <row r="449">
      <c r="O449">
        <f>SUM(K449:M449)</f>
        <v/>
      </c>
      <c r="P449">
        <f>N449/100000</f>
        <v/>
      </c>
    </row>
    <row r="450">
      <c r="O450">
        <f>SUM(K450:M450)</f>
        <v/>
      </c>
      <c r="P450">
        <f>N450/100000</f>
        <v/>
      </c>
    </row>
    <row r="451">
      <c r="O451">
        <f>SUM(K451:M451)</f>
        <v/>
      </c>
      <c r="P451">
        <f>N451/100000</f>
        <v/>
      </c>
    </row>
    <row r="452">
      <c r="O452">
        <f>SUM(K452:M452)</f>
        <v/>
      </c>
      <c r="P452">
        <f>N452/100000</f>
        <v/>
      </c>
    </row>
    <row r="453">
      <c r="O453">
        <f>SUM(K453:M453)</f>
        <v/>
      </c>
      <c r="P453">
        <f>N453/100000</f>
        <v/>
      </c>
    </row>
    <row r="454">
      <c r="O454">
        <f>SUM(K454:M454)</f>
        <v/>
      </c>
      <c r="P454">
        <f>N454/100000</f>
        <v/>
      </c>
    </row>
    <row r="455">
      <c r="O455">
        <f>SUM(K455:M455)</f>
        <v/>
      </c>
      <c r="P455">
        <f>N455/100000</f>
        <v/>
      </c>
    </row>
    <row r="456">
      <c r="O456">
        <f>SUM(K456:M456)</f>
        <v/>
      </c>
      <c r="P456">
        <f>N456/100000</f>
        <v/>
      </c>
    </row>
    <row r="457">
      <c r="O457">
        <f>SUM(K457:M457)</f>
        <v/>
      </c>
      <c r="P457">
        <f>N457/100000</f>
        <v/>
      </c>
    </row>
    <row r="458">
      <c r="O458">
        <f>SUM(K458:M458)</f>
        <v/>
      </c>
      <c r="P458">
        <f>N458/100000</f>
        <v/>
      </c>
    </row>
    <row r="459">
      <c r="O459">
        <f>SUM(K459:M459)</f>
        <v/>
      </c>
      <c r="P459">
        <f>N459/100000</f>
        <v/>
      </c>
    </row>
    <row r="460">
      <c r="O460">
        <f>SUM(K460:M460)</f>
        <v/>
      </c>
      <c r="P460">
        <f>N460/100000</f>
        <v/>
      </c>
    </row>
    <row r="461">
      <c r="O461">
        <f>SUM(K461:M461)</f>
        <v/>
      </c>
      <c r="P461">
        <f>N461/100000</f>
        <v/>
      </c>
    </row>
    <row r="462">
      <c r="O462">
        <f>SUM(K462:M462)</f>
        <v/>
      </c>
      <c r="P462">
        <f>N462/100000</f>
        <v/>
      </c>
    </row>
    <row r="463">
      <c r="O463">
        <f>SUM(K463:M463)</f>
        <v/>
      </c>
      <c r="P463">
        <f>N463/100000</f>
        <v/>
      </c>
    </row>
    <row r="464">
      <c r="O464">
        <f>SUM(K464:M464)</f>
        <v/>
      </c>
      <c r="P464">
        <f>N464/100000</f>
        <v/>
      </c>
    </row>
    <row r="465">
      <c r="O465">
        <f>SUM(K465:M465)</f>
        <v/>
      </c>
      <c r="P465">
        <f>N465/100000</f>
        <v/>
      </c>
    </row>
    <row r="466">
      <c r="O466">
        <f>SUM(K466:M466)</f>
        <v/>
      </c>
      <c r="P466">
        <f>N466/100000</f>
        <v/>
      </c>
    </row>
    <row r="467">
      <c r="O467">
        <f>SUM(K467:M467)</f>
        <v/>
      </c>
      <c r="P467">
        <f>N467/100000</f>
        <v/>
      </c>
    </row>
    <row r="468">
      <c r="O468">
        <f>SUM(K468:M468)</f>
        <v/>
      </c>
      <c r="P468">
        <f>N468/100000</f>
        <v/>
      </c>
    </row>
    <row r="469">
      <c r="O469">
        <f>SUM(K469:M469)</f>
        <v/>
      </c>
      <c r="P469">
        <f>N469/100000</f>
        <v/>
      </c>
    </row>
    <row r="470">
      <c r="O470">
        <f>SUM(K470:M470)</f>
        <v/>
      </c>
      <c r="P470">
        <f>N470/100000</f>
        <v/>
      </c>
    </row>
    <row r="471">
      <c r="O471">
        <f>SUM(K471:M471)</f>
        <v/>
      </c>
      <c r="P471">
        <f>N471/100000</f>
        <v/>
      </c>
    </row>
    <row r="472">
      <c r="O472">
        <f>SUM(K472:M472)</f>
        <v/>
      </c>
      <c r="P472">
        <f>N472/100000</f>
        <v/>
      </c>
    </row>
    <row r="473">
      <c r="O473">
        <f>SUM(K473:M473)</f>
        <v/>
      </c>
      <c r="P473">
        <f>N473/100000</f>
        <v/>
      </c>
    </row>
    <row r="474">
      <c r="O474">
        <f>SUM(K474:M474)</f>
        <v/>
      </c>
      <c r="P474">
        <f>N474/100000</f>
        <v/>
      </c>
    </row>
    <row r="475">
      <c r="O475">
        <f>SUM(K475:M475)</f>
        <v/>
      </c>
      <c r="P475">
        <f>N475/100000</f>
        <v/>
      </c>
    </row>
    <row r="476">
      <c r="O476">
        <f>SUM(K476:M476)</f>
        <v/>
      </c>
      <c r="P476">
        <f>N476/100000</f>
        <v/>
      </c>
    </row>
    <row r="477">
      <c r="O477">
        <f>SUM(K477:M477)</f>
        <v/>
      </c>
      <c r="P477">
        <f>N477/100000</f>
        <v/>
      </c>
    </row>
    <row r="478">
      <c r="O478">
        <f>SUM(K478:M478)</f>
        <v/>
      </c>
      <c r="P478">
        <f>N478/100000</f>
        <v/>
      </c>
    </row>
    <row r="479">
      <c r="O479">
        <f>SUM(K479:M479)</f>
        <v/>
      </c>
      <c r="P479">
        <f>N479/100000</f>
        <v/>
      </c>
    </row>
    <row r="480">
      <c r="O480">
        <f>SUM(K480:M480)</f>
        <v/>
      </c>
      <c r="P480">
        <f>N480/100000</f>
        <v/>
      </c>
    </row>
    <row r="481">
      <c r="O481">
        <f>SUM(K481:M481)</f>
        <v/>
      </c>
      <c r="P481">
        <f>N481/100000</f>
        <v/>
      </c>
    </row>
    <row r="482">
      <c r="O482">
        <f>SUM(K482:M482)</f>
        <v/>
      </c>
      <c r="P482">
        <f>N482/100000</f>
        <v/>
      </c>
    </row>
    <row r="483">
      <c r="O483">
        <f>SUM(K483:M483)</f>
        <v/>
      </c>
      <c r="P483">
        <f>N483/100000</f>
        <v/>
      </c>
    </row>
    <row r="484">
      <c r="O484">
        <f>SUM(K484:M484)</f>
        <v/>
      </c>
      <c r="P484">
        <f>N484/100000</f>
        <v/>
      </c>
    </row>
    <row r="485">
      <c r="O485">
        <f>SUM(K485:M485)</f>
        <v/>
      </c>
      <c r="P485">
        <f>N485/100000</f>
        <v/>
      </c>
    </row>
    <row r="486">
      <c r="O486">
        <f>SUM(K486:M486)</f>
        <v/>
      </c>
      <c r="P486">
        <f>N486/100000</f>
        <v/>
      </c>
    </row>
    <row r="487">
      <c r="O487">
        <f>SUM(K487:M487)</f>
        <v/>
      </c>
      <c r="P487">
        <f>N487/100000</f>
        <v/>
      </c>
    </row>
    <row r="488">
      <c r="O488">
        <f>SUM(K488:M488)</f>
        <v/>
      </c>
      <c r="P488">
        <f>N488/100000</f>
        <v/>
      </c>
    </row>
    <row r="489">
      <c r="O489">
        <f>SUM(K489:M489)</f>
        <v/>
      </c>
      <c r="P489">
        <f>N489/100000</f>
        <v/>
      </c>
    </row>
    <row r="490">
      <c r="O490">
        <f>SUM(K490:M490)</f>
        <v/>
      </c>
      <c r="P490">
        <f>N490/100000</f>
        <v/>
      </c>
    </row>
    <row r="491">
      <c r="O491">
        <f>SUM(K491:M491)</f>
        <v/>
      </c>
      <c r="P491">
        <f>N491/100000</f>
        <v/>
      </c>
    </row>
    <row r="492">
      <c r="O492">
        <f>SUM(K492:M492)</f>
        <v/>
      </c>
      <c r="P492">
        <f>N492/100000</f>
        <v/>
      </c>
    </row>
    <row r="493">
      <c r="O493">
        <f>SUM(K493:M493)</f>
        <v/>
      </c>
      <c r="P493">
        <f>N493/100000</f>
        <v/>
      </c>
    </row>
    <row r="494">
      <c r="O494">
        <f>SUM(K494:M494)</f>
        <v/>
      </c>
      <c r="P494">
        <f>N494/100000</f>
        <v/>
      </c>
    </row>
    <row r="495">
      <c r="O495">
        <f>SUM(K495:M495)</f>
        <v/>
      </c>
      <c r="P495">
        <f>N495/100000</f>
        <v/>
      </c>
    </row>
    <row r="496">
      <c r="O496">
        <f>SUM(K496:M496)</f>
        <v/>
      </c>
      <c r="P496">
        <f>N496/100000</f>
        <v/>
      </c>
    </row>
    <row r="497">
      <c r="O497">
        <f>SUM(K497:M497)</f>
        <v/>
      </c>
      <c r="P497">
        <f>N497/100000</f>
        <v/>
      </c>
    </row>
    <row r="498">
      <c r="O498">
        <f>SUM(K498:M498)</f>
        <v/>
      </c>
      <c r="P498">
        <f>N498/100000</f>
        <v/>
      </c>
    </row>
    <row r="499">
      <c r="O499">
        <f>SUM(K499:M499)</f>
        <v/>
      </c>
      <c r="P499">
        <f>N499/100000</f>
        <v/>
      </c>
    </row>
    <row r="500">
      <c r="O500">
        <f>SUM(K500:M500)</f>
        <v/>
      </c>
      <c r="P500">
        <f>N500/100000</f>
        <v/>
      </c>
    </row>
  </sheetData>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showErrorMessage="1" showDropDown="1" showInputMessage="1" allowBlank="1" type="list">
      <formula1>"Industry,CSR,Govt.,PSU,NGO"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s>
  <sheetData>
    <row r="1">
      <c r="A1" s="2" t="inlineStr">
        <is>
          <t>PI Name</t>
        </is>
      </c>
      <c r="B1" s="2" t="inlineStr">
        <is>
          <t>CAYm1 Consultancy Revenue (₹)</t>
        </is>
      </c>
      <c r="C1" s="2" t="inlineStr">
        <is>
          <t>CAYm2 Consultancy Revenue (₹)</t>
        </is>
      </c>
      <c r="D1" s="2" t="inlineStr">
        <is>
          <t>CAYm3 Consultancy Revenue (₹)</t>
        </is>
      </c>
      <c r="E1" s="2" t="inlineStr">
        <is>
          <t>Total Consultancy Revenue (₹)</t>
        </is>
      </c>
      <c r="F1" s="2" t="inlineStr">
        <is>
          <t>Total Consultancy Revenue (₹ Lakhs)</t>
        </is>
      </c>
    </row>
    <row r="2">
      <c r="A2" t="inlineStr">
        <is>
          <t>Prof. A</t>
        </is>
      </c>
      <c r="B2" t="n">
        <v>0</v>
      </c>
      <c r="C2" t="n">
        <v>200000</v>
      </c>
      <c r="D2" t="n">
        <v>0</v>
      </c>
      <c r="E2" t="n">
        <v>200000</v>
      </c>
      <c r="F2" t="n">
        <v>2</v>
      </c>
    </row>
    <row r="3">
      <c r="A3" t="inlineStr">
        <is>
          <t>Dr. C</t>
        </is>
      </c>
      <c r="B3" t="n">
        <v>0</v>
      </c>
      <c r="C3" t="n">
        <v>250000</v>
      </c>
      <c r="D3" t="n">
        <v>100000</v>
      </c>
      <c r="E3" t="n">
        <v>350000</v>
      </c>
      <c r="F3" t="n">
        <v>3.5</v>
      </c>
    </row>
    <row r="4">
      <c r="A4" t="inlineStr">
        <is>
          <t>Prof. D</t>
        </is>
      </c>
      <c r="B4" t="n">
        <v>0</v>
      </c>
      <c r="C4" t="n">
        <v>400000</v>
      </c>
      <c r="D4" t="n">
        <v>200000</v>
      </c>
      <c r="E4" t="n">
        <v>600000</v>
      </c>
      <c r="F4" t="n">
        <v>6</v>
      </c>
    </row>
    <row r="5">
      <c r="A5" t="inlineStr">
        <is>
          <t>Total Consultancy Revenue (₹)</t>
        </is>
      </c>
      <c r="B5" t="n">
        <v>0</v>
      </c>
      <c r="C5" t="n">
        <v>0</v>
      </c>
      <c r="D5" t="n">
        <v>0</v>
      </c>
      <c r="E5" t="n">
        <v>0</v>
      </c>
      <c r="F5" t="n">
        <v>0</v>
      </c>
    </row>
    <row r="6">
      <c r="A6">
        <f>SUM(K2:K500)</f>
        <v/>
      </c>
      <c r="B6" t="n">
        <v>0</v>
      </c>
      <c r="C6" t="n">
        <v>0</v>
      </c>
      <c r="D6" t="n">
        <v>0</v>
      </c>
      <c r="E6" t="n">
        <v>0</v>
      </c>
      <c r="F6" t="n">
        <v>0</v>
      </c>
    </row>
    <row r="7">
      <c r="A7">
        <f>SUM(L2:L500)</f>
        <v/>
      </c>
      <c r="B7" t="n">
        <v>0</v>
      </c>
      <c r="C7" t="n">
        <v>0</v>
      </c>
      <c r="D7" t="n">
        <v>0</v>
      </c>
      <c r="E7" t="n">
        <v>0</v>
      </c>
      <c r="F7" t="n">
        <v>0</v>
      </c>
    </row>
    <row r="8">
      <c r="A8">
        <f>SUM(M2:M500)</f>
        <v/>
      </c>
      <c r="B8" t="n">
        <v>0</v>
      </c>
      <c r="C8" t="n">
        <v>0</v>
      </c>
      <c r="D8" t="n">
        <v>0</v>
      </c>
      <c r="E8" t="n">
        <v>0</v>
      </c>
      <c r="F8" t="n">
        <v>0</v>
      </c>
    </row>
    <row r="9">
      <c r="A9">
        <f>SUM(B7:B9)</f>
        <v/>
      </c>
      <c r="B9" t="n">
        <v>0</v>
      </c>
      <c r="C9" t="n">
        <v>0</v>
      </c>
      <c r="D9" t="n">
        <v>0</v>
      </c>
      <c r="E9" t="n">
        <v>0</v>
      </c>
      <c r="F9"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32" customWidth="1" min="1" max="1"/>
    <col width="32" customWidth="1" min="2" max="2"/>
    <col width="32" customWidth="1" min="3" max="3"/>
    <col width="32" customWidth="1" min="4" max="4"/>
    <col width="32" customWidth="1" min="5" max="5"/>
    <col width="32" customWidth="1" min="6" max="6"/>
    <col width="32" customWidth="1" min="7" max="7"/>
    <col width="32" customWidth="1" min="8" max="8"/>
  </cols>
  <sheetData>
    <row r="1">
      <c r="A1" s="2" t="inlineStr">
        <is>
          <t>S. No.</t>
        </is>
      </c>
      <c r="B1" s="2" t="inlineStr">
        <is>
          <t>Project Title</t>
        </is>
      </c>
      <c r="C1" s="2" t="inlineStr">
        <is>
          <t>Department</t>
        </is>
      </c>
      <c r="D1" s="2" t="inlineStr">
        <is>
          <t>PI Name</t>
        </is>
      </c>
      <c r="E1" s="2" t="inlineStr">
        <is>
          <t>Client/Funding Agency</t>
        </is>
      </c>
      <c r="F1" s="2" t="inlineStr">
        <is>
          <t>Sanctioned Year</t>
        </is>
      </c>
      <c r="G1" s="2" t="inlineStr">
        <is>
          <t>Tags / Keywords (Testing, Audit, Training, Prototype, Software, etc.)</t>
        </is>
      </c>
      <c r="H1" s="2" t="inlineStr">
        <is>
          <t>Remarks</t>
        </is>
      </c>
    </row>
    <row r="2">
      <c r="A2" t="n">
        <v>1</v>
      </c>
      <c r="B2" t="inlineStr">
        <is>
          <t>Structural Audit of XYZ Commercial Complex</t>
        </is>
      </c>
      <c r="C2" t="inlineStr">
        <is>
          <t>Civil Engg</t>
        </is>
      </c>
      <c r="D2" t="inlineStr">
        <is>
          <t>Prof. A</t>
        </is>
      </c>
      <c r="E2" t="inlineStr">
        <is>
          <t>XYZ Constructions Pvt. Ltd.</t>
        </is>
      </c>
      <c r="F2" t="n">
        <v>2023</v>
      </c>
      <c r="G2" t="inlineStr">
        <is>
          <t>Structural Audit, Safety, Civil</t>
        </is>
      </c>
      <c r="H2" t="inlineStr">
        <is>
          <t>Completed</t>
        </is>
      </c>
    </row>
    <row r="3">
      <c r="A3" t="n">
        <v>2</v>
      </c>
      <c r="B3" t="inlineStr">
        <is>
          <t>Material Testing and Failure Analysis for Automotive Components</t>
        </is>
      </c>
      <c r="C3" t="inlineStr">
        <is>
          <t>Mechanical Engg</t>
        </is>
      </c>
      <c r="D3" t="inlineStr">
        <is>
          <t>Dr. C</t>
        </is>
      </c>
      <c r="E3" t="inlineStr">
        <is>
          <t>ABC Industries</t>
        </is>
      </c>
      <c r="F3" t="n">
        <v>2022</v>
      </c>
      <c r="G3" t="inlineStr">
        <is>
          <t>Testing, Materials, Automotive</t>
        </is>
      </c>
      <c r="H3" t="inlineStr">
        <is>
          <t>Ongoing</t>
        </is>
      </c>
    </row>
    <row r="4">
      <c r="A4" t="n">
        <v>3</v>
      </c>
      <c r="B4" t="inlineStr">
        <is>
          <t>Cybersecurity Penetration Testing for PQR Ltd.</t>
        </is>
      </c>
      <c r="C4" t="inlineStr">
        <is>
          <t>CSE</t>
        </is>
      </c>
      <c r="D4" t="inlineStr">
        <is>
          <t>Prof. D</t>
        </is>
      </c>
      <c r="E4" t="inlineStr">
        <is>
          <t>PQR Ltd.</t>
        </is>
      </c>
      <c r="F4" t="n">
        <v>2021</v>
      </c>
      <c r="G4" t="inlineStr">
        <is>
          <t>Cybersecurity, Software Audit, IT</t>
        </is>
      </c>
      <c r="H4" t="inlineStr">
        <is>
          <t>Completed</t>
        </is>
      </c>
    </row>
    <row r="5">
      <c r="A5" t="n">
        <v>4</v>
      </c>
      <c r="B5" t="inlineStr">
        <is>
          <t>Energy Audit and Efficiency Recommendations for DEF Manufacturing Unit</t>
        </is>
      </c>
      <c r="C5" t="inlineStr">
        <is>
          <t>Mechanical Engg</t>
        </is>
      </c>
      <c r="D5" t="inlineStr">
        <is>
          <t>Dr. E</t>
        </is>
      </c>
      <c r="E5" t="inlineStr">
        <is>
          <t>DEF Manufacturing Ltd.</t>
        </is>
      </c>
      <c r="F5" t="n">
        <v>2023</v>
      </c>
      <c r="G5" t="inlineStr">
        <is>
          <t>Energy Audit, Efficiency, Mechanical</t>
        </is>
      </c>
      <c r="H5" t="inlineStr">
        <is>
          <t>Report Submitted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2025-08-30T01:52:06Z</dcterms:created>
  <dcterms:modified xmlns:dcterms="http://purl.org/dc/terms/" xmlns:xsi="http://www.w3.org/2001/XMLSchema-instance" xsi:type="dcterms:W3CDTF">2025-08-30T01:52:06Z</dcterms:modified>
</cp:coreProperties>
</file>