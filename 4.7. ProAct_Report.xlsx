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8400" tabRatio="500" firstSheet="1" activeTab="4"/>
  </bookViews>
  <sheets>
    <sheet name="Societies_Events" sheetId="1" r:id="rId1"/>
    <sheet name="Student_Participation" sheetId="2" r:id="rId2"/>
    <sheet name="Dept_Publications" sheetId="3" r:id="rId3"/>
    <sheet name="Student_Publications" sheetId="4" r:id="rId4"/>
    <sheet name="Overall_Scorecard_25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<sst xmlns="http://schemas.openxmlformats.org/spreadsheetml/2006/main" count="1281" uniqueCount="681">
  <si>
    <t>PROFESSIONAL SOCIETIES, CHAPTERS, CLUBS &amp; EVENTS ORGANISED — 5 MARKS
B.Tech CSE Department | NBA SAR</t>
  </si>
  <si>
    <t>Includes all active student chapters, technical clubs, and professional events organised by the department over the past 3 years</t>
  </si>
  <si>
    <t>A. ACTIVE PROFESSIONAL CHAPTERS / CLUBS</t>
  </si>
  <si>
    <t>S.No</t>
  </si>
  <si>
    <t>Chapter / Club Name</t>
  </si>
  <si>
    <t>Parent
Body</t>
  </si>
  <si>
    <t>Year
Established</t>
  </si>
  <si>
    <t>Faculty
Advisor</t>
  </si>
  <si>
    <t>Student
Coordinator</t>
  </si>
  <si>
    <t>Members
(Current)</t>
  </si>
  <si>
    <t>Activities
(CAYm1)</t>
  </si>
  <si>
    <t>Affiliated
Body</t>
  </si>
  <si>
    <t>Remarks</t>
  </si>
  <si>
    <t>CSI Student Chapter</t>
  </si>
  <si>
    <t>Computer Society of India</t>
  </si>
  <si>
    <t>2018</t>
  </si>
  <si>
    <t>Dr. N. Kumar</t>
  </si>
  <si>
    <t>Arun Menon, S7 CSE</t>
  </si>
  <si>
    <t>68</t>
  </si>
  <si>
    <t>5 events, 2 seminars, 1 paper contest</t>
  </si>
  <si>
    <t>National CSI</t>
  </si>
  <si>
    <t>Active; annual membership renewal done</t>
  </si>
  <si>
    <t>IEEE Student Branch</t>
  </si>
  <si>
    <t>IEEE</t>
  </si>
  <si>
    <t>2019</t>
  </si>
  <si>
    <t>Prof. M. Rao</t>
  </si>
  <si>
    <t>Priya Nair, S7 CSE</t>
  </si>
  <si>
    <t>54</t>
  </si>
  <si>
    <t>3 workshops, TechFest, IEEE Day</t>
  </si>
  <si>
    <t>IEEE Region 10</t>
  </si>
  <si>
    <t>Affiliated to IEEE Kerala Section</t>
  </si>
  <si>
    <t>ACM Student Chapter</t>
  </si>
  <si>
    <t>ACM</t>
  </si>
  <si>
    <t>2020</t>
  </si>
  <si>
    <t>Dr. S. Iyer</t>
  </si>
  <si>
    <t>Rohit Pillai, S5 CSE</t>
  </si>
  <si>
    <t>47</t>
  </si>
  <si>
    <t>Coding contests, ACM ICPC mock, 2 webinars</t>
  </si>
  <si>
    <t>ACM India</t>
  </si>
  <si>
    <t>ICPC regional qualifier — 2 teams</t>
  </si>
  <si>
    <t>Google Developer Student Club (GDSC)</t>
  </si>
  <si>
    <t>Google</t>
  </si>
  <si>
    <t>2021</t>
  </si>
  <si>
    <t>Mr. P. Nair</t>
  </si>
  <si>
    <t>Anjali Kumar, S5 CSE</t>
  </si>
  <si>
    <t>82</t>
  </si>
  <si>
    <t>6 bootcamps, 2 hackathons, ML study group</t>
  </si>
  <si>
    <t>Highest membership; active on campus</t>
  </si>
  <si>
    <t>Mozilla Campus Club</t>
  </si>
  <si>
    <t>Mozilla Foundation</t>
  </si>
  <si>
    <t>2022</t>
  </si>
  <si>
    <t>Prof. K. Devi</t>
  </si>
  <si>
    <t>Sreekanth V, S5 CSE</t>
  </si>
  <si>
    <t>35</t>
  </si>
  <si>
    <t>Open-source sprint, Firefox Hackathon</t>
  </si>
  <si>
    <t>Mozilla</t>
  </si>
  <si>
    <t>2 contributions to Mozilla repos</t>
  </si>
  <si>
    <t>Cybersecurity Club (CyberCell)</t>
  </si>
  <si>
    <t>Internal (ISTE)</t>
  </si>
  <si>
    <t>Dr. N. Sharma</t>
  </si>
  <si>
    <t>Devika R, S7 CSE</t>
  </si>
  <si>
    <t>42</t>
  </si>
  <si>
    <t>CTF events, ethical hacking sessions</t>
  </si>
  <si>
    <t>ISTE</t>
  </si>
  <si>
    <t>2 inter-college CTF victories</t>
  </si>
  <si>
    <t>Entrepreneurship Cell (E-Cell)</t>
  </si>
  <si>
    <t>KSUM / Internal</t>
  </si>
  <si>
    <t>Dr. R. Kumar</t>
  </si>
  <si>
    <t>Vivek Raj, S7 CSE</t>
  </si>
  <si>
    <t>60</t>
  </si>
  <si>
    <t>Startup pitch sessions, IdeaFest</t>
  </si>
  <si>
    <t>KSUM</t>
  </si>
  <si>
    <t>3 DIPP-registered startups originated</t>
  </si>
  <si>
    <t>B. PROFESSIONAL EVENTS ORGANISED BY DEPARTMENT</t>
  </si>
  <si>
    <t>Event Name</t>
  </si>
  <si>
    <t>Category</t>
  </si>
  <si>
    <t>Date</t>
  </si>
  <si>
    <t>Organiser
(Faculty)</t>
  </si>
  <si>
    <t>Participants</t>
  </si>
  <si>
    <t>Level</t>
  </si>
  <si>
    <t>Edition</t>
  </si>
  <si>
    <t>Outcome/Award</t>
  </si>
  <si>
    <t>CODESPRINT 2023</t>
  </si>
  <si>
    <t>Coding Contest</t>
  </si>
  <si>
    <t>Jan 2023</t>
  </si>
  <si>
    <t>Mr. P. Iyer</t>
  </si>
  <si>
    <t>Arun Menon</t>
  </si>
  <si>
    <t>180</t>
  </si>
  <si>
    <t>Inter-collegiate</t>
  </si>
  <si>
    <t>1st Ed.</t>
  </si>
  <si>
    <t>150 external participants; 3 prizes awarded</t>
  </si>
  <si>
    <t>AI Workshop — Intro to ML</t>
  </si>
  <si>
    <t>Workshop</t>
  </si>
  <si>
    <t>Mar 2023</t>
  </si>
  <si>
    <t>Priya Nair</t>
  </si>
  <si>
    <t>90</t>
  </si>
  <si>
    <t>Intra-college</t>
  </si>
  <si>
    <t>—</t>
  </si>
  <si>
    <t>Collaboration with GDSC; 90 attendees</t>
  </si>
  <si>
    <t>TECH SYMPOSIUM 2023</t>
  </si>
  <si>
    <t>National Symposium</t>
  </si>
  <si>
    <t>Apr 2023</t>
  </si>
  <si>
    <t>Rohit Pillai</t>
  </si>
  <si>
    <t>320</t>
  </si>
  <si>
    <t>National</t>
  </si>
  <si>
    <t>5th Ed.</t>
  </si>
  <si>
    <t>18 colleges; best paper award instituted</t>
  </si>
  <si>
    <t>HACKATHON 4.0</t>
  </si>
  <si>
    <t>Hackathon</t>
  </si>
  <si>
    <t>Sep 2023</t>
  </si>
  <si>
    <t>Anjali Kumar</t>
  </si>
  <si>
    <t>240</t>
  </si>
  <si>
    <t>4th Ed.</t>
  </si>
  <si>
    <t>60 teams; 3 ideas incubated</t>
  </si>
  <si>
    <t>CYBERSEC CTF 2024</t>
  </si>
  <si>
    <t>CTF Competition</t>
  </si>
  <si>
    <t>Jan 2024</t>
  </si>
  <si>
    <t>Devika R</t>
  </si>
  <si>
    <t>130</t>
  </si>
  <si>
    <t>2nd Ed.</t>
  </si>
  <si>
    <t>26 teams; winner from IIT BHU</t>
  </si>
  <si>
    <t>OPEN SOURCE DAY</t>
  </si>
  <si>
    <t>Open-source Sprint</t>
  </si>
  <si>
    <t>Mar 2024</t>
  </si>
  <si>
    <t>Sreekanth V</t>
  </si>
  <si>
    <t>75</t>
  </si>
  <si>
    <t>12 PRs merged to public repos</t>
  </si>
  <si>
    <t>TECH SYMPOSIUM 2024</t>
  </si>
  <si>
    <t>Apr 2024</t>
  </si>
  <si>
    <t>Vivek Raj</t>
  </si>
  <si>
    <t>380</t>
  </si>
  <si>
    <t>6th Ed.</t>
  </si>
  <si>
    <t>22 colleges; best innovation award</t>
  </si>
  <si>
    <t>CODESPRINT 2025</t>
  </si>
  <si>
    <t>Oct 2024</t>
  </si>
  <si>
    <t>210</t>
  </si>
  <si>
    <t>3rd Ed.</t>
  </si>
  <si>
    <t>200 external; leetcode-style problems</t>
  </si>
  <si>
    <t>IDEATHON 2025</t>
  </si>
  <si>
    <t>Ideathon</t>
  </si>
  <si>
    <t>Nov 2024</t>
  </si>
  <si>
    <t>160</t>
  </si>
  <si>
    <t>40 ideas; 5 shortlisted for KSUM</t>
  </si>
  <si>
    <t>HACKATHON 5.0</t>
  </si>
  <si>
    <t>Jan 2025</t>
  </si>
  <si>
    <t>280</t>
  </si>
  <si>
    <t>70 teams; 2 startups registered post-event</t>
  </si>
  <si>
    <t>ML BOOTCAMP 2025</t>
  </si>
  <si>
    <t>Technical Bootcamp</t>
  </si>
  <si>
    <t>Feb 2025</t>
  </si>
  <si>
    <t>95</t>
  </si>
  <si>
    <t>Industry expert sessions; 95 attendees</t>
  </si>
  <si>
    <t>TECH SYMPOSIUM 2025</t>
  </si>
  <si>
    <t>Apr 2025</t>
  </si>
  <si>
    <t>420</t>
  </si>
  <si>
    <t>7th Ed.</t>
  </si>
  <si>
    <t>25 colleges; best paper ₹5000 prize</t>
  </si>
  <si>
    <t>SUMMARY — Professional Societies &amp; Events</t>
  </si>
  <si>
    <t>Parameter</t>
  </si>
  <si>
    <t>CAY-3
(2022-23)</t>
  </si>
  <si>
    <t>CAY-2
(2023-24)</t>
  </si>
  <si>
    <t>CAY-1
(2024-25)</t>
  </si>
  <si>
    <t>Total</t>
  </si>
  <si>
    <t>Active Chapters / Clubs</t>
  </si>
  <si>
    <t>7 active chapters in CAYm1</t>
  </si>
  <si>
    <t>Events Organised</t>
  </si>
  <si>
    <t>3→4→5 increasing trend</t>
  </si>
  <si>
    <t>Total Participants (events)</t>
  </si>
  <si>
    <t>Significant annual growth</t>
  </si>
  <si>
    <t>Inter-collegiate / National Events</t>
  </si>
  <si>
    <t>High external visibility</t>
  </si>
  <si>
    <t>Student Coordinators (unique)</t>
  </si>
  <si>
    <t>Cross-year leadership</t>
  </si>
  <si>
    <t>Marks Claimed (out of 5)</t>
  </si>
  <si>
    <t>Full marks — ≥4 societies + ≥4 events</t>
  </si>
  <si>
    <t>SCORECARD — Professional Societies &amp; Events</t>
  </si>
  <si>
    <t>Sub-Criterion</t>
  </si>
  <si>
    <t>Max Marks</t>
  </si>
  <si>
    <t>CAY-3</t>
  </si>
  <si>
    <t>CAY-2</t>
  </si>
  <si>
    <t>CAY-1</t>
  </si>
  <si>
    <t>Marks Awarded</t>
  </si>
  <si>
    <t>Professional Societies, Chapters, Clubs &amp; Events Organised</t>
  </si>
  <si>
    <t>STUDENT PARTICIPATION IN PROFESSIONAL EVENTS AT OTHER INSTITUTES — 10 MARKS</t>
  </si>
  <si>
    <t>Hackathons, Codeathons, Ideathons, Paper Presentations, Tech Fests etc. attended by students at external venues | CAYm3–CAYm1</t>
  </si>
  <si>
    <t>Student Name</t>
  </si>
  <si>
    <t>Semester
(at time)</t>
  </si>
  <si>
    <t>Host
Institution</t>
  </si>
  <si>
    <t>Position
/ Award</t>
  </si>
  <si>
    <t>Team
Size</t>
  </si>
  <si>
    <t>S5 CSE</t>
  </si>
  <si>
    <t>ICPC Amritapuri 2022</t>
  </si>
  <si>
    <t>Amrita University</t>
  </si>
  <si>
    <t>Nov 2022</t>
  </si>
  <si>
    <t>Rank 42</t>
  </si>
  <si>
    <t>3</t>
  </si>
  <si>
    <t>ICPC Regional; Best CSE team from institute</t>
  </si>
  <si>
    <t>Smart India Hackathon 2022</t>
  </si>
  <si>
    <t>Online/NIT Calicut</t>
  </si>
  <si>
    <t>Aug 2022</t>
  </si>
  <si>
    <t>Finalist (Top 10%)</t>
  </si>
  <si>
    <t>6</t>
  </si>
  <si>
    <t>SIH Grand Finale qualifier</t>
  </si>
  <si>
    <t>IEEE Xtreme 16.0</t>
  </si>
  <si>
    <t>IEEE Online</t>
  </si>
  <si>
    <t>Oct 2022</t>
  </si>
  <si>
    <t>Global Rank 312</t>
  </si>
  <si>
    <t>Top 1% globally</t>
  </si>
  <si>
    <t>S3 CSE</t>
  </si>
  <si>
    <t>Hack4SDG — IIT Madras</t>
  </si>
  <si>
    <t>IIT Madras</t>
  </si>
  <si>
    <t>Dec 2022</t>
  </si>
  <si>
    <t>2nd Prize</t>
  </si>
  <si>
    <t>4</t>
  </si>
  <si>
    <t>SDG-focused hackathon; ₹50,000 prize</t>
  </si>
  <si>
    <t>StartUp Conclave — CET</t>
  </si>
  <si>
    <t>CET Trivandrum</t>
  </si>
  <si>
    <t>Feb 2023</t>
  </si>
  <si>
    <t>Best Idea Award</t>
  </si>
  <si>
    <t>2</t>
  </si>
  <si>
    <t>FloodShield concept presented</t>
  </si>
  <si>
    <t>HackCBS 5.0 — Delhi</t>
  </si>
  <si>
    <t>CBShacks Online</t>
  </si>
  <si>
    <t>Finalist</t>
  </si>
  <si>
    <t>1500-team competition; top 50</t>
  </si>
  <si>
    <t>GDG DevFest Kerala 2022</t>
  </si>
  <si>
    <t>Google Developer Group</t>
  </si>
  <si>
    <t>Tech Event</t>
  </si>
  <si>
    <t>Speaker — Open Source</t>
  </si>
  <si>
    <t>1</t>
  </si>
  <si>
    <t>Delivered talk on Mozilla contributions</t>
  </si>
  <si>
    <t>Meera Suresh</t>
  </si>
  <si>
    <t>Paper Presentation — ICCS 2023</t>
  </si>
  <si>
    <t>NIT Kozhikode</t>
  </si>
  <si>
    <t>Paper Presentation</t>
  </si>
  <si>
    <t>Best Paper</t>
  </si>
  <si>
    <t>Published in IEEE Xplore proceedings</t>
  </si>
  <si>
    <t>Arjun Das</t>
  </si>
  <si>
    <t>CyberSec CTF — NIT Calicut</t>
  </si>
  <si>
    <t>NIT Calicut</t>
  </si>
  <si>
    <t>3rd Place</t>
  </si>
  <si>
    <t>Forensics + Web challenge winners</t>
  </si>
  <si>
    <t>Sreelakshmi P</t>
  </si>
  <si>
    <t>Codeforces Round #856</t>
  </si>
  <si>
    <t>Online / Codeforces</t>
  </si>
  <si>
    <t>Competitive Prog.</t>
  </si>
  <si>
    <t>Expert Rating Achieved</t>
  </si>
  <si>
    <t>Rated Expert on Codeforces</t>
  </si>
  <si>
    <t>Kiran George</t>
  </si>
  <si>
    <t>IdeaFest — TKM College</t>
  </si>
  <si>
    <t>TKM Kollam</t>
  </si>
  <si>
    <t>1st Prize</t>
  </si>
  <si>
    <t>Smart agriculture IoT concept; ₹10,000</t>
  </si>
  <si>
    <t>Nisha Thomas</t>
  </si>
  <si>
    <t>HackOverflow — CUSAT</t>
  </si>
  <si>
    <t>CUSAT Kochi</t>
  </si>
  <si>
    <t>AI-based traffic management</t>
  </si>
  <si>
    <t>Abhijith R</t>
  </si>
  <si>
    <t>GATE 2023 Mock Circuit</t>
  </si>
  <si>
    <t>IIT Online</t>
  </si>
  <si>
    <t>Technical Exam</t>
  </si>
  <si>
    <t>Score 68.5 / 100</t>
  </si>
  <si>
    <t>Excellent performance — GATE preparation</t>
  </si>
  <si>
    <t>Parvathy S</t>
  </si>
  <si>
    <t>IEEE WIE Symposium</t>
  </si>
  <si>
    <t>IEEE Kerala Section</t>
  </si>
  <si>
    <t>Symposium</t>
  </si>
  <si>
    <t>Best Poster</t>
  </si>
  <si>
    <t>Women in Engineering; networking event</t>
  </si>
  <si>
    <t>Rahul Mohan</t>
  </si>
  <si>
    <t>HackNight — MEC</t>
  </si>
  <si>
    <t>MEC Kochi</t>
  </si>
  <si>
    <t>EdTech product for rural learners</t>
  </si>
  <si>
    <t>S7 CSE</t>
  </si>
  <si>
    <t>ICPC Amritapuri 2023</t>
  </si>
  <si>
    <t>Nov 2023</t>
  </si>
  <si>
    <t>Rank 28</t>
  </si>
  <si>
    <t>Top team from Kerala; consecutive year</t>
  </si>
  <si>
    <t>Smart India Hackathon 2023</t>
  </si>
  <si>
    <t>NIT Surathkal</t>
  </si>
  <si>
    <t>Dec 2023</t>
  </si>
  <si>
    <t>Winner — Problem PS1487</t>
  </si>
  <si>
    <t>₹1,00,000 prize; team mentored by Dr. S. Iyer</t>
  </si>
  <si>
    <t>Hack the Mountains 4.0</t>
  </si>
  <si>
    <t>Online/IIT Roorkee</t>
  </si>
  <si>
    <t>Top 20</t>
  </si>
  <si>
    <t>Environmental tech challenge</t>
  </si>
  <si>
    <t>Google Solution Challenge 2024</t>
  </si>
  <si>
    <t>Google (Online)</t>
  </si>
  <si>
    <t>Ideathon/Challenge</t>
  </si>
  <si>
    <t>Global Finalist</t>
  </si>
  <si>
    <t>One of 100 global finalists</t>
  </si>
  <si>
    <t>Mozilla Festival 2024</t>
  </si>
  <si>
    <t>Mozilla (Global/Online)</t>
  </si>
  <si>
    <t>Open-source Event</t>
  </si>
  <si>
    <t>Speaker</t>
  </si>
  <si>
    <t>Presented web accessibility project</t>
  </si>
  <si>
    <t>KTU Tech Fest — CUSAT</t>
  </si>
  <si>
    <t>Oct 2023</t>
  </si>
  <si>
    <t>Tech Fest</t>
  </si>
  <si>
    <t>1st in Debugging</t>
  </si>
  <si>
    <t>Inter-university debugging contest</t>
  </si>
  <si>
    <t>Kerala Startup Conclave</t>
  </si>
  <si>
    <t>KSUM Kochi</t>
  </si>
  <si>
    <t>Startup Event</t>
  </si>
  <si>
    <t>Best Pitch — AI Track</t>
  </si>
  <si>
    <t>GreenVolt startup pitched</t>
  </si>
  <si>
    <t>NCICCT 2024 — MNIT Jaipur</t>
  </si>
  <si>
    <t>MNIT Jaipur</t>
  </si>
  <si>
    <t>Best Paper Award</t>
  </si>
  <si>
    <t>Scopus-indexed; IoT security paper</t>
  </si>
  <si>
    <t>HackSRM 2024</t>
  </si>
  <si>
    <t>SRM University</t>
  </si>
  <si>
    <t>Feb 2024</t>
  </si>
  <si>
    <t>HealthTech solution; ₹30,000 prize</t>
  </si>
  <si>
    <t>CSAW CTF Finals 2023</t>
  </si>
  <si>
    <t>NYU Tandon (Online)</t>
  </si>
  <si>
    <t>Top 50 (Asia)</t>
  </si>
  <si>
    <t>Premier international CTF</t>
  </si>
  <si>
    <t>HackJNU 2024</t>
  </si>
  <si>
    <t>JNU New Delhi</t>
  </si>
  <si>
    <t>3rd Prize</t>
  </si>
  <si>
    <t>AgriTech solutions track</t>
  </si>
  <si>
    <t>Codeforces Round #900</t>
  </si>
  <si>
    <t>Codeforces Online</t>
  </si>
  <si>
    <t>Candidate Master</t>
  </si>
  <si>
    <t>Top 2% global Codeforces rating</t>
  </si>
  <si>
    <t>GirlScript Summit 2024</t>
  </si>
  <si>
    <t>GirlScript Online</t>
  </si>
  <si>
    <t>Mentorship Award</t>
  </si>
  <si>
    <t>Mentored 15 juniors; recognised</t>
  </si>
  <si>
    <t>NASSCOM Hackathon 2024</t>
  </si>
  <si>
    <t>NASSCOM Online</t>
  </si>
  <si>
    <t>5</t>
  </si>
  <si>
    <t>AI for public services track</t>
  </si>
  <si>
    <t>Hacksplosion — VIT Vellore</t>
  </si>
  <si>
    <t>VIT Vellore</t>
  </si>
  <si>
    <t>EdTech product; ₹20,000 prize</t>
  </si>
  <si>
    <t>Athira Raj</t>
  </si>
  <si>
    <t>Rank 61</t>
  </si>
  <si>
    <t>First-time ICPC qualifier</t>
  </si>
  <si>
    <t>Gautam S</t>
  </si>
  <si>
    <t>E-Summit IIT Bombay</t>
  </si>
  <si>
    <t>IIT Bombay</t>
  </si>
  <si>
    <t>Startup/Ideathon</t>
  </si>
  <si>
    <t>Top 15</t>
  </si>
  <si>
    <t>ProHand startup concept selected</t>
  </si>
  <si>
    <t>Likhitha M</t>
  </si>
  <si>
    <t>ACM India Compute 2024</t>
  </si>
  <si>
    <t>IIIT Hyderabad</t>
  </si>
  <si>
    <t>Technical Conference</t>
  </si>
  <si>
    <t>Student Research Poster</t>
  </si>
  <si>
    <t>Graph algorithms research presented</t>
  </si>
  <si>
    <t>S1 MTech</t>
  </si>
  <si>
    <t>Google Solution Challenge 2025</t>
  </si>
  <si>
    <t>Challenge</t>
  </si>
  <si>
    <t>Top 50 Global</t>
  </si>
  <si>
    <t>Consecutive finalist; flood mapping app</t>
  </si>
  <si>
    <t>ICPC Amritapuri 2024</t>
  </si>
  <si>
    <t>Rank 19</t>
  </si>
  <si>
    <t>Best rank from institute ever</t>
  </si>
  <si>
    <t>Smart India Hackathon 2024</t>
  </si>
  <si>
    <t>IIT Guwahati</t>
  </si>
  <si>
    <t>Dec 2024</t>
  </si>
  <si>
    <t>2nd Runner-Up</t>
  </si>
  <si>
    <t>Agriculture drone monitoring; ₹50K</t>
  </si>
  <si>
    <t>HackMIT 2024</t>
  </si>
  <si>
    <t>MIT (Online)</t>
  </si>
  <si>
    <t>International hackathon; climate tech</t>
  </si>
  <si>
    <t>Kerala Startup Mission Demo Day</t>
  </si>
  <si>
    <t>KSUM Trivandrum</t>
  </si>
  <si>
    <t>Startup Demo</t>
  </si>
  <si>
    <t>Seed Funding Offer</t>
  </si>
  <si>
    <t>ProHand received ₹2L seed from KSUM</t>
  </si>
  <si>
    <t>Codeforces Global Round 28</t>
  </si>
  <si>
    <t>Sep 2024</t>
  </si>
  <si>
    <t>International Master</t>
  </si>
  <si>
    <t>Achieved IM title — highest from institute</t>
  </si>
  <si>
    <t>ICPC World Finals 2025</t>
  </si>
  <si>
    <t>Cairo, Egypt</t>
  </si>
  <si>
    <t>Global Participation</t>
  </si>
  <si>
    <t>First WF team from institution</t>
  </si>
  <si>
    <t>CSAW CTF Finals 2024</t>
  </si>
  <si>
    <t>Top 20 (Asia)</t>
  </si>
  <si>
    <t>Improved ranking year-on-year</t>
  </si>
  <si>
    <t>HackSRM 2025</t>
  </si>
  <si>
    <t>HealthTech; ₹50,000 prize</t>
  </si>
  <si>
    <t>IIT Delhi E-Summit 2025</t>
  </si>
  <si>
    <t>IIT Delhi</t>
  </si>
  <si>
    <t>Best Product</t>
  </si>
  <si>
    <t>Smart Irrigation awarded best product</t>
  </si>
  <si>
    <t>Grace Hopper Celebration India</t>
  </si>
  <si>
    <t>ABI (Bangalore)</t>
  </si>
  <si>
    <t>Tech Conference</t>
  </si>
  <si>
    <t>Student Scholar</t>
  </si>
  <si>
    <t>GHC India scholarship awardee</t>
  </si>
  <si>
    <t>TechCrunch Battlefield India</t>
  </si>
  <si>
    <t>Mumbai</t>
  </si>
  <si>
    <t>Startup Pitch</t>
  </si>
  <si>
    <t>GreenVolt featured; investor meetings</t>
  </si>
  <si>
    <t>ACM ICPC World Finals 2025</t>
  </si>
  <si>
    <t>Same team as Sreelakshmi; historic first</t>
  </si>
  <si>
    <t>INDICON 2024 — IEEE</t>
  </si>
  <si>
    <t>IIT Kharagpur</t>
  </si>
  <si>
    <t>Best Paper — AI Track</t>
  </si>
  <si>
    <t>IEEE peer-reviewed; ML for healthcare</t>
  </si>
  <si>
    <t>National Hackathon on AI — MeitY</t>
  </si>
  <si>
    <t>Government-sponsored; top 30 teams</t>
  </si>
  <si>
    <t>GitHub Open Source Hackathon</t>
  </si>
  <si>
    <t>GitHub Online</t>
  </si>
  <si>
    <t>Top 50</t>
  </si>
  <si>
    <t>OSS contribution hackathon</t>
  </si>
  <si>
    <t>KTU Post-graduate Research Symposium</t>
  </si>
  <si>
    <t>Research Presentation</t>
  </si>
  <si>
    <t>Best Presentation</t>
  </si>
  <si>
    <t>PG research on NLP presented</t>
  </si>
  <si>
    <t>IEEE TENCON 2024</t>
  </si>
  <si>
    <t>Singapore</t>
  </si>
  <si>
    <t>IEEE Conference</t>
  </si>
  <si>
    <t>Student Paper Presented</t>
  </si>
  <si>
    <t>International IEEE paper presentation</t>
  </si>
  <si>
    <t>Athira Raj + Team</t>
  </si>
  <si>
    <t>Hack For India — IIT Madras</t>
  </si>
  <si>
    <t>Mar 2025</t>
  </si>
  <si>
    <t>Rural connectivity solution; ₹40K</t>
  </si>
  <si>
    <t>Women in Tech Hackathon — WiT</t>
  </si>
  <si>
    <t>Online / WiT</t>
  </si>
  <si>
    <t>AI in education; ₹25K prize</t>
  </si>
  <si>
    <t>PARTICIPATION SUMMARY — 3-YEAR TOTALS</t>
  </si>
  <si>
    <t>Metric</t>
  </si>
  <si>
    <t>Total / Max</t>
  </si>
  <si>
    <t>Events / Participations recorded</t>
  </si>
  <si>
    <t>Increasing year-on-year</t>
  </si>
  <si>
    <t>National-level (inter-college) events</t>
  </si>
  <si>
    <t>High external exposure</t>
  </si>
  <si>
    <t>International-level events</t>
  </si>
  <si>
    <t>ICPC, GHC, MozFest, IEEE TENCON</t>
  </si>
  <si>
    <t>Prizes / Awards Won</t>
  </si>
  <si>
    <t>Consistent recognition</t>
  </si>
  <si>
    <t>Unique students involved</t>
  </si>
  <si>
    <t>22 unique students across 3 yrs</t>
  </si>
  <si>
    <t>Hackathon participations</t>
  </si>
  <si>
    <t>Largest category</t>
  </si>
  <si>
    <t>Marks Claimed (out of 10)</t>
  </si>
  <si>
    <t>Full marks — &gt;15 events/year with awards</t>
  </si>
  <si>
    <t>SCORECARD — Student Participation in Professional Events</t>
  </si>
  <si>
    <t>Student Participation in Professional Events</t>
  </si>
  <si>
    <t>DEPARTMENTAL PUBLICATIONS — JOURNALS, MAGAZINES, NEWSLETTERS — 5 MARKS</t>
  </si>
  <si>
    <t>Details of all journals, magazines, and newsletters published by the B.Tech CSE Department | Editors, volume/issue numbers, student contributors</t>
  </si>
  <si>
    <t>Publication Name</t>
  </si>
  <si>
    <t>Type</t>
  </si>
  <si>
    <t>Volume</t>
  </si>
  <si>
    <t>Issue</t>
  </si>
  <si>
    <t>Publication
Date</t>
  </si>
  <si>
    <t>Editors</t>
  </si>
  <si>
    <t>Student
Contributors</t>
  </si>
  <si>
    <t>Pages</t>
  </si>
  <si>
    <t>Theme / Focus</t>
  </si>
  <si>
    <t>BINARY BITS</t>
  </si>
  <si>
    <t>Newsletter</t>
  </si>
  <si>
    <t>Prof. K. Devi (Chief Ed.),
Dr. N. Sharma (Ed.)</t>
  </si>
  <si>
    <t>Arun Menon, Priya Nair, Devika R, Sreekanth V (8 contributors)</t>
  </si>
  <si>
    <t>24</t>
  </si>
  <si>
    <t>Dept news, project highlights, alumni interview</t>
  </si>
  <si>
    <t>Prof. K. Devi,
Dr. N. Sharma</t>
  </si>
  <si>
    <t>Rohit Pillai, Anjali Kumar, Vivek Raj (7 contributors)</t>
  </si>
  <si>
    <t>28</t>
  </si>
  <si>
    <t>Faculty research, student achievements, placement stats</t>
  </si>
  <si>
    <t>Aug 2023</t>
  </si>
  <si>
    <t>Mr. P. Nair (Chief Ed.),
Prof. K. Devi (Ed.)</t>
  </si>
  <si>
    <t>Nisha Thomas, Arjun Das, Parvathy S (9 contributors)</t>
  </si>
  <si>
    <t>32</t>
  </si>
  <si>
    <t>AI/ML focus issue, internship experiences</t>
  </si>
  <si>
    <t>Mr. P. Nair,
Prof. K. Devi</t>
  </si>
  <si>
    <t>Kiran George, Sreelakshmi P, Athira Raj (10 contributors)</t>
  </si>
  <si>
    <t>30</t>
  </si>
  <si>
    <t>Startup stories, open-source contributions</t>
  </si>
  <si>
    <t>Aug 2024</t>
  </si>
  <si>
    <t>Dr. N. Sharma (Chief Ed.),
Mr. P. Iyer (Ed.)</t>
  </si>
  <si>
    <t>Gautam S, Likhitha M, Rahul Mohan (12 contributors)</t>
  </si>
  <si>
    <t>36</t>
  </si>
  <si>
    <t>Cyber-security special, research achievements</t>
  </si>
  <si>
    <t>Dr. N. Sharma,
Mr. P. Iyer</t>
  </si>
  <si>
    <t>Abhijith R, Meera Suresh, Parvathy S (14 contributors)</t>
  </si>
  <si>
    <t>40</t>
  </si>
  <si>
    <t>Placements, ICPC World Finals special coverage</t>
  </si>
  <si>
    <t>BITSTREAM</t>
  </si>
  <si>
    <t>Technical Magazine</t>
  </si>
  <si>
    <t>Dr. S. Iyer (Chief Ed.),
Prof. M. Rao (Ed.),
Dr. N. Kumar (Co-Ed.)</t>
  </si>
  <si>
    <t>12 students: Arun Menon, Anjali Kumar, Rohit Pillai, Devika R + 8 others</t>
  </si>
  <si>
    <t>56</t>
  </si>
  <si>
    <t>Technical articles, project showcases, industry trends, alumni section</t>
  </si>
  <si>
    <t>Dr. S. Iyer (Chief Ed.),
Prof. M. Rao (Ed.),
Mr. P. Nair (Co-Ed.)</t>
  </si>
  <si>
    <t>15 students: Priya Nair, Vivek Raj, Nisha Thomas, Sreelakshmi P + 11 others</t>
  </si>
  <si>
    <t>64</t>
  </si>
  <si>
    <t>AI in engineering, blockchain, cybersecurity, startup ecosystem</t>
  </si>
  <si>
    <t>Prof. M. Rao (Chief Ed.),
Dr. N. Sharma (Ed.),
Mr. P. Iyer (Co-Ed.)</t>
  </si>
  <si>
    <t>18 students: Anjali Kumar, Devika R, Likhitha M, Meera Suresh + 14 others</t>
  </si>
  <si>
    <t>72</t>
  </si>
  <si>
    <t>Deep learning, quantum computing, student research compilation</t>
  </si>
  <si>
    <t>CSE RESEARCH DIGEST</t>
  </si>
  <si>
    <t>Research Journal</t>
  </si>
  <si>
    <t>Dr. R. Kumar (Editor-in-Chief),
Dr. S. Iyer (Assoc. Ed.)</t>
  </si>
  <si>
    <t>4 students: Meera Suresh, Rohit Pillai, Sreelakshmi P, Arjun Das</t>
  </si>
  <si>
    <t>48</t>
  </si>
  <si>
    <t>Student and faculty research papers; IQAC peer-reviewed; ISSN pending</t>
  </si>
  <si>
    <t>Dr. R. Kumar (EiC),
Dr. N. Kumar (Assoc. Ed.)</t>
  </si>
  <si>
    <t>6 students: Anjali Kumar, Meera Suresh, Priya Nair, Nisha Thomas + 2 others</t>
  </si>
  <si>
    <t>5 peer-reviewed papers; IoT, ML, network security topics; ISSN registered</t>
  </si>
  <si>
    <t>Dr. R. Kumar (EiC),
Dr. S. Iyer (Assoc. Ed.),
Dr. N. Kumar (Co-Ed.)</t>
  </si>
  <si>
    <t>9 students: Devika R, Athira Raj, Likhitha M, Rahul Mohan + 5 others</t>
  </si>
  <si>
    <t>8 peer-reviewed papers; CGPA correlation study, LLM fine-tuning, SDG research</t>
  </si>
  <si>
    <t>PUBLICATION SUMMARY</t>
  </si>
  <si>
    <t>Newsletters (BINARY BITS issues)</t>
  </si>
  <si>
    <t>Bi-annual; consistent publication</t>
  </si>
  <si>
    <t>Technical Magazines (BITSTREAM volumes)</t>
  </si>
  <si>
    <t>Annual; increasing page count</t>
  </si>
  <si>
    <t>Research Journals (CSE Research Digest)</t>
  </si>
  <si>
    <t>Annual; ISSN registered from Vol.2</t>
  </si>
  <si>
    <t>Total Publications</t>
  </si>
  <si>
    <t>4 per year consistently</t>
  </si>
  <si>
    <t>Total Student Contributors (unique)</t>
  </si>
  <si>
    <t>Growing student involvement</t>
  </si>
  <si>
    <t>Total Pages Published</t>
  </si>
  <si>
    <t>Significant growth in content</t>
  </si>
  <si>
    <t>Full marks — 3 distinct publications</t>
  </si>
  <si>
    <t>SCORECARD — Dept Publications</t>
  </si>
  <si>
    <t>Publication of Journals, Magazines, Newsletters by Dept</t>
  </si>
  <si>
    <t>STUDENT PUBLICATIONS IN JOURNALS AND CONFERENCES — 5 MARKS</t>
  </si>
  <si>
    <t>Peer-reviewed research papers published / presented by B.Tech CSE students (including co-authored with faculty) | CAYm3–CAYm1</t>
  </si>
  <si>
    <t>Student Author(s)</t>
  </si>
  <si>
    <t>Paper Title</t>
  </si>
  <si>
    <t>Journal / Conference</t>
  </si>
  <si>
    <t>Year</t>
  </si>
  <si>
    <t>Indexing</t>
  </si>
  <si>
    <t>Faculty
Co-Author</t>
  </si>
  <si>
    <t>Impact
Factor / H5</t>
  </si>
  <si>
    <t>DOI / Proceedings</t>
  </si>
  <si>
    <t>Meera Suresh, Rohit Pillai</t>
  </si>
  <si>
    <t>Federated Learning for Privacy-Preserving IoT Data Analytics</t>
  </si>
  <si>
    <t>IEEE Access</t>
  </si>
  <si>
    <t>Scopus / SCI</t>
  </si>
  <si>
    <t>IF 3.476</t>
  </si>
  <si>
    <t>10.1109/ACCESS.2022.XXXXXX</t>
  </si>
  <si>
    <t>Journal</t>
  </si>
  <si>
    <t>Anjali Kumar, Priya Nair</t>
  </si>
  <si>
    <t>BERT-based Sentiment Analysis for Malayalam Social Media Text</t>
  </si>
  <si>
    <t>ICCS 2023 — NIT Kozhikode</t>
  </si>
  <si>
    <t>2023</t>
  </si>
  <si>
    <t>IEEE Xplore</t>
  </si>
  <si>
    <t>10.1109/ICCS2023.XXXXX</t>
  </si>
  <si>
    <t>Conference</t>
  </si>
  <si>
    <t>Arjun Das, Devika R</t>
  </si>
  <si>
    <t>A Comparative Study of Intrusion Detection Systems Using ML</t>
  </si>
  <si>
    <t>Int. J. Network Security</t>
  </si>
  <si>
    <t>Scopus</t>
  </si>
  <si>
    <t>IJNS-2023-XXX</t>
  </si>
  <si>
    <t>Competitive Programming: Algorithmic Paradigms and Complexity Analysis</t>
  </si>
  <si>
    <t>ACM SIGCSE Bulletin</t>
  </si>
  <si>
    <t>ACM Digital Library</t>
  </si>
  <si>
    <t>10.1145/SIGCSE2023.XXX</t>
  </si>
  <si>
    <t>Vivek Raj, Kiran George</t>
  </si>
  <si>
    <t>GreenVolt: Solar Energy Optimization Using Reinforcement Learning</t>
  </si>
  <si>
    <t>ICoST 2023 — CUSAT</t>
  </si>
  <si>
    <t>10.1109/ICoST2023.XXX</t>
  </si>
  <si>
    <t>Graph-Based Approaches for Community Detection in Social Networks</t>
  </si>
  <si>
    <t>J. Complex Networks</t>
  </si>
  <si>
    <t>10.1093/comnet/XXXXX</t>
  </si>
  <si>
    <t>Anjali Kumar, Meera Suresh</t>
  </si>
  <si>
    <t>FloodShield: Real-Time Flood Prediction Using Hybrid CNN-LSTM Model</t>
  </si>
  <si>
    <t>IEEE Sensors Journal</t>
  </si>
  <si>
    <t>2024</t>
  </si>
  <si>
    <t>IF 4.325</t>
  </si>
  <si>
    <t>10.1109/JSEN.2024.XXXXXX</t>
  </si>
  <si>
    <t>Priya Nair, Sreekanth V</t>
  </si>
  <si>
    <t>Privacy-Preserving NLP with Differential Privacy on Edge Devices</t>
  </si>
  <si>
    <t>Scopus ID: 85XXXXXX</t>
  </si>
  <si>
    <t>Nisha Thomas, Athira Raj</t>
  </si>
  <si>
    <t>DeepMed: Multi-Modal Medical Image Classification using ViT</t>
  </si>
  <si>
    <t>Int. J. Medical Informatics</t>
  </si>
  <si>
    <t>IF 3.210</t>
  </si>
  <si>
    <t>10.1016/j.ijmedinf.2024.XXXXX</t>
  </si>
  <si>
    <t>Adversarial Attacks on LLM-based Systems: Detection and Mitigation</t>
  </si>
  <si>
    <t>INDICON 2024 — IIT Kgp</t>
  </si>
  <si>
    <t>10.1109/INDICON2024.XXX</t>
  </si>
  <si>
    <t>Efficient Algorithms for Competitive Programming: A Practitioner's Survey</t>
  </si>
  <si>
    <t>ACM Computing Surveys</t>
  </si>
  <si>
    <t>IF 23.8</t>
  </si>
  <si>
    <t>10.1145/acmcsur.2023.XXX</t>
  </si>
  <si>
    <t>Approximation Algorithms for NP-Hard Graph Problems</t>
  </si>
  <si>
    <t>LATIN 2024 — Springer</t>
  </si>
  <si>
    <t>Springer LNCS</t>
  </si>
  <si>
    <t>10.1007/978-3-031-XXXXX</t>
  </si>
  <si>
    <t>Vivek Raj, Kiran George, Gautam S</t>
  </si>
  <si>
    <t>Blockchain for Transparent Carbon Credit Trading in Agriculture</t>
  </si>
  <si>
    <t>Blockchain Research</t>
  </si>
  <si>
    <t>BRJ-2024-XXXXX</t>
  </si>
  <si>
    <t>GAN-Based Flood Map Synthesis for Data-Scarce Disaster Response</t>
  </si>
  <si>
    <t>Nature Scientific Reports</t>
  </si>
  <si>
    <t>2025</t>
  </si>
  <si>
    <t>IF 4.996</t>
  </si>
  <si>
    <t>10.1038/s41598-025-XXXXX</t>
  </si>
  <si>
    <t>Sreelakshmi P, Arun Menon, Rohit Pillai</t>
  </si>
  <si>
    <t>ICPC World Finals 2025: Problem-Solving Approaches and Competitive Analysis</t>
  </si>
  <si>
    <t>ACM ICPC Proceedings</t>
  </si>
  <si>
    <t>ACM-ICPC-2025-XXX</t>
  </si>
  <si>
    <t>Meera Suresh, Priya Nair</t>
  </si>
  <si>
    <t>Transformer-Based Anomaly Detection in IoT Healthcare Networks</t>
  </si>
  <si>
    <t>IEEE Transactions on NB-IoT</t>
  </si>
  <si>
    <t>Dr. S. Iyer, Dr. N. Kumar</t>
  </si>
  <si>
    <t>IF 5.113</t>
  </si>
  <si>
    <t>10.1109/TNBIOT.2025.XXXXXX</t>
  </si>
  <si>
    <t>Devika R, Arjun Das</t>
  </si>
  <si>
    <t>Zero-Day Vulnerability Detection using Graph Neural Networks</t>
  </si>
  <si>
    <t>Computers &amp; Security</t>
  </si>
  <si>
    <t>IF 4.814</t>
  </si>
  <si>
    <t>10.1016/j.cose.2025.XXXXX</t>
  </si>
  <si>
    <t>ProHand: AI-Powered Prosthetics Control via EMG Signal Classification</t>
  </si>
  <si>
    <t>IEEE EMBC 2025</t>
  </si>
  <si>
    <t>10.1109/EMBC2025.XXX</t>
  </si>
  <si>
    <t>Parameterized Algorithms for Steiner Tree on Graphs of Bounded Treewidth</t>
  </si>
  <si>
    <t>SODA 2025 — SIAM</t>
  </si>
  <si>
    <t>SIAM</t>
  </si>
  <si>
    <t>SIAM-SODA-2025-XXX</t>
  </si>
  <si>
    <t>Athira Raj, Rahul Mohan</t>
  </si>
  <si>
    <t>Rural Connectivity Framework Using LEO Satellite + LoRaWAN Mesh</t>
  </si>
  <si>
    <t>Wireless Communications &amp; Mobile Computing</t>
  </si>
  <si>
    <t>IF 2.336</t>
  </si>
  <si>
    <t>10.1155/2025/XXXXXX</t>
  </si>
  <si>
    <t>Gautam S, Kiran George</t>
  </si>
  <si>
    <t>Smart Irrigation Scheduling Using Federated Reinforcement Learning</t>
  </si>
  <si>
    <t>Computers and Electronics in Agriculture</t>
  </si>
  <si>
    <t>IF 8.3</t>
  </si>
  <si>
    <t>10.1016/j.compag.2025.XXXXX</t>
  </si>
  <si>
    <t>STUDENT PUBLICATIONS SUMMARY</t>
  </si>
  <si>
    <t>Total student publications</t>
  </si>
  <si>
    <t>SCI / Scopus journal papers</t>
  </si>
  <si>
    <t>High-quality indexed papers</t>
  </si>
  <si>
    <t>Conference papers (IEEE/ACM/SIAM)</t>
  </si>
  <si>
    <t>Prestigious venues</t>
  </si>
  <si>
    <t>Papers with IF &gt; 3.0</t>
  </si>
  <si>
    <t>Nature, IEEE, Elsevier</t>
  </si>
  <si>
    <t>Unique student authors</t>
  </si>
  <si>
    <t>18 students published across 3 yrs</t>
  </si>
  <si>
    <t>International collaborations</t>
  </si>
  <si>
    <t>IEEE Xplore, Springer, SIAM</t>
  </si>
  <si>
    <t>Full marks — &gt;5 publications/year</t>
  </si>
  <si>
    <t>SCORECARD — Student Publications</t>
  </si>
  <si>
    <t>Student Publications in Journals and Conferences</t>
  </si>
  <si>
    <t>PROFESSIONAL ACTIVITIES — OVERALL SCORECARD (Max: 25 Marks)</t>
  </si>
  <si>
    <t>Criterion comprises 4 sub-criteria: Societies/Events (5) + Student Participation (10) + Dept Publications (5) + Student Publications (5) = 25 marks</t>
  </si>
  <si>
    <t>Max
Marks</t>
  </si>
  <si>
    <t>Avg
(3 Yrs)</t>
  </si>
  <si>
    <t>Marks
Awarded</t>
  </si>
  <si>
    <t>Evidence Sheet</t>
  </si>
  <si>
    <t>Professional Societies/Bodies, Chapters, Clubs &amp; Events Organised</t>
  </si>
  <si>
    <t>Societies_Events</t>
  </si>
  <si>
    <t>Student Participation in Professional Events (Hackathons, Codeathons, etc.)</t>
  </si>
  <si>
    <t>Student_Participation</t>
  </si>
  <si>
    <t>Publication of Journals, Magazines, Newsletters by Department</t>
  </si>
  <si>
    <t>Dept_Publications</t>
  </si>
  <si>
    <t>Student Publications in Journals, Conferences, etc.</t>
  </si>
  <si>
    <t>Student_Publications</t>
  </si>
  <si>
    <t>TOTAL — PROFESSIONAL ACTIVITIES</t>
  </si>
  <si>
    <t>25/25 — Full Marks</t>
  </si>
  <si>
    <t>KEY HIGHLIGHTS — PROFESSIONAL ACTIVITIES (3-YEAR SUMMARY)</t>
  </si>
  <si>
    <t>7 active student chapters/clubs</t>
  </si>
  <si>
    <t>CSI, IEEE, ACM, GDSC, Mozilla, CyberCell, E-Cell — all with documented activities</t>
  </si>
  <si>
    <t>12 professional events organised</t>
  </si>
  <si>
    <t>Hackathons (5), Coding Contests (2), National Symposia (3), Workshops (2) — 2,580 total participants</t>
  </si>
  <si>
    <t>53 student participations recorded</t>
  </si>
  <si>
    <t>15 (CAYm3) → 18 (CAYm2) → 20 (CAYm1); national and international events</t>
  </si>
  <si>
    <t>12 international-level participations</t>
  </si>
  <si>
    <t>IEEE TENCON, ICPC World Finals, GHC India, MozFest, Google Solution Challenge</t>
  </si>
  <si>
    <t>30 prizes / awards won</t>
  </si>
  <si>
    <t>Hackathon 1st prizes: SIH (₹1L), HackSRM, Hack for India; CTF, Ideathon awards</t>
  </si>
  <si>
    <t>12 dept publications</t>
  </si>
  <si>
    <t>3 newsletters series × 2 issues + 3 BITSTREAM volumes + 3 CSE Research Digest issues</t>
  </si>
  <si>
    <t>21 student research papers</t>
  </si>
  <si>
    <t>12 SCI/Scopus journals + 9 conference papers; Nature, IEEE, Elsevier, SIAM venues</t>
  </si>
  <si>
    <t>First-ever team from institution — Sreelakshmi P, Arun Menon, Rohit Pillai (Cairo, Egypt)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</si>
</sst>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176" formatCode="_ * #,##0.00_ ;_ * \-#,##0.00_ ;_ * &quot;-&quot;??_ ;_ @_ "/>
    <numFmt numFmtId="177" formatCode="_ &quot;₹&quot;\ * #,##0.00_ ;_ &quot;₹&quot;\ * \-#,##0.00_ ;_ &quot;₹&quot;\ * &quot;-&quot;??_ ;_ @_ "/>
    <numFmt numFmtId="178" formatCode="_ * #,##0_ ;_ * \-#,##0_ ;_ * &quot;-&quot;_ ;_ @_ "/>
    <numFmt numFmtId="179" formatCode="_ &quot;₹&quot;\ * #,##0_ ;_ &quot;₹&quot;\ * \-#,##0_ ;_ &quot;₹&quot;\ * &quot;-&quot;_ ;_ @_ "/>
    <numFmt numFmtId="180" formatCode="0.0"/>
  </numFmts>
  <fonts count="31">
    <font>
      <sz val="11"/>
      <color theme="1"/>
      <name val="Calibri"/>
      <charset val="1"/>
    </font>
    <font>
      <b/>
      <sz val="13"/>
      <color rgb="FFFFFFFF"/>
      <name val="Arial"/>
      <charset val="1"/>
    </font>
    <font>
      <i/>
      <sz val="9"/>
      <color rgb="FF1F3864"/>
      <name val="Arial"/>
      <charset val="1"/>
    </font>
    <font>
      <b/>
      <sz val="10"/>
      <color rgb="FFFFFFFF"/>
      <name val="Arial"/>
      <charset val="1"/>
    </font>
    <font>
      <sz val="10"/>
      <color rgb="FF000000"/>
      <name val="Arial"/>
      <charset val="1"/>
    </font>
    <font>
      <b/>
      <sz val="10"/>
      <color rgb="FF000000"/>
      <name val="Arial"/>
      <charset val="1"/>
    </font>
    <font>
      <i/>
      <sz val="9"/>
      <color rgb="FF000000"/>
      <name val="Arial"/>
      <charset val="1"/>
    </font>
    <font>
      <b/>
      <sz val="11"/>
      <color rgb="FFFFFFFF"/>
      <name val="Arial"/>
      <charset val="1"/>
    </font>
    <font>
      <b/>
      <sz val="10"/>
      <color rgb="FF1F3864"/>
      <name val="Arial"/>
      <charset val="1"/>
    </font>
    <font>
      <sz val="9"/>
      <color rgb="FF000000"/>
      <name val="Arial"/>
      <charset val="1"/>
    </font>
    <font>
      <sz val="10"/>
      <name val="Arial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theme="1"/>
      <name val="Calibri"/>
      <charset val="134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40">
    <fill>
      <patternFill patternType="none"/>
    </fill>
    <fill>
      <patternFill patternType="gray125"/>
    </fill>
    <fill>
      <patternFill patternType="solid">
        <fgColor rgb="FF1F3864"/>
        <bgColor rgb="FF333399"/>
      </patternFill>
    </fill>
    <fill>
      <patternFill patternType="solid">
        <fgColor rgb="FFDEEAF1"/>
        <bgColor rgb="FFE2EFDA"/>
      </patternFill>
    </fill>
    <fill>
      <patternFill patternType="solid">
        <fgColor rgb="FFC9A227"/>
        <bgColor rgb="FF99CC00"/>
      </patternFill>
    </fill>
    <fill>
      <patternFill patternType="solid">
        <fgColor rgb="FFE2EFDA"/>
        <bgColor rgb="FFDEEAF1"/>
      </patternFill>
    </fill>
    <fill>
      <patternFill patternType="solid">
        <fgColor rgb="FF375623"/>
        <bgColor rgb="FF333300"/>
      </patternFill>
    </fill>
    <fill>
      <patternFill patternType="solid">
        <fgColor rgb="FFFFFFFF"/>
        <bgColor rgb="FFFFF2CC"/>
      </patternFill>
    </fill>
    <fill>
      <patternFill patternType="solid">
        <fgColor rgb="FFFFF2CC"/>
        <bgColor rgb="FFE2EFDA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10" fillId="0" borderId="0" applyBorder="0" applyAlignment="0" applyProtection="0"/>
    <xf numFmtId="177" fontId="10" fillId="0" borderId="0" applyBorder="0" applyAlignment="0" applyProtection="0"/>
    <xf numFmtId="9" fontId="10" fillId="0" borderId="0" applyBorder="0" applyAlignment="0" applyProtection="0"/>
    <xf numFmtId="178" fontId="10" fillId="0" borderId="0" applyBorder="0" applyAlignment="0" applyProtection="0"/>
    <xf numFmtId="179" fontId="10" fillId="0" borderId="0" applyBorder="0" applyAlignment="0" applyProtection="0"/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9" borderId="3" applyNumberFormat="0" applyFon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4" applyNumberFormat="0" applyFill="0" applyAlignment="0" applyProtection="0">
      <alignment vertical="center"/>
    </xf>
    <xf numFmtId="0" fontId="18" fillId="0" borderId="4" applyNumberFormat="0" applyFill="0" applyAlignment="0" applyProtection="0">
      <alignment vertical="center"/>
    </xf>
    <xf numFmtId="0" fontId="19" fillId="0" borderId="5" applyNumberFormat="0" applyFill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10" borderId="6" applyNumberFormat="0" applyAlignment="0" applyProtection="0">
      <alignment vertical="center"/>
    </xf>
    <xf numFmtId="0" fontId="21" fillId="11" borderId="7" applyNumberFormat="0" applyAlignment="0" applyProtection="0">
      <alignment vertical="center"/>
    </xf>
    <xf numFmtId="0" fontId="22" fillId="11" borderId="6" applyNumberFormat="0" applyAlignment="0" applyProtection="0">
      <alignment vertical="center"/>
    </xf>
    <xf numFmtId="0" fontId="23" fillId="12" borderId="8" applyNumberFormat="0" applyAlignment="0" applyProtection="0">
      <alignment vertical="center"/>
    </xf>
    <xf numFmtId="0" fontId="24" fillId="0" borderId="9" applyNumberFormat="0" applyFill="0" applyAlignment="0" applyProtection="0">
      <alignment vertical="center"/>
    </xf>
    <xf numFmtId="0" fontId="25" fillId="0" borderId="10" applyNumberFormat="0" applyFill="0" applyAlignment="0" applyProtection="0">
      <alignment vertical="center"/>
    </xf>
    <xf numFmtId="0" fontId="26" fillId="13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8" fillId="15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30" fillId="17" borderId="0" applyNumberFormat="0" applyBorder="0" applyAlignment="0" applyProtection="0">
      <alignment vertical="center"/>
    </xf>
    <xf numFmtId="0" fontId="30" fillId="18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30" fillId="21" borderId="0" applyNumberFormat="0" applyBorder="0" applyAlignment="0" applyProtection="0">
      <alignment vertical="center"/>
    </xf>
    <xf numFmtId="0" fontId="30" fillId="22" borderId="0" applyNumberFormat="0" applyBorder="0" applyAlignment="0" applyProtection="0">
      <alignment vertical="center"/>
    </xf>
    <xf numFmtId="0" fontId="29" fillId="23" borderId="0" applyNumberFormat="0" applyBorder="0" applyAlignment="0" applyProtection="0">
      <alignment vertical="center"/>
    </xf>
    <xf numFmtId="0" fontId="29" fillId="24" borderId="0" applyNumberFormat="0" applyBorder="0" applyAlignment="0" applyProtection="0">
      <alignment vertical="center"/>
    </xf>
    <xf numFmtId="0" fontId="30" fillId="25" borderId="0" applyNumberFormat="0" applyBorder="0" applyAlignment="0" applyProtection="0">
      <alignment vertical="center"/>
    </xf>
    <xf numFmtId="0" fontId="30" fillId="26" borderId="0" applyNumberFormat="0" applyBorder="0" applyAlignment="0" applyProtection="0">
      <alignment vertical="center"/>
    </xf>
    <xf numFmtId="0" fontId="29" fillId="27" borderId="0" applyNumberFormat="0" applyBorder="0" applyAlignment="0" applyProtection="0">
      <alignment vertical="center"/>
    </xf>
    <xf numFmtId="0" fontId="29" fillId="28" borderId="0" applyNumberFormat="0" applyBorder="0" applyAlignment="0" applyProtection="0">
      <alignment vertical="center"/>
    </xf>
    <xf numFmtId="0" fontId="30" fillId="29" borderId="0" applyNumberFormat="0" applyBorder="0" applyAlignment="0" applyProtection="0">
      <alignment vertical="center"/>
    </xf>
    <xf numFmtId="0" fontId="30" fillId="30" borderId="0" applyNumberFormat="0" applyBorder="0" applyAlignment="0" applyProtection="0">
      <alignment vertical="center"/>
    </xf>
    <xf numFmtId="0" fontId="29" fillId="31" borderId="0" applyNumberFormat="0" applyBorder="0" applyAlignment="0" applyProtection="0">
      <alignment vertical="center"/>
    </xf>
    <xf numFmtId="0" fontId="29" fillId="32" borderId="0" applyNumberFormat="0" applyBorder="0" applyAlignment="0" applyProtection="0">
      <alignment vertical="center"/>
    </xf>
    <xf numFmtId="0" fontId="30" fillId="33" borderId="0" applyNumberFormat="0" applyBorder="0" applyAlignment="0" applyProtection="0">
      <alignment vertical="center"/>
    </xf>
    <xf numFmtId="0" fontId="30" fillId="34" borderId="0" applyNumberFormat="0" applyBorder="0" applyAlignment="0" applyProtection="0">
      <alignment vertical="center"/>
    </xf>
    <xf numFmtId="0" fontId="29" fillId="35" borderId="0" applyNumberFormat="0" applyBorder="0" applyAlignment="0" applyProtection="0">
      <alignment vertical="center"/>
    </xf>
    <xf numFmtId="0" fontId="29" fillId="36" borderId="0" applyNumberFormat="0" applyBorder="0" applyAlignment="0" applyProtection="0">
      <alignment vertical="center"/>
    </xf>
    <xf numFmtId="0" fontId="30" fillId="37" borderId="0" applyNumberFormat="0" applyBorder="0" applyAlignment="0" applyProtection="0">
      <alignment vertical="center"/>
    </xf>
    <xf numFmtId="0" fontId="30" fillId="38" borderId="0" applyNumberFormat="0" applyBorder="0" applyAlignment="0" applyProtection="0">
      <alignment vertical="center"/>
    </xf>
    <xf numFmtId="0" fontId="29" fillId="39" borderId="0" applyNumberFormat="0" applyBorder="0" applyAlignment="0" applyProtection="0">
      <alignment vertical="center"/>
    </xf>
  </cellStyleXfs>
  <cellXfs count="49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4" fillId="3" borderId="2" xfId="0" applyFont="1" applyFill="1" applyBorder="1" applyAlignment="1">
      <alignment horizontal="center" vertical="center"/>
    </xf>
    <xf numFmtId="0" fontId="4" fillId="3" borderId="2" xfId="0" applyFont="1" applyFill="1" applyBorder="1" applyAlignment="1">
      <alignment horizontal="left" vertical="center" wrapText="1"/>
    </xf>
    <xf numFmtId="1" fontId="4" fillId="3" borderId="2" xfId="0" applyNumberFormat="1" applyFont="1" applyFill="1" applyBorder="1" applyAlignment="1">
      <alignment horizontal="center" vertical="center"/>
    </xf>
    <xf numFmtId="180" fontId="4" fillId="3" borderId="2" xfId="0" applyNumberFormat="1" applyFont="1" applyFill="1" applyBorder="1" applyAlignment="1">
      <alignment horizontal="center" vertical="center"/>
    </xf>
    <xf numFmtId="1" fontId="5" fillId="4" borderId="2" xfId="0" applyNumberFormat="1" applyFont="1" applyFill="1" applyBorder="1" applyAlignment="1">
      <alignment horizontal="center" vertical="center"/>
    </xf>
    <xf numFmtId="0" fontId="6" fillId="3" borderId="2" xfId="0" applyFont="1" applyFill="1" applyBorder="1" applyAlignment="1">
      <alignment horizontal="left" vertical="center"/>
    </xf>
    <xf numFmtId="0" fontId="4" fillId="5" borderId="2" xfId="0" applyFont="1" applyFill="1" applyBorder="1" applyAlignment="1">
      <alignment horizontal="center" vertical="center"/>
    </xf>
    <xf numFmtId="0" fontId="4" fillId="5" borderId="2" xfId="0" applyFont="1" applyFill="1" applyBorder="1" applyAlignment="1">
      <alignment horizontal="left" vertical="center" wrapText="1"/>
    </xf>
    <xf numFmtId="1" fontId="4" fillId="5" borderId="2" xfId="0" applyNumberFormat="1" applyFont="1" applyFill="1" applyBorder="1" applyAlignment="1">
      <alignment horizontal="center" vertical="center"/>
    </xf>
    <xf numFmtId="180" fontId="4" fillId="5" borderId="2" xfId="0" applyNumberFormat="1" applyFont="1" applyFill="1" applyBorder="1" applyAlignment="1">
      <alignment horizontal="center" vertical="center"/>
    </xf>
    <xf numFmtId="0" fontId="6" fillId="5" borderId="2" xfId="0" applyFont="1" applyFill="1" applyBorder="1" applyAlignment="1">
      <alignment horizontal="left" vertical="center"/>
    </xf>
    <xf numFmtId="0" fontId="3" fillId="2" borderId="1" xfId="0" applyFont="1" applyFill="1" applyBorder="1" applyAlignment="1">
      <alignment horizontal="center" vertical="center"/>
    </xf>
    <xf numFmtId="1" fontId="3" fillId="2" borderId="2" xfId="0" applyNumberFormat="1" applyFont="1" applyFill="1" applyBorder="1" applyAlignment="1">
      <alignment horizontal="center" vertical="center"/>
    </xf>
    <xf numFmtId="180" fontId="3" fillId="2" borderId="2" xfId="0" applyNumberFormat="1" applyFont="1" applyFill="1" applyBorder="1" applyAlignment="1">
      <alignment horizontal="center" vertical="center"/>
    </xf>
    <xf numFmtId="0" fontId="5" fillId="4" borderId="2" xfId="0" applyFont="1" applyFill="1" applyBorder="1" applyAlignment="1">
      <alignment horizontal="left" vertical="center"/>
    </xf>
    <xf numFmtId="0" fontId="7" fillId="6" borderId="1" xfId="0" applyFont="1" applyFill="1" applyBorder="1" applyAlignment="1">
      <alignment horizontal="center" vertical="center"/>
    </xf>
    <xf numFmtId="0" fontId="8" fillId="7" borderId="2" xfId="0" applyFont="1" applyFill="1" applyBorder="1" applyAlignment="1">
      <alignment horizontal="left" vertical="center"/>
    </xf>
    <xf numFmtId="0" fontId="4" fillId="7" borderId="1" xfId="0" applyFont="1" applyFill="1" applyBorder="1" applyAlignment="1">
      <alignment horizontal="left" vertical="center" wrapText="1"/>
    </xf>
    <xf numFmtId="0" fontId="8" fillId="3" borderId="2" xfId="0" applyFont="1" applyFill="1" applyBorder="1" applyAlignment="1">
      <alignment horizontal="left" vertical="center"/>
    </xf>
    <xf numFmtId="0" fontId="4" fillId="3" borderId="1" xfId="0" applyFont="1" applyFill="1" applyBorder="1" applyAlignment="1">
      <alignment horizontal="left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9" fillId="5" borderId="2" xfId="0" applyFont="1" applyFill="1" applyBorder="1" applyAlignment="1">
      <alignment horizontal="center" vertical="center" wrapText="1"/>
    </xf>
    <xf numFmtId="0" fontId="9" fillId="5" borderId="2" xfId="0" applyFont="1" applyFill="1" applyBorder="1" applyAlignment="1">
      <alignment horizontal="left" vertical="center" wrapText="1"/>
    </xf>
    <xf numFmtId="0" fontId="9" fillId="3" borderId="2" xfId="0" applyFont="1" applyFill="1" applyBorder="1" applyAlignment="1">
      <alignment horizontal="center" vertical="center" wrapText="1"/>
    </xf>
    <xf numFmtId="0" fontId="9" fillId="3" borderId="2" xfId="0" applyFont="1" applyFill="1" applyBorder="1" applyAlignment="1">
      <alignment horizontal="left" vertical="center" wrapText="1"/>
    </xf>
    <xf numFmtId="0" fontId="9" fillId="8" borderId="2" xfId="0" applyFont="1" applyFill="1" applyBorder="1" applyAlignment="1">
      <alignment horizontal="center" vertical="center" wrapText="1"/>
    </xf>
    <xf numFmtId="0" fontId="9" fillId="8" borderId="2" xfId="0" applyFont="1" applyFill="1" applyBorder="1" applyAlignment="1">
      <alignment horizontal="left" vertical="center" wrapText="1"/>
    </xf>
    <xf numFmtId="0" fontId="7" fillId="2" borderId="1" xfId="0" applyFont="1" applyFill="1" applyBorder="1" applyAlignment="1">
      <alignment horizontal="center" vertical="center"/>
    </xf>
    <xf numFmtId="0" fontId="5" fillId="4" borderId="2" xfId="0" applyFont="1" applyFill="1" applyBorder="1" applyAlignment="1">
      <alignment horizontal="center" vertical="center" wrapText="1"/>
    </xf>
    <xf numFmtId="0" fontId="4" fillId="3" borderId="2" xfId="0" applyFont="1" applyFill="1" applyBorder="1" applyAlignment="1">
      <alignment horizontal="left" vertical="center"/>
    </xf>
    <xf numFmtId="0" fontId="5" fillId="3" borderId="2" xfId="0" applyFont="1" applyFill="1" applyBorder="1" applyAlignment="1">
      <alignment horizontal="center" vertical="center"/>
    </xf>
    <xf numFmtId="0" fontId="4" fillId="5" borderId="2" xfId="0" applyFont="1" applyFill="1" applyBorder="1" applyAlignment="1">
      <alignment horizontal="left" vertical="center"/>
    </xf>
    <xf numFmtId="0" fontId="5" fillId="5" borderId="2" xfId="0" applyFont="1" applyFill="1" applyBorder="1" applyAlignment="1">
      <alignment horizontal="center" vertical="center"/>
    </xf>
    <xf numFmtId="0" fontId="4" fillId="2" borderId="2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left" vertical="center"/>
    </xf>
    <xf numFmtId="0" fontId="4" fillId="8" borderId="2" xfId="0" applyFont="1" applyFill="1" applyBorder="1" applyAlignment="1">
      <alignment horizontal="left" vertical="center"/>
    </xf>
    <xf numFmtId="0" fontId="4" fillId="8" borderId="2" xfId="0" applyFont="1" applyFill="1" applyBorder="1" applyAlignment="1">
      <alignment horizontal="center" vertical="center"/>
    </xf>
    <xf numFmtId="0" fontId="5" fillId="8" borderId="2" xfId="0" applyFont="1" applyFill="1" applyBorder="1" applyAlignment="1">
      <alignment horizontal="center" vertical="center"/>
    </xf>
    <xf numFmtId="0" fontId="4" fillId="8" borderId="2" xfId="0" applyFont="1" applyFill="1" applyBorder="1" applyAlignment="1">
      <alignment horizontal="left" vertical="center" wrapText="1"/>
    </xf>
    <xf numFmtId="0" fontId="9" fillId="7" borderId="2" xfId="0" applyFont="1" applyFill="1" applyBorder="1" applyAlignment="1">
      <alignment horizontal="center" vertical="center" wrapText="1"/>
    </xf>
    <xf numFmtId="0" fontId="9" fillId="7" borderId="2" xfId="0" applyFont="1" applyFill="1" applyBorder="1" applyAlignment="1">
      <alignment horizontal="left" vertical="center" wrapText="1"/>
    </xf>
    <xf numFmtId="3" fontId="4" fillId="3" borderId="2" xfId="0" applyNumberFormat="1" applyFont="1" applyFill="1" applyBorder="1" applyAlignment="1">
      <alignment horizontal="center" vertical="center"/>
    </xf>
    <xf numFmtId="3" fontId="5" fillId="3" borderId="2" xfId="0" applyNumberFormat="1" applyFont="1" applyFill="1" applyBorder="1" applyAlignment="1">
      <alignment horizontal="center" vertical="center"/>
    </xf>
    <xf numFmtId="3" fontId="4" fillId="5" borderId="2" xfId="0" applyNumberFormat="1" applyFont="1" applyFill="1" applyBorder="1" applyAlignment="1">
      <alignment horizontal="center" vertical="center"/>
    </xf>
    <xf numFmtId="3" fontId="5" fillId="5" borderId="2" xfId="0" applyNumberFormat="1" applyFont="1" applyFill="1" applyBorder="1" applyAlignment="1">
      <alignment horizontal="center"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2CC"/>
      <rgbColor rgb="00DEEAF1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E2EFDA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C9A227"/>
      <rgbColor rgb="00FF6600"/>
      <rgbColor rgb="00666699"/>
      <rgbColor rgb="00969696"/>
      <rgbColor rgb="001F3864"/>
      <rgbColor rgb="00339966"/>
      <rgbColor rgb="00003300"/>
      <rgbColor rgb="00333300"/>
      <rgbColor rgb="00993300"/>
      <rgbColor rgb="00993366"/>
      <rgbColor rgb="00333399"/>
      <rgbColor rgb="0037562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sharedStrings" Target="sharedStrings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"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39"/>
  <sheetViews>
    <sheetView showGridLines="0" workbookViewId="0">
      <selection activeCell="A1" sqref="A1:J1"/>
    </sheetView>
  </sheetViews>
  <sheetFormatPr defaultColWidth="8.67592592592593" defaultRowHeight="14.4"/>
  <cols>
    <col min="1" max="1" width="6" customWidth="1"/>
    <col min="2" max="2" width="28" customWidth="1"/>
    <col min="3" max="3" width="16" customWidth="1"/>
    <col min="4" max="4" width="12" customWidth="1"/>
    <col min="5" max="5" width="14" customWidth="1"/>
    <col min="6" max="6" width="12" customWidth="1"/>
    <col min="7" max="8" width="14" customWidth="1"/>
    <col min="9" max="9" width="12" customWidth="1"/>
    <col min="10" max="10" width="16" customWidth="1"/>
  </cols>
  <sheetData>
    <row r="1" ht="36" customHeight="1" spans="1:10">
      <c r="A1" s="24" t="s">
        <v>0</v>
      </c>
      <c r="B1" s="24"/>
      <c r="C1" s="24"/>
      <c r="D1" s="24"/>
      <c r="E1" s="24"/>
      <c r="F1" s="24"/>
      <c r="G1" s="24"/>
      <c r="H1" s="24"/>
      <c r="I1" s="24"/>
      <c r="J1" s="24"/>
    </row>
    <row r="2" ht="19.5" customHeight="1" spans="1:10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</row>
    <row r="3" ht="21.75" customHeight="1" spans="1:10">
      <c r="A3" s="19" t="s">
        <v>2</v>
      </c>
      <c r="B3" s="19"/>
      <c r="C3" s="19"/>
      <c r="D3" s="19"/>
      <c r="E3" s="19"/>
      <c r="F3" s="19"/>
      <c r="G3" s="19"/>
      <c r="H3" s="19"/>
      <c r="I3" s="19"/>
      <c r="J3" s="19"/>
    </row>
    <row r="4" ht="42" customHeight="1" spans="1:10">
      <c r="A4" s="3" t="s">
        <v>3</v>
      </c>
      <c r="B4" s="3" t="s">
        <v>4</v>
      </c>
      <c r="C4" s="3" t="s">
        <v>5</v>
      </c>
      <c r="D4" s="3" t="s">
        <v>6</v>
      </c>
      <c r="E4" s="3" t="s">
        <v>7</v>
      </c>
      <c r="F4" s="3" t="s">
        <v>8</v>
      </c>
      <c r="G4" s="3" t="s">
        <v>9</v>
      </c>
      <c r="H4" s="3" t="s">
        <v>10</v>
      </c>
      <c r="I4" s="3" t="s">
        <v>11</v>
      </c>
      <c r="J4" s="3" t="s">
        <v>12</v>
      </c>
    </row>
    <row r="5" ht="30" customHeight="1" spans="1:10">
      <c r="A5" s="43">
        <v>1</v>
      </c>
      <c r="B5" s="44" t="s">
        <v>13</v>
      </c>
      <c r="C5" s="44" t="s">
        <v>14</v>
      </c>
      <c r="D5" s="43" t="s">
        <v>15</v>
      </c>
      <c r="E5" s="44" t="s">
        <v>16</v>
      </c>
      <c r="F5" s="44" t="s">
        <v>17</v>
      </c>
      <c r="G5" s="43" t="s">
        <v>18</v>
      </c>
      <c r="H5" s="43" t="s">
        <v>19</v>
      </c>
      <c r="I5" s="44" t="s">
        <v>20</v>
      </c>
      <c r="J5" s="44" t="s">
        <v>21</v>
      </c>
    </row>
    <row r="6" ht="30" customHeight="1" spans="1:10">
      <c r="A6" s="27">
        <v>2</v>
      </c>
      <c r="B6" s="28" t="s">
        <v>22</v>
      </c>
      <c r="C6" s="28" t="s">
        <v>23</v>
      </c>
      <c r="D6" s="27" t="s">
        <v>24</v>
      </c>
      <c r="E6" s="28" t="s">
        <v>25</v>
      </c>
      <c r="F6" s="28" t="s">
        <v>26</v>
      </c>
      <c r="G6" s="27" t="s">
        <v>27</v>
      </c>
      <c r="H6" s="27" t="s">
        <v>28</v>
      </c>
      <c r="I6" s="28" t="s">
        <v>29</v>
      </c>
      <c r="J6" s="28" t="s">
        <v>30</v>
      </c>
    </row>
    <row r="7" ht="30" customHeight="1" spans="1:10">
      <c r="A7" s="43">
        <v>3</v>
      </c>
      <c r="B7" s="44" t="s">
        <v>31</v>
      </c>
      <c r="C7" s="44" t="s">
        <v>32</v>
      </c>
      <c r="D7" s="43" t="s">
        <v>33</v>
      </c>
      <c r="E7" s="44" t="s">
        <v>34</v>
      </c>
      <c r="F7" s="44" t="s">
        <v>35</v>
      </c>
      <c r="G7" s="43" t="s">
        <v>36</v>
      </c>
      <c r="H7" s="43" t="s">
        <v>37</v>
      </c>
      <c r="I7" s="44" t="s">
        <v>38</v>
      </c>
      <c r="J7" s="44" t="s">
        <v>39</v>
      </c>
    </row>
    <row r="8" ht="30" customHeight="1" spans="1:10">
      <c r="A8" s="27">
        <v>4</v>
      </c>
      <c r="B8" s="28" t="s">
        <v>40</v>
      </c>
      <c r="C8" s="28" t="s">
        <v>41</v>
      </c>
      <c r="D8" s="27" t="s">
        <v>42</v>
      </c>
      <c r="E8" s="28" t="s">
        <v>43</v>
      </c>
      <c r="F8" s="28" t="s">
        <v>44</v>
      </c>
      <c r="G8" s="27" t="s">
        <v>45</v>
      </c>
      <c r="H8" s="27" t="s">
        <v>46</v>
      </c>
      <c r="I8" s="28" t="s">
        <v>41</v>
      </c>
      <c r="J8" s="28" t="s">
        <v>47</v>
      </c>
    </row>
    <row r="9" ht="30" customHeight="1" spans="1:10">
      <c r="A9" s="43">
        <v>5</v>
      </c>
      <c r="B9" s="44" t="s">
        <v>48</v>
      </c>
      <c r="C9" s="44" t="s">
        <v>49</v>
      </c>
      <c r="D9" s="43" t="s">
        <v>50</v>
      </c>
      <c r="E9" s="44" t="s">
        <v>51</v>
      </c>
      <c r="F9" s="44" t="s">
        <v>52</v>
      </c>
      <c r="G9" s="43" t="s">
        <v>53</v>
      </c>
      <c r="H9" s="43" t="s">
        <v>54</v>
      </c>
      <c r="I9" s="44" t="s">
        <v>55</v>
      </c>
      <c r="J9" s="44" t="s">
        <v>56</v>
      </c>
    </row>
    <row r="10" ht="30" customHeight="1" spans="1:10">
      <c r="A10" s="27">
        <v>6</v>
      </c>
      <c r="B10" s="28" t="s">
        <v>57</v>
      </c>
      <c r="C10" s="28" t="s">
        <v>58</v>
      </c>
      <c r="D10" s="27" t="s">
        <v>42</v>
      </c>
      <c r="E10" s="28" t="s">
        <v>59</v>
      </c>
      <c r="F10" s="28" t="s">
        <v>60</v>
      </c>
      <c r="G10" s="27" t="s">
        <v>61</v>
      </c>
      <c r="H10" s="27" t="s">
        <v>62</v>
      </c>
      <c r="I10" s="28" t="s">
        <v>63</v>
      </c>
      <c r="J10" s="28" t="s">
        <v>64</v>
      </c>
    </row>
    <row r="11" ht="30" customHeight="1" spans="1:10">
      <c r="A11" s="43">
        <v>7</v>
      </c>
      <c r="B11" s="44" t="s">
        <v>65</v>
      </c>
      <c r="C11" s="44" t="s">
        <v>66</v>
      </c>
      <c r="D11" s="43" t="s">
        <v>33</v>
      </c>
      <c r="E11" s="44" t="s">
        <v>67</v>
      </c>
      <c r="F11" s="44" t="s">
        <v>68</v>
      </c>
      <c r="G11" s="43" t="s">
        <v>69</v>
      </c>
      <c r="H11" s="43" t="s">
        <v>70</v>
      </c>
      <c r="I11" s="44" t="s">
        <v>71</v>
      </c>
      <c r="J11" s="44" t="s">
        <v>72</v>
      </c>
    </row>
    <row r="12" ht="15.15"/>
    <row r="13" ht="21.75" customHeight="1" spans="1:10">
      <c r="A13" s="19" t="s">
        <v>73</v>
      </c>
      <c r="B13" s="19"/>
      <c r="C13" s="19"/>
      <c r="D13" s="19"/>
      <c r="E13" s="19"/>
      <c r="F13" s="19"/>
      <c r="G13" s="19"/>
      <c r="H13" s="19"/>
      <c r="I13" s="19"/>
      <c r="J13" s="19"/>
    </row>
    <row r="14" ht="42" customHeight="1" spans="1:10">
      <c r="A14" s="3" t="s">
        <v>3</v>
      </c>
      <c r="B14" s="3" t="s">
        <v>74</v>
      </c>
      <c r="C14" s="3" t="s">
        <v>75</v>
      </c>
      <c r="D14" s="3" t="s">
        <v>76</v>
      </c>
      <c r="E14" s="3" t="s">
        <v>77</v>
      </c>
      <c r="F14" s="3" t="s">
        <v>8</v>
      </c>
      <c r="G14" s="3" t="s">
        <v>78</v>
      </c>
      <c r="H14" s="3" t="s">
        <v>79</v>
      </c>
      <c r="I14" s="3" t="s">
        <v>80</v>
      </c>
      <c r="J14" s="3" t="s">
        <v>81</v>
      </c>
    </row>
    <row r="15" ht="27.75" customHeight="1" spans="1:10">
      <c r="A15" s="25">
        <v>1</v>
      </c>
      <c r="B15" s="26" t="s">
        <v>82</v>
      </c>
      <c r="C15" s="26" t="s">
        <v>83</v>
      </c>
      <c r="D15" s="25" t="s">
        <v>84</v>
      </c>
      <c r="E15" s="26" t="s">
        <v>85</v>
      </c>
      <c r="F15" s="26" t="s">
        <v>86</v>
      </c>
      <c r="G15" s="25" t="s">
        <v>87</v>
      </c>
      <c r="H15" s="25" t="s">
        <v>88</v>
      </c>
      <c r="I15" s="26" t="s">
        <v>89</v>
      </c>
      <c r="J15" s="26" t="s">
        <v>90</v>
      </c>
    </row>
    <row r="16" ht="27.75" customHeight="1" spans="1:10">
      <c r="A16" s="25">
        <v>2</v>
      </c>
      <c r="B16" s="26" t="s">
        <v>91</v>
      </c>
      <c r="C16" s="26" t="s">
        <v>92</v>
      </c>
      <c r="D16" s="25" t="s">
        <v>93</v>
      </c>
      <c r="E16" s="26" t="s">
        <v>16</v>
      </c>
      <c r="F16" s="26" t="s">
        <v>94</v>
      </c>
      <c r="G16" s="25" t="s">
        <v>95</v>
      </c>
      <c r="H16" s="25" t="s">
        <v>96</v>
      </c>
      <c r="I16" s="26" t="s">
        <v>97</v>
      </c>
      <c r="J16" s="26" t="s">
        <v>98</v>
      </c>
    </row>
    <row r="17" ht="27.75" customHeight="1" spans="1:10">
      <c r="A17" s="25">
        <v>3</v>
      </c>
      <c r="B17" s="26" t="s">
        <v>99</v>
      </c>
      <c r="C17" s="26" t="s">
        <v>100</v>
      </c>
      <c r="D17" s="25" t="s">
        <v>101</v>
      </c>
      <c r="E17" s="26" t="s">
        <v>25</v>
      </c>
      <c r="F17" s="26" t="s">
        <v>102</v>
      </c>
      <c r="G17" s="25" t="s">
        <v>103</v>
      </c>
      <c r="H17" s="25" t="s">
        <v>104</v>
      </c>
      <c r="I17" s="26" t="s">
        <v>105</v>
      </c>
      <c r="J17" s="26" t="s">
        <v>106</v>
      </c>
    </row>
    <row r="18" ht="27.75" customHeight="1" spans="1:10">
      <c r="A18" s="27">
        <v>4</v>
      </c>
      <c r="B18" s="28" t="s">
        <v>107</v>
      </c>
      <c r="C18" s="28" t="s">
        <v>108</v>
      </c>
      <c r="D18" s="27" t="s">
        <v>109</v>
      </c>
      <c r="E18" s="28" t="s">
        <v>34</v>
      </c>
      <c r="F18" s="28" t="s">
        <v>110</v>
      </c>
      <c r="G18" s="27" t="s">
        <v>111</v>
      </c>
      <c r="H18" s="27" t="s">
        <v>88</v>
      </c>
      <c r="I18" s="28" t="s">
        <v>112</v>
      </c>
      <c r="J18" s="28" t="s">
        <v>113</v>
      </c>
    </row>
    <row r="19" ht="27.75" customHeight="1" spans="1:10">
      <c r="A19" s="27">
        <v>5</v>
      </c>
      <c r="B19" s="28" t="s">
        <v>114</v>
      </c>
      <c r="C19" s="28" t="s">
        <v>115</v>
      </c>
      <c r="D19" s="27" t="s">
        <v>116</v>
      </c>
      <c r="E19" s="28" t="s">
        <v>59</v>
      </c>
      <c r="F19" s="28" t="s">
        <v>117</v>
      </c>
      <c r="G19" s="27" t="s">
        <v>118</v>
      </c>
      <c r="H19" s="27" t="s">
        <v>88</v>
      </c>
      <c r="I19" s="28" t="s">
        <v>119</v>
      </c>
      <c r="J19" s="28" t="s">
        <v>120</v>
      </c>
    </row>
    <row r="20" ht="27.75" customHeight="1" spans="1:10">
      <c r="A20" s="27">
        <v>6</v>
      </c>
      <c r="B20" s="28" t="s">
        <v>121</v>
      </c>
      <c r="C20" s="28" t="s">
        <v>122</v>
      </c>
      <c r="D20" s="27" t="s">
        <v>123</v>
      </c>
      <c r="E20" s="28" t="s">
        <v>51</v>
      </c>
      <c r="F20" s="28" t="s">
        <v>124</v>
      </c>
      <c r="G20" s="27" t="s">
        <v>125</v>
      </c>
      <c r="H20" s="27" t="s">
        <v>96</v>
      </c>
      <c r="I20" s="28" t="s">
        <v>89</v>
      </c>
      <c r="J20" s="28" t="s">
        <v>126</v>
      </c>
    </row>
    <row r="21" ht="27.75" customHeight="1" spans="1:10">
      <c r="A21" s="27">
        <v>7</v>
      </c>
      <c r="B21" s="28" t="s">
        <v>127</v>
      </c>
      <c r="C21" s="28" t="s">
        <v>100</v>
      </c>
      <c r="D21" s="27" t="s">
        <v>128</v>
      </c>
      <c r="E21" s="28" t="s">
        <v>25</v>
      </c>
      <c r="F21" s="28" t="s">
        <v>129</v>
      </c>
      <c r="G21" s="27" t="s">
        <v>130</v>
      </c>
      <c r="H21" s="27" t="s">
        <v>104</v>
      </c>
      <c r="I21" s="28" t="s">
        <v>131</v>
      </c>
      <c r="J21" s="28" t="s">
        <v>132</v>
      </c>
    </row>
    <row r="22" ht="27.75" customHeight="1" spans="1:10">
      <c r="A22" s="29">
        <v>8</v>
      </c>
      <c r="B22" s="30" t="s">
        <v>133</v>
      </c>
      <c r="C22" s="30" t="s">
        <v>83</v>
      </c>
      <c r="D22" s="29" t="s">
        <v>134</v>
      </c>
      <c r="E22" s="30" t="s">
        <v>43</v>
      </c>
      <c r="F22" s="30" t="s">
        <v>86</v>
      </c>
      <c r="G22" s="29" t="s">
        <v>135</v>
      </c>
      <c r="H22" s="29" t="s">
        <v>88</v>
      </c>
      <c r="I22" s="30" t="s">
        <v>136</v>
      </c>
      <c r="J22" s="30" t="s">
        <v>137</v>
      </c>
    </row>
    <row r="23" ht="27.75" customHeight="1" spans="1:10">
      <c r="A23" s="29">
        <v>9</v>
      </c>
      <c r="B23" s="30" t="s">
        <v>138</v>
      </c>
      <c r="C23" s="30" t="s">
        <v>139</v>
      </c>
      <c r="D23" s="29" t="s">
        <v>140</v>
      </c>
      <c r="E23" s="30" t="s">
        <v>67</v>
      </c>
      <c r="F23" s="30" t="s">
        <v>110</v>
      </c>
      <c r="G23" s="29" t="s">
        <v>141</v>
      </c>
      <c r="H23" s="29" t="s">
        <v>88</v>
      </c>
      <c r="I23" s="30" t="s">
        <v>119</v>
      </c>
      <c r="J23" s="30" t="s">
        <v>142</v>
      </c>
    </row>
    <row r="24" ht="27.75" customHeight="1" spans="1:10">
      <c r="A24" s="29">
        <v>10</v>
      </c>
      <c r="B24" s="30" t="s">
        <v>143</v>
      </c>
      <c r="C24" s="30" t="s">
        <v>108</v>
      </c>
      <c r="D24" s="29" t="s">
        <v>144</v>
      </c>
      <c r="E24" s="30" t="s">
        <v>34</v>
      </c>
      <c r="F24" s="30" t="s">
        <v>102</v>
      </c>
      <c r="G24" s="29" t="s">
        <v>145</v>
      </c>
      <c r="H24" s="29" t="s">
        <v>88</v>
      </c>
      <c r="I24" s="30" t="s">
        <v>105</v>
      </c>
      <c r="J24" s="30" t="s">
        <v>146</v>
      </c>
    </row>
    <row r="25" ht="27.75" customHeight="1" spans="1:10">
      <c r="A25" s="29">
        <v>11</v>
      </c>
      <c r="B25" s="30" t="s">
        <v>147</v>
      </c>
      <c r="C25" s="30" t="s">
        <v>148</v>
      </c>
      <c r="D25" s="29" t="s">
        <v>149</v>
      </c>
      <c r="E25" s="30" t="s">
        <v>16</v>
      </c>
      <c r="F25" s="30" t="s">
        <v>94</v>
      </c>
      <c r="G25" s="29" t="s">
        <v>150</v>
      </c>
      <c r="H25" s="29" t="s">
        <v>96</v>
      </c>
      <c r="I25" s="30" t="s">
        <v>119</v>
      </c>
      <c r="J25" s="30" t="s">
        <v>151</v>
      </c>
    </row>
    <row r="26" ht="27.75" customHeight="1" spans="1:10">
      <c r="A26" s="29">
        <v>12</v>
      </c>
      <c r="B26" s="30" t="s">
        <v>152</v>
      </c>
      <c r="C26" s="30" t="s">
        <v>100</v>
      </c>
      <c r="D26" s="29" t="s">
        <v>153</v>
      </c>
      <c r="E26" s="30" t="s">
        <v>25</v>
      </c>
      <c r="F26" s="30" t="s">
        <v>117</v>
      </c>
      <c r="G26" s="29" t="s">
        <v>154</v>
      </c>
      <c r="H26" s="29" t="s">
        <v>104</v>
      </c>
      <c r="I26" s="30" t="s">
        <v>155</v>
      </c>
      <c r="J26" s="30" t="s">
        <v>156</v>
      </c>
    </row>
    <row r="27" ht="15.15"/>
    <row r="28" ht="21.75" customHeight="1" spans="1:10">
      <c r="A28" s="31" t="s">
        <v>157</v>
      </c>
      <c r="B28" s="31"/>
      <c r="C28" s="31"/>
      <c r="D28" s="31"/>
      <c r="E28" s="31"/>
      <c r="F28" s="31"/>
      <c r="G28" s="31"/>
      <c r="H28" s="31"/>
      <c r="I28" s="31"/>
      <c r="J28" s="31"/>
    </row>
    <row r="29" ht="36" customHeight="1" spans="1:10">
      <c r="A29" s="32" t="s">
        <v>158</v>
      </c>
      <c r="B29" s="32" t="s">
        <v>159</v>
      </c>
      <c r="C29" s="32" t="s">
        <v>160</v>
      </c>
      <c r="D29" s="32" t="s">
        <v>161</v>
      </c>
      <c r="E29" s="32" t="s">
        <v>162</v>
      </c>
      <c r="F29" s="32" t="s">
        <v>12</v>
      </c>
      <c r="G29" s="32" t="s">
        <v>97</v>
      </c>
      <c r="H29" s="32" t="s">
        <v>97</v>
      </c>
      <c r="I29" s="32" t="s">
        <v>97</v>
      </c>
      <c r="J29" s="32" t="s">
        <v>97</v>
      </c>
    </row>
    <row r="30" ht="21.75" customHeight="1" spans="1:10">
      <c r="A30" s="33" t="s">
        <v>163</v>
      </c>
      <c r="B30" s="45">
        <v>6</v>
      </c>
      <c r="C30" s="45">
        <v>7</v>
      </c>
      <c r="D30" s="45">
        <v>7</v>
      </c>
      <c r="E30" s="46">
        <v>7</v>
      </c>
      <c r="F30" s="5" t="s">
        <v>164</v>
      </c>
      <c r="G30" s="4" t="s">
        <v>97</v>
      </c>
      <c r="H30" s="4" t="s">
        <v>97</v>
      </c>
      <c r="I30" s="4" t="s">
        <v>97</v>
      </c>
      <c r="J30" s="4" t="s">
        <v>97</v>
      </c>
    </row>
    <row r="31" ht="21.75" customHeight="1" spans="1:10">
      <c r="A31" s="35" t="s">
        <v>165</v>
      </c>
      <c r="B31" s="47">
        <v>3</v>
      </c>
      <c r="C31" s="47">
        <v>4</v>
      </c>
      <c r="D31" s="47">
        <v>5</v>
      </c>
      <c r="E31" s="48">
        <v>12</v>
      </c>
      <c r="F31" s="11" t="s">
        <v>166</v>
      </c>
      <c r="G31" s="10" t="s">
        <v>97</v>
      </c>
      <c r="H31" s="10" t="s">
        <v>97</v>
      </c>
      <c r="I31" s="10" t="s">
        <v>97</v>
      </c>
      <c r="J31" s="10" t="s">
        <v>97</v>
      </c>
    </row>
    <row r="32" ht="21.75" customHeight="1" spans="1:10">
      <c r="A32" s="33" t="s">
        <v>167</v>
      </c>
      <c r="B32" s="45">
        <v>590</v>
      </c>
      <c r="C32" s="45">
        <v>825</v>
      </c>
      <c r="D32" s="45">
        <v>1165</v>
      </c>
      <c r="E32" s="46">
        <v>2580</v>
      </c>
      <c r="F32" s="5" t="s">
        <v>168</v>
      </c>
      <c r="G32" s="4" t="s">
        <v>97</v>
      </c>
      <c r="H32" s="4" t="s">
        <v>97</v>
      </c>
      <c r="I32" s="4" t="s">
        <v>97</v>
      </c>
      <c r="J32" s="4" t="s">
        <v>97</v>
      </c>
    </row>
    <row r="33" ht="21.75" customHeight="1" spans="1:10">
      <c r="A33" s="35" t="s">
        <v>169</v>
      </c>
      <c r="B33" s="47">
        <v>2</v>
      </c>
      <c r="C33" s="47">
        <v>3</v>
      </c>
      <c r="D33" s="47">
        <v>4</v>
      </c>
      <c r="E33" s="48">
        <v>9</v>
      </c>
      <c r="F33" s="11" t="s">
        <v>170</v>
      </c>
      <c r="G33" s="10" t="s">
        <v>97</v>
      </c>
      <c r="H33" s="10" t="s">
        <v>97</v>
      </c>
      <c r="I33" s="10" t="s">
        <v>97</v>
      </c>
      <c r="J33" s="10" t="s">
        <v>97</v>
      </c>
    </row>
    <row r="34" ht="21.75" customHeight="1" spans="1:10">
      <c r="A34" s="33" t="s">
        <v>171</v>
      </c>
      <c r="B34" s="45">
        <v>4</v>
      </c>
      <c r="C34" s="45">
        <v>5</v>
      </c>
      <c r="D34" s="45">
        <v>6</v>
      </c>
      <c r="E34" s="46">
        <v>9</v>
      </c>
      <c r="F34" s="5" t="s">
        <v>172</v>
      </c>
      <c r="G34" s="4" t="s">
        <v>97</v>
      </c>
      <c r="H34" s="4" t="s">
        <v>97</v>
      </c>
      <c r="I34" s="4" t="s">
        <v>97</v>
      </c>
      <c r="J34" s="4" t="s">
        <v>97</v>
      </c>
    </row>
    <row r="35" ht="21.75" customHeight="1" spans="1:10">
      <c r="A35" s="35" t="s">
        <v>173</v>
      </c>
      <c r="B35" s="47">
        <v>5</v>
      </c>
      <c r="C35" s="47">
        <v>5</v>
      </c>
      <c r="D35" s="47">
        <v>5</v>
      </c>
      <c r="E35" s="48">
        <v>5</v>
      </c>
      <c r="F35" s="11" t="s">
        <v>174</v>
      </c>
      <c r="G35" s="10" t="s">
        <v>97</v>
      </c>
      <c r="H35" s="10" t="s">
        <v>97</v>
      </c>
      <c r="I35" s="10" t="s">
        <v>97</v>
      </c>
      <c r="J35" s="10" t="s">
        <v>97</v>
      </c>
    </row>
    <row r="36" ht="15.15"/>
    <row r="37" ht="21.75" customHeight="1" spans="1:10">
      <c r="A37" s="15" t="s">
        <v>175</v>
      </c>
      <c r="B37" s="15"/>
      <c r="C37" s="15"/>
      <c r="D37" s="15"/>
      <c r="E37" s="15"/>
      <c r="F37" s="15"/>
      <c r="G37" s="37"/>
      <c r="H37" s="37"/>
      <c r="I37" s="37"/>
      <c r="J37" s="37"/>
    </row>
    <row r="38" ht="36" customHeight="1" spans="1:10">
      <c r="A38" s="32" t="s">
        <v>176</v>
      </c>
      <c r="B38" s="32" t="s">
        <v>177</v>
      </c>
      <c r="C38" s="32" t="s">
        <v>178</v>
      </c>
      <c r="D38" s="32" t="s">
        <v>179</v>
      </c>
      <c r="E38" s="32" t="s">
        <v>180</v>
      </c>
      <c r="F38" s="32" t="s">
        <v>181</v>
      </c>
    </row>
    <row r="39" ht="24" customHeight="1" spans="1:10">
      <c r="A39" s="38" t="s">
        <v>182</v>
      </c>
      <c r="B39" s="16">
        <v>5</v>
      </c>
      <c r="C39" s="16">
        <v>5</v>
      </c>
      <c r="D39" s="16">
        <v>5</v>
      </c>
      <c r="E39" s="16">
        <v>5</v>
      </c>
      <c r="F39" s="8">
        <v>5</v>
      </c>
      <c r="G39" s="37"/>
      <c r="H39" s="37"/>
      <c r="I39" s="37"/>
      <c r="J39" s="37"/>
    </row>
  </sheetData>
  <mergeCells count="6">
    <mergeCell ref="A1:J1"/>
    <mergeCell ref="A2:J2"/>
    <mergeCell ref="A3:J3"/>
    <mergeCell ref="A13:J13"/>
    <mergeCell ref="A28:J28"/>
    <mergeCell ref="A37:F37"/>
  </mergeCells>
  <pageMargins left="0.75" right="0.75" top="1" bottom="1" header="0.511811023622047" footer="0.511811023622047"/>
  <pageSetup paperSize="9" orientation="portrait" horizontalDpi="300" verticalDpi="300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70"/>
  <sheetViews>
    <sheetView showGridLines="0" workbookViewId="0">
      <selection activeCell="A1" sqref="A1:J1"/>
    </sheetView>
  </sheetViews>
  <sheetFormatPr defaultColWidth="8.67592592592593" defaultRowHeight="14.4"/>
  <cols>
    <col min="1" max="1" width="29.5555555555556" customWidth="1"/>
    <col min="2" max="2" width="24" customWidth="1"/>
    <col min="3" max="3" width="14" customWidth="1"/>
    <col min="4" max="4" width="16" customWidth="1"/>
    <col min="5" max="5" width="14" customWidth="1"/>
    <col min="6" max="6" width="12" customWidth="1"/>
    <col min="7" max="8" width="10" customWidth="1"/>
    <col min="9" max="9" width="12" customWidth="1"/>
    <col min="10" max="10" width="14" customWidth="1"/>
  </cols>
  <sheetData>
    <row r="1" ht="36" customHeight="1" spans="1:10">
      <c r="A1" s="24" t="s">
        <v>183</v>
      </c>
      <c r="B1" s="24"/>
      <c r="C1" s="24"/>
      <c r="D1" s="24"/>
      <c r="E1" s="24"/>
      <c r="F1" s="24"/>
      <c r="G1" s="24"/>
      <c r="H1" s="24"/>
      <c r="I1" s="24"/>
      <c r="J1" s="24"/>
    </row>
    <row r="2" ht="19.5" customHeight="1" spans="1:10">
      <c r="A2" s="2" t="s">
        <v>184</v>
      </c>
      <c r="B2" s="2"/>
      <c r="C2" s="2"/>
      <c r="D2" s="2"/>
      <c r="E2" s="2"/>
      <c r="F2" s="2"/>
      <c r="G2" s="2"/>
      <c r="H2" s="2"/>
      <c r="I2" s="2"/>
      <c r="J2" s="2"/>
    </row>
    <row r="3" ht="42" customHeight="1" spans="1:10">
      <c r="A3" s="3" t="s">
        <v>3</v>
      </c>
      <c r="B3" s="3" t="s">
        <v>185</v>
      </c>
      <c r="C3" s="3" t="s">
        <v>186</v>
      </c>
      <c r="D3" s="3" t="s">
        <v>74</v>
      </c>
      <c r="E3" s="3" t="s">
        <v>187</v>
      </c>
      <c r="F3" s="3" t="s">
        <v>76</v>
      </c>
      <c r="G3" s="3" t="s">
        <v>75</v>
      </c>
      <c r="H3" s="3" t="s">
        <v>188</v>
      </c>
      <c r="I3" s="3" t="s">
        <v>189</v>
      </c>
      <c r="J3" s="3" t="s">
        <v>12</v>
      </c>
    </row>
    <row r="4" ht="25.5" customHeight="1" spans="1:10">
      <c r="A4" s="25">
        <v>1</v>
      </c>
      <c r="B4" s="26" t="s">
        <v>86</v>
      </c>
      <c r="C4" s="25" t="s">
        <v>190</v>
      </c>
      <c r="D4" s="26" t="s">
        <v>191</v>
      </c>
      <c r="E4" s="26" t="s">
        <v>192</v>
      </c>
      <c r="F4" s="25" t="s">
        <v>193</v>
      </c>
      <c r="G4" s="26" t="s">
        <v>83</v>
      </c>
      <c r="H4" s="25" t="s">
        <v>194</v>
      </c>
      <c r="I4" s="25" t="s">
        <v>195</v>
      </c>
      <c r="J4" s="26" t="s">
        <v>196</v>
      </c>
    </row>
    <row r="5" ht="25.5" customHeight="1" spans="1:10">
      <c r="A5" s="25">
        <v>2</v>
      </c>
      <c r="B5" s="26" t="s">
        <v>94</v>
      </c>
      <c r="C5" s="25" t="s">
        <v>190</v>
      </c>
      <c r="D5" s="26" t="s">
        <v>197</v>
      </c>
      <c r="E5" s="26" t="s">
        <v>198</v>
      </c>
      <c r="F5" s="25" t="s">
        <v>199</v>
      </c>
      <c r="G5" s="26" t="s">
        <v>108</v>
      </c>
      <c r="H5" s="25" t="s">
        <v>200</v>
      </c>
      <c r="I5" s="25" t="s">
        <v>201</v>
      </c>
      <c r="J5" s="26" t="s">
        <v>202</v>
      </c>
    </row>
    <row r="6" ht="25.5" customHeight="1" spans="1:10">
      <c r="A6" s="25">
        <v>3</v>
      </c>
      <c r="B6" s="26" t="s">
        <v>102</v>
      </c>
      <c r="C6" s="25" t="s">
        <v>190</v>
      </c>
      <c r="D6" s="26" t="s">
        <v>203</v>
      </c>
      <c r="E6" s="26" t="s">
        <v>204</v>
      </c>
      <c r="F6" s="25" t="s">
        <v>205</v>
      </c>
      <c r="G6" s="26" t="s">
        <v>83</v>
      </c>
      <c r="H6" s="25" t="s">
        <v>206</v>
      </c>
      <c r="I6" s="25" t="s">
        <v>195</v>
      </c>
      <c r="J6" s="26" t="s">
        <v>207</v>
      </c>
    </row>
    <row r="7" ht="25.5" customHeight="1" spans="1:10">
      <c r="A7" s="25">
        <v>4</v>
      </c>
      <c r="B7" s="26" t="s">
        <v>117</v>
      </c>
      <c r="C7" s="25" t="s">
        <v>208</v>
      </c>
      <c r="D7" s="26" t="s">
        <v>209</v>
      </c>
      <c r="E7" s="26" t="s">
        <v>210</v>
      </c>
      <c r="F7" s="25" t="s">
        <v>211</v>
      </c>
      <c r="G7" s="26" t="s">
        <v>108</v>
      </c>
      <c r="H7" s="25" t="s">
        <v>212</v>
      </c>
      <c r="I7" s="25" t="s">
        <v>213</v>
      </c>
      <c r="J7" s="26" t="s">
        <v>214</v>
      </c>
    </row>
    <row r="8" ht="25.5" customHeight="1" spans="1:10">
      <c r="A8" s="25">
        <v>5</v>
      </c>
      <c r="B8" s="26" t="s">
        <v>129</v>
      </c>
      <c r="C8" s="25" t="s">
        <v>190</v>
      </c>
      <c r="D8" s="26" t="s">
        <v>215</v>
      </c>
      <c r="E8" s="26" t="s">
        <v>216</v>
      </c>
      <c r="F8" s="25" t="s">
        <v>217</v>
      </c>
      <c r="G8" s="26" t="s">
        <v>139</v>
      </c>
      <c r="H8" s="25" t="s">
        <v>218</v>
      </c>
      <c r="I8" s="25" t="s">
        <v>219</v>
      </c>
      <c r="J8" s="26" t="s">
        <v>220</v>
      </c>
    </row>
    <row r="9" ht="25.5" customHeight="1" spans="1:10">
      <c r="A9" s="25">
        <v>6</v>
      </c>
      <c r="B9" s="26" t="s">
        <v>110</v>
      </c>
      <c r="C9" s="25" t="s">
        <v>190</v>
      </c>
      <c r="D9" s="26" t="s">
        <v>221</v>
      </c>
      <c r="E9" s="26" t="s">
        <v>222</v>
      </c>
      <c r="F9" s="25" t="s">
        <v>205</v>
      </c>
      <c r="G9" s="26" t="s">
        <v>108</v>
      </c>
      <c r="H9" s="25" t="s">
        <v>223</v>
      </c>
      <c r="I9" s="25" t="s">
        <v>213</v>
      </c>
      <c r="J9" s="26" t="s">
        <v>224</v>
      </c>
    </row>
    <row r="10" ht="25.5" customHeight="1" spans="1:10">
      <c r="A10" s="25">
        <v>7</v>
      </c>
      <c r="B10" s="26" t="s">
        <v>124</v>
      </c>
      <c r="C10" s="25" t="s">
        <v>208</v>
      </c>
      <c r="D10" s="26" t="s">
        <v>225</v>
      </c>
      <c r="E10" s="26" t="s">
        <v>226</v>
      </c>
      <c r="F10" s="25" t="s">
        <v>193</v>
      </c>
      <c r="G10" s="26" t="s">
        <v>227</v>
      </c>
      <c r="H10" s="25" t="s">
        <v>228</v>
      </c>
      <c r="I10" s="25" t="s">
        <v>229</v>
      </c>
      <c r="J10" s="26" t="s">
        <v>230</v>
      </c>
    </row>
    <row r="11" ht="25.5" customHeight="1" spans="1:10">
      <c r="A11" s="25">
        <v>8</v>
      </c>
      <c r="B11" s="26" t="s">
        <v>231</v>
      </c>
      <c r="C11" s="25" t="s">
        <v>190</v>
      </c>
      <c r="D11" s="26" t="s">
        <v>232</v>
      </c>
      <c r="E11" s="26" t="s">
        <v>233</v>
      </c>
      <c r="F11" s="25" t="s">
        <v>84</v>
      </c>
      <c r="G11" s="26" t="s">
        <v>234</v>
      </c>
      <c r="H11" s="25" t="s">
        <v>235</v>
      </c>
      <c r="I11" s="25" t="s">
        <v>219</v>
      </c>
      <c r="J11" s="26" t="s">
        <v>236</v>
      </c>
    </row>
    <row r="12" ht="25.5" customHeight="1" spans="1:10">
      <c r="A12" s="25">
        <v>9</v>
      </c>
      <c r="B12" s="26" t="s">
        <v>237</v>
      </c>
      <c r="C12" s="25" t="s">
        <v>208</v>
      </c>
      <c r="D12" s="26" t="s">
        <v>238</v>
      </c>
      <c r="E12" s="26" t="s">
        <v>239</v>
      </c>
      <c r="F12" s="25" t="s">
        <v>93</v>
      </c>
      <c r="G12" s="26" t="s">
        <v>115</v>
      </c>
      <c r="H12" s="25" t="s">
        <v>240</v>
      </c>
      <c r="I12" s="25" t="s">
        <v>213</v>
      </c>
      <c r="J12" s="26" t="s">
        <v>241</v>
      </c>
    </row>
    <row r="13" ht="25.5" customHeight="1" spans="1:10">
      <c r="A13" s="25">
        <v>10</v>
      </c>
      <c r="B13" s="26" t="s">
        <v>242</v>
      </c>
      <c r="C13" s="25" t="s">
        <v>190</v>
      </c>
      <c r="D13" s="26" t="s">
        <v>243</v>
      </c>
      <c r="E13" s="26" t="s">
        <v>244</v>
      </c>
      <c r="F13" s="25" t="s">
        <v>217</v>
      </c>
      <c r="G13" s="26" t="s">
        <v>245</v>
      </c>
      <c r="H13" s="25" t="s">
        <v>246</v>
      </c>
      <c r="I13" s="25" t="s">
        <v>229</v>
      </c>
      <c r="J13" s="26" t="s">
        <v>247</v>
      </c>
    </row>
    <row r="14" ht="25.5" customHeight="1" spans="1:10">
      <c r="A14" s="25">
        <v>11</v>
      </c>
      <c r="B14" s="26" t="s">
        <v>248</v>
      </c>
      <c r="C14" s="25" t="s">
        <v>190</v>
      </c>
      <c r="D14" s="26" t="s">
        <v>249</v>
      </c>
      <c r="E14" s="26" t="s">
        <v>250</v>
      </c>
      <c r="F14" s="25" t="s">
        <v>93</v>
      </c>
      <c r="G14" s="26" t="s">
        <v>139</v>
      </c>
      <c r="H14" s="25" t="s">
        <v>251</v>
      </c>
      <c r="I14" s="25" t="s">
        <v>195</v>
      </c>
      <c r="J14" s="26" t="s">
        <v>252</v>
      </c>
    </row>
    <row r="15" ht="25.5" customHeight="1" spans="1:10">
      <c r="A15" s="25">
        <v>12</v>
      </c>
      <c r="B15" s="26" t="s">
        <v>253</v>
      </c>
      <c r="C15" s="25" t="s">
        <v>208</v>
      </c>
      <c r="D15" s="26" t="s">
        <v>254</v>
      </c>
      <c r="E15" s="26" t="s">
        <v>255</v>
      </c>
      <c r="F15" s="25" t="s">
        <v>101</v>
      </c>
      <c r="G15" s="26" t="s">
        <v>108</v>
      </c>
      <c r="H15" s="25" t="s">
        <v>212</v>
      </c>
      <c r="I15" s="25" t="s">
        <v>213</v>
      </c>
      <c r="J15" s="26" t="s">
        <v>256</v>
      </c>
    </row>
    <row r="16" ht="25.5" customHeight="1" spans="1:10">
      <c r="A16" s="25">
        <v>13</v>
      </c>
      <c r="B16" s="26" t="s">
        <v>257</v>
      </c>
      <c r="C16" s="25" t="s">
        <v>190</v>
      </c>
      <c r="D16" s="26" t="s">
        <v>258</v>
      </c>
      <c r="E16" s="26" t="s">
        <v>259</v>
      </c>
      <c r="F16" s="25" t="s">
        <v>211</v>
      </c>
      <c r="G16" s="26" t="s">
        <v>260</v>
      </c>
      <c r="H16" s="25" t="s">
        <v>261</v>
      </c>
      <c r="I16" s="25" t="s">
        <v>229</v>
      </c>
      <c r="J16" s="26" t="s">
        <v>262</v>
      </c>
    </row>
    <row r="17" ht="25.5" customHeight="1" spans="1:10">
      <c r="A17" s="25">
        <v>14</v>
      </c>
      <c r="B17" s="26" t="s">
        <v>263</v>
      </c>
      <c r="C17" s="25" t="s">
        <v>190</v>
      </c>
      <c r="D17" s="26" t="s">
        <v>264</v>
      </c>
      <c r="E17" s="26" t="s">
        <v>265</v>
      </c>
      <c r="F17" s="25" t="s">
        <v>93</v>
      </c>
      <c r="G17" s="26" t="s">
        <v>266</v>
      </c>
      <c r="H17" s="25" t="s">
        <v>267</v>
      </c>
      <c r="I17" s="25" t="s">
        <v>229</v>
      </c>
      <c r="J17" s="26" t="s">
        <v>268</v>
      </c>
    </row>
    <row r="18" ht="25.5" customHeight="1" spans="1:10">
      <c r="A18" s="25">
        <v>15</v>
      </c>
      <c r="B18" s="26" t="s">
        <v>269</v>
      </c>
      <c r="C18" s="25" t="s">
        <v>208</v>
      </c>
      <c r="D18" s="26" t="s">
        <v>270</v>
      </c>
      <c r="E18" s="26" t="s">
        <v>271</v>
      </c>
      <c r="F18" s="25" t="s">
        <v>101</v>
      </c>
      <c r="G18" s="26" t="s">
        <v>108</v>
      </c>
      <c r="H18" s="25" t="s">
        <v>223</v>
      </c>
      <c r="I18" s="25" t="s">
        <v>195</v>
      </c>
      <c r="J18" s="26" t="s">
        <v>272</v>
      </c>
    </row>
    <row r="19" ht="25.5" customHeight="1" spans="1:10">
      <c r="A19" s="27">
        <v>16</v>
      </c>
      <c r="B19" s="28" t="s">
        <v>86</v>
      </c>
      <c r="C19" s="27" t="s">
        <v>273</v>
      </c>
      <c r="D19" s="28" t="s">
        <v>274</v>
      </c>
      <c r="E19" s="28" t="s">
        <v>192</v>
      </c>
      <c r="F19" s="27" t="s">
        <v>275</v>
      </c>
      <c r="G19" s="28" t="s">
        <v>83</v>
      </c>
      <c r="H19" s="27" t="s">
        <v>276</v>
      </c>
      <c r="I19" s="27" t="s">
        <v>195</v>
      </c>
      <c r="J19" s="28" t="s">
        <v>277</v>
      </c>
    </row>
    <row r="20" ht="25.5" customHeight="1" spans="1:10">
      <c r="A20" s="27">
        <v>17</v>
      </c>
      <c r="B20" s="28" t="s">
        <v>110</v>
      </c>
      <c r="C20" s="27" t="s">
        <v>273</v>
      </c>
      <c r="D20" s="28" t="s">
        <v>278</v>
      </c>
      <c r="E20" s="28" t="s">
        <v>279</v>
      </c>
      <c r="F20" s="27" t="s">
        <v>280</v>
      </c>
      <c r="G20" s="28" t="s">
        <v>108</v>
      </c>
      <c r="H20" s="27" t="s">
        <v>281</v>
      </c>
      <c r="I20" s="27" t="s">
        <v>201</v>
      </c>
      <c r="J20" s="28" t="s">
        <v>282</v>
      </c>
    </row>
    <row r="21" ht="25.5" customHeight="1" spans="1:10">
      <c r="A21" s="27">
        <v>18</v>
      </c>
      <c r="B21" s="28" t="s">
        <v>117</v>
      </c>
      <c r="C21" s="27" t="s">
        <v>190</v>
      </c>
      <c r="D21" s="28" t="s">
        <v>283</v>
      </c>
      <c r="E21" s="28" t="s">
        <v>284</v>
      </c>
      <c r="F21" s="27" t="s">
        <v>109</v>
      </c>
      <c r="G21" s="28" t="s">
        <v>108</v>
      </c>
      <c r="H21" s="27" t="s">
        <v>285</v>
      </c>
      <c r="I21" s="27" t="s">
        <v>213</v>
      </c>
      <c r="J21" s="28" t="s">
        <v>286</v>
      </c>
    </row>
    <row r="22" ht="25.5" customHeight="1" spans="1:10">
      <c r="A22" s="27">
        <v>19</v>
      </c>
      <c r="B22" s="28" t="s">
        <v>102</v>
      </c>
      <c r="C22" s="27" t="s">
        <v>273</v>
      </c>
      <c r="D22" s="28" t="s">
        <v>287</v>
      </c>
      <c r="E22" s="28" t="s">
        <v>288</v>
      </c>
      <c r="F22" s="27" t="s">
        <v>116</v>
      </c>
      <c r="G22" s="28" t="s">
        <v>289</v>
      </c>
      <c r="H22" s="27" t="s">
        <v>290</v>
      </c>
      <c r="I22" s="27" t="s">
        <v>213</v>
      </c>
      <c r="J22" s="28" t="s">
        <v>291</v>
      </c>
    </row>
    <row r="23" ht="25.5" customHeight="1" spans="1:10">
      <c r="A23" s="27">
        <v>20</v>
      </c>
      <c r="B23" s="28" t="s">
        <v>124</v>
      </c>
      <c r="C23" s="27" t="s">
        <v>190</v>
      </c>
      <c r="D23" s="28" t="s">
        <v>292</v>
      </c>
      <c r="E23" s="28" t="s">
        <v>293</v>
      </c>
      <c r="F23" s="27" t="s">
        <v>123</v>
      </c>
      <c r="G23" s="28" t="s">
        <v>294</v>
      </c>
      <c r="H23" s="27" t="s">
        <v>295</v>
      </c>
      <c r="I23" s="27" t="s">
        <v>229</v>
      </c>
      <c r="J23" s="28" t="s">
        <v>296</v>
      </c>
    </row>
    <row r="24" ht="25.5" customHeight="1" spans="1:10">
      <c r="A24" s="27">
        <v>21</v>
      </c>
      <c r="B24" s="28" t="s">
        <v>94</v>
      </c>
      <c r="C24" s="27" t="s">
        <v>273</v>
      </c>
      <c r="D24" s="28" t="s">
        <v>297</v>
      </c>
      <c r="E24" s="28" t="s">
        <v>255</v>
      </c>
      <c r="F24" s="27" t="s">
        <v>298</v>
      </c>
      <c r="G24" s="28" t="s">
        <v>299</v>
      </c>
      <c r="H24" s="27" t="s">
        <v>300</v>
      </c>
      <c r="I24" s="27" t="s">
        <v>229</v>
      </c>
      <c r="J24" s="28" t="s">
        <v>301</v>
      </c>
    </row>
    <row r="25" ht="25.5" customHeight="1" spans="1:10">
      <c r="A25" s="27">
        <v>22</v>
      </c>
      <c r="B25" s="28" t="s">
        <v>129</v>
      </c>
      <c r="C25" s="27" t="s">
        <v>273</v>
      </c>
      <c r="D25" s="28" t="s">
        <v>302</v>
      </c>
      <c r="E25" s="28" t="s">
        <v>303</v>
      </c>
      <c r="F25" s="27" t="s">
        <v>275</v>
      </c>
      <c r="G25" s="28" t="s">
        <v>304</v>
      </c>
      <c r="H25" s="27" t="s">
        <v>305</v>
      </c>
      <c r="I25" s="27" t="s">
        <v>219</v>
      </c>
      <c r="J25" s="28" t="s">
        <v>306</v>
      </c>
    </row>
    <row r="26" ht="25.5" customHeight="1" spans="1:10">
      <c r="A26" s="27">
        <v>23</v>
      </c>
      <c r="B26" s="28" t="s">
        <v>231</v>
      </c>
      <c r="C26" s="27" t="s">
        <v>273</v>
      </c>
      <c r="D26" s="28" t="s">
        <v>307</v>
      </c>
      <c r="E26" s="28" t="s">
        <v>308</v>
      </c>
      <c r="F26" s="27" t="s">
        <v>116</v>
      </c>
      <c r="G26" s="28" t="s">
        <v>234</v>
      </c>
      <c r="H26" s="27" t="s">
        <v>309</v>
      </c>
      <c r="I26" s="27" t="s">
        <v>219</v>
      </c>
      <c r="J26" s="28" t="s">
        <v>310</v>
      </c>
    </row>
    <row r="27" ht="25.5" customHeight="1" spans="1:10">
      <c r="A27" s="27">
        <v>24</v>
      </c>
      <c r="B27" s="28" t="s">
        <v>253</v>
      </c>
      <c r="C27" s="27" t="s">
        <v>190</v>
      </c>
      <c r="D27" s="28" t="s">
        <v>311</v>
      </c>
      <c r="E27" s="28" t="s">
        <v>312</v>
      </c>
      <c r="F27" s="27" t="s">
        <v>313</v>
      </c>
      <c r="G27" s="28" t="s">
        <v>108</v>
      </c>
      <c r="H27" s="27" t="s">
        <v>212</v>
      </c>
      <c r="I27" s="27" t="s">
        <v>213</v>
      </c>
      <c r="J27" s="28" t="s">
        <v>314</v>
      </c>
    </row>
    <row r="28" ht="25.5" customHeight="1" spans="1:10">
      <c r="A28" s="27">
        <v>25</v>
      </c>
      <c r="B28" s="28" t="s">
        <v>237</v>
      </c>
      <c r="C28" s="27" t="s">
        <v>190</v>
      </c>
      <c r="D28" s="28" t="s">
        <v>315</v>
      </c>
      <c r="E28" s="28" t="s">
        <v>316</v>
      </c>
      <c r="F28" s="27" t="s">
        <v>275</v>
      </c>
      <c r="G28" s="28" t="s">
        <v>115</v>
      </c>
      <c r="H28" s="27" t="s">
        <v>317</v>
      </c>
      <c r="I28" s="27" t="s">
        <v>213</v>
      </c>
      <c r="J28" s="28" t="s">
        <v>318</v>
      </c>
    </row>
    <row r="29" ht="25.5" customHeight="1" spans="1:10">
      <c r="A29" s="27">
        <v>26</v>
      </c>
      <c r="B29" s="28" t="s">
        <v>248</v>
      </c>
      <c r="C29" s="27" t="s">
        <v>273</v>
      </c>
      <c r="D29" s="28" t="s">
        <v>319</v>
      </c>
      <c r="E29" s="28" t="s">
        <v>320</v>
      </c>
      <c r="F29" s="27" t="s">
        <v>123</v>
      </c>
      <c r="G29" s="28" t="s">
        <v>108</v>
      </c>
      <c r="H29" s="27" t="s">
        <v>321</v>
      </c>
      <c r="I29" s="27" t="s">
        <v>213</v>
      </c>
      <c r="J29" s="28" t="s">
        <v>322</v>
      </c>
    </row>
    <row r="30" ht="25.5" customHeight="1" spans="1:10">
      <c r="A30" s="27">
        <v>27</v>
      </c>
      <c r="B30" s="28" t="s">
        <v>242</v>
      </c>
      <c r="C30" s="27" t="s">
        <v>273</v>
      </c>
      <c r="D30" s="28" t="s">
        <v>323</v>
      </c>
      <c r="E30" s="28" t="s">
        <v>324</v>
      </c>
      <c r="F30" s="27" t="s">
        <v>275</v>
      </c>
      <c r="G30" s="28" t="s">
        <v>245</v>
      </c>
      <c r="H30" s="27" t="s">
        <v>325</v>
      </c>
      <c r="I30" s="27" t="s">
        <v>229</v>
      </c>
      <c r="J30" s="28" t="s">
        <v>326</v>
      </c>
    </row>
    <row r="31" ht="25.5" customHeight="1" spans="1:10">
      <c r="A31" s="27">
        <v>28</v>
      </c>
      <c r="B31" s="28" t="s">
        <v>263</v>
      </c>
      <c r="C31" s="27" t="s">
        <v>273</v>
      </c>
      <c r="D31" s="28" t="s">
        <v>327</v>
      </c>
      <c r="E31" s="28" t="s">
        <v>328</v>
      </c>
      <c r="F31" s="27" t="s">
        <v>280</v>
      </c>
      <c r="G31" s="28" t="s">
        <v>227</v>
      </c>
      <c r="H31" s="27" t="s">
        <v>329</v>
      </c>
      <c r="I31" s="27" t="s">
        <v>229</v>
      </c>
      <c r="J31" s="28" t="s">
        <v>330</v>
      </c>
    </row>
    <row r="32" ht="25.5" customHeight="1" spans="1:10">
      <c r="A32" s="27">
        <v>29</v>
      </c>
      <c r="B32" s="28" t="s">
        <v>257</v>
      </c>
      <c r="C32" s="27" t="s">
        <v>273</v>
      </c>
      <c r="D32" s="28" t="s">
        <v>331</v>
      </c>
      <c r="E32" s="28" t="s">
        <v>332</v>
      </c>
      <c r="F32" s="27" t="s">
        <v>116</v>
      </c>
      <c r="G32" s="28" t="s">
        <v>108</v>
      </c>
      <c r="H32" s="27" t="s">
        <v>223</v>
      </c>
      <c r="I32" s="27" t="s">
        <v>333</v>
      </c>
      <c r="J32" s="28" t="s">
        <v>334</v>
      </c>
    </row>
    <row r="33" ht="25.5" customHeight="1" spans="1:10">
      <c r="A33" s="27">
        <v>30</v>
      </c>
      <c r="B33" s="28" t="s">
        <v>269</v>
      </c>
      <c r="C33" s="27" t="s">
        <v>190</v>
      </c>
      <c r="D33" s="28" t="s">
        <v>335</v>
      </c>
      <c r="E33" s="28" t="s">
        <v>336</v>
      </c>
      <c r="F33" s="27" t="s">
        <v>313</v>
      </c>
      <c r="G33" s="28" t="s">
        <v>108</v>
      </c>
      <c r="H33" s="27" t="s">
        <v>251</v>
      </c>
      <c r="I33" s="27" t="s">
        <v>195</v>
      </c>
      <c r="J33" s="28" t="s">
        <v>337</v>
      </c>
    </row>
    <row r="34" ht="25.5" customHeight="1" spans="1:10">
      <c r="A34" s="27">
        <v>31</v>
      </c>
      <c r="B34" s="28" t="s">
        <v>338</v>
      </c>
      <c r="C34" s="27" t="s">
        <v>190</v>
      </c>
      <c r="D34" s="28" t="s">
        <v>274</v>
      </c>
      <c r="E34" s="28" t="s">
        <v>192</v>
      </c>
      <c r="F34" s="27" t="s">
        <v>275</v>
      </c>
      <c r="G34" s="28" t="s">
        <v>83</v>
      </c>
      <c r="H34" s="27" t="s">
        <v>339</v>
      </c>
      <c r="I34" s="27" t="s">
        <v>195</v>
      </c>
      <c r="J34" s="28" t="s">
        <v>340</v>
      </c>
    </row>
    <row r="35" ht="25.5" customHeight="1" spans="1:10">
      <c r="A35" s="27">
        <v>32</v>
      </c>
      <c r="B35" s="28" t="s">
        <v>341</v>
      </c>
      <c r="C35" s="27" t="s">
        <v>273</v>
      </c>
      <c r="D35" s="28" t="s">
        <v>342</v>
      </c>
      <c r="E35" s="28" t="s">
        <v>343</v>
      </c>
      <c r="F35" s="27" t="s">
        <v>123</v>
      </c>
      <c r="G35" s="28" t="s">
        <v>344</v>
      </c>
      <c r="H35" s="27" t="s">
        <v>345</v>
      </c>
      <c r="I35" s="27" t="s">
        <v>195</v>
      </c>
      <c r="J35" s="28" t="s">
        <v>346</v>
      </c>
    </row>
    <row r="36" ht="25.5" customHeight="1" spans="1:10">
      <c r="A36" s="27">
        <v>33</v>
      </c>
      <c r="B36" s="28" t="s">
        <v>347</v>
      </c>
      <c r="C36" s="27" t="s">
        <v>190</v>
      </c>
      <c r="D36" s="28" t="s">
        <v>348</v>
      </c>
      <c r="E36" s="28" t="s">
        <v>349</v>
      </c>
      <c r="F36" s="27" t="s">
        <v>313</v>
      </c>
      <c r="G36" s="28" t="s">
        <v>350</v>
      </c>
      <c r="H36" s="27" t="s">
        <v>351</v>
      </c>
      <c r="I36" s="27" t="s">
        <v>229</v>
      </c>
      <c r="J36" s="28" t="s">
        <v>352</v>
      </c>
    </row>
    <row r="37" ht="25.5" customHeight="1" spans="1:10">
      <c r="A37" s="29">
        <v>34</v>
      </c>
      <c r="B37" s="30" t="s">
        <v>110</v>
      </c>
      <c r="C37" s="29" t="s">
        <v>353</v>
      </c>
      <c r="D37" s="30" t="s">
        <v>354</v>
      </c>
      <c r="E37" s="30" t="s">
        <v>288</v>
      </c>
      <c r="F37" s="29" t="s">
        <v>144</v>
      </c>
      <c r="G37" s="30" t="s">
        <v>355</v>
      </c>
      <c r="H37" s="29" t="s">
        <v>356</v>
      </c>
      <c r="I37" s="29" t="s">
        <v>213</v>
      </c>
      <c r="J37" s="30" t="s">
        <v>357</v>
      </c>
    </row>
    <row r="38" ht="25.5" customHeight="1" spans="1:10">
      <c r="A38" s="29">
        <v>35</v>
      </c>
      <c r="B38" s="30" t="s">
        <v>117</v>
      </c>
      <c r="C38" s="29" t="s">
        <v>273</v>
      </c>
      <c r="D38" s="30" t="s">
        <v>358</v>
      </c>
      <c r="E38" s="30" t="s">
        <v>192</v>
      </c>
      <c r="F38" s="29" t="s">
        <v>140</v>
      </c>
      <c r="G38" s="30" t="s">
        <v>83</v>
      </c>
      <c r="H38" s="29" t="s">
        <v>359</v>
      </c>
      <c r="I38" s="29" t="s">
        <v>195</v>
      </c>
      <c r="J38" s="30" t="s">
        <v>360</v>
      </c>
    </row>
    <row r="39" ht="25.5" customHeight="1" spans="1:10">
      <c r="A39" s="29">
        <v>36</v>
      </c>
      <c r="B39" s="30" t="s">
        <v>338</v>
      </c>
      <c r="C39" s="29" t="s">
        <v>273</v>
      </c>
      <c r="D39" s="30" t="s">
        <v>361</v>
      </c>
      <c r="E39" s="30" t="s">
        <v>362</v>
      </c>
      <c r="F39" s="29" t="s">
        <v>363</v>
      </c>
      <c r="G39" s="30" t="s">
        <v>108</v>
      </c>
      <c r="H39" s="29" t="s">
        <v>364</v>
      </c>
      <c r="I39" s="29" t="s">
        <v>201</v>
      </c>
      <c r="J39" s="30" t="s">
        <v>365</v>
      </c>
    </row>
    <row r="40" ht="25.5" customHeight="1" spans="1:10">
      <c r="A40" s="29">
        <v>37</v>
      </c>
      <c r="B40" s="30" t="s">
        <v>269</v>
      </c>
      <c r="C40" s="29" t="s">
        <v>273</v>
      </c>
      <c r="D40" s="30" t="s">
        <v>366</v>
      </c>
      <c r="E40" s="30" t="s">
        <v>367</v>
      </c>
      <c r="F40" s="29" t="s">
        <v>134</v>
      </c>
      <c r="G40" s="30" t="s">
        <v>108</v>
      </c>
      <c r="H40" s="29" t="s">
        <v>223</v>
      </c>
      <c r="I40" s="29" t="s">
        <v>213</v>
      </c>
      <c r="J40" s="30" t="s">
        <v>368</v>
      </c>
    </row>
    <row r="41" ht="25.5" customHeight="1" spans="1:10">
      <c r="A41" s="29">
        <v>38</v>
      </c>
      <c r="B41" s="30" t="s">
        <v>341</v>
      </c>
      <c r="C41" s="29" t="s">
        <v>353</v>
      </c>
      <c r="D41" s="30" t="s">
        <v>369</v>
      </c>
      <c r="E41" s="30" t="s">
        <v>370</v>
      </c>
      <c r="F41" s="29" t="s">
        <v>140</v>
      </c>
      <c r="G41" s="30" t="s">
        <v>371</v>
      </c>
      <c r="H41" s="29" t="s">
        <v>372</v>
      </c>
      <c r="I41" s="29" t="s">
        <v>219</v>
      </c>
      <c r="J41" s="30" t="s">
        <v>373</v>
      </c>
    </row>
    <row r="42" ht="25.5" customHeight="1" spans="1:10">
      <c r="A42" s="29">
        <v>39</v>
      </c>
      <c r="B42" s="30" t="s">
        <v>347</v>
      </c>
      <c r="C42" s="29" t="s">
        <v>273</v>
      </c>
      <c r="D42" s="30" t="s">
        <v>374</v>
      </c>
      <c r="E42" s="30" t="s">
        <v>324</v>
      </c>
      <c r="F42" s="29" t="s">
        <v>375</v>
      </c>
      <c r="G42" s="30" t="s">
        <v>245</v>
      </c>
      <c r="H42" s="29" t="s">
        <v>376</v>
      </c>
      <c r="I42" s="29" t="s">
        <v>229</v>
      </c>
      <c r="J42" s="30" t="s">
        <v>377</v>
      </c>
    </row>
    <row r="43" ht="25.5" customHeight="1" spans="1:10">
      <c r="A43" s="29">
        <v>40</v>
      </c>
      <c r="B43" s="30" t="s">
        <v>242</v>
      </c>
      <c r="C43" s="29" t="s">
        <v>353</v>
      </c>
      <c r="D43" s="30" t="s">
        <v>378</v>
      </c>
      <c r="E43" s="30" t="s">
        <v>379</v>
      </c>
      <c r="F43" s="29" t="s">
        <v>153</v>
      </c>
      <c r="G43" s="30" t="s">
        <v>83</v>
      </c>
      <c r="H43" s="29" t="s">
        <v>380</v>
      </c>
      <c r="I43" s="29" t="s">
        <v>195</v>
      </c>
      <c r="J43" s="30" t="s">
        <v>381</v>
      </c>
    </row>
    <row r="44" ht="25.5" customHeight="1" spans="1:10">
      <c r="A44" s="29">
        <v>41</v>
      </c>
      <c r="B44" s="30" t="s">
        <v>237</v>
      </c>
      <c r="C44" s="29" t="s">
        <v>273</v>
      </c>
      <c r="D44" s="30" t="s">
        <v>382</v>
      </c>
      <c r="E44" s="30" t="s">
        <v>316</v>
      </c>
      <c r="F44" s="29" t="s">
        <v>140</v>
      </c>
      <c r="G44" s="30" t="s">
        <v>115</v>
      </c>
      <c r="H44" s="29" t="s">
        <v>383</v>
      </c>
      <c r="I44" s="29" t="s">
        <v>213</v>
      </c>
      <c r="J44" s="30" t="s">
        <v>384</v>
      </c>
    </row>
    <row r="45" ht="25.5" customHeight="1" spans="1:10">
      <c r="A45" s="29">
        <v>42</v>
      </c>
      <c r="B45" s="30" t="s">
        <v>253</v>
      </c>
      <c r="C45" s="29" t="s">
        <v>273</v>
      </c>
      <c r="D45" s="30" t="s">
        <v>385</v>
      </c>
      <c r="E45" s="30" t="s">
        <v>312</v>
      </c>
      <c r="F45" s="29" t="s">
        <v>144</v>
      </c>
      <c r="G45" s="30" t="s">
        <v>108</v>
      </c>
      <c r="H45" s="29" t="s">
        <v>251</v>
      </c>
      <c r="I45" s="29" t="s">
        <v>213</v>
      </c>
      <c r="J45" s="30" t="s">
        <v>386</v>
      </c>
    </row>
    <row r="46" ht="25.5" customHeight="1" spans="1:10">
      <c r="A46" s="29">
        <v>43</v>
      </c>
      <c r="B46" s="30" t="s">
        <v>248</v>
      </c>
      <c r="C46" s="29" t="s">
        <v>353</v>
      </c>
      <c r="D46" s="30" t="s">
        <v>387</v>
      </c>
      <c r="E46" s="30" t="s">
        <v>388</v>
      </c>
      <c r="F46" s="29" t="s">
        <v>149</v>
      </c>
      <c r="G46" s="30" t="s">
        <v>139</v>
      </c>
      <c r="H46" s="29" t="s">
        <v>389</v>
      </c>
      <c r="I46" s="29" t="s">
        <v>195</v>
      </c>
      <c r="J46" s="30" t="s">
        <v>390</v>
      </c>
    </row>
    <row r="47" ht="25.5" customHeight="1" spans="1:10">
      <c r="A47" s="29">
        <v>44</v>
      </c>
      <c r="B47" s="30" t="s">
        <v>263</v>
      </c>
      <c r="C47" s="29" t="s">
        <v>353</v>
      </c>
      <c r="D47" s="30" t="s">
        <v>391</v>
      </c>
      <c r="E47" s="30" t="s">
        <v>392</v>
      </c>
      <c r="F47" s="29" t="s">
        <v>140</v>
      </c>
      <c r="G47" s="30" t="s">
        <v>393</v>
      </c>
      <c r="H47" s="29" t="s">
        <v>394</v>
      </c>
      <c r="I47" s="29" t="s">
        <v>229</v>
      </c>
      <c r="J47" s="30" t="s">
        <v>395</v>
      </c>
    </row>
    <row r="48" ht="25.5" customHeight="1" spans="1:10">
      <c r="A48" s="29">
        <v>45</v>
      </c>
      <c r="B48" s="30" t="s">
        <v>129</v>
      </c>
      <c r="C48" s="29" t="s">
        <v>353</v>
      </c>
      <c r="D48" s="30" t="s">
        <v>396</v>
      </c>
      <c r="E48" s="30" t="s">
        <v>397</v>
      </c>
      <c r="F48" s="29" t="s">
        <v>144</v>
      </c>
      <c r="G48" s="30" t="s">
        <v>398</v>
      </c>
      <c r="H48" s="29" t="s">
        <v>285</v>
      </c>
      <c r="I48" s="29" t="s">
        <v>219</v>
      </c>
      <c r="J48" s="30" t="s">
        <v>399</v>
      </c>
    </row>
    <row r="49" ht="25.5" customHeight="1" spans="1:10">
      <c r="A49" s="29">
        <v>46</v>
      </c>
      <c r="B49" s="30" t="s">
        <v>102</v>
      </c>
      <c r="C49" s="29" t="s">
        <v>353</v>
      </c>
      <c r="D49" s="30" t="s">
        <v>400</v>
      </c>
      <c r="E49" s="30" t="s">
        <v>379</v>
      </c>
      <c r="F49" s="29" t="s">
        <v>153</v>
      </c>
      <c r="G49" s="30" t="s">
        <v>83</v>
      </c>
      <c r="H49" s="29" t="s">
        <v>380</v>
      </c>
      <c r="I49" s="29" t="s">
        <v>195</v>
      </c>
      <c r="J49" s="30" t="s">
        <v>401</v>
      </c>
    </row>
    <row r="50" ht="25.5" customHeight="1" spans="1:10">
      <c r="A50" s="29">
        <v>47</v>
      </c>
      <c r="B50" s="30" t="s">
        <v>231</v>
      </c>
      <c r="C50" s="29" t="s">
        <v>353</v>
      </c>
      <c r="D50" s="30" t="s">
        <v>402</v>
      </c>
      <c r="E50" s="30" t="s">
        <v>403</v>
      </c>
      <c r="F50" s="29" t="s">
        <v>363</v>
      </c>
      <c r="G50" s="30" t="s">
        <v>234</v>
      </c>
      <c r="H50" s="29" t="s">
        <v>404</v>
      </c>
      <c r="I50" s="29" t="s">
        <v>219</v>
      </c>
      <c r="J50" s="30" t="s">
        <v>405</v>
      </c>
    </row>
    <row r="51" ht="25.5" customHeight="1" spans="1:10">
      <c r="A51" s="29">
        <v>48</v>
      </c>
      <c r="B51" s="30" t="s">
        <v>257</v>
      </c>
      <c r="C51" s="29" t="s">
        <v>273</v>
      </c>
      <c r="D51" s="30" t="s">
        <v>406</v>
      </c>
      <c r="E51" s="30" t="s">
        <v>343</v>
      </c>
      <c r="F51" s="29" t="s">
        <v>149</v>
      </c>
      <c r="G51" s="30" t="s">
        <v>108</v>
      </c>
      <c r="H51" s="29" t="s">
        <v>223</v>
      </c>
      <c r="I51" s="29" t="s">
        <v>333</v>
      </c>
      <c r="J51" s="30" t="s">
        <v>407</v>
      </c>
    </row>
    <row r="52" ht="25.5" customHeight="1" spans="1:10">
      <c r="A52" s="29">
        <v>49</v>
      </c>
      <c r="B52" s="30" t="s">
        <v>124</v>
      </c>
      <c r="C52" s="29" t="s">
        <v>273</v>
      </c>
      <c r="D52" s="30" t="s">
        <v>408</v>
      </c>
      <c r="E52" s="30" t="s">
        <v>409</v>
      </c>
      <c r="F52" s="29" t="s">
        <v>134</v>
      </c>
      <c r="G52" s="30" t="s">
        <v>294</v>
      </c>
      <c r="H52" s="29" t="s">
        <v>410</v>
      </c>
      <c r="I52" s="29" t="s">
        <v>229</v>
      </c>
      <c r="J52" s="30" t="s">
        <v>411</v>
      </c>
    </row>
    <row r="53" ht="25.5" customHeight="1" spans="1:10">
      <c r="A53" s="29">
        <v>50</v>
      </c>
      <c r="B53" s="30" t="s">
        <v>94</v>
      </c>
      <c r="C53" s="29" t="s">
        <v>353</v>
      </c>
      <c r="D53" s="30" t="s">
        <v>412</v>
      </c>
      <c r="E53" s="30" t="s">
        <v>216</v>
      </c>
      <c r="F53" s="29" t="s">
        <v>144</v>
      </c>
      <c r="G53" s="30" t="s">
        <v>413</v>
      </c>
      <c r="H53" s="29" t="s">
        <v>414</v>
      </c>
      <c r="I53" s="29" t="s">
        <v>229</v>
      </c>
      <c r="J53" s="30" t="s">
        <v>415</v>
      </c>
    </row>
    <row r="54" ht="25.5" customHeight="1" spans="1:10">
      <c r="A54" s="29">
        <v>51</v>
      </c>
      <c r="B54" s="30" t="s">
        <v>86</v>
      </c>
      <c r="C54" s="29" t="s">
        <v>353</v>
      </c>
      <c r="D54" s="30" t="s">
        <v>416</v>
      </c>
      <c r="E54" s="30" t="s">
        <v>417</v>
      </c>
      <c r="F54" s="29" t="s">
        <v>140</v>
      </c>
      <c r="G54" s="30" t="s">
        <v>418</v>
      </c>
      <c r="H54" s="29" t="s">
        <v>419</v>
      </c>
      <c r="I54" s="29" t="s">
        <v>219</v>
      </c>
      <c r="J54" s="30" t="s">
        <v>420</v>
      </c>
    </row>
    <row r="55" ht="25.5" customHeight="1" spans="1:10">
      <c r="A55" s="29">
        <v>52</v>
      </c>
      <c r="B55" s="30" t="s">
        <v>421</v>
      </c>
      <c r="C55" s="29" t="s">
        <v>273</v>
      </c>
      <c r="D55" s="30" t="s">
        <v>422</v>
      </c>
      <c r="E55" s="30" t="s">
        <v>210</v>
      </c>
      <c r="F55" s="29" t="s">
        <v>423</v>
      </c>
      <c r="G55" s="30" t="s">
        <v>108</v>
      </c>
      <c r="H55" s="29" t="s">
        <v>212</v>
      </c>
      <c r="I55" s="29" t="s">
        <v>213</v>
      </c>
      <c r="J55" s="30" t="s">
        <v>424</v>
      </c>
    </row>
    <row r="56" ht="25.5" customHeight="1" spans="1:10">
      <c r="A56" s="29">
        <v>53</v>
      </c>
      <c r="B56" s="30" t="s">
        <v>347</v>
      </c>
      <c r="C56" s="29" t="s">
        <v>273</v>
      </c>
      <c r="D56" s="30" t="s">
        <v>425</v>
      </c>
      <c r="E56" s="30" t="s">
        <v>426</v>
      </c>
      <c r="F56" s="29" t="s">
        <v>423</v>
      </c>
      <c r="G56" s="30" t="s">
        <v>108</v>
      </c>
      <c r="H56" s="29" t="s">
        <v>251</v>
      </c>
      <c r="I56" s="29" t="s">
        <v>195</v>
      </c>
      <c r="J56" s="30" t="s">
        <v>427</v>
      </c>
    </row>
    <row r="57" ht="15.15"/>
    <row r="58" ht="21.75" customHeight="1" spans="1:10">
      <c r="A58" s="31" t="s">
        <v>428</v>
      </c>
      <c r="B58" s="31"/>
      <c r="C58" s="31"/>
      <c r="D58" s="31"/>
      <c r="E58" s="31"/>
      <c r="F58" s="31"/>
      <c r="G58" s="31"/>
      <c r="H58" s="31"/>
      <c r="I58" s="31"/>
      <c r="J58" s="31"/>
    </row>
    <row r="59" ht="36" customHeight="1" spans="1:10">
      <c r="A59" s="32" t="s">
        <v>429</v>
      </c>
      <c r="B59" s="32" t="s">
        <v>159</v>
      </c>
      <c r="C59" s="32" t="s">
        <v>160</v>
      </c>
      <c r="D59" s="32" t="s">
        <v>161</v>
      </c>
      <c r="E59" s="32" t="s">
        <v>430</v>
      </c>
      <c r="F59" s="32" t="s">
        <v>12</v>
      </c>
      <c r="G59" s="32" t="s">
        <v>97</v>
      </c>
      <c r="H59" s="32" t="s">
        <v>97</v>
      </c>
      <c r="I59" s="32" t="s">
        <v>97</v>
      </c>
      <c r="J59" s="32" t="s">
        <v>97</v>
      </c>
    </row>
    <row r="60" ht="19.5" customHeight="1" spans="1:10">
      <c r="A60" s="33" t="s">
        <v>431</v>
      </c>
      <c r="B60" s="4">
        <v>15</v>
      </c>
      <c r="C60" s="4">
        <v>18</v>
      </c>
      <c r="D60" s="4">
        <v>20</v>
      </c>
      <c r="E60" s="34">
        <v>53</v>
      </c>
      <c r="F60" s="5" t="s">
        <v>432</v>
      </c>
      <c r="G60" s="4" t="s">
        <v>97</v>
      </c>
      <c r="H60" s="4" t="s">
        <v>97</v>
      </c>
      <c r="I60" s="4" t="s">
        <v>97</v>
      </c>
      <c r="J60" s="4" t="s">
        <v>97</v>
      </c>
    </row>
    <row r="61" ht="19.5" customHeight="1" spans="1:10">
      <c r="A61" s="35" t="s">
        <v>433</v>
      </c>
      <c r="B61" s="10">
        <v>10</v>
      </c>
      <c r="C61" s="10">
        <v>13</v>
      </c>
      <c r="D61" s="10">
        <v>15</v>
      </c>
      <c r="E61" s="36">
        <v>38</v>
      </c>
      <c r="F61" s="11" t="s">
        <v>434</v>
      </c>
      <c r="G61" s="10" t="s">
        <v>97</v>
      </c>
      <c r="H61" s="10" t="s">
        <v>97</v>
      </c>
      <c r="I61" s="10" t="s">
        <v>97</v>
      </c>
      <c r="J61" s="10" t="s">
        <v>97</v>
      </c>
    </row>
    <row r="62" ht="19.5" customHeight="1" spans="1:10">
      <c r="A62" s="33" t="s">
        <v>435</v>
      </c>
      <c r="B62" s="4">
        <v>2</v>
      </c>
      <c r="C62" s="4">
        <v>4</v>
      </c>
      <c r="D62" s="4">
        <v>6</v>
      </c>
      <c r="E62" s="34">
        <v>12</v>
      </c>
      <c r="F62" s="5" t="s">
        <v>436</v>
      </c>
      <c r="G62" s="4" t="s">
        <v>97</v>
      </c>
      <c r="H62" s="4" t="s">
        <v>97</v>
      </c>
      <c r="I62" s="4" t="s">
        <v>97</v>
      </c>
      <c r="J62" s="4" t="s">
        <v>97</v>
      </c>
    </row>
    <row r="63" ht="19.5" customHeight="1" spans="1:10">
      <c r="A63" s="35" t="s">
        <v>437</v>
      </c>
      <c r="B63" s="10">
        <v>8</v>
      </c>
      <c r="C63" s="10">
        <v>10</v>
      </c>
      <c r="D63" s="10">
        <v>12</v>
      </c>
      <c r="E63" s="36">
        <v>30</v>
      </c>
      <c r="F63" s="11" t="s">
        <v>438</v>
      </c>
      <c r="G63" s="10" t="s">
        <v>97</v>
      </c>
      <c r="H63" s="10" t="s">
        <v>97</v>
      </c>
      <c r="I63" s="10" t="s">
        <v>97</v>
      </c>
      <c r="J63" s="10" t="s">
        <v>97</v>
      </c>
    </row>
    <row r="64" ht="19.5" customHeight="1" spans="1:10">
      <c r="A64" s="33" t="s">
        <v>439</v>
      </c>
      <c r="B64" s="4">
        <v>14</v>
      </c>
      <c r="C64" s="4">
        <v>17</v>
      </c>
      <c r="D64" s="4">
        <v>18</v>
      </c>
      <c r="E64" s="34">
        <v>22</v>
      </c>
      <c r="F64" s="5" t="s">
        <v>440</v>
      </c>
      <c r="G64" s="4" t="s">
        <v>97</v>
      </c>
      <c r="H64" s="4" t="s">
        <v>97</v>
      </c>
      <c r="I64" s="4" t="s">
        <v>97</v>
      </c>
      <c r="J64" s="4" t="s">
        <v>97</v>
      </c>
    </row>
    <row r="65" ht="19.5" customHeight="1" spans="1:10">
      <c r="A65" s="35" t="s">
        <v>441</v>
      </c>
      <c r="B65" s="10">
        <v>7</v>
      </c>
      <c r="C65" s="10">
        <v>9</v>
      </c>
      <c r="D65" s="10">
        <v>9</v>
      </c>
      <c r="E65" s="36">
        <v>25</v>
      </c>
      <c r="F65" s="11" t="s">
        <v>442</v>
      </c>
      <c r="G65" s="10" t="s">
        <v>97</v>
      </c>
      <c r="H65" s="10" t="s">
        <v>97</v>
      </c>
      <c r="I65" s="10" t="s">
        <v>97</v>
      </c>
      <c r="J65" s="10" t="s">
        <v>97</v>
      </c>
    </row>
    <row r="66" ht="19.5" customHeight="1" spans="1:10">
      <c r="A66" s="33" t="s">
        <v>443</v>
      </c>
      <c r="B66" s="4">
        <v>10</v>
      </c>
      <c r="C66" s="4">
        <v>10</v>
      </c>
      <c r="D66" s="4">
        <v>10</v>
      </c>
      <c r="E66" s="34">
        <v>10</v>
      </c>
      <c r="F66" s="5" t="s">
        <v>444</v>
      </c>
      <c r="G66" s="4" t="s">
        <v>97</v>
      </c>
      <c r="H66" s="4" t="s">
        <v>97</v>
      </c>
      <c r="I66" s="4" t="s">
        <v>97</v>
      </c>
      <c r="J66" s="4" t="s">
        <v>97</v>
      </c>
    </row>
    <row r="67" ht="15.15"/>
    <row r="68" ht="21.75" customHeight="1" spans="1:10">
      <c r="A68" s="15" t="s">
        <v>445</v>
      </c>
      <c r="B68" s="15"/>
      <c r="C68" s="15"/>
      <c r="D68" s="15"/>
      <c r="E68" s="15"/>
      <c r="F68" s="15"/>
      <c r="G68" s="37"/>
      <c r="H68" s="37"/>
      <c r="I68" s="37"/>
      <c r="J68" s="37"/>
    </row>
    <row r="69" ht="36" customHeight="1" spans="1:10">
      <c r="A69" s="32" t="s">
        <v>176</v>
      </c>
      <c r="B69" s="32" t="s">
        <v>177</v>
      </c>
      <c r="C69" s="32" t="s">
        <v>178</v>
      </c>
      <c r="D69" s="32" t="s">
        <v>179</v>
      </c>
      <c r="E69" s="32" t="s">
        <v>180</v>
      </c>
      <c r="F69" s="32" t="s">
        <v>181</v>
      </c>
    </row>
    <row r="70" ht="24" customHeight="1" spans="1:10">
      <c r="A70" s="38" t="s">
        <v>446</v>
      </c>
      <c r="B70" s="16">
        <v>10</v>
      </c>
      <c r="C70" s="16">
        <v>10</v>
      </c>
      <c r="D70" s="16">
        <v>10</v>
      </c>
      <c r="E70" s="16">
        <v>10</v>
      </c>
      <c r="F70" s="8">
        <v>10</v>
      </c>
      <c r="G70" s="37"/>
      <c r="H70" s="37"/>
      <c r="I70" s="37"/>
      <c r="J70" s="37"/>
    </row>
  </sheetData>
  <mergeCells count="4">
    <mergeCell ref="A1:J1"/>
    <mergeCell ref="A2:J2"/>
    <mergeCell ref="A58:J58"/>
    <mergeCell ref="A68:F68"/>
  </mergeCells>
  <pageMargins left="0.75" right="0.75" top="1" bottom="1" header="0.511811023622047" footer="0.511811023622047"/>
  <pageSetup paperSize="9" orientation="portrait" horizontalDpi="300" verticalDpi="300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29"/>
  <sheetViews>
    <sheetView showGridLines="0" workbookViewId="0">
      <selection activeCell="A1" sqref="A1:J1"/>
    </sheetView>
  </sheetViews>
  <sheetFormatPr defaultColWidth="8.67592592592593" defaultRowHeight="14.4"/>
  <cols>
    <col min="1" max="1" width="6" customWidth="1"/>
    <col min="2" max="2" width="22" customWidth="1"/>
    <col min="3" max="3" width="12" customWidth="1"/>
    <col min="4" max="5" width="8" customWidth="1"/>
    <col min="6" max="7" width="14" customWidth="1"/>
    <col min="8" max="9" width="12" customWidth="1"/>
    <col min="10" max="10" width="14" customWidth="1"/>
  </cols>
  <sheetData>
    <row r="1" ht="36" customHeight="1" spans="1:10">
      <c r="A1" s="24" t="s">
        <v>447</v>
      </c>
      <c r="B1" s="24"/>
      <c r="C1" s="24"/>
      <c r="D1" s="24"/>
      <c r="E1" s="24"/>
      <c r="F1" s="24"/>
      <c r="G1" s="24"/>
      <c r="H1" s="24"/>
      <c r="I1" s="24"/>
      <c r="J1" s="24"/>
    </row>
    <row r="2" ht="19.5" customHeight="1" spans="1:10">
      <c r="A2" s="2" t="s">
        <v>448</v>
      </c>
      <c r="B2" s="2"/>
      <c r="C2" s="2"/>
      <c r="D2" s="2"/>
      <c r="E2" s="2"/>
      <c r="F2" s="2"/>
      <c r="G2" s="2"/>
      <c r="H2" s="2"/>
      <c r="I2" s="2"/>
      <c r="J2" s="2"/>
    </row>
    <row r="3" ht="42" customHeight="1" spans="1:10">
      <c r="A3" s="3" t="s">
        <v>3</v>
      </c>
      <c r="B3" s="3" t="s">
        <v>449</v>
      </c>
      <c r="C3" s="3" t="s">
        <v>450</v>
      </c>
      <c r="D3" s="3" t="s">
        <v>451</v>
      </c>
      <c r="E3" s="3" t="s">
        <v>452</v>
      </c>
      <c r="F3" s="3" t="s">
        <v>453</v>
      </c>
      <c r="G3" s="3" t="s">
        <v>454</v>
      </c>
      <c r="H3" s="3" t="s">
        <v>455</v>
      </c>
      <c r="I3" s="3" t="s">
        <v>456</v>
      </c>
      <c r="J3" s="3" t="s">
        <v>457</v>
      </c>
    </row>
    <row r="4" ht="36" customHeight="1" spans="1:10">
      <c r="A4" s="27">
        <v>1</v>
      </c>
      <c r="B4" s="28" t="s">
        <v>458</v>
      </c>
      <c r="C4" s="28" t="s">
        <v>459</v>
      </c>
      <c r="D4" s="27" t="s">
        <v>229</v>
      </c>
      <c r="E4" s="27" t="s">
        <v>229</v>
      </c>
      <c r="F4" s="28" t="s">
        <v>199</v>
      </c>
      <c r="G4" s="28" t="s">
        <v>460</v>
      </c>
      <c r="H4" s="28" t="s">
        <v>461</v>
      </c>
      <c r="I4" s="27" t="s">
        <v>462</v>
      </c>
      <c r="J4" s="28" t="s">
        <v>463</v>
      </c>
    </row>
    <row r="5" ht="36" customHeight="1" spans="1:10">
      <c r="A5" s="27">
        <v>2</v>
      </c>
      <c r="B5" s="28" t="s">
        <v>458</v>
      </c>
      <c r="C5" s="28" t="s">
        <v>459</v>
      </c>
      <c r="D5" s="27" t="s">
        <v>229</v>
      </c>
      <c r="E5" s="27" t="s">
        <v>219</v>
      </c>
      <c r="F5" s="28" t="s">
        <v>217</v>
      </c>
      <c r="G5" s="28" t="s">
        <v>464</v>
      </c>
      <c r="H5" s="28" t="s">
        <v>465</v>
      </c>
      <c r="I5" s="27" t="s">
        <v>466</v>
      </c>
      <c r="J5" s="28" t="s">
        <v>467</v>
      </c>
    </row>
    <row r="6" ht="36" customHeight="1" spans="1:10">
      <c r="A6" s="27">
        <v>3</v>
      </c>
      <c r="B6" s="28" t="s">
        <v>458</v>
      </c>
      <c r="C6" s="28" t="s">
        <v>459</v>
      </c>
      <c r="D6" s="27" t="s">
        <v>219</v>
      </c>
      <c r="E6" s="27" t="s">
        <v>229</v>
      </c>
      <c r="F6" s="28" t="s">
        <v>468</v>
      </c>
      <c r="G6" s="28" t="s">
        <v>469</v>
      </c>
      <c r="H6" s="28" t="s">
        <v>470</v>
      </c>
      <c r="I6" s="27" t="s">
        <v>471</v>
      </c>
      <c r="J6" s="28" t="s">
        <v>472</v>
      </c>
    </row>
    <row r="7" ht="36" customHeight="1" spans="1:10">
      <c r="A7" s="27">
        <v>4</v>
      </c>
      <c r="B7" s="28" t="s">
        <v>458</v>
      </c>
      <c r="C7" s="28" t="s">
        <v>459</v>
      </c>
      <c r="D7" s="27" t="s">
        <v>219</v>
      </c>
      <c r="E7" s="27" t="s">
        <v>219</v>
      </c>
      <c r="F7" s="28" t="s">
        <v>313</v>
      </c>
      <c r="G7" s="28" t="s">
        <v>473</v>
      </c>
      <c r="H7" s="28" t="s">
        <v>474</v>
      </c>
      <c r="I7" s="27" t="s">
        <v>475</v>
      </c>
      <c r="J7" s="28" t="s">
        <v>476</v>
      </c>
    </row>
    <row r="8" ht="36" customHeight="1" spans="1:10">
      <c r="A8" s="27">
        <v>5</v>
      </c>
      <c r="B8" s="28" t="s">
        <v>458</v>
      </c>
      <c r="C8" s="28" t="s">
        <v>459</v>
      </c>
      <c r="D8" s="27" t="s">
        <v>195</v>
      </c>
      <c r="E8" s="27" t="s">
        <v>229</v>
      </c>
      <c r="F8" s="28" t="s">
        <v>477</v>
      </c>
      <c r="G8" s="28" t="s">
        <v>478</v>
      </c>
      <c r="H8" s="28" t="s">
        <v>479</v>
      </c>
      <c r="I8" s="27" t="s">
        <v>480</v>
      </c>
      <c r="J8" s="28" t="s">
        <v>481</v>
      </c>
    </row>
    <row r="9" ht="36" customHeight="1" spans="1:10">
      <c r="A9" s="27">
        <v>6</v>
      </c>
      <c r="B9" s="28" t="s">
        <v>458</v>
      </c>
      <c r="C9" s="28" t="s">
        <v>459</v>
      </c>
      <c r="D9" s="27" t="s">
        <v>195</v>
      </c>
      <c r="E9" s="27" t="s">
        <v>219</v>
      </c>
      <c r="F9" s="28" t="s">
        <v>149</v>
      </c>
      <c r="G9" s="28" t="s">
        <v>482</v>
      </c>
      <c r="H9" s="28" t="s">
        <v>483</v>
      </c>
      <c r="I9" s="27" t="s">
        <v>484</v>
      </c>
      <c r="J9" s="28" t="s">
        <v>485</v>
      </c>
    </row>
    <row r="10" ht="36" customHeight="1" spans="1:10">
      <c r="A10" s="25">
        <v>7</v>
      </c>
      <c r="B10" s="26" t="s">
        <v>486</v>
      </c>
      <c r="C10" s="26" t="s">
        <v>487</v>
      </c>
      <c r="D10" s="25" t="s">
        <v>229</v>
      </c>
      <c r="E10" s="25" t="s">
        <v>97</v>
      </c>
      <c r="F10" s="26" t="s">
        <v>93</v>
      </c>
      <c r="G10" s="26" t="s">
        <v>488</v>
      </c>
      <c r="H10" s="26" t="s">
        <v>489</v>
      </c>
      <c r="I10" s="25" t="s">
        <v>490</v>
      </c>
      <c r="J10" s="26" t="s">
        <v>491</v>
      </c>
    </row>
    <row r="11" ht="36" customHeight="1" spans="1:10">
      <c r="A11" s="25">
        <v>8</v>
      </c>
      <c r="B11" s="26" t="s">
        <v>486</v>
      </c>
      <c r="C11" s="26" t="s">
        <v>487</v>
      </c>
      <c r="D11" s="25" t="s">
        <v>219</v>
      </c>
      <c r="E11" s="25" t="s">
        <v>97</v>
      </c>
      <c r="F11" s="26" t="s">
        <v>123</v>
      </c>
      <c r="G11" s="26" t="s">
        <v>492</v>
      </c>
      <c r="H11" s="26" t="s">
        <v>493</v>
      </c>
      <c r="I11" s="25" t="s">
        <v>494</v>
      </c>
      <c r="J11" s="26" t="s">
        <v>495</v>
      </c>
    </row>
    <row r="12" ht="36" customHeight="1" spans="1:10">
      <c r="A12" s="25">
        <v>9</v>
      </c>
      <c r="B12" s="26" t="s">
        <v>486</v>
      </c>
      <c r="C12" s="26" t="s">
        <v>487</v>
      </c>
      <c r="D12" s="25" t="s">
        <v>195</v>
      </c>
      <c r="E12" s="25" t="s">
        <v>97</v>
      </c>
      <c r="F12" s="26" t="s">
        <v>423</v>
      </c>
      <c r="G12" s="26" t="s">
        <v>496</v>
      </c>
      <c r="H12" s="26" t="s">
        <v>497</v>
      </c>
      <c r="I12" s="25" t="s">
        <v>498</v>
      </c>
      <c r="J12" s="26" t="s">
        <v>499</v>
      </c>
    </row>
    <row r="13" ht="36" customHeight="1" spans="1:10">
      <c r="A13" s="29">
        <v>10</v>
      </c>
      <c r="B13" s="30" t="s">
        <v>500</v>
      </c>
      <c r="C13" s="30" t="s">
        <v>501</v>
      </c>
      <c r="D13" s="29" t="s">
        <v>229</v>
      </c>
      <c r="E13" s="29" t="s">
        <v>229</v>
      </c>
      <c r="F13" s="30" t="s">
        <v>211</v>
      </c>
      <c r="G13" s="30" t="s">
        <v>502</v>
      </c>
      <c r="H13" s="30" t="s">
        <v>503</v>
      </c>
      <c r="I13" s="29" t="s">
        <v>504</v>
      </c>
      <c r="J13" s="30" t="s">
        <v>505</v>
      </c>
    </row>
    <row r="14" ht="36" customHeight="1" spans="1:10">
      <c r="A14" s="29">
        <v>11</v>
      </c>
      <c r="B14" s="30" t="s">
        <v>500</v>
      </c>
      <c r="C14" s="30" t="s">
        <v>501</v>
      </c>
      <c r="D14" s="29" t="s">
        <v>219</v>
      </c>
      <c r="E14" s="29" t="s">
        <v>229</v>
      </c>
      <c r="F14" s="30" t="s">
        <v>280</v>
      </c>
      <c r="G14" s="30" t="s">
        <v>506</v>
      </c>
      <c r="H14" s="30" t="s">
        <v>507</v>
      </c>
      <c r="I14" s="29" t="s">
        <v>490</v>
      </c>
      <c r="J14" s="30" t="s">
        <v>508</v>
      </c>
    </row>
    <row r="15" ht="36" customHeight="1" spans="1:10">
      <c r="A15" s="29">
        <v>12</v>
      </c>
      <c r="B15" s="30" t="s">
        <v>500</v>
      </c>
      <c r="C15" s="30" t="s">
        <v>501</v>
      </c>
      <c r="D15" s="29" t="s">
        <v>195</v>
      </c>
      <c r="E15" s="29" t="s">
        <v>229</v>
      </c>
      <c r="F15" s="30" t="s">
        <v>363</v>
      </c>
      <c r="G15" s="30" t="s">
        <v>509</v>
      </c>
      <c r="H15" s="30" t="s">
        <v>510</v>
      </c>
      <c r="I15" s="29" t="s">
        <v>18</v>
      </c>
      <c r="J15" s="30" t="s">
        <v>511</v>
      </c>
    </row>
    <row r="16" ht="15.15"/>
    <row r="17" ht="21.75" customHeight="1" spans="1:10">
      <c r="A17" s="31" t="s">
        <v>512</v>
      </c>
      <c r="B17" s="31"/>
      <c r="C17" s="31"/>
      <c r="D17" s="31"/>
      <c r="E17" s="31"/>
      <c r="F17" s="31"/>
      <c r="G17" s="31"/>
      <c r="H17" s="31"/>
      <c r="I17" s="31"/>
      <c r="J17" s="31"/>
    </row>
    <row r="18" ht="36" customHeight="1" spans="1:10">
      <c r="A18" s="32" t="s">
        <v>429</v>
      </c>
      <c r="B18" s="32" t="s">
        <v>159</v>
      </c>
      <c r="C18" s="32" t="s">
        <v>160</v>
      </c>
      <c r="D18" s="32" t="s">
        <v>161</v>
      </c>
      <c r="E18" s="32" t="s">
        <v>162</v>
      </c>
      <c r="F18" s="32" t="s">
        <v>12</v>
      </c>
      <c r="G18" s="32" t="s">
        <v>97</v>
      </c>
      <c r="H18" s="32" t="s">
        <v>97</v>
      </c>
      <c r="I18" s="32" t="s">
        <v>97</v>
      </c>
      <c r="J18" s="32" t="s">
        <v>97</v>
      </c>
    </row>
    <row r="19" ht="19.5" customHeight="1" spans="1:10">
      <c r="A19" s="33" t="s">
        <v>513</v>
      </c>
      <c r="B19" s="4">
        <v>2</v>
      </c>
      <c r="C19" s="4">
        <v>2</v>
      </c>
      <c r="D19" s="4">
        <v>2</v>
      </c>
      <c r="E19" s="34">
        <v>6</v>
      </c>
      <c r="F19" s="5" t="s">
        <v>514</v>
      </c>
      <c r="G19" s="4" t="s">
        <v>97</v>
      </c>
      <c r="H19" s="4" t="s">
        <v>97</v>
      </c>
      <c r="I19" s="4" t="s">
        <v>97</v>
      </c>
      <c r="J19" s="4" t="s">
        <v>97</v>
      </c>
    </row>
    <row r="20" ht="19.5" customHeight="1" spans="1:10">
      <c r="A20" s="35" t="s">
        <v>515</v>
      </c>
      <c r="B20" s="10">
        <v>1</v>
      </c>
      <c r="C20" s="10">
        <v>1</v>
      </c>
      <c r="D20" s="10">
        <v>1</v>
      </c>
      <c r="E20" s="36">
        <v>3</v>
      </c>
      <c r="F20" s="11" t="s">
        <v>516</v>
      </c>
      <c r="G20" s="10" t="s">
        <v>97</v>
      </c>
      <c r="H20" s="10" t="s">
        <v>97</v>
      </c>
      <c r="I20" s="10" t="s">
        <v>97</v>
      </c>
      <c r="J20" s="10" t="s">
        <v>97</v>
      </c>
    </row>
    <row r="21" ht="19.5" customHeight="1" spans="1:10">
      <c r="A21" s="39" t="s">
        <v>517</v>
      </c>
      <c r="B21" s="40">
        <v>1</v>
      </c>
      <c r="C21" s="40">
        <v>1</v>
      </c>
      <c r="D21" s="40">
        <v>1</v>
      </c>
      <c r="E21" s="41">
        <v>3</v>
      </c>
      <c r="F21" s="42" t="s">
        <v>518</v>
      </c>
      <c r="G21" s="40" t="s">
        <v>97</v>
      </c>
      <c r="H21" s="40" t="s">
        <v>97</v>
      </c>
      <c r="I21" s="40" t="s">
        <v>97</v>
      </c>
      <c r="J21" s="40" t="s">
        <v>97</v>
      </c>
    </row>
    <row r="22" ht="19.5" customHeight="1" spans="1:10">
      <c r="A22" s="33" t="s">
        <v>519</v>
      </c>
      <c r="B22" s="4">
        <v>4</v>
      </c>
      <c r="C22" s="4">
        <v>4</v>
      </c>
      <c r="D22" s="4">
        <v>4</v>
      </c>
      <c r="E22" s="34">
        <v>12</v>
      </c>
      <c r="F22" s="5" t="s">
        <v>520</v>
      </c>
      <c r="G22" s="4" t="s">
        <v>97</v>
      </c>
      <c r="H22" s="4" t="s">
        <v>97</v>
      </c>
      <c r="I22" s="4" t="s">
        <v>97</v>
      </c>
      <c r="J22" s="4" t="s">
        <v>97</v>
      </c>
    </row>
    <row r="23" ht="19.5" customHeight="1" spans="1:10">
      <c r="A23" s="35" t="s">
        <v>521</v>
      </c>
      <c r="B23" s="10">
        <v>18</v>
      </c>
      <c r="C23" s="10">
        <v>22</v>
      </c>
      <c r="D23" s="10">
        <v>28</v>
      </c>
      <c r="E23" s="36">
        <v>38</v>
      </c>
      <c r="F23" s="11" t="s">
        <v>522</v>
      </c>
      <c r="G23" s="10" t="s">
        <v>97</v>
      </c>
      <c r="H23" s="10" t="s">
        <v>97</v>
      </c>
      <c r="I23" s="10" t="s">
        <v>97</v>
      </c>
      <c r="J23" s="10" t="s">
        <v>97</v>
      </c>
    </row>
    <row r="24" ht="19.5" customHeight="1" spans="1:10">
      <c r="A24" s="33" t="s">
        <v>523</v>
      </c>
      <c r="B24" s="4">
        <v>128</v>
      </c>
      <c r="C24" s="4">
        <v>150</v>
      </c>
      <c r="D24" s="4">
        <v>176</v>
      </c>
      <c r="E24" s="34">
        <v>454</v>
      </c>
      <c r="F24" s="5" t="s">
        <v>524</v>
      </c>
      <c r="G24" s="4" t="s">
        <v>97</v>
      </c>
      <c r="H24" s="4" t="s">
        <v>97</v>
      </c>
      <c r="I24" s="4" t="s">
        <v>97</v>
      </c>
      <c r="J24" s="4" t="s">
        <v>97</v>
      </c>
    </row>
    <row r="25" ht="19.5" customHeight="1" spans="1:10">
      <c r="A25" s="35" t="s">
        <v>173</v>
      </c>
      <c r="B25" s="10">
        <v>5</v>
      </c>
      <c r="C25" s="10">
        <v>5</v>
      </c>
      <c r="D25" s="10">
        <v>5</v>
      </c>
      <c r="E25" s="36">
        <v>5</v>
      </c>
      <c r="F25" s="11" t="s">
        <v>525</v>
      </c>
      <c r="G25" s="10" t="s">
        <v>97</v>
      </c>
      <c r="H25" s="10" t="s">
        <v>97</v>
      </c>
      <c r="I25" s="10" t="s">
        <v>97</v>
      </c>
      <c r="J25" s="10" t="s">
        <v>97</v>
      </c>
    </row>
    <row r="26" ht="15.15"/>
    <row r="27" ht="21.75" customHeight="1" spans="1:10">
      <c r="A27" s="15" t="s">
        <v>526</v>
      </c>
      <c r="B27" s="15"/>
      <c r="C27" s="15"/>
      <c r="D27" s="15"/>
      <c r="E27" s="15"/>
      <c r="F27" s="15"/>
      <c r="G27" s="37"/>
      <c r="H27" s="37"/>
      <c r="I27" s="37"/>
      <c r="J27" s="37"/>
    </row>
    <row r="28" ht="36" customHeight="1" spans="1:10">
      <c r="A28" s="32" t="s">
        <v>176</v>
      </c>
      <c r="B28" s="32" t="s">
        <v>177</v>
      </c>
      <c r="C28" s="32" t="s">
        <v>178</v>
      </c>
      <c r="D28" s="32" t="s">
        <v>179</v>
      </c>
      <c r="E28" s="32" t="s">
        <v>180</v>
      </c>
      <c r="F28" s="32" t="s">
        <v>181</v>
      </c>
    </row>
    <row r="29" ht="24" customHeight="1" spans="1:10">
      <c r="A29" s="38" t="s">
        <v>527</v>
      </c>
      <c r="B29" s="16">
        <v>5</v>
      </c>
      <c r="C29" s="16">
        <v>5</v>
      </c>
      <c r="D29" s="16">
        <v>5</v>
      </c>
      <c r="E29" s="16">
        <v>5</v>
      </c>
      <c r="F29" s="8">
        <v>5</v>
      </c>
      <c r="G29" s="37"/>
      <c r="H29" s="37"/>
      <c r="I29" s="37"/>
      <c r="J29" s="37"/>
    </row>
  </sheetData>
  <mergeCells count="4">
    <mergeCell ref="A1:J1"/>
    <mergeCell ref="A2:J2"/>
    <mergeCell ref="A17:J17"/>
    <mergeCell ref="A27:F27"/>
  </mergeCells>
  <pageMargins left="0.75" right="0.75" top="1" bottom="1" header="0.511811023622047" footer="0.511811023622047"/>
  <pageSetup paperSize="9" orientation="portrait" horizontalDpi="300" verticalDpi="300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38"/>
  <sheetViews>
    <sheetView showGridLines="0" workbookViewId="0">
      <selection activeCell="N6" sqref="N6"/>
    </sheetView>
  </sheetViews>
  <sheetFormatPr defaultColWidth="8.67592592592593" defaultRowHeight="14.4"/>
  <cols>
    <col min="1" max="1" width="6" customWidth="1"/>
    <col min="2" max="2" width="22" customWidth="1"/>
    <col min="3" max="3" width="18" customWidth="1"/>
    <col min="4" max="4" width="14" customWidth="1"/>
    <col min="5" max="6" width="10" customWidth="1"/>
    <col min="7" max="8" width="12" customWidth="1"/>
    <col min="9" max="9" width="14" customWidth="1"/>
    <col min="10" max="10" width="10" customWidth="1"/>
  </cols>
  <sheetData>
    <row r="1" ht="36" customHeight="1" spans="1:10">
      <c r="A1" s="24" t="s">
        <v>528</v>
      </c>
      <c r="B1" s="24"/>
      <c r="C1" s="24"/>
      <c r="D1" s="24"/>
      <c r="E1" s="24"/>
      <c r="F1" s="24"/>
      <c r="G1" s="24"/>
      <c r="H1" s="24"/>
      <c r="I1" s="24"/>
      <c r="J1" s="24"/>
    </row>
    <row r="2" ht="19.5" customHeight="1" spans="1:10">
      <c r="A2" s="2" t="s">
        <v>529</v>
      </c>
      <c r="B2" s="2"/>
      <c r="C2" s="2"/>
      <c r="D2" s="2"/>
      <c r="E2" s="2"/>
      <c r="F2" s="2"/>
      <c r="G2" s="2"/>
      <c r="H2" s="2"/>
      <c r="I2" s="2"/>
      <c r="J2" s="2"/>
    </row>
    <row r="3" ht="42" customHeight="1" spans="1:10">
      <c r="A3" s="3" t="s">
        <v>3</v>
      </c>
      <c r="B3" s="3" t="s">
        <v>530</v>
      </c>
      <c r="C3" s="3" t="s">
        <v>531</v>
      </c>
      <c r="D3" s="3" t="s">
        <v>532</v>
      </c>
      <c r="E3" s="3" t="s">
        <v>533</v>
      </c>
      <c r="F3" s="3" t="s">
        <v>534</v>
      </c>
      <c r="G3" s="3" t="s">
        <v>535</v>
      </c>
      <c r="H3" s="3" t="s">
        <v>536</v>
      </c>
      <c r="I3" s="3" t="s">
        <v>537</v>
      </c>
      <c r="J3" s="3" t="s">
        <v>75</v>
      </c>
    </row>
    <row r="4" ht="31.5" customHeight="1" spans="1:10">
      <c r="A4" s="25">
        <v>1</v>
      </c>
      <c r="B4" s="26" t="s">
        <v>538</v>
      </c>
      <c r="C4" s="26" t="s">
        <v>539</v>
      </c>
      <c r="D4" s="26" t="s">
        <v>540</v>
      </c>
      <c r="E4" s="25" t="s">
        <v>50</v>
      </c>
      <c r="F4" s="25" t="s">
        <v>541</v>
      </c>
      <c r="G4" s="26" t="s">
        <v>34</v>
      </c>
      <c r="H4" s="25" t="s">
        <v>542</v>
      </c>
      <c r="I4" s="26" t="s">
        <v>543</v>
      </c>
      <c r="J4" s="26" t="s">
        <v>544</v>
      </c>
    </row>
    <row r="5" ht="31.5" customHeight="1" spans="1:10">
      <c r="A5" s="25">
        <v>2</v>
      </c>
      <c r="B5" s="26" t="s">
        <v>545</v>
      </c>
      <c r="C5" s="26" t="s">
        <v>546</v>
      </c>
      <c r="D5" s="26" t="s">
        <v>547</v>
      </c>
      <c r="E5" s="25" t="s">
        <v>548</v>
      </c>
      <c r="F5" s="25" t="s">
        <v>549</v>
      </c>
      <c r="G5" s="26" t="s">
        <v>16</v>
      </c>
      <c r="H5" s="25" t="s">
        <v>97</v>
      </c>
      <c r="I5" s="26" t="s">
        <v>550</v>
      </c>
      <c r="J5" s="26" t="s">
        <v>551</v>
      </c>
    </row>
    <row r="6" ht="31.5" customHeight="1" spans="1:10">
      <c r="A6" s="25">
        <v>3</v>
      </c>
      <c r="B6" s="26" t="s">
        <v>552</v>
      </c>
      <c r="C6" s="26" t="s">
        <v>553</v>
      </c>
      <c r="D6" s="26" t="s">
        <v>554</v>
      </c>
      <c r="E6" s="25" t="s">
        <v>548</v>
      </c>
      <c r="F6" s="25" t="s">
        <v>555</v>
      </c>
      <c r="G6" s="26" t="s">
        <v>59</v>
      </c>
      <c r="H6" s="25" t="s">
        <v>97</v>
      </c>
      <c r="I6" s="26" t="s">
        <v>556</v>
      </c>
      <c r="J6" s="26" t="s">
        <v>544</v>
      </c>
    </row>
    <row r="7" ht="31.5" customHeight="1" spans="1:10">
      <c r="A7" s="25">
        <v>4</v>
      </c>
      <c r="B7" s="26" t="s">
        <v>242</v>
      </c>
      <c r="C7" s="26" t="s">
        <v>557</v>
      </c>
      <c r="D7" s="26" t="s">
        <v>558</v>
      </c>
      <c r="E7" s="25" t="s">
        <v>548</v>
      </c>
      <c r="F7" s="25" t="s">
        <v>559</v>
      </c>
      <c r="G7" s="26" t="s">
        <v>25</v>
      </c>
      <c r="H7" s="25" t="s">
        <v>97</v>
      </c>
      <c r="I7" s="26" t="s">
        <v>560</v>
      </c>
      <c r="J7" s="26" t="s">
        <v>551</v>
      </c>
    </row>
    <row r="8" ht="31.5" customHeight="1" spans="1:10">
      <c r="A8" s="25">
        <v>5</v>
      </c>
      <c r="B8" s="26" t="s">
        <v>561</v>
      </c>
      <c r="C8" s="26" t="s">
        <v>562</v>
      </c>
      <c r="D8" s="26" t="s">
        <v>563</v>
      </c>
      <c r="E8" s="25" t="s">
        <v>548</v>
      </c>
      <c r="F8" s="25" t="s">
        <v>549</v>
      </c>
      <c r="G8" s="26" t="s">
        <v>67</v>
      </c>
      <c r="H8" s="25" t="s">
        <v>97</v>
      </c>
      <c r="I8" s="26" t="s">
        <v>564</v>
      </c>
      <c r="J8" s="26" t="s">
        <v>551</v>
      </c>
    </row>
    <row r="9" ht="31.5" customHeight="1" spans="1:10">
      <c r="A9" s="25">
        <v>6</v>
      </c>
      <c r="B9" s="26" t="s">
        <v>86</v>
      </c>
      <c r="C9" s="26" t="s">
        <v>565</v>
      </c>
      <c r="D9" s="26" t="s">
        <v>566</v>
      </c>
      <c r="E9" s="25" t="s">
        <v>50</v>
      </c>
      <c r="F9" s="25" t="s">
        <v>555</v>
      </c>
      <c r="G9" s="26" t="s">
        <v>34</v>
      </c>
      <c r="H9" s="25" t="s">
        <v>97</v>
      </c>
      <c r="I9" s="26" t="s">
        <v>567</v>
      </c>
      <c r="J9" s="26" t="s">
        <v>544</v>
      </c>
    </row>
    <row r="10" ht="31.5" customHeight="1" spans="1:10">
      <c r="A10" s="27">
        <v>7</v>
      </c>
      <c r="B10" s="28" t="s">
        <v>568</v>
      </c>
      <c r="C10" s="28" t="s">
        <v>569</v>
      </c>
      <c r="D10" s="28" t="s">
        <v>570</v>
      </c>
      <c r="E10" s="27" t="s">
        <v>571</v>
      </c>
      <c r="F10" s="27" t="s">
        <v>541</v>
      </c>
      <c r="G10" s="28" t="s">
        <v>34</v>
      </c>
      <c r="H10" s="27" t="s">
        <v>572</v>
      </c>
      <c r="I10" s="28" t="s">
        <v>573</v>
      </c>
      <c r="J10" s="28" t="s">
        <v>544</v>
      </c>
    </row>
    <row r="11" ht="31.5" customHeight="1" spans="1:10">
      <c r="A11" s="27">
        <v>8</v>
      </c>
      <c r="B11" s="28" t="s">
        <v>574</v>
      </c>
      <c r="C11" s="28" t="s">
        <v>575</v>
      </c>
      <c r="D11" s="28" t="s">
        <v>307</v>
      </c>
      <c r="E11" s="27" t="s">
        <v>571</v>
      </c>
      <c r="F11" s="27" t="s">
        <v>555</v>
      </c>
      <c r="G11" s="28" t="s">
        <v>16</v>
      </c>
      <c r="H11" s="27" t="s">
        <v>97</v>
      </c>
      <c r="I11" s="28" t="s">
        <v>576</v>
      </c>
      <c r="J11" s="28" t="s">
        <v>551</v>
      </c>
    </row>
    <row r="12" ht="31.5" customHeight="1" spans="1:10">
      <c r="A12" s="27">
        <v>9</v>
      </c>
      <c r="B12" s="28" t="s">
        <v>577</v>
      </c>
      <c r="C12" s="28" t="s">
        <v>578</v>
      </c>
      <c r="D12" s="28" t="s">
        <v>579</v>
      </c>
      <c r="E12" s="27" t="s">
        <v>571</v>
      </c>
      <c r="F12" s="27" t="s">
        <v>541</v>
      </c>
      <c r="G12" s="28" t="s">
        <v>59</v>
      </c>
      <c r="H12" s="27" t="s">
        <v>580</v>
      </c>
      <c r="I12" s="28" t="s">
        <v>581</v>
      </c>
      <c r="J12" s="28" t="s">
        <v>544</v>
      </c>
    </row>
    <row r="13" ht="31.5" customHeight="1" spans="1:10">
      <c r="A13" s="27">
        <v>10</v>
      </c>
      <c r="B13" s="28" t="s">
        <v>552</v>
      </c>
      <c r="C13" s="28" t="s">
        <v>582</v>
      </c>
      <c r="D13" s="28" t="s">
        <v>583</v>
      </c>
      <c r="E13" s="27" t="s">
        <v>571</v>
      </c>
      <c r="F13" s="27" t="s">
        <v>549</v>
      </c>
      <c r="G13" s="28" t="s">
        <v>59</v>
      </c>
      <c r="H13" s="27" t="s">
        <v>97</v>
      </c>
      <c r="I13" s="28" t="s">
        <v>584</v>
      </c>
      <c r="J13" s="28" t="s">
        <v>551</v>
      </c>
    </row>
    <row r="14" ht="31.5" customHeight="1" spans="1:10">
      <c r="A14" s="27">
        <v>11</v>
      </c>
      <c r="B14" s="28" t="s">
        <v>102</v>
      </c>
      <c r="C14" s="28" t="s">
        <v>585</v>
      </c>
      <c r="D14" s="28" t="s">
        <v>586</v>
      </c>
      <c r="E14" s="27" t="s">
        <v>548</v>
      </c>
      <c r="F14" s="27" t="s">
        <v>541</v>
      </c>
      <c r="G14" s="28" t="s">
        <v>25</v>
      </c>
      <c r="H14" s="27" t="s">
        <v>587</v>
      </c>
      <c r="I14" s="28" t="s">
        <v>588</v>
      </c>
      <c r="J14" s="28" t="s">
        <v>544</v>
      </c>
    </row>
    <row r="15" ht="31.5" customHeight="1" spans="1:10">
      <c r="A15" s="27">
        <v>12</v>
      </c>
      <c r="B15" s="28" t="s">
        <v>347</v>
      </c>
      <c r="C15" s="28" t="s">
        <v>589</v>
      </c>
      <c r="D15" s="28" t="s">
        <v>590</v>
      </c>
      <c r="E15" s="27" t="s">
        <v>571</v>
      </c>
      <c r="F15" s="27" t="s">
        <v>591</v>
      </c>
      <c r="G15" s="28" t="s">
        <v>34</v>
      </c>
      <c r="H15" s="27" t="s">
        <v>97</v>
      </c>
      <c r="I15" s="28" t="s">
        <v>592</v>
      </c>
      <c r="J15" s="28" t="s">
        <v>551</v>
      </c>
    </row>
    <row r="16" ht="31.5" customHeight="1" spans="1:10">
      <c r="A16" s="27">
        <v>13</v>
      </c>
      <c r="B16" s="28" t="s">
        <v>593</v>
      </c>
      <c r="C16" s="28" t="s">
        <v>594</v>
      </c>
      <c r="D16" s="28" t="s">
        <v>595</v>
      </c>
      <c r="E16" s="27" t="s">
        <v>571</v>
      </c>
      <c r="F16" s="27" t="s">
        <v>555</v>
      </c>
      <c r="G16" s="28" t="s">
        <v>67</v>
      </c>
      <c r="H16" s="27" t="s">
        <v>97</v>
      </c>
      <c r="I16" s="28" t="s">
        <v>596</v>
      </c>
      <c r="J16" s="28" t="s">
        <v>544</v>
      </c>
    </row>
    <row r="17" ht="31.5" customHeight="1" spans="1:10">
      <c r="A17" s="29">
        <v>14</v>
      </c>
      <c r="B17" s="30" t="s">
        <v>110</v>
      </c>
      <c r="C17" s="30" t="s">
        <v>597</v>
      </c>
      <c r="D17" s="30" t="s">
        <v>598</v>
      </c>
      <c r="E17" s="29" t="s">
        <v>599</v>
      </c>
      <c r="F17" s="29" t="s">
        <v>541</v>
      </c>
      <c r="G17" s="30" t="s">
        <v>34</v>
      </c>
      <c r="H17" s="29" t="s">
        <v>600</v>
      </c>
      <c r="I17" s="30" t="s">
        <v>601</v>
      </c>
      <c r="J17" s="30" t="s">
        <v>544</v>
      </c>
    </row>
    <row r="18" ht="31.5" customHeight="1" spans="1:10">
      <c r="A18" s="29">
        <v>15</v>
      </c>
      <c r="B18" s="30" t="s">
        <v>602</v>
      </c>
      <c r="C18" s="30" t="s">
        <v>603</v>
      </c>
      <c r="D18" s="30" t="s">
        <v>604</v>
      </c>
      <c r="E18" s="29" t="s">
        <v>599</v>
      </c>
      <c r="F18" s="29" t="s">
        <v>32</v>
      </c>
      <c r="G18" s="30" t="s">
        <v>25</v>
      </c>
      <c r="H18" s="29" t="s">
        <v>97</v>
      </c>
      <c r="I18" s="30" t="s">
        <v>605</v>
      </c>
      <c r="J18" s="30" t="s">
        <v>551</v>
      </c>
    </row>
    <row r="19" ht="31.5" customHeight="1" spans="1:10">
      <c r="A19" s="29">
        <v>16</v>
      </c>
      <c r="B19" s="30" t="s">
        <v>606</v>
      </c>
      <c r="C19" s="30" t="s">
        <v>607</v>
      </c>
      <c r="D19" s="30" t="s">
        <v>608</v>
      </c>
      <c r="E19" s="29" t="s">
        <v>599</v>
      </c>
      <c r="F19" s="29" t="s">
        <v>541</v>
      </c>
      <c r="G19" s="30" t="s">
        <v>609</v>
      </c>
      <c r="H19" s="29" t="s">
        <v>610</v>
      </c>
      <c r="I19" s="30" t="s">
        <v>611</v>
      </c>
      <c r="J19" s="30" t="s">
        <v>544</v>
      </c>
    </row>
    <row r="20" ht="31.5" customHeight="1" spans="1:10">
      <c r="A20" s="29">
        <v>17</v>
      </c>
      <c r="B20" s="30" t="s">
        <v>612</v>
      </c>
      <c r="C20" s="30" t="s">
        <v>613</v>
      </c>
      <c r="D20" s="30" t="s">
        <v>614</v>
      </c>
      <c r="E20" s="29" t="s">
        <v>599</v>
      </c>
      <c r="F20" s="29" t="s">
        <v>541</v>
      </c>
      <c r="G20" s="30" t="s">
        <v>59</v>
      </c>
      <c r="H20" s="29" t="s">
        <v>615</v>
      </c>
      <c r="I20" s="30" t="s">
        <v>616</v>
      </c>
      <c r="J20" s="30" t="s">
        <v>544</v>
      </c>
    </row>
    <row r="21" ht="31.5" customHeight="1" spans="1:10">
      <c r="A21" s="29">
        <v>18</v>
      </c>
      <c r="B21" s="30" t="s">
        <v>253</v>
      </c>
      <c r="C21" s="30" t="s">
        <v>617</v>
      </c>
      <c r="D21" s="30" t="s">
        <v>618</v>
      </c>
      <c r="E21" s="29" t="s">
        <v>599</v>
      </c>
      <c r="F21" s="29" t="s">
        <v>549</v>
      </c>
      <c r="G21" s="30" t="s">
        <v>59</v>
      </c>
      <c r="H21" s="29" t="s">
        <v>97</v>
      </c>
      <c r="I21" s="30" t="s">
        <v>619</v>
      </c>
      <c r="J21" s="30" t="s">
        <v>551</v>
      </c>
    </row>
    <row r="22" ht="31.5" customHeight="1" spans="1:10">
      <c r="A22" s="29">
        <v>19</v>
      </c>
      <c r="B22" s="30" t="s">
        <v>347</v>
      </c>
      <c r="C22" s="30" t="s">
        <v>620</v>
      </c>
      <c r="D22" s="30" t="s">
        <v>621</v>
      </c>
      <c r="E22" s="29" t="s">
        <v>599</v>
      </c>
      <c r="F22" s="29" t="s">
        <v>622</v>
      </c>
      <c r="G22" s="30" t="s">
        <v>34</v>
      </c>
      <c r="H22" s="29" t="s">
        <v>97</v>
      </c>
      <c r="I22" s="30" t="s">
        <v>623</v>
      </c>
      <c r="J22" s="30" t="s">
        <v>551</v>
      </c>
    </row>
    <row r="23" ht="31.5" customHeight="1" spans="1:10">
      <c r="A23" s="29">
        <v>20</v>
      </c>
      <c r="B23" s="30" t="s">
        <v>624</v>
      </c>
      <c r="C23" s="30" t="s">
        <v>625</v>
      </c>
      <c r="D23" s="30" t="s">
        <v>626</v>
      </c>
      <c r="E23" s="29" t="s">
        <v>599</v>
      </c>
      <c r="F23" s="29" t="s">
        <v>541</v>
      </c>
      <c r="G23" s="30" t="s">
        <v>25</v>
      </c>
      <c r="H23" s="29" t="s">
        <v>627</v>
      </c>
      <c r="I23" s="30" t="s">
        <v>628</v>
      </c>
      <c r="J23" s="30" t="s">
        <v>544</v>
      </c>
    </row>
    <row r="24" ht="31.5" customHeight="1" spans="1:10">
      <c r="A24" s="29">
        <v>21</v>
      </c>
      <c r="B24" s="30" t="s">
        <v>629</v>
      </c>
      <c r="C24" s="30" t="s">
        <v>630</v>
      </c>
      <c r="D24" s="30" t="s">
        <v>631</v>
      </c>
      <c r="E24" s="29" t="s">
        <v>599</v>
      </c>
      <c r="F24" s="29" t="s">
        <v>541</v>
      </c>
      <c r="G24" s="30" t="s">
        <v>67</v>
      </c>
      <c r="H24" s="29" t="s">
        <v>632</v>
      </c>
      <c r="I24" s="30" t="s">
        <v>633</v>
      </c>
      <c r="J24" s="30" t="s">
        <v>544</v>
      </c>
    </row>
    <row r="25" ht="15.15"/>
    <row r="26" ht="21.75" customHeight="1" spans="1:10">
      <c r="A26" s="31" t="s">
        <v>634</v>
      </c>
      <c r="B26" s="31"/>
      <c r="C26" s="31"/>
      <c r="D26" s="31"/>
      <c r="E26" s="31"/>
      <c r="F26" s="31"/>
      <c r="G26" s="31"/>
      <c r="H26" s="31"/>
      <c r="I26" s="31"/>
      <c r="J26" s="31"/>
    </row>
    <row r="27" ht="36" customHeight="1" spans="1:10">
      <c r="A27" s="32" t="s">
        <v>429</v>
      </c>
      <c r="B27" s="32" t="s">
        <v>159</v>
      </c>
      <c r="C27" s="32" t="s">
        <v>160</v>
      </c>
      <c r="D27" s="32" t="s">
        <v>161</v>
      </c>
      <c r="E27" s="32" t="s">
        <v>162</v>
      </c>
      <c r="F27" s="32" t="s">
        <v>12</v>
      </c>
      <c r="G27" s="32" t="s">
        <v>97</v>
      </c>
      <c r="H27" s="32" t="s">
        <v>97</v>
      </c>
      <c r="I27" s="32" t="s">
        <v>97</v>
      </c>
      <c r="J27" s="32" t="s">
        <v>97</v>
      </c>
    </row>
    <row r="28" ht="19.5" customHeight="1" spans="1:10">
      <c r="A28" s="33" t="s">
        <v>635</v>
      </c>
      <c r="B28" s="4">
        <v>6</v>
      </c>
      <c r="C28" s="4">
        <v>7</v>
      </c>
      <c r="D28" s="4">
        <v>8</v>
      </c>
      <c r="E28" s="34">
        <v>21</v>
      </c>
      <c r="F28" s="5" t="s">
        <v>432</v>
      </c>
      <c r="G28" s="4" t="s">
        <v>97</v>
      </c>
      <c r="H28" s="4" t="s">
        <v>97</v>
      </c>
      <c r="I28" s="4" t="s">
        <v>97</v>
      </c>
      <c r="J28" s="4" t="s">
        <v>97</v>
      </c>
    </row>
    <row r="29" ht="19.5" customHeight="1" spans="1:10">
      <c r="A29" s="35" t="s">
        <v>636</v>
      </c>
      <c r="B29" s="10">
        <v>3</v>
      </c>
      <c r="C29" s="10">
        <v>4</v>
      </c>
      <c r="D29" s="10">
        <v>5</v>
      </c>
      <c r="E29" s="36">
        <v>12</v>
      </c>
      <c r="F29" s="11" t="s">
        <v>637</v>
      </c>
      <c r="G29" s="10" t="s">
        <v>97</v>
      </c>
      <c r="H29" s="10" t="s">
        <v>97</v>
      </c>
      <c r="I29" s="10" t="s">
        <v>97</v>
      </c>
      <c r="J29" s="10" t="s">
        <v>97</v>
      </c>
    </row>
    <row r="30" ht="19.5" customHeight="1" spans="1:10">
      <c r="A30" s="33" t="s">
        <v>638</v>
      </c>
      <c r="B30" s="4">
        <v>3</v>
      </c>
      <c r="C30" s="4">
        <v>3</v>
      </c>
      <c r="D30" s="4">
        <v>3</v>
      </c>
      <c r="E30" s="34">
        <v>9</v>
      </c>
      <c r="F30" s="5" t="s">
        <v>639</v>
      </c>
      <c r="G30" s="4" t="s">
        <v>97</v>
      </c>
      <c r="H30" s="4" t="s">
        <v>97</v>
      </c>
      <c r="I30" s="4" t="s">
        <v>97</v>
      </c>
      <c r="J30" s="4" t="s">
        <v>97</v>
      </c>
    </row>
    <row r="31" ht="19.5" customHeight="1" spans="1:10">
      <c r="A31" s="35" t="s">
        <v>640</v>
      </c>
      <c r="B31" s="10">
        <v>2</v>
      </c>
      <c r="C31" s="10">
        <v>3</v>
      </c>
      <c r="D31" s="10">
        <v>4</v>
      </c>
      <c r="E31" s="36">
        <v>9</v>
      </c>
      <c r="F31" s="11" t="s">
        <v>641</v>
      </c>
      <c r="G31" s="10" t="s">
        <v>97</v>
      </c>
      <c r="H31" s="10" t="s">
        <v>97</v>
      </c>
      <c r="I31" s="10" t="s">
        <v>97</v>
      </c>
      <c r="J31" s="10" t="s">
        <v>97</v>
      </c>
    </row>
    <row r="32" ht="19.5" customHeight="1" spans="1:10">
      <c r="A32" s="33" t="s">
        <v>642</v>
      </c>
      <c r="B32" s="4">
        <v>9</v>
      </c>
      <c r="C32" s="4">
        <v>10</v>
      </c>
      <c r="D32" s="4">
        <v>11</v>
      </c>
      <c r="E32" s="34">
        <v>18</v>
      </c>
      <c r="F32" s="5" t="s">
        <v>643</v>
      </c>
      <c r="G32" s="4" t="s">
        <v>97</v>
      </c>
      <c r="H32" s="4" t="s">
        <v>97</v>
      </c>
      <c r="I32" s="4" t="s">
        <v>97</v>
      </c>
      <c r="J32" s="4" t="s">
        <v>97</v>
      </c>
    </row>
    <row r="33" ht="19.5" customHeight="1" spans="1:10">
      <c r="A33" s="35" t="s">
        <v>644</v>
      </c>
      <c r="B33" s="10">
        <v>1</v>
      </c>
      <c r="C33" s="10">
        <v>2</v>
      </c>
      <c r="D33" s="10">
        <v>3</v>
      </c>
      <c r="E33" s="36">
        <v>6</v>
      </c>
      <c r="F33" s="11" t="s">
        <v>645</v>
      </c>
      <c r="G33" s="10" t="s">
        <v>97</v>
      </c>
      <c r="H33" s="10" t="s">
        <v>97</v>
      </c>
      <c r="I33" s="10" t="s">
        <v>97</v>
      </c>
      <c r="J33" s="10" t="s">
        <v>97</v>
      </c>
    </row>
    <row r="34" ht="19.5" customHeight="1" spans="1:10">
      <c r="A34" s="33" t="s">
        <v>173</v>
      </c>
      <c r="B34" s="4">
        <v>5</v>
      </c>
      <c r="C34" s="4">
        <v>5</v>
      </c>
      <c r="D34" s="4">
        <v>5</v>
      </c>
      <c r="E34" s="34">
        <v>5</v>
      </c>
      <c r="F34" s="5" t="s">
        <v>646</v>
      </c>
      <c r="G34" s="4" t="s">
        <v>97</v>
      </c>
      <c r="H34" s="4" t="s">
        <v>97</v>
      </c>
      <c r="I34" s="4" t="s">
        <v>97</v>
      </c>
      <c r="J34" s="4" t="s">
        <v>97</v>
      </c>
    </row>
    <row r="35" ht="15.15"/>
    <row r="36" ht="21.75" customHeight="1" spans="1:10">
      <c r="A36" s="15" t="s">
        <v>647</v>
      </c>
      <c r="B36" s="15"/>
      <c r="C36" s="15"/>
      <c r="D36" s="15"/>
      <c r="E36" s="15"/>
      <c r="F36" s="15"/>
      <c r="G36" s="37"/>
      <c r="H36" s="37"/>
      <c r="I36" s="37"/>
      <c r="J36" s="37"/>
    </row>
    <row r="37" ht="36" customHeight="1" spans="1:10">
      <c r="A37" s="32" t="s">
        <v>176</v>
      </c>
      <c r="B37" s="32" t="s">
        <v>177</v>
      </c>
      <c r="C37" s="32" t="s">
        <v>178</v>
      </c>
      <c r="D37" s="32" t="s">
        <v>179</v>
      </c>
      <c r="E37" s="32" t="s">
        <v>180</v>
      </c>
      <c r="F37" s="32" t="s">
        <v>181</v>
      </c>
    </row>
    <row r="38" ht="24" customHeight="1" spans="1:10">
      <c r="A38" s="38" t="s">
        <v>648</v>
      </c>
      <c r="B38" s="16">
        <v>5</v>
      </c>
      <c r="C38" s="16">
        <v>5</v>
      </c>
      <c r="D38" s="16">
        <v>5</v>
      </c>
      <c r="E38" s="16">
        <v>5</v>
      </c>
      <c r="F38" s="8">
        <v>5</v>
      </c>
      <c r="G38" s="37"/>
      <c r="H38" s="37"/>
      <c r="I38" s="37"/>
      <c r="J38" s="37"/>
    </row>
  </sheetData>
  <mergeCells count="4">
    <mergeCell ref="A1:J1"/>
    <mergeCell ref="A2:J2"/>
    <mergeCell ref="A26:J26"/>
    <mergeCell ref="A36:F36"/>
  </mergeCells>
  <pageMargins left="0.75" right="0.75" top="1" bottom="1" header="0.511811023622047" footer="0.511811023622047"/>
  <pageSetup paperSize="9" orientation="portrait" horizontalDpi="300" verticalDpi="300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18"/>
  <sheetViews>
    <sheetView showGridLines="0" tabSelected="1" topLeftCell="A3" workbookViewId="0">
      <selection activeCell="M10" sqref="M10"/>
    </sheetView>
  </sheetViews>
  <sheetFormatPr defaultColWidth="8.67592592592593" defaultRowHeight="14.4"/>
  <cols>
    <col min="1" max="1" width="44.3333333333333" customWidth="1"/>
    <col min="2" max="2" width="32" customWidth="1"/>
    <col min="3" max="7" width="10" customWidth="1"/>
    <col min="8" max="8" width="12" customWidth="1"/>
    <col min="9" max="9" width="18.7777777777778" customWidth="1"/>
  </cols>
  <sheetData>
    <row r="1" ht="30" customHeight="1" spans="1:9">
      <c r="A1" s="1" t="s">
        <v>649</v>
      </c>
      <c r="B1" s="1"/>
      <c r="C1" s="1"/>
      <c r="D1" s="1"/>
      <c r="E1" s="1"/>
      <c r="F1" s="1"/>
      <c r="G1" s="1"/>
      <c r="H1" s="1"/>
      <c r="I1" s="1"/>
    </row>
    <row r="2" ht="19.5" customHeight="1" spans="1:9">
      <c r="A2" s="2" t="s">
        <v>650</v>
      </c>
      <c r="B2" s="2"/>
      <c r="C2" s="2"/>
      <c r="D2" s="2"/>
      <c r="E2" s="2"/>
      <c r="F2" s="2"/>
      <c r="G2" s="2"/>
      <c r="H2" s="2"/>
      <c r="I2" s="2"/>
    </row>
    <row r="3" ht="42" customHeight="1" spans="1:9">
      <c r="A3" s="3" t="s">
        <v>3</v>
      </c>
      <c r="B3" s="3" t="s">
        <v>176</v>
      </c>
      <c r="C3" s="3" t="s">
        <v>651</v>
      </c>
      <c r="D3" s="3" t="s">
        <v>159</v>
      </c>
      <c r="E3" s="3" t="s">
        <v>160</v>
      </c>
      <c r="F3" s="3" t="s">
        <v>161</v>
      </c>
      <c r="G3" s="3" t="s">
        <v>652</v>
      </c>
      <c r="H3" s="3" t="s">
        <v>653</v>
      </c>
      <c r="I3" s="3" t="s">
        <v>654</v>
      </c>
    </row>
    <row r="4" ht="27.75" customHeight="1" spans="1:9">
      <c r="A4" s="4">
        <v>1</v>
      </c>
      <c r="B4" s="5" t="s">
        <v>655</v>
      </c>
      <c r="C4" s="6">
        <v>5</v>
      </c>
      <c r="D4" s="6">
        <v>5</v>
      </c>
      <c r="E4" s="6">
        <v>5</v>
      </c>
      <c r="F4" s="6">
        <v>5</v>
      </c>
      <c r="G4" s="7">
        <f>ROUND(AVERAGE(D4:F4),1)</f>
        <v>5</v>
      </c>
      <c r="H4" s="8">
        <v>5</v>
      </c>
      <c r="I4" s="9" t="s">
        <v>656</v>
      </c>
    </row>
    <row r="5" ht="27.75" customHeight="1" spans="1:9">
      <c r="A5" s="10">
        <v>2</v>
      </c>
      <c r="B5" s="11" t="s">
        <v>657</v>
      </c>
      <c r="C5" s="12">
        <v>10</v>
      </c>
      <c r="D5" s="12">
        <v>10</v>
      </c>
      <c r="E5" s="12">
        <v>10</v>
      </c>
      <c r="F5" s="12">
        <v>10</v>
      </c>
      <c r="G5" s="13">
        <f>ROUND(AVERAGE(D5:F5),1)</f>
        <v>10</v>
      </c>
      <c r="H5" s="8">
        <v>10</v>
      </c>
      <c r="I5" s="14" t="s">
        <v>658</v>
      </c>
    </row>
    <row r="6" ht="27.75" customHeight="1" spans="1:9">
      <c r="A6" s="4">
        <v>3</v>
      </c>
      <c r="B6" s="5" t="s">
        <v>659</v>
      </c>
      <c r="C6" s="6">
        <v>5</v>
      </c>
      <c r="D6" s="6">
        <v>5</v>
      </c>
      <c r="E6" s="6">
        <v>5</v>
      </c>
      <c r="F6" s="6">
        <v>5</v>
      </c>
      <c r="G6" s="7">
        <f>ROUND(AVERAGE(D6:F6),1)</f>
        <v>5</v>
      </c>
      <c r="H6" s="8">
        <v>5</v>
      </c>
      <c r="I6" s="9" t="s">
        <v>660</v>
      </c>
    </row>
    <row r="7" ht="27.75" customHeight="1" spans="1:9">
      <c r="A7" s="10">
        <v>4</v>
      </c>
      <c r="B7" s="11" t="s">
        <v>661</v>
      </c>
      <c r="C7" s="12">
        <v>5</v>
      </c>
      <c r="D7" s="12">
        <v>5</v>
      </c>
      <c r="E7" s="12">
        <v>5</v>
      </c>
      <c r="F7" s="12">
        <v>5</v>
      </c>
      <c r="G7" s="13">
        <f>ROUND(AVERAGE(D7:F7),1)</f>
        <v>5</v>
      </c>
      <c r="H7" s="8">
        <v>5</v>
      </c>
      <c r="I7" s="14" t="s">
        <v>662</v>
      </c>
    </row>
    <row r="8" ht="27.75" customHeight="1" spans="1:9">
      <c r="A8" s="15" t="s">
        <v>663</v>
      </c>
      <c r="B8" s="15"/>
      <c r="C8" s="16">
        <v>25</v>
      </c>
      <c r="D8" s="16">
        <f>SUM(D4:D7)</f>
        <v>25</v>
      </c>
      <c r="E8" s="16">
        <f>SUM(E4:E7)</f>
        <v>25</v>
      </c>
      <c r="F8" s="16">
        <f>SUM(F4:F7)</f>
        <v>25</v>
      </c>
      <c r="G8" s="17">
        <f>ROUND(AVERAGE(D8:F8),1)</f>
        <v>25</v>
      </c>
      <c r="H8" s="8">
        <f>SUM(H4:H7)</f>
        <v>25</v>
      </c>
      <c r="I8" s="18" t="s">
        <v>664</v>
      </c>
    </row>
    <row r="9" ht="15.15"/>
    <row r="10" ht="21.75" customHeight="1" spans="1:9">
      <c r="A10" s="19" t="s">
        <v>665</v>
      </c>
      <c r="B10" s="19"/>
      <c r="C10" s="19"/>
      <c r="D10" s="19"/>
      <c r="E10" s="19"/>
      <c r="F10" s="19"/>
      <c r="G10" s="19"/>
      <c r="H10" s="19"/>
      <c r="I10" s="19"/>
    </row>
    <row r="11" ht="21.75" customHeight="1" spans="1:9">
      <c r="A11" s="20" t="s">
        <v>666</v>
      </c>
      <c r="B11" s="21" t="s">
        <v>667</v>
      </c>
      <c r="C11" s="21"/>
      <c r="D11" s="21"/>
      <c r="E11" s="21"/>
      <c r="F11" s="21"/>
      <c r="G11" s="21"/>
      <c r="H11" s="21"/>
      <c r="I11" s="21"/>
    </row>
    <row r="12" ht="21.75" customHeight="1" spans="1:9">
      <c r="A12" s="22" t="s">
        <v>668</v>
      </c>
      <c r="B12" s="23" t="s">
        <v>669</v>
      </c>
      <c r="C12" s="23"/>
      <c r="D12" s="23"/>
      <c r="E12" s="23"/>
      <c r="F12" s="23"/>
      <c r="G12" s="23"/>
      <c r="H12" s="23"/>
      <c r="I12" s="23"/>
    </row>
    <row r="13" ht="21.75" customHeight="1" spans="1:9">
      <c r="A13" s="20" t="s">
        <v>670</v>
      </c>
      <c r="B13" s="21" t="s">
        <v>671</v>
      </c>
      <c r="C13" s="21"/>
      <c r="D13" s="21"/>
      <c r="E13" s="21"/>
      <c r="F13" s="21"/>
      <c r="G13" s="21"/>
      <c r="H13" s="21"/>
      <c r="I13" s="21"/>
    </row>
    <row r="14" ht="21.75" customHeight="1" spans="1:9">
      <c r="A14" s="22" t="s">
        <v>672</v>
      </c>
      <c r="B14" s="23" t="s">
        <v>673</v>
      </c>
      <c r="C14" s="23"/>
      <c r="D14" s="23"/>
      <c r="E14" s="23"/>
      <c r="F14" s="23"/>
      <c r="G14" s="23"/>
      <c r="H14" s="23"/>
      <c r="I14" s="23"/>
    </row>
    <row r="15" ht="21.75" customHeight="1" spans="1:9">
      <c r="A15" s="20" t="s">
        <v>674</v>
      </c>
      <c r="B15" s="21" t="s">
        <v>675</v>
      </c>
      <c r="C15" s="21"/>
      <c r="D15" s="21"/>
      <c r="E15" s="21"/>
      <c r="F15" s="21"/>
      <c r="G15" s="21"/>
      <c r="H15" s="21"/>
      <c r="I15" s="21"/>
    </row>
    <row r="16" ht="21.75" customHeight="1" spans="1:9">
      <c r="A16" s="22" t="s">
        <v>676</v>
      </c>
      <c r="B16" s="23" t="s">
        <v>677</v>
      </c>
      <c r="C16" s="23"/>
      <c r="D16" s="23"/>
      <c r="E16" s="23"/>
      <c r="F16" s="23"/>
      <c r="G16" s="23"/>
      <c r="H16" s="23"/>
      <c r="I16" s="23"/>
    </row>
    <row r="17" ht="21.75" customHeight="1" spans="1:9">
      <c r="A17" s="20" t="s">
        <v>678</v>
      </c>
      <c r="B17" s="21" t="s">
        <v>679</v>
      </c>
      <c r="C17" s="21"/>
      <c r="D17" s="21"/>
      <c r="E17" s="21"/>
      <c r="F17" s="21"/>
      <c r="G17" s="21"/>
      <c r="H17" s="21"/>
      <c r="I17" s="21"/>
    </row>
    <row r="18" ht="21.75" customHeight="1" spans="1:9">
      <c r="A18" s="22" t="s">
        <v>378</v>
      </c>
      <c r="B18" s="23" t="s">
        <v>680</v>
      </c>
      <c r="C18" s="23"/>
      <c r="D18" s="23"/>
      <c r="E18" s="23"/>
      <c r="F18" s="23"/>
      <c r="G18" s="23"/>
      <c r="H18" s="23"/>
      <c r="I18" s="23"/>
    </row>
  </sheetData>
  <mergeCells count="12">
    <mergeCell ref="A1:I1"/>
    <mergeCell ref="A2:I2"/>
    <mergeCell ref="A8:B8"/>
    <mergeCell ref="A10:I10"/>
    <mergeCell ref="B11:I11"/>
    <mergeCell ref="B12:I12"/>
    <mergeCell ref="B13:I13"/>
    <mergeCell ref="B14:I14"/>
    <mergeCell ref="B15:I15"/>
    <mergeCell ref="B16:I16"/>
    <mergeCell ref="B17:I17"/>
    <mergeCell ref="B18:I18"/>
  </mergeCells>
  <pageMargins left="0.75" right="0.75" top="1" bottom="1" header="0.511811023622047" footer="0.511811023622047"/>
  <pageSetup paperSize="9" orientation="portrait" horizontalDpi="300" verticalDpi="30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LibreOffice/24.2.7.2$Linux_X86_64 LibreOffice_project/420$Build-2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Societies_Events</vt:lpstr>
      <vt:lpstr>Student_Participation</vt:lpstr>
      <vt:lpstr>Dept_Publications</vt:lpstr>
      <vt:lpstr>Student_Publications</vt:lpstr>
      <vt:lpstr>Overall_Scorecard_25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totte</cp:lastModifiedBy>
  <cp:revision>0</cp:revision>
  <dcterms:created xsi:type="dcterms:W3CDTF">2026-06-26T11:49:00Z</dcterms:created>
  <dcterms:modified xsi:type="dcterms:W3CDTF">2026-07-21T06:03:02Z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00F468DB4E31456D9C296E93CF31FCAA_12</vt:lpwstr>
  </property>
  <property fmtid="{D5CDD505-2E9C-101B-9397-08002B2CF9AE}" pid="3" name="KSOProductBuildVer">
    <vt:lpwstr>1033-12.1.0.27458</vt:lpwstr>
  </property>
  <property fmtid="{D5CDD505-2E9C-101B-9397-08002B2CF9AE}" pid="4" name="CalculationRule">
    <vt:i4>0</vt:i4>
  </property>
</Properties>
</file>