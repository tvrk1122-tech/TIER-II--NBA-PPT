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List_Paste" sheetId="1" r:id="rId1"/>
    <sheet name="Gazette_Paste" sheetId="2" r:id="rId2"/>
    <sheet name="Appearance_Paste" sheetId="3" r:id="rId3"/>
    <sheet name="Y_Summary" sheetId="4" r:id="rId4"/>
    <sheet name="API_Helper" sheetId="5" r:id="rId5"/>
    <sheet name="ReadMe" sheetId="6" r:id="rId6"/>
  </sheets>
  <calcPr calcId="124519" fullCalcOnLoad="1"/>
</workbook>
</file>

<file path=xl/sharedStrings.xml><?xml version="1.0" encoding="utf-8"?>
<sst xmlns="http://schemas.openxmlformats.org/spreadsheetml/2006/main" count="73" uniqueCount="42">
  <si>
    <t>Cohort (CAYm1/CAYm2/CAYm3)</t>
  </si>
  <si>
    <t>Academic Year (e.g., 2023-24)</t>
  </si>
  <si>
    <t>Roll No (Promoted)</t>
  </si>
  <si>
    <t>Student Name</t>
  </si>
  <si>
    <t>Remarks (Promoted with backlog / Detained / etc.)</t>
  </si>
  <si>
    <t>Roll No (Appeared)</t>
  </si>
  <si>
    <t>Result (PASS/FAIL)</t>
  </si>
  <si>
    <t>GPA (10-pt) [if available]</t>
  </si>
  <si>
    <t>% Marks [if GPA not available]</t>
  </si>
  <si>
    <t>Roll No</t>
  </si>
  <si>
    <t>Attendance (Present/Absent)</t>
  </si>
  <si>
    <t>Academic Year</t>
  </si>
  <si>
    <t>Y = Successful Students (count from Pass List)</t>
  </si>
  <si>
    <t>Mismatch: PassList Roll Nos not in Gazette (count)</t>
  </si>
  <si>
    <t>Mismatch: PassList Roll Nos not in Appeared list (count)</t>
  </si>
  <si>
    <t>CAYm1</t>
  </si>
  <si>
    <t>CAYm2</t>
  </si>
  <si>
    <t>CAYm3</t>
  </si>
  <si>
    <t>X (Mean GPA of successful OR Mean %/10)</t>
  </si>
  <si>
    <t>Y (Auto from Pass List)</t>
  </si>
  <si>
    <t>Z (from Exam Appearance List)</t>
  </si>
  <si>
    <t>API = X * (Y/Z) (Auto)</t>
  </si>
  <si>
    <t>Instructions</t>
  </si>
  <si>
    <t>Pass List Mapping – Y source for API (NBA Criterion 4)</t>
  </si>
  <si>
    <t>How to use:</t>
  </si>
  <si>
    <t>1) Paste official University/Autonomous Pass List into 'PassList_Paste'.</t>
  </si>
  <si>
    <t xml:space="preserve">   - Fill cohort (CAYm1/CAYm2/CAYm3) and roll numbers of promoted students.</t>
  </si>
  <si>
    <t>2) (Optional) Paste Gazette student-wise data into 'Gazette_Paste'.</t>
  </si>
  <si>
    <t xml:space="preserve">   - This enables cross-check of Pass List vs Gazette PASS entries.</t>
  </si>
  <si>
    <t>3) (Optional) Paste Exam Appearance list into 'Appearance_Paste'.</t>
  </si>
  <si>
    <t xml:space="preserve">   - This enables cross-check of Pass List vs Appeared set.</t>
  </si>
  <si>
    <t>4) Open 'Y_Summary' to see:</t>
  </si>
  <si>
    <t xml:space="preserve">   - Y = count of promoted students from Pass List,</t>
  </si>
  <si>
    <t xml:space="preserve">   - Mismatch counts if roll numbers in Pass List are missing in Gazette or Appearance list.</t>
  </si>
  <si>
    <t>5) Use 'API_Helper':</t>
  </si>
  <si>
    <t xml:space="preserve">   - Enter X (mean GPA or mean %/10 from Gazette),</t>
  </si>
  <si>
    <t xml:space="preserve">   - Enter Z (appeared count),</t>
  </si>
  <si>
    <t xml:space="preserve">   - Y auto-fills from Pass List, API auto-calculates.</t>
  </si>
  <si>
    <t>Notes:</t>
  </si>
  <si>
    <t>- Pass List is the authoritative proof for Y (successful student count).</t>
  </si>
  <si>
    <t>- Gazette is needed for X (quality factor) and cross-check consistency.</t>
  </si>
  <si>
    <t>- Exam Appearance List is needed for Z (denominator in API).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</si>
</sst>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" fontId="0" fillId="0" borderId="1" xfId="0" applyNumberFormat="1" applyBorder="1"/>
    <xf numFmtId="16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3" width="22.7109375" customWidth="1"/>
    <col min="4" max="4" width="28.7109375" customWidth="1"/>
    <col min="5" max="5" width="4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3" width="20.7109375" customWidth="1"/>
    <col min="4" max="5" width="24.7109375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3" width="22.7109375" customWidth="1"/>
  </cols>
  <sheetData>
    <row r="1" spans="1:3">
      <c r="A1" s="1" t="s">
        <v>0</v>
      </c>
      <c r="B1" s="1" t="s">
        <v>9</v>
      </c>
      <c r="C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5" width="44.7109375" customWidth="1"/>
  </cols>
  <sheetData>
    <row r="1" spans="1: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>
        <f>IFERROR(INDEX(PassList_Paste!$B$2:$B$801, MATCH("CAYm1", PassList_Paste!$A$2:$A$801, 0)), "")</f>
        <v>0</v>
      </c>
      <c r="C2" s="2">
        <f>COUNTIFS(PassList_Paste!$A$2:$A$801,"CAYm1",PassList_Paste!$C$2:$C$801,"&lt;&gt;")</f>
        <v>0</v>
      </c>
      <c r="D2" s="2">
        <f>SUMPRODUCT(--(PassList_Paste!$A$2:$A$801="CAYm1"),--(PassList_Paste!$C$2:$C$801&lt;&gt;""),--(ISNA(MATCH(PassList_Paste!$C$2:$C$801, IF(Gazette_Paste!$A$2:$A$801="CAYm1", Gazette_Paste!$B$2:$B$801, ""), 0))))</f>
        <v>0</v>
      </c>
      <c r="E2" s="2">
        <f>SUMPRODUCT(--(PassList_Paste!$A$2:$A$801="CAYm1"),--(PassList_Paste!$C$2:$C$801&lt;&gt;""),--(ISNA(MATCH(PassList_Paste!$C$2:$C$801, IF(Appearance_Paste!$A$2:$A$801="CAYm1", Appearance_Paste!$B$2:$B$801, ""), 0))))</f>
        <v>0</v>
      </c>
    </row>
    <row r="3" spans="1:5">
      <c r="A3" t="s">
        <v>16</v>
      </c>
      <c r="B3">
        <f>IFERROR(INDEX(PassList_Paste!$B$2:$B$801, MATCH("CAYm2", PassList_Paste!$A$2:$A$801, 0)), "")</f>
        <v>0</v>
      </c>
      <c r="C3" s="2">
        <f>COUNTIFS(PassList_Paste!$A$2:$A$801,"CAYm2",PassList_Paste!$C$2:$C$801,"&lt;&gt;")</f>
        <v>0</v>
      </c>
      <c r="D3" s="2">
        <f>SUMPRODUCT(--(PassList_Paste!$A$2:$A$801="CAYm2"),--(PassList_Paste!$C$2:$C$801&lt;&gt;""),--(ISNA(MATCH(PassList_Paste!$C$2:$C$801, IF(Gazette_Paste!$A$2:$A$801="CAYm2", Gazette_Paste!$B$2:$B$801, ""), 0))))</f>
        <v>0</v>
      </c>
      <c r="E3" s="2">
        <f>SUMPRODUCT(--(PassList_Paste!$A$2:$A$801="CAYm2"),--(PassList_Paste!$C$2:$C$801&lt;&gt;""),--(ISNA(MATCH(PassList_Paste!$C$2:$C$801, IF(Appearance_Paste!$A$2:$A$801="CAYm2", Appearance_Paste!$B$2:$B$801, ""), 0))))</f>
        <v>0</v>
      </c>
    </row>
    <row r="4" spans="1:5">
      <c r="A4" t="s">
        <v>17</v>
      </c>
      <c r="B4">
        <f>IFERROR(INDEX(PassList_Paste!$B$2:$B$801, MATCH("CAYm3", PassList_Paste!$A$2:$A$801, 0)), "")</f>
        <v>0</v>
      </c>
      <c r="C4" s="2">
        <f>COUNTIFS(PassList_Paste!$A$2:$A$801,"CAYm3",PassList_Paste!$C$2:$C$801,"&lt;&gt;")</f>
        <v>0</v>
      </c>
      <c r="D4" s="2">
        <f>SUMPRODUCT(--(PassList_Paste!$A$2:$A$801="CAYm3"),--(PassList_Paste!$C$2:$C$801&lt;&gt;""),--(ISNA(MATCH(PassList_Paste!$C$2:$C$801, IF(Gazette_Paste!$A$2:$A$801="CAYm3", Gazette_Paste!$B$2:$B$801, ""), 0))))</f>
        <v>0</v>
      </c>
      <c r="E4" s="2">
        <f>SUMPRODUCT(--(PassList_Paste!$A$2:$A$801="CAYm3"),--(PassList_Paste!$C$2:$C$801&lt;&gt;""),--(ISNA(MATCH(PassList_Paste!$C$2:$C$801, IF(Appearance_Paste!$A$2:$A$801="CAYm3", Appearance_Paste!$B$2:$B$801, ""), 0))))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5" width="28.7109375" customWidth="1"/>
  </cols>
  <sheetData>
    <row r="1" spans="1: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15</v>
      </c>
      <c r="C2" s="2">
        <f>COUNTIFS(PassList_Paste!$A$2:$A$801,"CAYm1",PassList_Paste!$C$2:$C$801,"&lt;&gt;")</f>
        <v>0</v>
      </c>
      <c r="E2" s="3">
        <f>IFERROR(B2*(C2/D2),"")</f>
        <v>0</v>
      </c>
    </row>
    <row r="3" spans="1:5">
      <c r="A3" t="s">
        <v>16</v>
      </c>
      <c r="C3" s="2">
        <f>COUNTIFS(PassList_Paste!$A$2:$A$801,"CAYm2",PassList_Paste!$C$2:$C$801,"&lt;&gt;")</f>
        <v>0</v>
      </c>
      <c r="E3" s="3">
        <f>IFERROR(B3*(C3/D3),"")</f>
        <v>0</v>
      </c>
    </row>
    <row r="4" spans="1:5">
      <c r="A4" t="s">
        <v>17</v>
      </c>
      <c r="C4" s="2">
        <f>COUNTIFS(PassList_Paste!$A$2:$A$801,"CAYm3",PassList_Paste!$C$2:$C$801,"&lt;&gt;")</f>
        <v>0</v>
      </c>
      <c r="E4" s="3">
        <f>IFERROR(B4*(C4/D4),"")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22</v>
      </c>
    </row>
    <row r="2" spans="1:1">
      <c r="A2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  <row r="15" spans="1:1">
      <c r="A15" t="s">
        <v>35</v>
      </c>
    </row>
    <row r="16" spans="1:1">
      <c r="A16" t="s">
        <v>36</v>
      </c>
    </row>
    <row r="17" spans="1:1">
      <c r="A17" t="s">
        <v>37</v>
      </c>
    </row>
    <row r="19" spans="1:1">
      <c r="A19" t="s">
        <v>38</v>
      </c>
    </row>
    <row r="20" spans="1:1">
      <c r="A20" t="s">
        <v>39</v>
      </c>
    </row>
    <row r="21" spans="1:1">
      <c r="A21" t="s">
        <v>40</v>
      </c>
    </row>
    <row r="22" spans="1:1">
      <c r="A2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PassList_Paste</vt:lpstr>
      <vt:lpstr>Gazette_Paste</vt:lpstr>
      <vt:lpstr>Appearance_Paste</vt:lpstr>
      <vt:lpstr>Y_Summary</vt:lpstr>
      <vt:lpstr>API_Helper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2025-08-26T10:35:23Z</dcterms:created>
  <dcterms:modified xsi:type="dcterms:W3CDTF">2025-08-26T10:35:23Z</dcterms:modified>
</cp:coreProperties>
</file>