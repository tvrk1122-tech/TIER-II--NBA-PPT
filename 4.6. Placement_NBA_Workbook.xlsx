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tabRatio="500" activeTab="1"/>
  </bookViews>
  <sheets>
    <sheet name="Placement_Calculator" sheetId="1" r:id="rId1"/>
    <sheet name="SAR_Table" sheetId="2" r:id="rId2"/>
    <sheet name="Student_Tracker" sheetId="3" r:id="rId3"/>
    <sheet name="Trend_Chart" sheetId="4" r:id="rId4"/>
    <sheet name="Evidence_Checklis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<sst xmlns="http://schemas.openxmlformats.org/spreadsheetml/2006/main" count="266" uniqueCount="177">
  <si>
    <t>PLACEMENT, HIGHER STUDIES &amp; ENTREPRENEURSHIP — NBA SCORE CALCULATOR (Max: 30 Marks)</t>
  </si>
  <si>
    <t>Formula:  P = ((X + Y + Z) / FS*) × 100   |   Avg P = (P₁+P₂+P₃)/3   |   Points = 0.3 × Avg P</t>
  </si>
  <si>
    <t>KEY VARIABLES</t>
  </si>
  <si>
    <t>Symbol</t>
  </si>
  <si>
    <t>Variable</t>
  </si>
  <si>
    <t>Definition</t>
  </si>
  <si>
    <t>FS*</t>
  </si>
  <si>
    <t>Final-year students (denominator)</t>
  </si>
  <si>
    <t>Total final-year students OR (N + N2), whichever is HIGHER. N = sanctioned intake; N2 = lateral entry incl. leftover seats.</t>
  </si>
  <si>
    <t>X</t>
  </si>
  <si>
    <t>Placed students</t>
  </si>
  <si>
    <t>Campus placements + job offers accepted (each student counted once)</t>
  </si>
  <si>
    <t>Y</t>
  </si>
  <si>
    <t>Higher studies admits</t>
  </si>
  <si>
    <t>PG admissions in India or abroad (each student counted once)</t>
  </si>
  <si>
    <t>Z</t>
  </si>
  <si>
    <t>Entrepreneurs</t>
  </si>
  <si>
    <t>Startup founders, self-employed, incubatee students (each counted once)</t>
  </si>
  <si>
    <t>P</t>
  </si>
  <si>
    <t>Placement Index (per year)</t>
  </si>
  <si>
    <t>P = ((X + Y + Z) / FS*) × 100  — combined outcome rate</t>
  </si>
  <si>
    <t>SECTION A — DATA INPUT   (Blue cells = editable inputs  |  N, N2 → FS* auto-corrected)</t>
  </si>
  <si>
    <t>#</t>
  </si>
  <si>
    <t>Variable / Metric</t>
  </si>
  <si>
    <t>N
(Sanctioned
Intake)</t>
  </si>
  <si>
    <t>N2
(Lateral
Entry)</t>
  </si>
  <si>
    <t>LYGm2
(Batch −2)</t>
  </si>
  <si>
    <t>LYGm1
(Batch −1)</t>
  </si>
  <si>
    <t>LYG
(Latest
Batch)</t>
  </si>
  <si>
    <t>3-Yr Avg</t>
  </si>
  <si>
    <t>Notes</t>
  </si>
  <si>
    <t>N — Sanctioned intake (from AICTE approval)</t>
  </si>
  <si>
    <t>—</t>
  </si>
  <si>
    <t>AICTE / University approval letter</t>
  </si>
  <si>
    <t>N2 — Lateral entry incl. leftover seats</t>
  </si>
  <si>
    <t>Admission register — lateral batch</t>
  </si>
  <si>
    <t>FS — Actual final-year students (raw headcount)</t>
  </si>
  <si>
    <t>Final year attendance / university rolls</t>
  </si>
  <si>
    <t>FS* — Corrected denominator  [MAX(FS, N+N2)]  ← auto</t>
  </si>
  <si>
    <t>NBA rule: if FS &lt; N+N2 use N+N2</t>
  </si>
  <si>
    <t>X — Students placed (campus + institutional)</t>
  </si>
  <si>
    <t>Offer / appointment letters (T&amp;P cell verified)</t>
  </si>
  <si>
    <t>Y — Students admitted to higher studies</t>
  </si>
  <si>
    <t>Admission / enrolment letters from PG institution</t>
  </si>
  <si>
    <t>Z — Entrepreneurs / self-employed</t>
  </si>
  <si>
    <t>Startup reg / UDYAM / incubation / self-declaration</t>
  </si>
  <si>
    <t>SECTION B — COMPUTED INDICES (auto-calculated)</t>
  </si>
  <si>
    <t>PI</t>
  </si>
  <si>
    <t>Placement Index  =  (X / FS*) × 100</t>
  </si>
  <si>
    <t>Percentage of FS* placed</t>
  </si>
  <si>
    <t>HSI</t>
  </si>
  <si>
    <t>Higher Studies Index  =  (Y / FS*) × 100</t>
  </si>
  <si>
    <t>Percentage of FS* in PG/higher studies</t>
  </si>
  <si>
    <t>EI</t>
  </si>
  <si>
    <t>Entrepreneurship Index  =  (Z / FS*) × 100</t>
  </si>
  <si>
    <t>Percentage of FS* as entrepreneurs</t>
  </si>
  <si>
    <t>P  =  PI + HSI + EI  (Combined Placement Index)</t>
  </si>
  <si>
    <t>✔</t>
  </si>
  <si>
    <t>Validation: (X+Y+Z) ≤ FS*  (integrity check)</t>
  </si>
  <si>
    <t>X+Y+Z must not exceed FS*</t>
  </si>
  <si>
    <t>SECTION C — FINAL NBA SCORE</t>
  </si>
  <si>
    <t>Average P  =  (P_LYGm2 + P_LYGm1 + P_LYG) ÷ 3</t>
  </si>
  <si>
    <t>← Average P (combined index out of 100)</t>
  </si>
  <si>
    <t>NBA Points  =  0.3 × Average P   [Max = 30]</t>
  </si>
  <si>
    <t>← Final NBA Points (out of 30)</t>
  </si>
  <si>
    <t>Score band (auto-labelled)</t>
  </si>
  <si>
    <t>← Score band</t>
  </si>
  <si>
    <t>⚠  VALIDATION RULES:  (1) A student counted in only ONE of X, Y, Z.  (2) X+Y+Z ≤ FS* — the checker row above flags any violation.  (3) If FS &lt; N+N2, use N+N2 as denominator (FS* auto-applies this rule).  (4) Use consistent data across all three graduating batches (LYGm2, LYGm1, LYG).</t>
  </si>
  <si>
    <t>SAR TABLE — PLACEMENT, HIGHER STUDIES &amp; ENTREPRENEURSHIP (NBA Format)</t>
  </si>
  <si>
    <t>All values auto-linked from Placement_Calculator  |  Edit inputs only in that sheet</t>
  </si>
  <si>
    <t>Metric</t>
  </si>
  <si>
    <t>LYGm2</t>
  </si>
  <si>
    <t>LYGm1</t>
  </si>
  <si>
    <t>LYG</t>
  </si>
  <si>
    <t>Remarks</t>
  </si>
  <si>
    <t>N — Sanctioned Intake</t>
  </si>
  <si>
    <t>N2 — Lateral Entry</t>
  </si>
  <si>
    <t>Admission records</t>
  </si>
  <si>
    <t>FS — Actual Final-Year Students</t>
  </si>
  <si>
    <t>University rolls / final year attendance</t>
  </si>
  <si>
    <t>FS* — Corrected Denominator [MAX(FS, N+N2)]</t>
  </si>
  <si>
    <t>Auto-corrected; NBA rule applied</t>
  </si>
  <si>
    <t>X — Students Placed</t>
  </si>
  <si>
    <t>Offer / appointment letters</t>
  </si>
  <si>
    <t>Y — Higher Studies Admits</t>
  </si>
  <si>
    <t>Admission / enrolment letters</t>
  </si>
  <si>
    <t>Z — Entrepreneurs</t>
  </si>
  <si>
    <t>Startup / UDYAM / incubation proof</t>
  </si>
  <si>
    <t>X + Y + Z — Total Positive Outcomes</t>
  </si>
  <si>
    <t>Must be ≤ FS*; each student counted once</t>
  </si>
  <si>
    <t>PI — Placement Index (X/FS*×100)</t>
  </si>
  <si>
    <t>% of FS* placed</t>
  </si>
  <si>
    <t>HSI — Higher Studies Index (Y/FS*×100)</t>
  </si>
  <si>
    <t>% of FS* in higher studies</t>
  </si>
  <si>
    <t>EI — Entrepreneurship Index (Z/FS*×100)</t>
  </si>
  <si>
    <t>% of FS* as entrepreneurs</t>
  </si>
  <si>
    <t>P = PI + HSI + EI  (Combined Index)</t>
  </si>
  <si>
    <t>Combined outcome index for the batch</t>
  </si>
  <si>
    <t>← Final Average P (used for marks)</t>
  </si>
  <si>
    <t>← Final NBA Score (out of 30)</t>
  </si>
  <si>
    <t>STUDENT-LEVEL OUTCOME TRACKER — Final Year Graduating Batch (Mandatory NBA Evidence)</t>
  </si>
  <si>
    <t>One row per student. Category auto-assigned. Duplicate this sheet for each graduating year.</t>
  </si>
  <si>
    <t>Roll No.</t>
  </si>
  <si>
    <t>Student Name</t>
  </si>
  <si>
    <t>Passed?
(Y/N)</t>
  </si>
  <si>
    <t>Outcome
(P/H/E/None)</t>
  </si>
  <si>
    <t>Placed
(X)</t>
  </si>
  <si>
    <t>Higher
Study (Y)</t>
  </si>
  <si>
    <t>Entrepreneur
(Z)</t>
  </si>
  <si>
    <t>Evidence Reference</t>
  </si>
  <si>
    <t>2001</t>
  </si>
  <si>
    <t>Aarav Sharma</t>
  </si>
  <si>
    <t>Offer letter – Infosys, dated 05-Jun-2024</t>
  </si>
  <si>
    <t>2002</t>
  </si>
  <si>
    <t>Priya Nair</t>
  </si>
  <si>
    <t>H</t>
  </si>
  <si>
    <t>Admission letter – IITB M.Tech, Jul 2024</t>
  </si>
  <si>
    <t>2003</t>
  </si>
  <si>
    <t>Kiran Menon</t>
  </si>
  <si>
    <t>E</t>
  </si>
  <si>
    <t>UDYAM Reg. No. MH-02-0XXXXX</t>
  </si>
  <si>
    <t>2004</t>
  </si>
  <si>
    <t>Deepa Thomas</t>
  </si>
  <si>
    <t>2005</t>
  </si>
  <si>
    <t>Anand Pillai</t>
  </si>
  <si>
    <t>None</t>
  </si>
  <si>
    <t>No outcome reported</t>
  </si>
  <si>
    <t>2006</t>
  </si>
  <si>
    <t>Sneha Varma</t>
  </si>
  <si>
    <t>N</t>
  </si>
  <si>
    <t>Did not pass – excluded from denominator</t>
  </si>
  <si>
    <t>COHORT SUMMARY (auto-calculated)</t>
  </si>
  <si>
    <t>FS (passed)</t>
  </si>
  <si>
    <t>X (placed)</t>
  </si>
  <si>
    <t>Y (higher)</t>
  </si>
  <si>
    <t>Z (entrep.)</t>
  </si>
  <si>
    <t>X+Y+Z</t>
  </si>
  <si>
    <t>P = (X+Y+Z)/FS×100</t>
  </si>
  <si>
    <t>PLACEMENT OUTCOME TRENDS — THREE-YEAR COMPARISON</t>
  </si>
  <si>
    <t>PI — Placement Index (%)</t>
  </si>
  <si>
    <t>HSI — Higher Studies Index (%)</t>
  </si>
  <si>
    <t>EI — Entrepreneurship Index (%)</t>
  </si>
  <si>
    <t>P — Combined Index (%)</t>
  </si>
  <si>
    <t>FS* (students)</t>
  </si>
  <si>
    <t>X Placed</t>
  </si>
  <si>
    <t>Y Higher Studies</t>
  </si>
  <si>
    <t>Z Entrepreneurs</t>
  </si>
  <si>
    <t>MANDATORY EVIDENCE CHECKLIST — PLACEMENT, HIGHER STUDIES &amp; ENTREPRENEURSHIP</t>
  </si>
  <si>
    <t>Tick each document as Available / Pending / N/A for all three graduating batches</t>
  </si>
  <si>
    <t>Evidence Document</t>
  </si>
  <si>
    <t>Purpose / NBA Requirement</t>
  </si>
  <si>
    <t>Campus Placement / Offer Letters (X)</t>
  </si>
  <si>
    <t>☐ Available</t>
  </si>
  <si>
    <t>Signed appointment / offer letters from recruiting companies (T&amp;P verified)</t>
  </si>
  <si>
    <t>Company Joining Proofs (X)</t>
  </si>
  <si>
    <t>Date-of-joining proof / employee ID confirmation for placed students</t>
  </si>
  <si>
    <t>Higher Studies Admission Letters (Y)</t>
  </si>
  <si>
    <t>PG / MS admission / enrolment letter from institution in India or abroad</t>
  </si>
  <si>
    <t>Fee Payment Receipts (Y)</t>
  </si>
  <si>
    <t>Confirms active enrolment in higher studies programme</t>
  </si>
  <si>
    <t>Startup Registration / Udyam Certificate (Z)</t>
  </si>
  <si>
    <t>UDYAM, ROC, MCA21, Startup India, or LLP registration document</t>
  </si>
  <si>
    <t>Incubation / Accelerator Letter (Z)</t>
  </si>
  <si>
    <t>Acceptance letter from institutional or external incubator / accelerator</t>
  </si>
  <si>
    <t>GST Registration / Self-Declaration (Z)</t>
  </si>
  <si>
    <t>GST certificate or self-declaration for micro/home-based entrepreneurs</t>
  </si>
  <si>
    <t>AICTE Sanction Letter (N)</t>
  </si>
  <si>
    <t>Confirms sanctioned intake (N) for each graduating batch</t>
  </si>
  <si>
    <t>Lateral Entry Admission Records (N2)</t>
  </si>
  <si>
    <t>Confirms N2 for FS* denominator correction</t>
  </si>
  <si>
    <t>Final Year Student Roll List (FS)</t>
  </si>
  <si>
    <t>University rolls confirming total final-year headcount for the batch</t>
  </si>
  <si>
    <t>Student-Level Tracker (Sheet 3 of this workbook)</t>
  </si>
  <si>
    <t>Roll-number-wise linkage of outcomes; mandatory cross-verification sheet</t>
  </si>
  <si>
    <t>Consolidated SAR Table (Sheet 2 of this workbook)</t>
  </si>
  <si>
    <t>Final NBA-format table with P, Avg P, and Points</t>
  </si>
  <si>
    <t>IMPORTANT: A student can appear in ONLY ONE category (X, Y, or Z). The Student Tracker (Sheet 3) enforces this rule. X+Y+Z ≤ FS* must hold for every batch — the Validation row in Sheet 1 checks this automatically.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</si>
</sst>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46">
    <font>
      <sz val="11"/>
      <color theme="1"/>
      <name val="Calibri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9"/>
      <color rgb="FF555555"/>
      <name val="Arial"/>
      <charset val="1"/>
    </font>
    <font>
      <i/>
      <sz val="9"/>
      <color rgb="FF000000"/>
      <name val="Arial"/>
      <charset val="1"/>
    </font>
    <font>
      <i/>
      <sz val="9"/>
      <color rgb="FF1F3864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sz val="10"/>
      <color rgb="FF0000FF"/>
      <name val="Arial"/>
      <charset val="1"/>
    </font>
    <font>
      <b/>
      <sz val="10"/>
      <color rgb="FF375623"/>
      <name val="Arial"/>
      <charset val="1"/>
    </font>
    <font>
      <b/>
      <sz val="10"/>
      <color rgb="FF555555"/>
      <name val="Arial"/>
      <charset val="1"/>
    </font>
    <font>
      <b/>
      <sz val="9"/>
      <color rgb="FF000000"/>
      <name val="Arial"/>
      <charset val="1"/>
    </font>
    <font>
      <b/>
      <sz val="12"/>
      <color rgb="FF000000"/>
      <name val="Arial"/>
      <charset val="1"/>
    </font>
    <font>
      <b/>
      <sz val="14"/>
      <color rgb="FF000000"/>
      <name val="Arial"/>
      <charset val="1"/>
    </font>
    <font>
      <b/>
      <sz val="13"/>
      <color rgb="FFFFFFFF"/>
      <name val="Arial"/>
      <charset val="1"/>
    </font>
    <font>
      <b/>
      <sz val="11"/>
      <color rgb="FF1F3864"/>
      <name val="Arial"/>
      <charset val="1"/>
    </font>
    <font>
      <sz val="9"/>
      <color rgb="FF000000"/>
      <name val="Arial"/>
      <charset val="1"/>
    </font>
    <font>
      <b/>
      <sz val="11"/>
      <color rgb="FF0000FF"/>
      <name val="Arial"/>
      <charset val="1"/>
    </font>
    <font>
      <b/>
      <sz val="10"/>
      <color rgb="FF1F3864"/>
      <name val="Arial"/>
      <charset val="1"/>
    </font>
    <font>
      <b/>
      <sz val="11"/>
      <color rgb="FF000000"/>
      <name val="Arial"/>
      <charset val="1"/>
    </font>
    <font>
      <i/>
      <sz val="10"/>
      <color rgb="FF1F3864"/>
      <name val="Arial"/>
      <charset val="1"/>
    </font>
    <font>
      <i/>
      <sz val="10"/>
      <color rgb="FF375623"/>
      <name val="Arial"/>
      <charset val="1"/>
    </font>
    <font>
      <i/>
      <sz val="9"/>
      <color rgb="FFC00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375623"/>
        <bgColor rgb="FF555555"/>
      </patternFill>
    </fill>
    <fill>
      <patternFill patternType="solid">
        <fgColor rgb="FFC9A227"/>
        <bgColor rgb="FF99CC00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EEAF1"/>
        <bgColor rgb="FFD6E4F0"/>
      </patternFill>
    </fill>
    <fill>
      <patternFill patternType="solid">
        <fgColor rgb="FFD6E4F0"/>
        <bgColor rgb="FFDEEAF1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E8D5F5"/>
        <bgColor rgb="FFD9D9D9"/>
      </patternFill>
    </fill>
    <fill>
      <patternFill patternType="solid">
        <fgColor rgb="FF2E4057"/>
        <bgColor rgb="FF1F3864"/>
      </patternFill>
    </fill>
    <fill>
      <patternFill patternType="solid">
        <fgColor rgb="FFFCE4D6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auto="1"/>
      </left>
      <right style="thin">
        <color rgb="FFAAAAAA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5" fillId="0" borderId="0" applyBorder="0" applyAlignment="0" applyProtection="0"/>
    <xf numFmtId="177" fontId="25" fillId="0" borderId="0" applyBorder="0" applyAlignment="0" applyProtection="0"/>
    <xf numFmtId="9" fontId="25" fillId="0" borderId="0" applyBorder="0" applyAlignment="0" applyProtection="0"/>
    <xf numFmtId="178" fontId="25" fillId="0" borderId="0" applyBorder="0" applyAlignment="0" applyProtection="0"/>
    <xf numFmtId="179" fontId="25" fillId="0" borderId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4" borderId="6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5" borderId="9" applyNumberFormat="0" applyAlignment="0" applyProtection="0">
      <alignment vertical="center"/>
    </xf>
    <xf numFmtId="0" fontId="36" fillId="16" borderId="10" applyNumberFormat="0" applyAlignment="0" applyProtection="0">
      <alignment vertical="center"/>
    </xf>
    <xf numFmtId="0" fontId="37" fillId="16" borderId="9" applyNumberFormat="0" applyAlignment="0" applyProtection="0">
      <alignment vertical="center"/>
    </xf>
    <xf numFmtId="0" fontId="38" fillId="17" borderId="11" applyNumberFormat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</cellStyleXfs>
  <cellXfs count="107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2" fontId="8" fillId="6" borderId="3" xfId="0" applyNumberFormat="1" applyFont="1" applyFill="1" applyBorder="1" applyAlignment="1">
      <alignment horizontal="center" vertical="center"/>
    </xf>
    <xf numFmtId="2" fontId="8" fillId="8" borderId="3" xfId="0" applyNumberFormat="1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center"/>
    </xf>
    <xf numFmtId="2" fontId="8" fillId="7" borderId="3" xfId="0" applyNumberFormat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left" vertical="center"/>
    </xf>
    <xf numFmtId="2" fontId="3" fillId="9" borderId="3" xfId="0" applyNumberFormat="1" applyFont="1" applyFill="1" applyBorder="1" applyAlignment="1">
      <alignment horizontal="center" vertical="center"/>
    </xf>
    <xf numFmtId="2" fontId="3" fillId="8" borderId="3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 vertical="center"/>
    </xf>
    <xf numFmtId="3" fontId="8" fillId="8" borderId="3" xfId="0" applyNumberFormat="1" applyFont="1" applyFill="1" applyBorder="1" applyAlignment="1">
      <alignment horizontal="center" vertical="center"/>
    </xf>
    <xf numFmtId="3" fontId="8" fillId="7" borderId="3" xfId="0" applyNumberFormat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left" vertical="center"/>
    </xf>
    <xf numFmtId="0" fontId="10" fillId="7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3" fontId="3" fillId="9" borderId="2" xfId="0" applyNumberFormat="1" applyFont="1" applyFill="1" applyBorder="1" applyAlignment="1">
      <alignment horizontal="center" vertical="center"/>
    </xf>
    <xf numFmtId="2" fontId="3" fillId="9" borderId="2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 wrapText="1"/>
    </xf>
    <xf numFmtId="3" fontId="8" fillId="5" borderId="3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 wrapText="1"/>
    </xf>
    <xf numFmtId="0" fontId="3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3" fontId="8" fillId="10" borderId="3" xfId="0" applyNumberFormat="1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left" vertical="center" wrapText="1"/>
    </xf>
    <xf numFmtId="0" fontId="3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3" fontId="8" fillId="9" borderId="3" xfId="0" applyNumberFormat="1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left" vertical="center"/>
    </xf>
    <xf numFmtId="0" fontId="3" fillId="11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left" vertical="center" wrapText="1"/>
    </xf>
    <xf numFmtId="3" fontId="8" fillId="11" borderId="3" xfId="0" applyNumberFormat="1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left" vertical="center"/>
    </xf>
    <xf numFmtId="3" fontId="3" fillId="5" borderId="3" xfId="0" applyNumberFormat="1" applyFont="1" applyFill="1" applyBorder="1" applyAlignment="1">
      <alignment horizontal="center" vertical="center"/>
    </xf>
    <xf numFmtId="2" fontId="8" fillId="9" borderId="3" xfId="0" applyNumberFormat="1" applyFont="1" applyFill="1" applyBorder="1" applyAlignment="1">
      <alignment horizontal="center" vertical="center"/>
    </xf>
    <xf numFmtId="2" fontId="8" fillId="11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 wrapText="1"/>
    </xf>
    <xf numFmtId="2" fontId="3" fillId="4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14" fillId="4" borderId="4" xfId="0" applyFont="1" applyFill="1" applyBorder="1" applyAlignment="1">
      <alignment horizontal="left" vertical="center"/>
    </xf>
    <xf numFmtId="2" fontId="15" fillId="4" borderId="2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17" fillId="6" borderId="3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left" vertical="center" wrapText="1"/>
    </xf>
    <xf numFmtId="0" fontId="17" fillId="7" borderId="3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/>
    </xf>
    <xf numFmtId="3" fontId="19" fillId="5" borderId="3" xfId="0" applyNumberFormat="1" applyFont="1" applyFill="1" applyBorder="1" applyAlignment="1">
      <alignment horizontal="center" vertical="center"/>
    </xf>
    <xf numFmtId="3" fontId="3" fillId="8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/>
    </xf>
    <xf numFmtId="0" fontId="8" fillId="10" borderId="3" xfId="0" applyFont="1" applyFill="1" applyBorder="1" applyAlignment="1">
      <alignment horizontal="center" vertical="center"/>
    </xf>
    <xf numFmtId="3" fontId="3" fillId="10" borderId="3" xfId="0" applyNumberFormat="1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/>
    </xf>
    <xf numFmtId="0" fontId="8" fillId="9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8" fillId="11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2" fontId="3" fillId="7" borderId="3" xfId="0" applyNumberFormat="1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2" fontId="3" fillId="11" borderId="3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2" fontId="21" fillId="4" borderId="3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22" fillId="5" borderId="4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center" vertical="center"/>
    </xf>
    <xf numFmtId="0" fontId="23" fillId="9" borderId="4" xfId="0" applyFont="1" applyFill="1" applyBorder="1" applyAlignment="1">
      <alignment horizontal="left" vertical="center"/>
    </xf>
    <xf numFmtId="0" fontId="24" fillId="13" borderId="4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9D9D9"/>
      <rgbColor rgb="00878787"/>
      <rgbColor rgb="009999FF"/>
      <rgbColor rgb="00993366"/>
      <rgbColor rgb="00FFF2CC"/>
      <rgbColor rgb="00DEEAF1"/>
      <rgbColor rgb="00660066"/>
      <rgbColor rgb="00FF8080"/>
      <rgbColor rgb="000066CC"/>
      <rgbColor rgb="00E8D5F5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6E4F0"/>
      <rgbColor rgb="00E2EFDA"/>
      <rgbColor rgb="00F2F2F2"/>
      <rgbColor rgb="00F9F9F9"/>
      <rgbColor rgb="00FF99CC"/>
      <rgbColor rgb="00CC99FF"/>
      <rgbColor rgb="00FCE4D6"/>
      <rgbColor rgb="003366FF"/>
      <rgbColor rgb="0033CCCC"/>
      <rgbColor rgb="0099CC00"/>
      <rgbColor rgb="00FFCC00"/>
      <rgbColor rgb="00C9A227"/>
      <rgbColor rgb="00FF6600"/>
      <rgbColor rgb="00555555"/>
      <rgbColor rgb="00AAAAAA"/>
      <rgbColor rgb="001F3864"/>
      <rgbColor rgb="00339966"/>
      <rgbColor rgb="00003300"/>
      <rgbColor rgb="00375623"/>
      <rgbColor rgb="00993300"/>
      <rgbColor rgb="00993366"/>
      <rgbColor rgb="00333399"/>
      <rgbColor rgb="00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Placement Index Breakdown by Year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"PI (Placement)"</c:f>
              <c:strCache>
                <c:ptCount val="1"/>
                <c:pt idx="0">
                  <c:v>PI (Placement)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Trend_Chart!$B$2:$D$2</c:f>
              <c:strCache>
                <c:ptCount val="3"/>
                <c:pt idx="0">
                  <c:v>LYGm2</c:v>
                </c:pt>
                <c:pt idx="1">
                  <c:v>LYGm1</c:v>
                </c:pt>
                <c:pt idx="2">
                  <c:v>LYG</c:v>
                </c:pt>
              </c:strCache>
            </c:strRef>
          </c:cat>
          <c:val>
            <c:numRef>
              <c:f>Trend_Chart!$B$3:$D$3</c:f>
              <c:numCache>
                <c:formatCode>0.00</c:formatCode>
                <c:ptCount val="3"/>
                <c:pt idx="0">
                  <c:v>35.4545454545455</c:v>
                </c:pt>
                <c:pt idx="1">
                  <c:v>40.9090909090909</c:v>
                </c:pt>
                <c:pt idx="2">
                  <c:v>45.4545454545455</c:v>
                </c:pt>
              </c:numCache>
            </c:numRef>
          </c:val>
        </c:ser>
        <c:ser>
          <c:idx val="1"/>
          <c:order val="1"/>
          <c:tx>
            <c:strRef>
              <c:f>"HSI (Higher Studies)"</c:f>
              <c:strCache>
                <c:ptCount val="1"/>
                <c:pt idx="0">
                  <c:v>HSI (Higher Studies)</c:v>
                </c:pt>
              </c:strCache>
            </c:strRef>
          </c:tx>
          <c:spPr>
            <a:solidFill>
              <a:srgbClr val="3756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Trend_Chart!$B$2:$D$2</c:f>
              <c:strCache>
                <c:ptCount val="3"/>
                <c:pt idx="0">
                  <c:v>LYGm2</c:v>
                </c:pt>
                <c:pt idx="1">
                  <c:v>LYGm1</c:v>
                </c:pt>
                <c:pt idx="2">
                  <c:v>LYG</c:v>
                </c:pt>
              </c:strCache>
            </c:strRef>
          </c:cat>
          <c:val>
            <c:numRef>
              <c:f>Trend_Chart!$B$4:$D$4</c:f>
              <c:numCache>
                <c:formatCode>0.00</c:formatCode>
                <c:ptCount val="3"/>
                <c:pt idx="0">
                  <c:v>22.7272727272727</c:v>
                </c:pt>
                <c:pt idx="1">
                  <c:v>18.1818181818182</c:v>
                </c:pt>
                <c:pt idx="2">
                  <c:v>13.6363636363636</c:v>
                </c:pt>
              </c:numCache>
            </c:numRef>
          </c:val>
        </c:ser>
        <c:ser>
          <c:idx val="2"/>
          <c:order val="2"/>
          <c:tx>
            <c:strRef>
              <c:f>"EI (Entrepreneurship)"</c:f>
              <c:strCache>
                <c:ptCount val="1"/>
                <c:pt idx="0">
                  <c:v>EI (Entrepreneurship)</c:v>
                </c:pt>
              </c:strCache>
            </c:strRef>
          </c:tx>
          <c:spPr>
            <a:solidFill>
              <a:srgbClr val="C9A22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Trend_Chart!$B$2:$D$2</c:f>
              <c:strCache>
                <c:ptCount val="3"/>
                <c:pt idx="0">
                  <c:v>LYGm2</c:v>
                </c:pt>
                <c:pt idx="1">
                  <c:v>LYGm1</c:v>
                </c:pt>
                <c:pt idx="2">
                  <c:v>LYG</c:v>
                </c:pt>
              </c:strCache>
            </c:strRef>
          </c:cat>
          <c:val>
            <c:numRef>
              <c:f>Trend_Chart!$B$5:$D$5</c:f>
              <c:numCache>
                <c:formatCode>0.00</c:formatCode>
                <c:ptCount val="3"/>
                <c:pt idx="0">
                  <c:v>3.63636363636364</c:v>
                </c:pt>
                <c:pt idx="1">
                  <c:v>4.54545454545455</c:v>
                </c:pt>
                <c:pt idx="2">
                  <c:v>4.54545454545455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100"/>
        <c:axId val="51209822"/>
        <c:axId val="25720669"/>
      </c:barChart>
      <c:catAx>
        <c:axId val="5120982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Graduating Year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5720669"/>
        <c:crosses val="autoZero"/>
        <c:auto val="1"/>
        <c:lblAlgn val="ctr"/>
        <c:lblOffset val="100"/>
        <c:noMultiLvlLbl val="0"/>
      </c:catAx>
      <c:valAx>
        <c:axId val="25720669"/>
        <c:scaling>
          <c:orientation val="minMax"/>
          <c:max val="1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Index %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12098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a5779c-0f93-46f0-a380-bec2f963205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6</xdr:col>
      <xdr:colOff>228960</xdr:colOff>
      <xdr:row>33</xdr:row>
      <xdr:rowOff>128160</xdr:rowOff>
    </xdr:to>
    <xdr:graphicFrame>
      <xdr:nvGraphicFramePr>
        <xdr:cNvPr id="2" name="Chart 1"/>
        <xdr:cNvGraphicFramePr/>
      </xdr:nvGraphicFramePr>
      <xdr:xfrm>
        <a:off x="0" y="3116580"/>
        <a:ext cx="6309995" cy="4150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showGridLines="0" workbookViewId="0">
      <pane ySplit="7" topLeftCell="A27" activePane="bottomLeft" state="frozen"/>
      <selection/>
      <selection pane="bottomLeft" activeCell="A1" sqref="A1:I1"/>
    </sheetView>
  </sheetViews>
  <sheetFormatPr defaultColWidth="8.67592592592593" defaultRowHeight="14.4"/>
  <cols>
    <col min="1" max="1" width="4" style="1" customWidth="1"/>
    <col min="2" max="2" width="34" style="1" customWidth="1"/>
    <col min="3" max="4" width="10" style="1" customWidth="1"/>
    <col min="5" max="7" width="16" style="1" customWidth="1"/>
    <col min="8" max="9" width="18" style="1" customWidth="1"/>
  </cols>
  <sheetData>
    <row r="1" ht="25.5" customHeight="1" spans="1:9">
      <c r="A1" s="72" t="s">
        <v>0</v>
      </c>
      <c r="B1" s="72"/>
      <c r="C1" s="72"/>
      <c r="D1" s="72"/>
      <c r="E1" s="72"/>
      <c r="F1" s="72"/>
      <c r="G1" s="72"/>
      <c r="H1" s="72"/>
      <c r="I1" s="72"/>
    </row>
    <row r="2" ht="25.5" customHeight="1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ht="25.5" customHeight="1" spans="1:9">
      <c r="A3" s="73" t="s">
        <v>2</v>
      </c>
      <c r="B3" s="73"/>
      <c r="C3" s="73"/>
      <c r="D3" s="73"/>
      <c r="E3" s="73"/>
      <c r="F3" s="73"/>
      <c r="G3" s="73"/>
      <c r="H3" s="73"/>
      <c r="I3" s="73"/>
    </row>
    <row r="4" ht="21.75" customHeight="1" spans="1:9">
      <c r="B4" s="4" t="s">
        <v>3</v>
      </c>
      <c r="C4" s="4" t="s">
        <v>4</v>
      </c>
      <c r="D4" s="74" t="s">
        <v>5</v>
      </c>
      <c r="E4" s="74"/>
      <c r="F4" s="74"/>
      <c r="G4" s="74"/>
      <c r="H4" s="74"/>
      <c r="I4" s="74"/>
    </row>
    <row r="5" ht="21.75" customHeight="1" spans="1:9">
      <c r="B5" s="75" t="s">
        <v>6</v>
      </c>
      <c r="C5" s="15" t="s">
        <v>7</v>
      </c>
      <c r="D5" s="76" t="s">
        <v>8</v>
      </c>
      <c r="E5" s="76"/>
      <c r="F5" s="76"/>
      <c r="G5" s="76"/>
      <c r="H5" s="76"/>
      <c r="I5" s="76"/>
    </row>
    <row r="6" ht="21.75" customHeight="1" spans="1:9">
      <c r="B6" s="77" t="s">
        <v>9</v>
      </c>
      <c r="C6" s="18" t="s">
        <v>10</v>
      </c>
      <c r="D6" s="78" t="s">
        <v>11</v>
      </c>
      <c r="E6" s="78"/>
      <c r="F6" s="78"/>
      <c r="G6" s="78"/>
      <c r="H6" s="78"/>
      <c r="I6" s="78"/>
    </row>
    <row r="7" ht="21.75" customHeight="1" spans="1:9">
      <c r="B7" s="75" t="s">
        <v>12</v>
      </c>
      <c r="C7" s="15" t="s">
        <v>13</v>
      </c>
      <c r="D7" s="76" t="s">
        <v>14</v>
      </c>
      <c r="E7" s="76"/>
      <c r="F7" s="76"/>
      <c r="G7" s="76"/>
      <c r="H7" s="76"/>
      <c r="I7" s="76"/>
    </row>
    <row r="8" ht="21.75" customHeight="1" spans="1:9">
      <c r="B8" s="77" t="s">
        <v>15</v>
      </c>
      <c r="C8" s="18" t="s">
        <v>16</v>
      </c>
      <c r="D8" s="78" t="s">
        <v>17</v>
      </c>
      <c r="E8" s="78"/>
      <c r="F8" s="78"/>
      <c r="G8" s="78"/>
      <c r="H8" s="78"/>
      <c r="I8" s="78"/>
    </row>
    <row r="9" ht="21.75" customHeight="1" spans="1:9">
      <c r="B9" s="75" t="s">
        <v>18</v>
      </c>
      <c r="C9" s="15" t="s">
        <v>19</v>
      </c>
      <c r="D9" s="76" t="s">
        <v>20</v>
      </c>
      <c r="E9" s="76"/>
      <c r="F9" s="76"/>
      <c r="G9" s="76"/>
      <c r="H9" s="76"/>
      <c r="I9" s="76"/>
    </row>
    <row r="10" ht="15.15"/>
    <row r="11" ht="25.5" customHeight="1" spans="1:9">
      <c r="A11" s="2" t="s">
        <v>21</v>
      </c>
      <c r="B11" s="2"/>
      <c r="C11" s="2"/>
      <c r="D11" s="2"/>
      <c r="E11" s="2"/>
      <c r="F11" s="2"/>
      <c r="G11" s="2"/>
      <c r="H11" s="2"/>
      <c r="I11" s="2"/>
    </row>
    <row r="12" ht="48" customHeight="1" spans="1:9">
      <c r="A12" s="4" t="s">
        <v>22</v>
      </c>
      <c r="B12" s="4" t="s">
        <v>23</v>
      </c>
      <c r="C12" s="4" t="s">
        <v>24</v>
      </c>
      <c r="D12" s="4" t="s">
        <v>25</v>
      </c>
      <c r="E12" s="4" t="s">
        <v>26</v>
      </c>
      <c r="F12" s="4" t="s">
        <v>27</v>
      </c>
      <c r="G12" s="4" t="s">
        <v>28</v>
      </c>
      <c r="H12" s="4" t="s">
        <v>29</v>
      </c>
      <c r="I12" s="4" t="s">
        <v>30</v>
      </c>
    </row>
    <row r="13" ht="24" customHeight="1" spans="1:9">
      <c r="A13" s="5">
        <v>1</v>
      </c>
      <c r="B13" s="79" t="s">
        <v>31</v>
      </c>
      <c r="C13" s="41" t="s">
        <v>32</v>
      </c>
      <c r="D13" s="41" t="s">
        <v>32</v>
      </c>
      <c r="E13" s="80">
        <v>200</v>
      </c>
      <c r="F13" s="80">
        <v>220</v>
      </c>
      <c r="G13" s="80">
        <v>240</v>
      </c>
      <c r="H13" s="81">
        <f t="shared" ref="H13:H19" si="0">AVERAGE(E13:G13)</f>
        <v>220</v>
      </c>
      <c r="I13" s="8" t="s">
        <v>33</v>
      </c>
    </row>
    <row r="14" ht="24" customHeight="1" spans="1:9">
      <c r="A14" s="9">
        <v>2</v>
      </c>
      <c r="B14" s="82" t="s">
        <v>34</v>
      </c>
      <c r="C14" s="83" t="s">
        <v>32</v>
      </c>
      <c r="D14" s="83" t="s">
        <v>32</v>
      </c>
      <c r="E14" s="80">
        <v>20</v>
      </c>
      <c r="F14" s="80">
        <v>22</v>
      </c>
      <c r="G14" s="80">
        <v>24</v>
      </c>
      <c r="H14" s="81">
        <f t="shared" si="0"/>
        <v>22</v>
      </c>
      <c r="I14" s="12" t="s">
        <v>35</v>
      </c>
    </row>
    <row r="15" ht="24" customHeight="1" spans="1:9">
      <c r="A15" s="5">
        <v>3</v>
      </c>
      <c r="B15" s="79" t="s">
        <v>36</v>
      </c>
      <c r="C15" s="41" t="s">
        <v>32</v>
      </c>
      <c r="D15" s="41" t="s">
        <v>32</v>
      </c>
      <c r="E15" s="80">
        <v>195</v>
      </c>
      <c r="F15" s="80">
        <v>218</v>
      </c>
      <c r="G15" s="80">
        <v>235</v>
      </c>
      <c r="H15" s="81">
        <f t="shared" si="0"/>
        <v>216</v>
      </c>
      <c r="I15" s="8" t="s">
        <v>37</v>
      </c>
    </row>
    <row r="16" ht="24" customHeight="1" spans="1:9">
      <c r="A16" s="45">
        <v>4</v>
      </c>
      <c r="B16" s="84" t="s">
        <v>38</v>
      </c>
      <c r="C16" s="85" t="s">
        <v>32</v>
      </c>
      <c r="D16" s="85" t="s">
        <v>32</v>
      </c>
      <c r="E16" s="86">
        <f>MAX(E15,E13+E14)</f>
        <v>220</v>
      </c>
      <c r="F16" s="86">
        <f>MAX(F15,F13+F14)</f>
        <v>242</v>
      </c>
      <c r="G16" s="86">
        <f>MAX(G15,G13+G14)</f>
        <v>264</v>
      </c>
      <c r="H16" s="81">
        <f t="shared" si="0"/>
        <v>242</v>
      </c>
      <c r="I16" s="48" t="s">
        <v>39</v>
      </c>
    </row>
    <row r="17" ht="24" customHeight="1" spans="1:9">
      <c r="A17" s="26">
        <v>5</v>
      </c>
      <c r="B17" s="20" t="s">
        <v>40</v>
      </c>
      <c r="C17" s="87" t="s">
        <v>32</v>
      </c>
      <c r="D17" s="87" t="s">
        <v>32</v>
      </c>
      <c r="E17" s="80">
        <v>78</v>
      </c>
      <c r="F17" s="80">
        <v>99</v>
      </c>
      <c r="G17" s="80">
        <v>120</v>
      </c>
      <c r="H17" s="81">
        <f t="shared" si="0"/>
        <v>99</v>
      </c>
      <c r="I17" s="32" t="s">
        <v>41</v>
      </c>
    </row>
    <row r="18" ht="24" customHeight="1" spans="1:9">
      <c r="A18" s="50">
        <v>6</v>
      </c>
      <c r="B18" s="88" t="s">
        <v>42</v>
      </c>
      <c r="C18" s="89" t="s">
        <v>32</v>
      </c>
      <c r="D18" s="89" t="s">
        <v>32</v>
      </c>
      <c r="E18" s="80">
        <v>50</v>
      </c>
      <c r="F18" s="80">
        <v>44</v>
      </c>
      <c r="G18" s="80">
        <v>36</v>
      </c>
      <c r="H18" s="81">
        <f t="shared" si="0"/>
        <v>43.3333333333333</v>
      </c>
      <c r="I18" s="53" t="s">
        <v>43</v>
      </c>
    </row>
    <row r="19" ht="24" customHeight="1" spans="1:9">
      <c r="A19" s="54">
        <v>7</v>
      </c>
      <c r="B19" s="90" t="s">
        <v>44</v>
      </c>
      <c r="C19" s="91" t="s">
        <v>32</v>
      </c>
      <c r="D19" s="91" t="s">
        <v>32</v>
      </c>
      <c r="E19" s="80">
        <v>8</v>
      </c>
      <c r="F19" s="80">
        <v>11</v>
      </c>
      <c r="G19" s="80">
        <v>12</v>
      </c>
      <c r="H19" s="81">
        <f t="shared" si="0"/>
        <v>10.3333333333333</v>
      </c>
      <c r="I19" s="57" t="s">
        <v>45</v>
      </c>
    </row>
    <row r="20" ht="25.5" customHeight="1" spans="1:9">
      <c r="A20" s="92" t="s">
        <v>46</v>
      </c>
      <c r="B20" s="92"/>
      <c r="C20" s="92"/>
      <c r="D20" s="92"/>
      <c r="E20" s="92"/>
      <c r="F20" s="92"/>
      <c r="G20" s="92"/>
      <c r="H20" s="92"/>
      <c r="I20" s="92"/>
    </row>
    <row r="21" ht="24" customHeight="1" spans="1:9">
      <c r="A21" s="93" t="s">
        <v>47</v>
      </c>
      <c r="B21" s="20" t="s">
        <v>48</v>
      </c>
      <c r="C21" s="87" t="s">
        <v>32</v>
      </c>
      <c r="D21" s="87" t="s">
        <v>32</v>
      </c>
      <c r="E21" s="94">
        <f>E17/E16*100</f>
        <v>35.4545454545455</v>
      </c>
      <c r="F21" s="94">
        <f>F17/F16*100</f>
        <v>40.9090909090909</v>
      </c>
      <c r="G21" s="94">
        <f>G17/G16*100</f>
        <v>45.4545454545455</v>
      </c>
      <c r="H21" s="22">
        <f>AVERAGE(E21:G21)</f>
        <v>40.6060606060606</v>
      </c>
      <c r="I21" s="32" t="s">
        <v>49</v>
      </c>
    </row>
    <row r="22" ht="24" customHeight="1" spans="1:9">
      <c r="A22" s="30" t="s">
        <v>50</v>
      </c>
      <c r="B22" s="88" t="s">
        <v>51</v>
      </c>
      <c r="C22" s="89" t="s">
        <v>32</v>
      </c>
      <c r="D22" s="89" t="s">
        <v>32</v>
      </c>
      <c r="E22" s="21">
        <f>E18/E16*100</f>
        <v>22.7272727272727</v>
      </c>
      <c r="F22" s="21">
        <f>F18/F16*100</f>
        <v>18.1818181818182</v>
      </c>
      <c r="G22" s="21">
        <f>G18/G16*100</f>
        <v>13.6363636363636</v>
      </c>
      <c r="H22" s="22">
        <f>AVERAGE(E22:G22)</f>
        <v>18.1818181818182</v>
      </c>
      <c r="I22" s="53" t="s">
        <v>52</v>
      </c>
    </row>
    <row r="23" ht="24" customHeight="1" spans="1:9">
      <c r="A23" s="95" t="s">
        <v>53</v>
      </c>
      <c r="B23" s="90" t="s">
        <v>54</v>
      </c>
      <c r="C23" s="91" t="s">
        <v>32</v>
      </c>
      <c r="D23" s="91" t="s">
        <v>32</v>
      </c>
      <c r="E23" s="96">
        <f>E19/E16*100</f>
        <v>3.63636363636364</v>
      </c>
      <c r="F23" s="96">
        <f>F19/F16*100</f>
        <v>4.54545454545455</v>
      </c>
      <c r="G23" s="96">
        <f>G19/G16*100</f>
        <v>4.54545454545455</v>
      </c>
      <c r="H23" s="22">
        <f>AVERAGE(E23:G23)</f>
        <v>4.24242424242424</v>
      </c>
      <c r="I23" s="57" t="s">
        <v>55</v>
      </c>
    </row>
    <row r="24" ht="25.5" customHeight="1" spans="1:9">
      <c r="A24" s="61" t="s">
        <v>18</v>
      </c>
      <c r="B24" s="71" t="s">
        <v>56</v>
      </c>
      <c r="C24" s="97" t="s">
        <v>32</v>
      </c>
      <c r="D24" s="97" t="s">
        <v>32</v>
      </c>
      <c r="E24" s="98">
        <f>E21+E22+E23</f>
        <v>61.8181818181818</v>
      </c>
      <c r="F24" s="98">
        <f>F21+F22+F23</f>
        <v>63.6363636363636</v>
      </c>
      <c r="G24" s="98">
        <f>G21+G22+G23</f>
        <v>63.6363636363636</v>
      </c>
      <c r="H24" s="22">
        <f>AVERAGE(E24:G24)</f>
        <v>63.030303030303</v>
      </c>
      <c r="I24" s="64"/>
    </row>
    <row r="25" ht="21.75" customHeight="1" spans="1:9">
      <c r="A25" s="99" t="s">
        <v>57</v>
      </c>
      <c r="B25" s="79" t="s">
        <v>58</v>
      </c>
      <c r="C25" s="41" t="s">
        <v>32</v>
      </c>
      <c r="D25" s="41" t="s">
        <v>32</v>
      </c>
      <c r="E25" s="99" t="str">
        <f>IF(E20&lt;=E16,"✔ OK","⚠ EXCEEDS FS*")</f>
        <v>✔ OK</v>
      </c>
      <c r="F25" s="99" t="str">
        <f>IF(F20&lt;=F16,"✔ OK","⚠ EXCEEDS FS*")</f>
        <v>✔ OK</v>
      </c>
      <c r="G25" s="99" t="str">
        <f>IF(G20&lt;=G16,"✔ OK","⚠ EXCEEDS FS*")</f>
        <v>✔ OK</v>
      </c>
      <c r="H25" s="41"/>
      <c r="I25" s="8" t="s">
        <v>59</v>
      </c>
    </row>
    <row r="26" ht="25.5" customHeight="1" spans="1:9">
      <c r="A26" s="2" t="s">
        <v>60</v>
      </c>
      <c r="B26" s="2"/>
      <c r="C26" s="2"/>
      <c r="D26" s="2"/>
      <c r="E26" s="2"/>
      <c r="F26" s="2"/>
      <c r="G26" s="2"/>
      <c r="H26" s="2"/>
      <c r="I26" s="2"/>
    </row>
    <row r="27" ht="30" customHeight="1" spans="1:9">
      <c r="A27" s="100" t="s">
        <v>61</v>
      </c>
      <c r="B27" s="100"/>
      <c r="C27" s="100"/>
      <c r="D27" s="100"/>
      <c r="E27" s="67">
        <f>AVERAGE(E24:G24)</f>
        <v>63.030303030303</v>
      </c>
      <c r="F27" s="101" t="s">
        <v>62</v>
      </c>
      <c r="G27" s="101"/>
      <c r="H27" s="101"/>
      <c r="I27" s="101"/>
    </row>
    <row r="28" ht="31.5" customHeight="1" spans="1:9">
      <c r="A28" s="65" t="s">
        <v>63</v>
      </c>
      <c r="B28" s="65"/>
      <c r="C28" s="65"/>
      <c r="D28" s="65"/>
      <c r="E28" s="70">
        <f>MIN(0.3*E27,30)</f>
        <v>18.9090909090909</v>
      </c>
      <c r="F28" s="102" t="s">
        <v>64</v>
      </c>
      <c r="G28" s="102"/>
      <c r="H28" s="102"/>
      <c r="I28" s="102"/>
    </row>
    <row r="29" ht="24" customHeight="1" spans="1:9">
      <c r="A29" s="103" t="s">
        <v>65</v>
      </c>
      <c r="B29" s="103"/>
      <c r="C29" s="103"/>
      <c r="D29" s="103"/>
      <c r="E29" s="104" t="str">
        <f>IF(E27&gt;=80,"≥80% → 24–30 pts (Strong)",IF(E27&gt;=60,"60–79% → 18–23 pts (Good)",IF(E27&gt;=40,"40–59% → 12–17 pts (Moderate)","&lt;40% → &lt;12 pts (Weak — needs attention)")))</f>
        <v>60–79% → 18–23 pts (Good)</v>
      </c>
      <c r="F29" s="105" t="s">
        <v>66</v>
      </c>
      <c r="G29" s="105"/>
      <c r="H29" s="105"/>
      <c r="I29" s="105"/>
    </row>
    <row r="31" ht="30" customHeight="1" spans="1:9">
      <c r="A31" s="106" t="s">
        <v>67</v>
      </c>
      <c r="B31" s="106"/>
      <c r="C31" s="106"/>
      <c r="D31" s="106"/>
      <c r="E31" s="106"/>
      <c r="F31" s="106"/>
      <c r="G31" s="106"/>
      <c r="H31" s="106"/>
      <c r="I31" s="106"/>
    </row>
  </sheetData>
  <mergeCells count="19">
    <mergeCell ref="A1:I1"/>
    <mergeCell ref="A2:I2"/>
    <mergeCell ref="A3:I3"/>
    <mergeCell ref="D4:I4"/>
    <mergeCell ref="D5:I5"/>
    <mergeCell ref="D6:I6"/>
    <mergeCell ref="D7:I7"/>
    <mergeCell ref="D8:I8"/>
    <mergeCell ref="D9:I9"/>
    <mergeCell ref="A11:I11"/>
    <mergeCell ref="A20:I20"/>
    <mergeCell ref="A26:I26"/>
    <mergeCell ref="A27:D27"/>
    <mergeCell ref="F27:I27"/>
    <mergeCell ref="A28:D28"/>
    <mergeCell ref="F28:I28"/>
    <mergeCell ref="A29:D29"/>
    <mergeCell ref="F29:I29"/>
    <mergeCell ref="A31:I3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tabSelected="1" topLeftCell="A7" workbookViewId="0">
      <selection activeCell="A1" sqref="A1:F1"/>
    </sheetView>
  </sheetViews>
  <sheetFormatPr defaultColWidth="8.67592592592593" defaultRowHeight="14.4" outlineLevelCol="5"/>
  <cols>
    <col min="1" max="1" width="4" style="1" customWidth="1"/>
    <col min="2" max="2" width="42" style="1" customWidth="1"/>
    <col min="3" max="5" width="16" style="1" customWidth="1"/>
    <col min="6" max="6" width="20" style="1" customWidth="1"/>
  </cols>
  <sheetData>
    <row r="1" ht="25.5" customHeight="1" spans="1:6">
      <c r="A1" s="2" t="s">
        <v>68</v>
      </c>
      <c r="B1" s="2"/>
      <c r="C1" s="2"/>
      <c r="D1" s="2"/>
      <c r="E1" s="2"/>
      <c r="F1" s="2"/>
    </row>
    <row r="2" ht="25.5" customHeight="1" spans="1:6">
      <c r="A2" s="3" t="s">
        <v>69</v>
      </c>
      <c r="B2" s="3"/>
      <c r="C2" s="3"/>
      <c r="D2" s="3"/>
      <c r="E2" s="3"/>
      <c r="F2" s="3"/>
    </row>
    <row r="3" ht="36" customHeight="1" spans="1:6">
      <c r="A3" s="4" t="s">
        <v>22</v>
      </c>
      <c r="B3" s="4" t="s">
        <v>70</v>
      </c>
      <c r="C3" s="4" t="s">
        <v>71</v>
      </c>
      <c r="D3" s="4" t="s">
        <v>72</v>
      </c>
      <c r="E3" s="4" t="s">
        <v>73</v>
      </c>
      <c r="F3" s="4" t="s">
        <v>74</v>
      </c>
    </row>
    <row r="4" ht="24" customHeight="1" spans="1:6">
      <c r="A4" s="5">
        <v>1</v>
      </c>
      <c r="B4" s="42" t="s">
        <v>75</v>
      </c>
      <c r="C4" s="43">
        <f>Placement_Calculator!E13</f>
        <v>200</v>
      </c>
      <c r="D4" s="43">
        <f>Placement_Calculator!F13</f>
        <v>220</v>
      </c>
      <c r="E4" s="43">
        <f>Placement_Calculator!G13</f>
        <v>240</v>
      </c>
      <c r="F4" s="8" t="s">
        <v>33</v>
      </c>
    </row>
    <row r="5" ht="24" customHeight="1" spans="1:6">
      <c r="A5" s="9">
        <v>2</v>
      </c>
      <c r="B5" s="44" t="s">
        <v>76</v>
      </c>
      <c r="C5" s="23">
        <f>Placement_Calculator!E14</f>
        <v>20</v>
      </c>
      <c r="D5" s="23">
        <f>Placement_Calculator!F14</f>
        <v>22</v>
      </c>
      <c r="E5" s="23">
        <f>Placement_Calculator!G14</f>
        <v>24</v>
      </c>
      <c r="F5" s="12" t="s">
        <v>77</v>
      </c>
    </row>
    <row r="6" ht="24" customHeight="1" spans="1:6">
      <c r="A6" s="5">
        <v>3</v>
      </c>
      <c r="B6" s="42" t="s">
        <v>78</v>
      </c>
      <c r="C6" s="43">
        <f>Placement_Calculator!E15</f>
        <v>195</v>
      </c>
      <c r="D6" s="43">
        <f>Placement_Calculator!F15</f>
        <v>218</v>
      </c>
      <c r="E6" s="43">
        <f>Placement_Calculator!G15</f>
        <v>235</v>
      </c>
      <c r="F6" s="8" t="s">
        <v>79</v>
      </c>
    </row>
    <row r="7" ht="24" customHeight="1" spans="1:6">
      <c r="A7" s="45">
        <v>4</v>
      </c>
      <c r="B7" s="46" t="s">
        <v>80</v>
      </c>
      <c r="C7" s="47">
        <f>Placement_Calculator!E16</f>
        <v>220</v>
      </c>
      <c r="D7" s="47">
        <f>Placement_Calculator!F16</f>
        <v>242</v>
      </c>
      <c r="E7" s="47">
        <f>Placement_Calculator!G16</f>
        <v>264</v>
      </c>
      <c r="F7" s="48" t="s">
        <v>81</v>
      </c>
    </row>
    <row r="8" ht="24" customHeight="1" spans="1:6">
      <c r="A8" s="26">
        <v>5</v>
      </c>
      <c r="B8" s="49" t="s">
        <v>82</v>
      </c>
      <c r="C8" s="25">
        <f>Placement_Calculator!E17</f>
        <v>78</v>
      </c>
      <c r="D8" s="25">
        <f>Placement_Calculator!F17</f>
        <v>99</v>
      </c>
      <c r="E8" s="25">
        <f>Placement_Calculator!G17</f>
        <v>120</v>
      </c>
      <c r="F8" s="32" t="s">
        <v>83</v>
      </c>
    </row>
    <row r="9" ht="24" customHeight="1" spans="1:6">
      <c r="A9" s="50">
        <v>6</v>
      </c>
      <c r="B9" s="51" t="s">
        <v>84</v>
      </c>
      <c r="C9" s="52">
        <f>Placement_Calculator!E18</f>
        <v>50</v>
      </c>
      <c r="D9" s="52">
        <f>Placement_Calculator!F18</f>
        <v>44</v>
      </c>
      <c r="E9" s="52">
        <f>Placement_Calculator!G18</f>
        <v>36</v>
      </c>
      <c r="F9" s="53" t="s">
        <v>85</v>
      </c>
    </row>
    <row r="10" ht="24" customHeight="1" spans="1:6">
      <c r="A10" s="54">
        <v>7</v>
      </c>
      <c r="B10" s="55" t="s">
        <v>86</v>
      </c>
      <c r="C10" s="56">
        <f>Placement_Calculator!E19</f>
        <v>8</v>
      </c>
      <c r="D10" s="56">
        <f>Placement_Calculator!F19</f>
        <v>11</v>
      </c>
      <c r="E10" s="56">
        <f>Placement_Calculator!G19</f>
        <v>12</v>
      </c>
      <c r="F10" s="57" t="s">
        <v>87</v>
      </c>
    </row>
    <row r="11" ht="24" customHeight="1" spans="1:6">
      <c r="A11" s="5">
        <v>8</v>
      </c>
      <c r="B11" s="6" t="s">
        <v>88</v>
      </c>
      <c r="C11" s="58">
        <f>Placement_Calculator!E20</f>
        <v>0</v>
      </c>
      <c r="D11" s="58">
        <f>Placement_Calculator!F20</f>
        <v>0</v>
      </c>
      <c r="E11" s="58">
        <f>Placement_Calculator!G20</f>
        <v>0</v>
      </c>
      <c r="F11" s="8" t="s">
        <v>89</v>
      </c>
    </row>
    <row r="12" ht="24" customHeight="1" spans="1:6">
      <c r="A12" s="26">
        <v>9</v>
      </c>
      <c r="B12" s="49" t="s">
        <v>90</v>
      </c>
      <c r="C12" s="19">
        <f>Placement_Calculator!E21</f>
        <v>35.4545454545455</v>
      </c>
      <c r="D12" s="19">
        <f>Placement_Calculator!F21</f>
        <v>40.9090909090909</v>
      </c>
      <c r="E12" s="19">
        <f>Placement_Calculator!G21</f>
        <v>45.4545454545455</v>
      </c>
      <c r="F12" s="32" t="s">
        <v>91</v>
      </c>
    </row>
    <row r="13" ht="24" customHeight="1" spans="1:6">
      <c r="A13" s="50">
        <v>10</v>
      </c>
      <c r="B13" s="51" t="s">
        <v>92</v>
      </c>
      <c r="C13" s="59">
        <f>Placement_Calculator!E22</f>
        <v>22.7272727272727</v>
      </c>
      <c r="D13" s="59">
        <f>Placement_Calculator!F22</f>
        <v>18.1818181818182</v>
      </c>
      <c r="E13" s="59">
        <f>Placement_Calculator!G22</f>
        <v>13.6363636363636</v>
      </c>
      <c r="F13" s="53" t="s">
        <v>93</v>
      </c>
    </row>
    <row r="14" ht="24" customHeight="1" spans="1:6">
      <c r="A14" s="54">
        <v>11</v>
      </c>
      <c r="B14" s="55" t="s">
        <v>94</v>
      </c>
      <c r="C14" s="60">
        <f>Placement_Calculator!E23</f>
        <v>3.63636363636364</v>
      </c>
      <c r="D14" s="60">
        <f>Placement_Calculator!F23</f>
        <v>4.54545454545455</v>
      </c>
      <c r="E14" s="60">
        <f>Placement_Calculator!G23</f>
        <v>4.54545454545455</v>
      </c>
      <c r="F14" s="57" t="s">
        <v>95</v>
      </c>
    </row>
    <row r="15" ht="24" customHeight="1" spans="1:6">
      <c r="A15" s="61">
        <v>12</v>
      </c>
      <c r="B15" s="62" t="s">
        <v>96</v>
      </c>
      <c r="C15" s="63">
        <f>Placement_Calculator!E24</f>
        <v>61.8181818181818</v>
      </c>
      <c r="D15" s="63">
        <f>Placement_Calculator!F24</f>
        <v>63.6363636363636</v>
      </c>
      <c r="E15" s="63">
        <f>Placement_Calculator!G24</f>
        <v>63.6363636363636</v>
      </c>
      <c r="F15" s="64" t="s">
        <v>97</v>
      </c>
    </row>
    <row r="16" ht="15.15"/>
    <row r="17" ht="27.75" customHeight="1" spans="1:6">
      <c r="A17" s="65" t="s">
        <v>61</v>
      </c>
      <c r="B17" s="65"/>
      <c r="C17" s="66" t="s">
        <v>32</v>
      </c>
      <c r="D17" s="66" t="s">
        <v>32</v>
      </c>
      <c r="E17" s="67">
        <f>Placement_Calculator!E27</f>
        <v>63.030303030303</v>
      </c>
      <c r="F17" s="68" t="s">
        <v>98</v>
      </c>
    </row>
    <row r="18" ht="31.5" customHeight="1" spans="1:6">
      <c r="A18" s="69" t="s">
        <v>63</v>
      </c>
      <c r="B18" s="69"/>
      <c r="C18" s="61" t="s">
        <v>32</v>
      </c>
      <c r="D18" s="61" t="s">
        <v>32</v>
      </c>
      <c r="E18" s="70">
        <f>Placement_Calculator!E28</f>
        <v>18.9090909090909</v>
      </c>
      <c r="F18" s="71" t="s">
        <v>99</v>
      </c>
    </row>
  </sheetData>
  <mergeCells count="4">
    <mergeCell ref="A1:F1"/>
    <mergeCell ref="A2:F2"/>
    <mergeCell ref="A17:B17"/>
    <mergeCell ref="A18:B1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showGridLines="0" workbookViewId="0">
      <selection activeCell="L13" sqref="L13"/>
    </sheetView>
  </sheetViews>
  <sheetFormatPr defaultColWidth="8.67592592592593" defaultRowHeight="14.4"/>
  <cols>
    <col min="1" max="1" width="8.77777777777778" style="1" customWidth="1"/>
    <col min="2" max="2" width="16" style="1" customWidth="1"/>
    <col min="3" max="3" width="28" style="1" customWidth="1"/>
    <col min="4" max="4" width="12" style="1" customWidth="1"/>
    <col min="5" max="5" width="16" style="1" customWidth="1"/>
    <col min="6" max="8" width="12" style="1" customWidth="1"/>
    <col min="9" max="9" width="20" style="1" customWidth="1"/>
  </cols>
  <sheetData>
    <row r="1" ht="25.5" customHeight="1" spans="1:9">
      <c r="A1" s="2" t="s">
        <v>100</v>
      </c>
      <c r="B1" s="2"/>
      <c r="C1" s="2"/>
      <c r="D1" s="2"/>
      <c r="E1" s="2"/>
      <c r="F1" s="2"/>
      <c r="G1" s="2"/>
      <c r="H1" s="2"/>
      <c r="I1" s="2"/>
    </row>
    <row r="2" ht="25.5" customHeight="1" spans="1:9">
      <c r="A2" s="3" t="s">
        <v>101</v>
      </c>
      <c r="B2" s="3"/>
      <c r="C2" s="3"/>
      <c r="D2" s="3"/>
      <c r="E2" s="3"/>
      <c r="F2" s="3"/>
      <c r="G2" s="3"/>
      <c r="H2" s="3"/>
      <c r="I2" s="3"/>
    </row>
    <row r="3" ht="48" customHeight="1" spans="1:9">
      <c r="A3" s="4" t="s">
        <v>22</v>
      </c>
      <c r="B3" s="4" t="s">
        <v>102</v>
      </c>
      <c r="C3" s="4" t="s">
        <v>103</v>
      </c>
      <c r="D3" s="4" t="s">
        <v>104</v>
      </c>
      <c r="E3" s="4" t="s">
        <v>105</v>
      </c>
      <c r="F3" s="4" t="s">
        <v>106</v>
      </c>
      <c r="G3" s="4" t="s">
        <v>107</v>
      </c>
      <c r="H3" s="4" t="s">
        <v>108</v>
      </c>
      <c r="I3" s="4" t="s">
        <v>109</v>
      </c>
    </row>
    <row r="4" ht="21.75" customHeight="1" spans="1:9">
      <c r="A4" s="26">
        <v>1</v>
      </c>
      <c r="B4" s="27" t="s">
        <v>110</v>
      </c>
      <c r="C4" s="28" t="s">
        <v>111</v>
      </c>
      <c r="D4" s="27" t="s">
        <v>12</v>
      </c>
      <c r="E4" s="29" t="s">
        <v>18</v>
      </c>
      <c r="F4" s="30">
        <f t="shared" ref="F4:F9" si="0">IF(AND(D4="Y",E4="P"),1,0)</f>
        <v>1</v>
      </c>
      <c r="G4" s="31">
        <f t="shared" ref="G4:G9" si="1">IF(AND(D4="Y",E4="H"),1,0)</f>
        <v>0</v>
      </c>
      <c r="H4" s="31">
        <f t="shared" ref="H4:H9" si="2">IF(AND(D4="Y",E4="E"),1,0)</f>
        <v>0</v>
      </c>
      <c r="I4" s="32" t="s">
        <v>112</v>
      </c>
    </row>
    <row r="5" ht="21.75" customHeight="1" spans="1:9">
      <c r="A5" s="9">
        <v>2</v>
      </c>
      <c r="B5" s="33" t="s">
        <v>113</v>
      </c>
      <c r="C5" s="34" t="s">
        <v>114</v>
      </c>
      <c r="D5" s="33" t="s">
        <v>12</v>
      </c>
      <c r="E5" s="35" t="s">
        <v>115</v>
      </c>
      <c r="F5" s="36">
        <f t="shared" si="0"/>
        <v>0</v>
      </c>
      <c r="G5" s="30">
        <f t="shared" si="1"/>
        <v>1</v>
      </c>
      <c r="H5" s="36">
        <f t="shared" si="2"/>
        <v>0</v>
      </c>
      <c r="I5" s="12" t="s">
        <v>116</v>
      </c>
    </row>
    <row r="6" ht="21.75" customHeight="1" spans="1:9">
      <c r="A6" s="26">
        <v>3</v>
      </c>
      <c r="B6" s="27" t="s">
        <v>117</v>
      </c>
      <c r="C6" s="28" t="s">
        <v>118</v>
      </c>
      <c r="D6" s="27" t="s">
        <v>12</v>
      </c>
      <c r="E6" s="29" t="s">
        <v>119</v>
      </c>
      <c r="F6" s="31">
        <f t="shared" si="0"/>
        <v>0</v>
      </c>
      <c r="G6" s="31">
        <f t="shared" si="1"/>
        <v>0</v>
      </c>
      <c r="H6" s="30">
        <f t="shared" si="2"/>
        <v>1</v>
      </c>
      <c r="I6" s="32" t="s">
        <v>120</v>
      </c>
    </row>
    <row r="7" ht="21.75" customHeight="1" spans="1:9">
      <c r="A7" s="9">
        <v>4</v>
      </c>
      <c r="B7" s="33" t="s">
        <v>121</v>
      </c>
      <c r="C7" s="34" t="s">
        <v>122</v>
      </c>
      <c r="D7" s="33" t="s">
        <v>12</v>
      </c>
      <c r="E7" s="35" t="s">
        <v>18</v>
      </c>
      <c r="F7" s="30">
        <f t="shared" si="0"/>
        <v>1</v>
      </c>
      <c r="G7" s="36">
        <f t="shared" si="1"/>
        <v>0</v>
      </c>
      <c r="H7" s="36">
        <f t="shared" si="2"/>
        <v>0</v>
      </c>
      <c r="I7" s="12" t="s">
        <v>112</v>
      </c>
    </row>
    <row r="8" ht="21.75" customHeight="1" spans="1:9">
      <c r="A8" s="26">
        <v>5</v>
      </c>
      <c r="B8" s="27" t="s">
        <v>123</v>
      </c>
      <c r="C8" s="28" t="s">
        <v>124</v>
      </c>
      <c r="D8" s="27" t="s">
        <v>12</v>
      </c>
      <c r="E8" s="29" t="s">
        <v>125</v>
      </c>
      <c r="F8" s="31">
        <f t="shared" si="0"/>
        <v>0</v>
      </c>
      <c r="G8" s="31">
        <f t="shared" si="1"/>
        <v>0</v>
      </c>
      <c r="H8" s="31">
        <f t="shared" si="2"/>
        <v>0</v>
      </c>
      <c r="I8" s="32" t="s">
        <v>126</v>
      </c>
    </row>
    <row r="9" ht="21.75" customHeight="1" spans="1:9">
      <c r="A9" s="9">
        <v>6</v>
      </c>
      <c r="B9" s="33" t="s">
        <v>127</v>
      </c>
      <c r="C9" s="34" t="s">
        <v>128</v>
      </c>
      <c r="D9" s="33" t="s">
        <v>129</v>
      </c>
      <c r="E9" s="35" t="s">
        <v>32</v>
      </c>
      <c r="F9" s="36">
        <f t="shared" si="0"/>
        <v>0</v>
      </c>
      <c r="G9" s="36">
        <f t="shared" si="1"/>
        <v>0</v>
      </c>
      <c r="H9" s="36">
        <f t="shared" si="2"/>
        <v>0</v>
      </c>
      <c r="I9" s="12" t="s">
        <v>130</v>
      </c>
    </row>
    <row r="10" ht="15.15"/>
    <row r="11" ht="25.5" customHeight="1" spans="1:9">
      <c r="A11" s="37" t="s">
        <v>131</v>
      </c>
      <c r="B11" s="37"/>
      <c r="C11" s="37"/>
      <c r="D11" s="37"/>
      <c r="E11" s="37"/>
      <c r="F11" s="37"/>
      <c r="G11" s="37"/>
      <c r="H11" s="37"/>
      <c r="I11" s="37"/>
    </row>
    <row r="12" ht="27.75" customHeight="1" spans="1:9">
      <c r="A12" s="38" t="s">
        <v>132</v>
      </c>
      <c r="B12" s="38" t="s">
        <v>133</v>
      </c>
      <c r="C12" s="38" t="s">
        <v>134</v>
      </c>
      <c r="D12" s="38" t="s">
        <v>135</v>
      </c>
      <c r="E12" s="38" t="s">
        <v>136</v>
      </c>
      <c r="F12" s="38" t="s">
        <v>137</v>
      </c>
      <c r="G12" s="38" t="s">
        <v>32</v>
      </c>
      <c r="H12" s="38" t="s">
        <v>32</v>
      </c>
      <c r="I12" s="38" t="s">
        <v>32</v>
      </c>
    </row>
    <row r="13" ht="27.75" customHeight="1" spans="1:9">
      <c r="A13" s="39">
        <f>COUNTIF(D4:D9,"Y")</f>
        <v>5</v>
      </c>
      <c r="B13" s="39">
        <f>SUM(F4:F9)</f>
        <v>2</v>
      </c>
      <c r="C13" s="39">
        <f>SUM(G4:G9)</f>
        <v>1</v>
      </c>
      <c r="D13" s="39">
        <f>SUM(H4:H9)</f>
        <v>1</v>
      </c>
      <c r="E13" s="39">
        <f>B13+C13+D13</f>
        <v>4</v>
      </c>
      <c r="F13" s="40">
        <f>IFERROR((E13/A13)*100,0)</f>
        <v>80</v>
      </c>
      <c r="G13" s="41"/>
      <c r="H13" s="41"/>
      <c r="I13" s="41"/>
    </row>
  </sheetData>
  <mergeCells count="3">
    <mergeCell ref="A1:I1"/>
    <mergeCell ref="A2:I2"/>
    <mergeCell ref="A11:I1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showGridLines="0" workbookViewId="0">
      <selection activeCell="A1" sqref="A1:E1"/>
    </sheetView>
  </sheetViews>
  <sheetFormatPr defaultColWidth="8.67592592592593" defaultRowHeight="14.4" outlineLevelCol="4"/>
  <cols>
    <col min="1" max="1" width="24" style="1" customWidth="1"/>
    <col min="2" max="5" width="14" style="1" customWidth="1"/>
  </cols>
  <sheetData>
    <row r="1" ht="25.5" customHeight="1" spans="1:5">
      <c r="A1" s="14" t="s">
        <v>138</v>
      </c>
      <c r="B1" s="14"/>
      <c r="C1" s="14"/>
      <c r="D1" s="14"/>
      <c r="E1" s="14"/>
    </row>
    <row r="2" ht="31.5" customHeight="1" spans="1:5">
      <c r="A2" s="4" t="s">
        <v>70</v>
      </c>
      <c r="B2" s="4" t="s">
        <v>71</v>
      </c>
      <c r="C2" s="4" t="s">
        <v>72</v>
      </c>
      <c r="D2" s="4" t="s">
        <v>73</v>
      </c>
      <c r="E2" s="4" t="s">
        <v>29</v>
      </c>
    </row>
    <row r="3" ht="21.75" customHeight="1" spans="1:5">
      <c r="A3" s="15" t="s">
        <v>139</v>
      </c>
      <c r="B3" s="16">
        <f>Placement_Calculator!E21</f>
        <v>35.4545454545455</v>
      </c>
      <c r="C3" s="16">
        <f>Placement_Calculator!F21</f>
        <v>40.9090909090909</v>
      </c>
      <c r="D3" s="16">
        <f>Placement_Calculator!G21</f>
        <v>45.4545454545455</v>
      </c>
      <c r="E3" s="17">
        <f t="shared" ref="E3:E10" si="0">AVERAGE(B3:D3)</f>
        <v>40.6060606060606</v>
      </c>
    </row>
    <row r="4" ht="21.75" customHeight="1" spans="1:5">
      <c r="A4" s="18" t="s">
        <v>140</v>
      </c>
      <c r="B4" s="19">
        <f>Placement_Calculator!E22</f>
        <v>22.7272727272727</v>
      </c>
      <c r="C4" s="19">
        <f>Placement_Calculator!F22</f>
        <v>18.1818181818182</v>
      </c>
      <c r="D4" s="19">
        <f>Placement_Calculator!G22</f>
        <v>13.6363636363636</v>
      </c>
      <c r="E4" s="17">
        <f t="shared" si="0"/>
        <v>18.1818181818182</v>
      </c>
    </row>
    <row r="5" ht="21.75" customHeight="1" spans="1:5">
      <c r="A5" s="15" t="s">
        <v>141</v>
      </c>
      <c r="B5" s="16">
        <f>Placement_Calculator!E23</f>
        <v>3.63636363636364</v>
      </c>
      <c r="C5" s="16">
        <f>Placement_Calculator!F23</f>
        <v>4.54545454545455</v>
      </c>
      <c r="D5" s="16">
        <f>Placement_Calculator!G23</f>
        <v>4.54545454545455</v>
      </c>
      <c r="E5" s="17">
        <f t="shared" si="0"/>
        <v>4.24242424242424</v>
      </c>
    </row>
    <row r="6" ht="21.75" customHeight="1" spans="1:5">
      <c r="A6" s="20" t="s">
        <v>142</v>
      </c>
      <c r="B6" s="21">
        <f>Placement_Calculator!E24</f>
        <v>61.8181818181818</v>
      </c>
      <c r="C6" s="21">
        <f>Placement_Calculator!F24</f>
        <v>63.6363636363636</v>
      </c>
      <c r="D6" s="21">
        <f>Placement_Calculator!G24</f>
        <v>63.6363636363636</v>
      </c>
      <c r="E6" s="22">
        <f t="shared" si="0"/>
        <v>63.030303030303</v>
      </c>
    </row>
    <row r="7" ht="21.75" customHeight="1" spans="1:5">
      <c r="A7" s="15" t="s">
        <v>143</v>
      </c>
      <c r="B7" s="23">
        <f>Placement_Calculator!E16</f>
        <v>220</v>
      </c>
      <c r="C7" s="23">
        <f>Placement_Calculator!F16</f>
        <v>242</v>
      </c>
      <c r="D7" s="23">
        <f>Placement_Calculator!G16</f>
        <v>264</v>
      </c>
      <c r="E7" s="24">
        <f t="shared" si="0"/>
        <v>242</v>
      </c>
    </row>
    <row r="8" ht="21.75" customHeight="1" spans="1:5">
      <c r="A8" s="18" t="s">
        <v>144</v>
      </c>
      <c r="B8" s="25">
        <f>Placement_Calculator!E17</f>
        <v>78</v>
      </c>
      <c r="C8" s="25">
        <f>Placement_Calculator!F17</f>
        <v>99</v>
      </c>
      <c r="D8" s="25">
        <f>Placement_Calculator!G17</f>
        <v>120</v>
      </c>
      <c r="E8" s="24">
        <f t="shared" si="0"/>
        <v>99</v>
      </c>
    </row>
    <row r="9" ht="21.75" customHeight="1" spans="1:5">
      <c r="A9" s="15" t="s">
        <v>145</v>
      </c>
      <c r="B9" s="23">
        <f>Placement_Calculator!E18</f>
        <v>50</v>
      </c>
      <c r="C9" s="23">
        <f>Placement_Calculator!F18</f>
        <v>44</v>
      </c>
      <c r="D9" s="23">
        <f>Placement_Calculator!G18</f>
        <v>36</v>
      </c>
      <c r="E9" s="24">
        <f t="shared" si="0"/>
        <v>43.3333333333333</v>
      </c>
    </row>
    <row r="10" ht="21.75" customHeight="1" spans="1:5">
      <c r="A10" s="18" t="s">
        <v>146</v>
      </c>
      <c r="B10" s="25">
        <f>Placement_Calculator!E19</f>
        <v>8</v>
      </c>
      <c r="C10" s="25">
        <f>Placement_Calculator!F19</f>
        <v>11</v>
      </c>
      <c r="D10" s="25">
        <f>Placement_Calculator!G19</f>
        <v>12</v>
      </c>
      <c r="E10" s="24">
        <f t="shared" si="0"/>
        <v>10.3333333333333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showGridLines="0" workbookViewId="0">
      <selection activeCell="A1" sqref="A1:F1"/>
    </sheetView>
  </sheetViews>
  <sheetFormatPr defaultColWidth="8.67592592592593" defaultRowHeight="14.4" outlineLevelCol="5"/>
  <cols>
    <col min="1" max="1" width="4" style="1" customWidth="1"/>
    <col min="2" max="2" width="44" style="1" customWidth="1"/>
    <col min="3" max="5" width="14" style="1" customWidth="1"/>
    <col min="6" max="6" width="22" style="1" customWidth="1"/>
  </cols>
  <sheetData>
    <row r="1" ht="25.5" customHeight="1" spans="1:6">
      <c r="A1" s="2" t="s">
        <v>147</v>
      </c>
      <c r="B1" s="2"/>
      <c r="C1" s="2"/>
      <c r="D1" s="2"/>
      <c r="E1" s="2"/>
      <c r="F1" s="2"/>
    </row>
    <row r="2" ht="25.5" customHeight="1" spans="1:6">
      <c r="A2" s="3" t="s">
        <v>148</v>
      </c>
      <c r="B2" s="3"/>
      <c r="C2" s="3"/>
      <c r="D2" s="3"/>
      <c r="E2" s="3"/>
      <c r="F2" s="3"/>
    </row>
    <row r="3" ht="36" customHeight="1" spans="1:6">
      <c r="A3" s="4" t="s">
        <v>22</v>
      </c>
      <c r="B3" s="4" t="s">
        <v>149</v>
      </c>
      <c r="C3" s="4" t="s">
        <v>71</v>
      </c>
      <c r="D3" s="4" t="s">
        <v>72</v>
      </c>
      <c r="E3" s="4" t="s">
        <v>73</v>
      </c>
      <c r="F3" s="4" t="s">
        <v>150</v>
      </c>
    </row>
    <row r="4" ht="25.5" customHeight="1" spans="1:6">
      <c r="A4" s="5">
        <v>1</v>
      </c>
      <c r="B4" s="6" t="s">
        <v>151</v>
      </c>
      <c r="C4" s="7" t="s">
        <v>152</v>
      </c>
      <c r="D4" s="7" t="s">
        <v>152</v>
      </c>
      <c r="E4" s="7" t="s">
        <v>152</v>
      </c>
      <c r="F4" s="8" t="s">
        <v>153</v>
      </c>
    </row>
    <row r="5" ht="25.5" customHeight="1" spans="1:6">
      <c r="A5" s="9">
        <v>2</v>
      </c>
      <c r="B5" s="10" t="s">
        <v>154</v>
      </c>
      <c r="C5" s="11" t="s">
        <v>152</v>
      </c>
      <c r="D5" s="11" t="s">
        <v>152</v>
      </c>
      <c r="E5" s="11" t="s">
        <v>152</v>
      </c>
      <c r="F5" s="12" t="s">
        <v>155</v>
      </c>
    </row>
    <row r="6" ht="25.5" customHeight="1" spans="1:6">
      <c r="A6" s="5">
        <v>3</v>
      </c>
      <c r="B6" s="6" t="s">
        <v>156</v>
      </c>
      <c r="C6" s="7" t="s">
        <v>152</v>
      </c>
      <c r="D6" s="7" t="s">
        <v>152</v>
      </c>
      <c r="E6" s="7" t="s">
        <v>152</v>
      </c>
      <c r="F6" s="8" t="s">
        <v>157</v>
      </c>
    </row>
    <row r="7" ht="25.5" customHeight="1" spans="1:6">
      <c r="A7" s="9">
        <v>4</v>
      </c>
      <c r="B7" s="10" t="s">
        <v>158</v>
      </c>
      <c r="C7" s="11" t="s">
        <v>152</v>
      </c>
      <c r="D7" s="11" t="s">
        <v>152</v>
      </c>
      <c r="E7" s="11" t="s">
        <v>152</v>
      </c>
      <c r="F7" s="12" t="s">
        <v>159</v>
      </c>
    </row>
    <row r="8" ht="25.5" customHeight="1" spans="1:6">
      <c r="A8" s="5">
        <v>5</v>
      </c>
      <c r="B8" s="6" t="s">
        <v>160</v>
      </c>
      <c r="C8" s="7" t="s">
        <v>152</v>
      </c>
      <c r="D8" s="7" t="s">
        <v>152</v>
      </c>
      <c r="E8" s="7" t="s">
        <v>152</v>
      </c>
      <c r="F8" s="8" t="s">
        <v>161</v>
      </c>
    </row>
    <row r="9" ht="25.5" customHeight="1" spans="1:6">
      <c r="A9" s="9">
        <v>6</v>
      </c>
      <c r="B9" s="10" t="s">
        <v>162</v>
      </c>
      <c r="C9" s="11" t="s">
        <v>152</v>
      </c>
      <c r="D9" s="11" t="s">
        <v>152</v>
      </c>
      <c r="E9" s="11" t="s">
        <v>152</v>
      </c>
      <c r="F9" s="12" t="s">
        <v>163</v>
      </c>
    </row>
    <row r="10" ht="25.5" customHeight="1" spans="1:6">
      <c r="A10" s="5">
        <v>7</v>
      </c>
      <c r="B10" s="6" t="s">
        <v>164</v>
      </c>
      <c r="C10" s="7" t="s">
        <v>152</v>
      </c>
      <c r="D10" s="7" t="s">
        <v>152</v>
      </c>
      <c r="E10" s="7" t="s">
        <v>152</v>
      </c>
      <c r="F10" s="8" t="s">
        <v>165</v>
      </c>
    </row>
    <row r="11" ht="25.5" customHeight="1" spans="1:6">
      <c r="A11" s="9">
        <v>8</v>
      </c>
      <c r="B11" s="10" t="s">
        <v>166</v>
      </c>
      <c r="C11" s="11" t="s">
        <v>152</v>
      </c>
      <c r="D11" s="11" t="s">
        <v>152</v>
      </c>
      <c r="E11" s="11" t="s">
        <v>152</v>
      </c>
      <c r="F11" s="12" t="s">
        <v>167</v>
      </c>
    </row>
    <row r="12" ht="25.5" customHeight="1" spans="1:6">
      <c r="A12" s="5">
        <v>9</v>
      </c>
      <c r="B12" s="6" t="s">
        <v>168</v>
      </c>
      <c r="C12" s="7" t="s">
        <v>152</v>
      </c>
      <c r="D12" s="7" t="s">
        <v>152</v>
      </c>
      <c r="E12" s="7" t="s">
        <v>152</v>
      </c>
      <c r="F12" s="8" t="s">
        <v>169</v>
      </c>
    </row>
    <row r="13" ht="25.5" customHeight="1" spans="1:6">
      <c r="A13" s="9">
        <v>10</v>
      </c>
      <c r="B13" s="10" t="s">
        <v>170</v>
      </c>
      <c r="C13" s="11" t="s">
        <v>152</v>
      </c>
      <c r="D13" s="11" t="s">
        <v>152</v>
      </c>
      <c r="E13" s="11" t="s">
        <v>152</v>
      </c>
      <c r="F13" s="12" t="s">
        <v>171</v>
      </c>
    </row>
    <row r="14" ht="25.5" customHeight="1" spans="1:6">
      <c r="A14" s="5">
        <v>11</v>
      </c>
      <c r="B14" s="6" t="s">
        <v>172</v>
      </c>
      <c r="C14" s="7" t="s">
        <v>152</v>
      </c>
      <c r="D14" s="7" t="s">
        <v>152</v>
      </c>
      <c r="E14" s="7" t="s">
        <v>152</v>
      </c>
      <c r="F14" s="8" t="s">
        <v>173</v>
      </c>
    </row>
    <row r="15" ht="25.5" customHeight="1" spans="1:6">
      <c r="A15" s="9">
        <v>12</v>
      </c>
      <c r="B15" s="10" t="s">
        <v>174</v>
      </c>
      <c r="C15" s="11" t="s">
        <v>152</v>
      </c>
      <c r="D15" s="11" t="s">
        <v>152</v>
      </c>
      <c r="E15" s="11" t="s">
        <v>152</v>
      </c>
      <c r="F15" s="12" t="s">
        <v>175</v>
      </c>
    </row>
    <row r="17" ht="27.75" customHeight="1" spans="1:6">
      <c r="A17" s="13" t="s">
        <v>176</v>
      </c>
      <c r="B17" s="13"/>
      <c r="C17" s="13"/>
      <c r="D17" s="13"/>
      <c r="E17" s="13"/>
      <c r="F17" s="13"/>
    </row>
  </sheetData>
  <mergeCells count="3">
    <mergeCell ref="A1:F1"/>
    <mergeCell ref="A2:F2"/>
    <mergeCell ref="A17:F17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Placement_Calculator</vt:lpstr>
      <vt:lpstr>SAR_Table</vt:lpstr>
      <vt:lpstr>Student_Tracker</vt:lpstr>
      <vt:lpstr>Trend_Chart</vt:lpstr>
      <vt:lpstr>Evidence_Checklist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totte</cp:lastModifiedBy>
  <cp:revision>2</cp:revision>
  <dcterms:created xsi:type="dcterms:W3CDTF">2026-06-29T12:44:00Z</dcterms:created>
  <dcterms:modified xsi:type="dcterms:W3CDTF">2026-07-20T12:12:23Z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9C92A95673EE4BC5BC35531F03888A50_12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