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Faculty Retention Calculator — NBA (Max 10 marks)</t>
        </is>
      </c>
    </row>
    <row r="3">
      <c r="A3" t="inlineStr">
        <is>
          <t>- Set **CAY As-of Date** on Summary sheet (default 30-Jun-2025). Retention is computed up to this date.</t>
        </is>
      </c>
    </row>
    <row r="4">
      <c r="A4" t="inlineStr">
        <is>
          <t>- Fill **Roster** with faculty (only full-time regular/contractual FT) and mark **Active_in_CAY = Yes** for those still employed.</t>
        </is>
      </c>
    </row>
    <row r="5">
      <c r="A5" t="inlineStr">
        <is>
          <t>- Mark **Counted_for_SFR = Yes** for faculty included in SFR (exclude visiting/adjunct/part-time and 100% first-year-only).</t>
        </is>
      </c>
    </row>
    <row r="6">
      <c r="A6" t="inlineStr">
        <is>
          <t>- The sheet computes **Tenure (years)** per faculty and counts those with **Tenure ≥ 3** as retained.</t>
        </is>
      </c>
    </row>
    <row r="7">
      <c r="A7" t="inlineStr">
        <is>
          <t>- Enter **S (students Dept + Allied)** on Summary (engineering only, apply SA+L ≤ 110%, exclude SNQ/EWS/TFWS).</t>
        </is>
      </c>
    </row>
    <row r="8">
      <c r="A8" t="inlineStr">
        <is>
          <t>- **RF = S/20**; **Retention % = Retained / RF**; **Marks** awarded per NBA bands (≥90%=10, ≥75%=8, ≥60%=6, ≥50%=4, else 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16" customWidth="1" min="4" max="4"/>
    <col width="26" customWidth="1" min="5" max="5"/>
    <col width="18" customWidth="1" min="6" max="6"/>
    <col width="22" customWidth="1" min="7" max="7"/>
    <col width="24" customWidth="1" min="8" max="8"/>
  </cols>
  <sheetData>
    <row r="1">
      <c r="A1" s="2" t="inlineStr">
        <is>
          <t>Emp_ID</t>
        </is>
      </c>
      <c r="B1" s="2" t="inlineStr">
        <is>
          <t>Faculty_Name</t>
        </is>
      </c>
      <c r="C1" s="2" t="inlineStr">
        <is>
          <t>Dept/Cluster</t>
        </is>
      </c>
      <c r="D1" s="2" t="inlineStr">
        <is>
          <t>Date_of_Joining</t>
        </is>
      </c>
      <c r="E1" s="2" t="inlineStr">
        <is>
          <t>Employment_Type (Regular/Contractual_FT)</t>
        </is>
      </c>
      <c r="F1" s="2" t="inlineStr">
        <is>
          <t>Active_in_CAY (Yes/No)</t>
        </is>
      </c>
      <c r="G1" s="2" t="inlineStr">
        <is>
          <t>Counted_for_SFR (Yes/No)</t>
        </is>
      </c>
      <c r="H1" s="2" t="inlineStr">
        <is>
          <t>Tenure_Years_as_of_CAY</t>
        </is>
      </c>
    </row>
    <row r="2">
      <c r="A2" s="3" t="inlineStr">
        <is>
          <t>EMP001</t>
        </is>
      </c>
      <c r="B2" s="3" t="inlineStr">
        <is>
          <t>Dr. A.B. XYZ</t>
        </is>
      </c>
      <c r="C2" s="3" t="inlineStr">
        <is>
          <t>CSE</t>
        </is>
      </c>
      <c r="D2" s="3" t="inlineStr">
        <is>
          <t>2020-07-01</t>
        </is>
      </c>
      <c r="E2" s="3" t="inlineStr">
        <is>
          <t>Regular</t>
        </is>
      </c>
      <c r="F2" s="3" t="inlineStr">
        <is>
          <t>Yes</t>
        </is>
      </c>
      <c r="G2" s="3" t="inlineStr">
        <is>
          <t>Yes</t>
        </is>
      </c>
      <c r="H2" s="3">
        <f>IF(AND(F2="Yes",G2="Yes",D2&lt;&gt;""),DATEDIF(D2,Summary!$B$2,"Y"),"")</f>
        <v/>
      </c>
    </row>
    <row r="3">
      <c r="A3" s="3" t="inlineStr">
        <is>
          <t>EMP002</t>
        </is>
      </c>
      <c r="B3" s="3" t="inlineStr">
        <is>
          <t>Ms. C.D. PQR</t>
        </is>
      </c>
      <c r="C3" s="3" t="inlineStr">
        <is>
          <t>CSE-AI</t>
        </is>
      </c>
      <c r="D3" s="3" t="inlineStr">
        <is>
          <t>2023-01-10</t>
        </is>
      </c>
      <c r="E3" s="3" t="inlineStr">
        <is>
          <t>Regular</t>
        </is>
      </c>
      <c r="F3" s="3" t="inlineStr">
        <is>
          <t>Yes</t>
        </is>
      </c>
      <c r="G3" s="3" t="inlineStr">
        <is>
          <t>Yes</t>
        </is>
      </c>
      <c r="H3" s="3">
        <f>IF(AND(F3="Yes",G3="Yes",D3&lt;&gt;""),DATEDIF(D3,Summary!$B$2,"Y"),"")</f>
        <v/>
      </c>
    </row>
    <row r="4">
      <c r="A4" s="3" t="inlineStr">
        <is>
          <t>EMP003</t>
        </is>
      </c>
      <c r="B4" s="3" t="inlineStr">
        <is>
          <t>Mr. E.F. LMN</t>
        </is>
      </c>
      <c r="C4" s="3" t="inlineStr">
        <is>
          <t>IT (Allied)</t>
        </is>
      </c>
      <c r="D4" s="3" t="inlineStr">
        <is>
          <t>2022-06-20</t>
        </is>
      </c>
      <c r="E4" s="3" t="inlineStr">
        <is>
          <t>Contractual_FT</t>
        </is>
      </c>
      <c r="F4" s="3" t="inlineStr">
        <is>
          <t>Yes</t>
        </is>
      </c>
      <c r="G4" s="3" t="inlineStr">
        <is>
          <t>Yes</t>
        </is>
      </c>
      <c r="H4" s="3">
        <f>IF(AND(F4="Yes",G4="Yes",D4&lt;&gt;""),DATEDIF(D4,Summary!$B$2,"Y"),"")</f>
        <v/>
      </c>
    </row>
    <row r="5">
      <c r="A5" s="3" t="inlineStr">
        <is>
          <t>EMP004</t>
        </is>
      </c>
      <c r="B5" s="3" t="inlineStr">
        <is>
          <t>Ms. G.H. UVW</t>
        </is>
      </c>
      <c r="C5" s="3" t="inlineStr">
        <is>
          <t>Applied Science (FY)</t>
        </is>
      </c>
      <c r="D5" s="3" t="inlineStr">
        <is>
          <t>2024-08-01</t>
        </is>
      </c>
      <c r="E5" s="3" t="inlineStr">
        <is>
          <t>Regular</t>
        </is>
      </c>
      <c r="F5" s="3" t="inlineStr">
        <is>
          <t>Yes</t>
        </is>
      </c>
      <c r="G5" s="3" t="inlineStr">
        <is>
          <t>No</t>
        </is>
      </c>
      <c r="H5" s="3">
        <f>IF(AND(F5="Yes",G5="Yes",D5&lt;&gt;""),DATEDIF(D5,Summary!$B$2,"Y"),"")</f>
        <v/>
      </c>
    </row>
  </sheetData>
  <dataValidations count="2">
    <dataValidation sqref="E2:E10000" showErrorMessage="1" showInputMessage="1" allowBlank="0" type="list">
      <formula1>"Regular,Contractual_FT"</formula1>
    </dataValidation>
    <dataValidation sqref="F2:F10000 G2:G10000" showErrorMessage="1" showInputMessage="1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4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Notes</t>
        </is>
      </c>
    </row>
    <row r="2">
      <c r="A2" s="4" t="inlineStr">
        <is>
          <t>CAY As-of Date</t>
        </is>
      </c>
      <c r="B2" s="5" t="inlineStr">
        <is>
          <t>2025-06-30</t>
        </is>
      </c>
      <c r="C2" s="5" t="inlineStr">
        <is>
          <t>Edit if your CAY end date differs (usually 30-Jun-YYYY)</t>
        </is>
      </c>
    </row>
    <row r="3">
      <c r="A3" s="4" t="inlineStr">
        <is>
          <t>S (Total Students: Dept + Allied)</t>
        </is>
      </c>
      <c r="B3" s="5" t="inlineStr"/>
      <c r="C3" s="5" t="inlineStr">
        <is>
          <t>From SFR 5.1; engineering only; exclude SNQ/EWS/TFWS; apply SA+L cap</t>
        </is>
      </c>
    </row>
    <row r="4">
      <c r="A4" s="4" t="inlineStr">
        <is>
          <t>RF = S/20</t>
        </is>
      </c>
      <c r="B4" s="5">
        <f>IF(B3&gt;0,B3/20,"")</f>
        <v/>
      </c>
      <c r="C4" s="5" t="inlineStr">
        <is>
          <t>Required Faculty</t>
        </is>
      </c>
    </row>
    <row r="5">
      <c r="A5" s="4" t="inlineStr">
        <is>
          <t>Retained Faculty (≥3 yrs, Active &amp; Counted)</t>
        </is>
      </c>
      <c r="B5" s="5">
        <f>COUNTIFS(Roster!H:H,"&gt;=3",Roster!F:F,"Yes",Roster!G:G,"Yes")</f>
        <v/>
      </c>
      <c r="C5" s="5" t="inlineStr">
        <is>
          <t>Auto-count from Roster</t>
        </is>
      </c>
    </row>
    <row r="6">
      <c r="A6" s="4" t="inlineStr">
        <is>
          <t>Retention % = Retained / RF</t>
        </is>
      </c>
      <c r="B6" s="6">
        <f>IF(B4&gt;0,B5/B4,"")</f>
        <v/>
      </c>
      <c r="C6" s="5" t="inlineStr">
        <is>
          <t>As decimal (format %)</t>
        </is>
      </c>
    </row>
    <row r="7">
      <c r="A7" s="4" t="inlineStr">
        <is>
          <t>Marks (per NBA bands)</t>
        </is>
      </c>
      <c r="B7" s="5">
        <f>IF(B6&gt;=0.9,10,IF(B6&gt;=0.75,8,IF(B6&gt;=0.6,6,IF(B6&gt;=0.5,4,0))))</f>
        <v/>
      </c>
      <c r="C7" s="5" t="inlineStr">
        <is>
          <t>Bands: ≥90%=10; ≥75%=8; ≥60%=6; ≥50%=4; else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2025-08-29T02:30:26Z</dcterms:created>
  <dcterms:modified xmlns:dcterms="http://purl.org/dc/terms/" xmlns:xsi="http://www.w3.org/2001/XMLSchema-instance" xsi:type="dcterms:W3CDTF">2025-08-29T02:30:26Z</dcterms:modified>
</cp:coreProperties>
</file>