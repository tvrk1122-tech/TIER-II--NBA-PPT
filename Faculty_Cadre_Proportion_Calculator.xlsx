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re_Proportion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2" fontId="0" fillId="0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Metric</t>
        </is>
      </c>
      <c r="B1" s="2" t="inlineStr">
        <is>
          <t>CAY</t>
        </is>
      </c>
      <c r="C1" s="2" t="inlineStr">
        <is>
          <t>CAYm1</t>
        </is>
      </c>
      <c r="D1" s="2" t="inlineStr">
        <is>
          <t>CAYm2</t>
        </is>
      </c>
    </row>
    <row r="2">
      <c r="A2" s="3" t="inlineStr">
        <is>
          <t>S = Total Students (Dept + Allied)</t>
        </is>
      </c>
      <c r="B2" s="4" t="inlineStr"/>
      <c r="C2" s="4" t="inlineStr"/>
      <c r="D2" s="4" t="inlineStr"/>
    </row>
    <row r="3">
      <c r="A3" s="3" t="inlineStr">
        <is>
          <t>RF = Required Faculty (S/20)</t>
        </is>
      </c>
      <c r="B3" s="4">
        <f>IF(B2&gt;0,B2/20,"")</f>
        <v/>
      </c>
      <c r="C3" s="4">
        <f>IF(C2&gt;0,C2/20,"")</f>
        <v/>
      </c>
      <c r="D3" s="4">
        <f>IF(D2&gt;0,D2/20,"")</f>
        <v/>
      </c>
    </row>
    <row r="4">
      <c r="A4" s="3" t="inlineStr">
        <is>
          <t>RF1 = Professors required (1/9 * RF)</t>
        </is>
      </c>
      <c r="B4" s="4">
        <f>IF(B3&gt;0,B3/9,"")</f>
        <v/>
      </c>
      <c r="C4" s="4">
        <f>IF(C3&gt;0,C3/9,"")</f>
        <v/>
      </c>
      <c r="D4" s="4">
        <f>IF(D3&gt;0,D3/9,"")</f>
        <v/>
      </c>
    </row>
    <row r="5">
      <c r="A5" s="3" t="inlineStr">
        <is>
          <t>RF2 = Associates required (2/9 * RF)</t>
        </is>
      </c>
      <c r="B5" s="4">
        <f>IF(B3&gt;0,2*B3/9,"")</f>
        <v/>
      </c>
      <c r="C5" s="4">
        <f>IF(C3&gt;0,2*C3/9,"")</f>
        <v/>
      </c>
      <c r="D5" s="4">
        <f>IF(D3&gt;0,2*D3/9,"")</f>
        <v/>
      </c>
    </row>
    <row r="6">
      <c r="A6" s="3" t="inlineStr">
        <is>
          <t>RF3 = Assistants required (6/9 * RF)</t>
        </is>
      </c>
      <c r="B6" s="4">
        <f>IF(B3&gt;0,6*B3/9,"")</f>
        <v/>
      </c>
      <c r="C6" s="4">
        <f>IF(C3&gt;0,6*C3/9,"")</f>
        <v/>
      </c>
      <c r="D6" s="4">
        <f>IF(D3&gt;0,6*D3/9,"")</f>
        <v/>
      </c>
    </row>
    <row r="7">
      <c r="A7" s="3" t="inlineStr">
        <is>
          <t>AF1 = Actual Professors (input)</t>
        </is>
      </c>
      <c r="B7" s="4" t="inlineStr"/>
      <c r="C7" s="4" t="inlineStr"/>
      <c r="D7" s="4" t="inlineStr"/>
    </row>
    <row r="8">
      <c r="A8" s="3" t="inlineStr">
        <is>
          <t>AF2 = Actual Associates (input)</t>
        </is>
      </c>
      <c r="B8" s="4" t="inlineStr"/>
      <c r="C8" s="4" t="inlineStr"/>
      <c r="D8" s="4" t="inlineStr"/>
    </row>
    <row r="9">
      <c r="A9" s="3" t="inlineStr">
        <is>
          <t>AF3 = Actual Assistants (input)</t>
        </is>
      </c>
      <c r="B9" s="4" t="inlineStr"/>
      <c r="C9" s="4" t="inlineStr"/>
      <c r="D9" s="4" t="inlineStr"/>
    </row>
    <row r="10">
      <c r="A10" s="3" t="inlineStr">
        <is>
          <t>Ratio1 = MIN(AF1/RF1, 1)</t>
        </is>
      </c>
      <c r="B10" s="4">
        <f>IF(B4&gt;0,MIN(B7/B4,1),"")</f>
        <v/>
      </c>
      <c r="C10" s="4">
        <f>IF(C4&gt;0,MIN(C7/C4,1),"")</f>
        <v/>
      </c>
      <c r="D10" s="4">
        <f>IF(D4&gt;0,MIN(D7/D4,1),"")</f>
        <v/>
      </c>
    </row>
    <row r="11">
      <c r="A11" s="3" t="inlineStr">
        <is>
          <t>Ratio2 = MIN(AF2/RF2, 1)</t>
        </is>
      </c>
      <c r="B11" s="4">
        <f>IF(B5&gt;0,MIN(B8/B5,1),"")</f>
        <v/>
      </c>
      <c r="C11" s="4">
        <f>IF(C5&gt;0,MIN(C8/C5,1),"")</f>
        <v/>
      </c>
      <c r="D11" s="4">
        <f>IF(D5&gt;0,MIN(D8/D5,1),"")</f>
        <v/>
      </c>
    </row>
    <row r="12">
      <c r="A12" s="3" t="inlineStr">
        <is>
          <t>Ratio3 = MIN(AF3/RF3, 1)</t>
        </is>
      </c>
      <c r="B12" s="4">
        <f>IF(B6&gt;0,MIN(B9/B6,1),"")</f>
        <v/>
      </c>
      <c r="C12" s="4">
        <f>IF(C6&gt;0,MIN(C9/C6,1),"")</f>
        <v/>
      </c>
      <c r="D12" s="4">
        <f>IF(D6&gt;0,MIN(D9/D6,1),"")</f>
        <v/>
      </c>
    </row>
    <row r="13">
      <c r="A13" s="3" t="inlineStr">
        <is>
          <t>FCPI (per year) = AVERAGE(R1:R3) * 25</t>
        </is>
      </c>
      <c r="B13" s="4">
        <f>IF(COUNTA(B10:B12)=3,AVERAGE(B10:B12)*25,"")</f>
        <v/>
      </c>
      <c r="C13" s="4">
        <f>IF(COUNTA(C10:C12)=3,AVERAGE(C10:C12)*25,"")</f>
        <v/>
      </c>
      <c r="D13" s="4">
        <f>IF(COUNTA(D10:D12)=3,AVERAGE(D10:D12)*25,"")</f>
        <v/>
      </c>
    </row>
    <row r="14">
      <c r="A14" s="3" t="inlineStr">
        <is>
          <t>Average FCPI (3-year)</t>
        </is>
      </c>
      <c r="B14" s="4">
        <f>IF(COUNTA(B13:D13)=3,AVERAGE(B13:D13),"")</f>
        <v/>
      </c>
      <c r="C14" s="4" t="inlineStr"/>
      <c r="D1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How to use the Faculty Cadre Proportion Calculator (NBA — 25 marks)</t>
        </is>
      </c>
    </row>
    <row r="3">
      <c r="A3" t="inlineStr">
        <is>
          <t>- Enter **S** (total engineering students for the department + allied) for **CAY, CAYm1, CAYm2** in row 2.</t>
        </is>
      </c>
    </row>
    <row r="4">
      <c r="A4" t="inlineStr">
        <is>
          <t>- Enter **AF1, AF2, AF3** (actual full-time, approved Professors/Associates/Assistants) in rows 6–8.</t>
        </is>
      </c>
    </row>
    <row r="5">
      <c r="A5" t="inlineStr">
        <is>
          <t>- The sheet computes **RF** from **S** using the 20:1 rule, then splits **RF** into **RF1, RF2, RF3** in the **1:2:6** proportion.</t>
        </is>
      </c>
    </row>
    <row r="6">
      <c r="A6" t="inlineStr">
        <is>
          <t>- Ratios **AF/RF** are capped at 1.0 per cadre; excess in one cadre cannot offset shortage in another.</t>
        </is>
      </c>
    </row>
    <row r="7">
      <c r="A7" t="inlineStr">
        <is>
          <t>- **FCPI (per year)** = Average of the three ratios × 25; **Average FCPI (3-year)** averages CAY, CAYm1, CAYm2.</t>
        </is>
      </c>
    </row>
    <row r="8">
      <c r="A8" t="inlineStr">
        <is>
          <t>- Exclude visiting/adjunct/part-time and **100% first-year-only** faculty from AF1–AF3.</t>
        </is>
      </c>
    </row>
    <row r="9">
      <c r="A9" t="inlineStr">
        <is>
          <t>- Ensure cadre eligibility per **AICTE/UGC norms** and keep approvals/payroll as evidence.</t>
        </is>
      </c>
    </row>
    <row r="10">
      <c r="A10" t="inlineStr">
        <is>
          <t>- Keep **S** consistent with Criterion 5.1 (SFR): engineering programs only; apply SA+L caps; exclude SNQ/EWS/TFWS.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2025-08-29T02:30:26Z</dcterms:created>
  <dcterms:modified xmlns:dcterms="http://purl.org/dc/terms/" xmlns:xsi="http://www.w3.org/2001/XMLSchema-instance" xsi:type="dcterms:W3CDTF">2025-08-29T02:30:26Z</dcterms:modified>
</cp:coreProperties>
</file>