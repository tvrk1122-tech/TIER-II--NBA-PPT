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SFR_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(CAY/CAYm1/CAYm2)</t>
        </is>
      </c>
      <c r="B1" s="1" t="inlineStr">
        <is>
          <t>S4: Sanctioned Intake (UG First Year)</t>
        </is>
      </c>
      <c r="C1" s="1" t="inlineStr">
        <is>
          <t>RF4 (=S4/20)</t>
        </is>
      </c>
      <c r="D1" s="1" t="inlineStr">
        <is>
          <t>NS1: Basic Sciences/HS/Management Faculty</t>
        </is>
      </c>
      <c r="E1" s="1" t="inlineStr">
        <is>
          <t>NS2: Engineering Sciences Faculty</t>
        </is>
      </c>
      <c r="F1" s="1" t="inlineStr">
        <is>
          <t>Total Faculty (=NS1+NS2)</t>
        </is>
      </c>
      <c r="G1" s="1" t="inlineStr">
        <is>
          <t>Weighted Faculty (=NS1*0.8 + NS2*0.2)</t>
        </is>
      </c>
      <c r="H1" s="1" t="inlineStr">
        <is>
          <t>Coverage % (=Weighted/RF4)</t>
        </is>
      </c>
      <c r="I1" s="1" t="inlineStr">
        <is>
          <t>FYSFR (=S4/Total Faculty)</t>
        </is>
      </c>
      <c r="J1" s="1" t="inlineStr">
        <is>
          <t>NBA Score (based on Coverage %)</t>
        </is>
      </c>
    </row>
    <row r="2">
      <c r="A2" t="inlineStr">
        <is>
          <t>CAY</t>
        </is>
      </c>
      <c r="B2" t="inlineStr"/>
      <c r="C2">
        <f>IFERROR(B2/20,"")</f>
        <v/>
      </c>
      <c r="D2" t="inlineStr"/>
      <c r="E2" t="inlineStr"/>
      <c r="F2">
        <f>IFERROR(D2+E2,"")</f>
        <v/>
      </c>
      <c r="G2">
        <f>IFERROR(D2*0.8 + E2*0.2,"")</f>
        <v/>
      </c>
      <c r="H2">
        <f>IFERROR(G2/C2,"")</f>
        <v/>
      </c>
      <c r="I2">
        <f>IFERROR(B2/F2,"")</f>
        <v/>
      </c>
      <c r="J2">
        <f>IF(H2&gt;=0.9,5,IF(AND(H2&gt;=0.8,H2&lt;0.9),4,IF(AND(H2&gt;=0.7,H2&lt;0.8),3,IF(AND(H2&gt;=0.6,H2&lt;0.7),2,IF(AND(H2&gt;=0.5,H2&lt;0.6),1,0)))))</f>
        <v/>
      </c>
    </row>
    <row r="3">
      <c r="A3" t="inlineStr">
        <is>
          <t>CAYm1</t>
        </is>
      </c>
      <c r="B3" t="inlineStr"/>
      <c r="C3">
        <f>IFERROR(B3/20,"")</f>
        <v/>
      </c>
      <c r="D3" t="inlineStr"/>
      <c r="E3" t="inlineStr"/>
      <c r="F3">
        <f>IFERROR(D3+E3,"")</f>
        <v/>
      </c>
      <c r="G3">
        <f>IFERROR(D3*0.8 + E3*0.2,"")</f>
        <v/>
      </c>
      <c r="H3">
        <f>IFERROR(G3/C3,"")</f>
        <v/>
      </c>
      <c r="I3">
        <f>IFERROR(B3/F3,"")</f>
        <v/>
      </c>
      <c r="J3">
        <f>IF(H3&gt;=0.9,5,IF(AND(H3&gt;=0.8,H3&lt;0.9),4,IF(AND(H3&gt;=0.7,H3&lt;0.8),3,IF(AND(H3&gt;=0.6,H3&lt;0.7),2,IF(AND(H3&gt;=0.5,H3&lt;0.6),1,0)))))</f>
        <v/>
      </c>
    </row>
    <row r="4">
      <c r="A4" t="inlineStr">
        <is>
          <t>CAYm2</t>
        </is>
      </c>
      <c r="B4" t="inlineStr"/>
      <c r="C4">
        <f>IFERROR(B4/20,"")</f>
        <v/>
      </c>
      <c r="D4" t="inlineStr"/>
      <c r="E4" t="inlineStr"/>
      <c r="F4">
        <f>IFERROR(D4+E4,"")</f>
        <v/>
      </c>
      <c r="G4">
        <f>IFERROR(D4*0.8 + E4*0.2,"")</f>
        <v/>
      </c>
      <c r="H4">
        <f>IFERROR(G4/C4,"")</f>
        <v/>
      </c>
      <c r="I4">
        <f>IFERROR(B4/F4,"")</f>
        <v/>
      </c>
      <c r="J4">
        <f>IF(H4&gt;=0.9,5,IF(AND(H4&gt;=0.8,H4&lt;0.9),4,IF(AND(H4&gt;=0.7,H4&lt;0.8),3,IF(AND(H4&gt;=0.6,H4&lt;0.7),2,IF(AND(H4&gt;=0.5,H4&lt;0.6),1,0)))))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2025-08-28T04:22:29Z</dcterms:created>
  <dcterms:modified xmlns:dcterms="http://purl.org/dc/terms/" xmlns:xsi="http://www.w3.org/2001/XMLSchema-instance" xsi:type="dcterms:W3CDTF">2025-08-28T04:22:29Z</dcterms:modified>
</cp:coreProperties>
</file>