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Closed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  <col width="12" customWidth="1" min="4" max="4"/>
    <col width="11" customWidth="1" min="5" max="5"/>
    <col width="20" customWidth="1" min="6" max="6"/>
    <col width="20" customWidth="1" min="7" max="7"/>
    <col width="40" customWidth="1" min="8" max="8"/>
    <col width="50" customWidth="1" min="9" max="9"/>
    <col width="32" customWidth="1" min="10" max="10"/>
    <col width="38" customWidth="1" min="11" max="11"/>
  </cols>
  <sheetData>
    <row r="1">
      <c r="A1" s="1" t="inlineStr">
        <is>
          <t>Level (CO/PO/PSO)</t>
        </is>
      </c>
      <c r="B1" s="1" t="inlineStr">
        <is>
          <t>Code</t>
        </is>
      </c>
      <c r="C1" s="1" t="inlineStr">
        <is>
          <t>Target Attainment (%)</t>
        </is>
      </c>
      <c r="D1" s="1" t="inlineStr">
        <is>
          <t>Before (%)</t>
        </is>
      </c>
      <c r="E1" s="1" t="inlineStr">
        <is>
          <t>After (%)</t>
        </is>
      </c>
      <c r="F1" s="1" t="inlineStr">
        <is>
          <t>Gap Before (%)</t>
        </is>
      </c>
      <c r="G1" s="1" t="inlineStr">
        <is>
          <t>Gap After (%)</t>
        </is>
      </c>
      <c r="H1" s="1" t="inlineStr">
        <is>
          <t>Gap Closed (%)</t>
        </is>
      </c>
      <c r="I1" s="1" t="inlineStr">
        <is>
          <t>Status</t>
        </is>
      </c>
      <c r="J1" s="1" t="inlineStr">
        <is>
          <t>Action Taken</t>
        </is>
      </c>
      <c r="K1" s="1" t="inlineStr">
        <is>
          <t>Evidence Link/Path</t>
        </is>
      </c>
    </row>
    <row r="2">
      <c r="A2" t="inlineStr">
        <is>
          <t>CO</t>
        </is>
      </c>
      <c r="B2" t="inlineStr">
        <is>
          <t>CO2 – Data Structures</t>
        </is>
      </c>
      <c r="C2" t="n">
        <v>70</v>
      </c>
      <c r="D2" t="n">
        <v>52</v>
      </c>
      <c r="E2" t="n">
        <v>69</v>
      </c>
      <c r="F2">
        <f>IFERROR(C2-D2,"")</f>
        <v/>
      </c>
      <c r="G2">
        <f>IFERROR(C2-E2,"")</f>
        <v/>
      </c>
      <c r="H2">
        <f>IF(F2&lt;=0,"",MIN(1,MAX(0,(F2-G2)/F2)))</f>
        <v/>
      </c>
      <c r="I2">
        <f>IF(E2&gt;=C2,"Achieved",IF(H2="","",IF(H2&gt;=0.75,"On Track","Needs Attention")))</f>
        <v/>
      </c>
      <c r="J2" t="inlineStr">
        <is>
          <t>Weekly coding challenges</t>
        </is>
      </c>
      <c r="K2" t="inlineStr">
        <is>
          <t>https://drive.example.com/CO2_coding</t>
        </is>
      </c>
    </row>
    <row r="3">
      <c r="A3" t="inlineStr">
        <is>
          <t>PO</t>
        </is>
      </c>
      <c r="B3" t="inlineStr">
        <is>
          <t>PO4 – Investigations</t>
        </is>
      </c>
      <c r="C3" t="n">
        <v>70</v>
      </c>
      <c r="D3" t="n">
        <v>55</v>
      </c>
      <c r="E3" t="n">
        <v>68</v>
      </c>
      <c r="F3">
        <f>IFERROR(C3-D3,"")</f>
        <v/>
      </c>
      <c r="G3">
        <f>IFERROR(C3-E3,"")</f>
        <v/>
      </c>
      <c r="H3">
        <f>IF(F3&lt;=0,"",MIN(1,MAX(0,(F3-G3)/F3)))</f>
        <v/>
      </c>
      <c r="I3">
        <f>IF(E3&gt;=C3,"Achieved",IF(H3="","",IF(H3&gt;=0.75,"On Track","Needs Attention")))</f>
        <v/>
      </c>
      <c r="J3" t="inlineStr">
        <is>
          <t>Simulation labs, mini-projects</t>
        </is>
      </c>
      <c r="K3" t="inlineStr">
        <is>
          <t>https://drive.example.com/PO4_sim</t>
        </is>
      </c>
    </row>
    <row r="4">
      <c r="A4" t="inlineStr">
        <is>
          <t>PO</t>
        </is>
      </c>
      <c r="B4" t="inlineStr">
        <is>
          <t>PO9 – Communication</t>
        </is>
      </c>
      <c r="C4" t="n">
        <v>75</v>
      </c>
      <c r="D4" t="n">
        <v>60</v>
      </c>
      <c r="E4" t="n">
        <v>72</v>
      </c>
      <c r="F4">
        <f>IFERROR(C4-D4,"")</f>
        <v/>
      </c>
      <c r="G4">
        <f>IFERROR(C4-E4,"")</f>
        <v/>
      </c>
      <c r="H4">
        <f>IF(F4&lt;=0,"",MIN(1,MAX(0,(F4-G4)/F4)))</f>
        <v/>
      </c>
      <c r="I4">
        <f>IF(E4&gt;=C4,"Achieved",IF(H4="","",IF(H4&gt;=0.75,"On Track","Needs Attention")))</f>
        <v/>
      </c>
      <c r="J4" t="inlineStr">
        <is>
          <t>Seminar courses, rubrics</t>
        </is>
      </c>
      <c r="K4" t="inlineStr">
        <is>
          <t>https://drive.example.com/PO9_comm</t>
        </is>
      </c>
    </row>
    <row r="5">
      <c r="A5" t="inlineStr">
        <is>
          <t>PSO</t>
        </is>
      </c>
      <c r="B5" t="inlineStr">
        <is>
          <t>PSO1 – Domain Tools</t>
        </is>
      </c>
      <c r="C5" t="n">
        <v>70</v>
      </c>
      <c r="D5" t="n">
        <v>52</v>
      </c>
      <c r="E5" t="n">
        <v>66</v>
      </c>
      <c r="F5">
        <f>IFERROR(C5-D5,"")</f>
        <v/>
      </c>
      <c r="G5">
        <f>IFERROR(C5-E5,"")</f>
        <v/>
      </c>
      <c r="H5">
        <f>IF(F5&lt;=0,"",MIN(1,MAX(0,(F5-G5)/F5)))</f>
        <v/>
      </c>
      <c r="I5">
        <f>IF(E5&gt;=C5,"Achieved",IF(H5="","",IF(H5&gt;=0.75,"On Track","Needs Attention")))</f>
        <v/>
      </c>
      <c r="J5" t="inlineStr">
        <is>
          <t>Installed software &amp; training</t>
        </is>
      </c>
      <c r="K5" t="inlineStr">
        <is>
          <t>https://drive.example.com/PSO1_tools</t>
        </is>
      </c>
    </row>
  </sheetData>
  <conditionalFormatting sqref="G2:G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dataValidations count="1">
    <dataValidation sqref="A2:A500" showErrorMessage="1" showInputMessage="1" allowBlank="1" type="list">
      <formula1>"CO,PO,PSO"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2025-08-28T06:21:17Z</dcterms:created>
  <dcterms:modified xmlns:dcterms="http://purl.org/dc/terms/" xmlns:xsi="http://www.w3.org/2001/XMLSchema-instance" xsi:type="dcterms:W3CDTF">2025-08-28T06:21:17Z</dcterms:modified>
</cp:coreProperties>
</file>