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ER_Calculator" sheetId="1" r:id="rId1"/>
    <sheet name="Marks_Band_Table" sheetId="2" r:id="rId2"/>
    <sheet name="ER_Trend_Chart" sheetId="3" r:id="rId3"/>
    <sheet name="Documentation_Checklist" sheetId="4" r:id="rId4"/>
    <sheet name="Interpretation_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<sst xmlns="http://schemas.openxmlformats.org/spreadsheetml/2006/main" count="193" uniqueCount="152">
  <si>
    <t>NBA ACCREDITATION — ENROLMENT RATIO (ER) IN FIRST YEAR</t>
  </si>
  <si>
    <t>Criterion 4 — Input to the Programme  |  Maximum Marks: 20</t>
  </si>
  <si>
    <t>SECTION A — KEY DEFINITIONS</t>
  </si>
  <si>
    <t>Symbol</t>
  </si>
  <si>
    <t>Term</t>
  </si>
  <si>
    <t>Description</t>
  </si>
  <si>
    <t>N</t>
  </si>
  <si>
    <t>Sanctioned Intake</t>
  </si>
  <si>
    <t>Total seats approved by AICTE/University for 1st year</t>
  </si>
  <si>
    <t>N1</t>
  </si>
  <si>
    <t>Regular Admissions</t>
  </si>
  <si>
    <t>1st-year admits adjusted for migration in/out</t>
  </si>
  <si>
    <t>N4</t>
  </si>
  <si>
    <t>Supernumerary Admits</t>
  </si>
  <si>
    <t>TFWS / EWS / PMSSS / Foreign Nationals / PIO seats</t>
  </si>
  <si>
    <t>ER</t>
  </si>
  <si>
    <t>Enrolment Ratio</t>
  </si>
  <si>
    <t>ER = (N1 + N4) / N × 100  for each academic year</t>
  </si>
  <si>
    <t>SECTION B — ADMISSION DATA INPUT  (Blue cells = editable)</t>
  </si>
  <si>
    <t>#</t>
  </si>
  <si>
    <t>Academic Year</t>
  </si>
  <si>
    <t>Sanctioned
Intake (N)</t>
  </si>
  <si>
    <t>Regular Admits
(N1, adj. migration)</t>
  </si>
  <si>
    <t>Supernumerary
(N4)</t>
  </si>
  <si>
    <t>N1 + N4</t>
  </si>
  <si>
    <t>ER (%)</t>
  </si>
  <si>
    <t>Notes</t>
  </si>
  <si>
    <t>CAY (2024–25)</t>
  </si>
  <si>
    <t>Current year</t>
  </si>
  <si>
    <t>CAYm1 (2023–24)</t>
  </si>
  <si>
    <t>Minus 1 year</t>
  </si>
  <si>
    <t>CAYm2 (2022–23)</t>
  </si>
  <si>
    <t>Minus 2 years</t>
  </si>
  <si>
    <t>SECTION C — AVERAGE ER CALCULATION</t>
  </si>
  <si>
    <t>Average ER  =  (ERCAY + ERCAYm1 + ERCAYm2) ÷ 3</t>
  </si>
  <si>
    <t>← Average ER (%)</t>
  </si>
  <si>
    <t>SECTION D — NBA MARKS CALCULATION</t>
  </si>
  <si>
    <t>ER Points  =  20 × (Average ER ÷ 100)   [formula cell]</t>
  </si>
  <si>
    <t>← ER Points (out of 20)</t>
  </si>
  <si>
    <t>NBA Band (grade label based on average ER)</t>
  </si>
  <si>
    <t>← NBA grade band</t>
  </si>
  <si>
    <t>NOTE: Blue cells (N, N1, N4) are editable inputs. All other cells auto-calculate. MEES entries/exits (N5/N6) are excluded from ER. Sanctioned intake (N) must match AICTE/University approval letter.</t>
  </si>
  <si>
    <t>NBA ENROLMENT RATIO — MARKS BAND REFERENCE (Max: 20 Marks)</t>
  </si>
  <si>
    <t>Based on Average ER across three years: CAY, CAYm1, CAYm2</t>
  </si>
  <si>
    <t>Band</t>
  </si>
  <si>
    <t>Average ER Range</t>
  </si>
  <si>
    <t>NBA Marks
(out of 20)</t>
  </si>
  <si>
    <t>% of Max Score</t>
  </si>
  <si>
    <t>Interpretation</t>
  </si>
  <si>
    <t>Action Required</t>
  </si>
  <si>
    <t>1</t>
  </si>
  <si>
    <t>≥ 90%</t>
  </si>
  <si>
    <t>100%</t>
  </si>
  <si>
    <t>Excellent — near-full intake</t>
  </si>
  <si>
    <t>Maintain; document evidence</t>
  </si>
  <si>
    <t>2</t>
  </si>
  <si>
    <t>≥ 80% and &lt; 90%</t>
  </si>
  <si>
    <t>85%</t>
  </si>
  <si>
    <t>Good — high demand</t>
  </si>
  <si>
    <t>Review 1–2 unfilled seats</t>
  </si>
  <si>
    <t>3</t>
  </si>
  <si>
    <t>≥ 70% and &lt; 80%</t>
  </si>
  <si>
    <t>70%</t>
  </si>
  <si>
    <t>Decent — sustainable</t>
  </si>
  <si>
    <t>Improve marketing/placements</t>
  </si>
  <si>
    <t>4</t>
  </si>
  <si>
    <t>≥ 60% and &lt; 70%</t>
  </si>
  <si>
    <t>55%</t>
  </si>
  <si>
    <t>Moderate — NBA may question</t>
  </si>
  <si>
    <t>Investigate intake issues</t>
  </si>
  <si>
    <t>5</t>
  </si>
  <si>
    <t>≥ 50% and &lt; 60%</t>
  </si>
  <si>
    <t>40%</t>
  </si>
  <si>
    <t>Weak — serious intake concern</t>
  </si>
  <si>
    <t>Urgent demand-generation plan</t>
  </si>
  <si>
    <t>6</t>
  </si>
  <si>
    <t>≥ 40% and &lt; 50%</t>
  </si>
  <si>
    <t>25%</t>
  </si>
  <si>
    <t>Very poor — program at risk</t>
  </si>
  <si>
    <t>Consult management immediately</t>
  </si>
  <si>
    <t>7</t>
  </si>
  <si>
    <t>&lt; 40%</t>
  </si>
  <si>
    <t>0%</t>
  </si>
  <si>
    <t>Critical — likely accreditation impact</t>
  </si>
  <si>
    <t>Immediate corrective action</t>
  </si>
  <si>
    <t>FORMULA QUICK REFERENCE:   ER (%) = (N1 + N4) / N × 100   |   Average ER = (ERCAY + ERCAYm1 + ERCAYm2) / 3   |   ER Points = 20 × Average ER / 100</t>
  </si>
  <si>
    <t>COLOUR LEGEND</t>
  </si>
  <si>
    <t>Green  = ≥90% (Full marks band)</t>
  </si>
  <si>
    <t>Blue   = ≥80% (High marks band)</t>
  </si>
  <si>
    <t>Orange = 60–80% (Moderate marks)</t>
  </si>
  <si>
    <t>Red    = &lt;60% (Low / critical marks)</t>
  </si>
  <si>
    <t>ENROLMENT RATIO — 3-YEAR TREND WITH CHART (Programme: B.Tech CSE)</t>
  </si>
  <si>
    <t>N1 (Regular,
adj. migration)</t>
  </si>
  <si>
    <t>N4
(Supernumerary)</t>
  </si>
  <si>
    <t>NBA Band</t>
  </si>
  <si>
    <t>Average ER (3 years)</t>
  </si>
  <si>
    <t>← used for marks</t>
  </si>
  <si>
    <t>ER Points  =  20 × (Average ER ÷ 100)</t>
  </si>
  <si>
    <t>← Marks / 20</t>
  </si>
  <si>
    <t>Threshold</t>
  </si>
  <si>
    <t>ER SUPPORTING DOCUMENTS CHECKLIST</t>
  </si>
  <si>
    <t>All documents must be available for NBA assessors. Tick status for each academic year.</t>
  </si>
  <si>
    <t>Document / Evidence Required</t>
  </si>
  <si>
    <t>CAYm2
(2022-23)</t>
  </si>
  <si>
    <t>CAYm1
(2023-24)</t>
  </si>
  <si>
    <t>CAY
(2024-25)</t>
  </si>
  <si>
    <t>Status / Remarks</t>
  </si>
  <si>
    <t>AICTE Approval Letter / EOA</t>
  </si>
  <si>
    <t>☐ Available</t>
  </si>
  <si>
    <t>Confirms sanctioned intake (N) for each year</t>
  </si>
  <si>
    <t>University Affiliation / Intake Letter</t>
  </si>
  <si>
    <t>University confirmation of approved seats</t>
  </si>
  <si>
    <t>Admission Register — First Year</t>
  </si>
  <si>
    <t>Signed by Admission Committee; shows N1 admits</t>
  </si>
  <si>
    <t>Migration Approval Orders (IN)</t>
  </si>
  <si>
    <t>Students who migrated INTO the programme</t>
  </si>
  <si>
    <t>Migration Approval Orders (OUT)</t>
  </si>
  <si>
    <t>Students who migrated OUT; used to adjust N1</t>
  </si>
  <si>
    <t>Supernumerary Allotment Orders (TFWS)</t>
  </si>
  <si>
    <t>AICTE Tuition Fee Waiver Scheme seat allotments</t>
  </si>
  <si>
    <t>Supernumerary Allotment Orders (EWS)</t>
  </si>
  <si>
    <t>Economically Weaker Section seat allotments</t>
  </si>
  <si>
    <t>PMSSS Allotment Letters</t>
  </si>
  <si>
    <t>Prime Minister's Special Scholarship Scheme seats</t>
  </si>
  <si>
    <t>Foreign National / PIO Admission Records</t>
  </si>
  <si>
    <t>If any supernumerary FN/PIO seats filled</t>
  </si>
  <si>
    <t>Consolidated Admission Committee Report</t>
  </si>
  <si>
    <t>Summary of N, N1, N4 for the academic year</t>
  </si>
  <si>
    <t>ER Summary Sheet (this workbook)</t>
  </si>
  <si>
    <t>Tabulated ER% per year + average ER + marks</t>
  </si>
  <si>
    <t>IMPORTANT: MEES entries (N5) and exits (N6) are NOT included in ER computation. Ensure all migration and supernumerary records are countersigned by the Principal.</t>
  </si>
  <si>
    <t>ENROLMENT RATIO — INTERPRETATION GUIDE FOR NBA ASSESSORS</t>
  </si>
  <si>
    <t>What ER measures</t>
  </si>
  <si>
    <t>• ER reflects the demand and reputational strength of the programme.</t>
  </si>
  <si>
    <t>• It shows how efficiently the institution fills its AICTE-sanctioned seats.</t>
  </si>
  <si>
    <t>• NBA averages ER across CAY, CAYm1, and CAYm2 to smooth year-to-year fluctuations.</t>
  </si>
  <si>
    <t>High ER signals (≥ 90%)</t>
  </si>
  <si>
    <t>• Strong brand, placement record, and regional demand.</t>
  </si>
  <si>
    <t>• Consistent intake management by the admissions team.</t>
  </si>
  <si>
    <t>• Low dependence on management quota to fill seats.</t>
  </si>
  <si>
    <t>Low ER signals (&lt; 70%)</t>
  </si>
  <si>
    <t>• Declining demand — possibly due to poor placements, negative peer feedback, or competition.</t>
  </si>
  <si>
    <t>• NBA assessors will probe the root cause and ask for improvement plans.</t>
  </si>
  <si>
    <t>• Institutions should document demand-generation steps taken.</t>
  </si>
  <si>
    <t>Key exclusions</t>
  </si>
  <si>
    <t>• MEES entries (N5) and exits (N6) are NOT counted in ER.</t>
  </si>
  <si>
    <t>• First-year-only faculty (FF), visiting, and part-time staff are excluded from related SFR.</t>
  </si>
  <si>
    <t>• Only students counted in SFR-eligible programmes are included in S.</t>
  </si>
  <si>
    <t>Target for full marks</t>
  </si>
  <si>
    <t>• Maintain average ER ≥ 90% across three years to secure 20/20 marks.</t>
  </si>
  <si>
    <t>• Even one year of low ER will pull the average down.</t>
  </si>
  <si>
    <t>• Lateral entry students count towards total S but NOT towards first-year 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</si>
</sst>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1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555555"/>
      <name val="Arial"/>
      <charset val="1"/>
    </font>
    <font>
      <i/>
      <sz val="9"/>
      <color rgb="FF000000"/>
      <name val="Arial"/>
      <charset val="1"/>
    </font>
    <font>
      <i/>
      <sz val="9"/>
      <color rgb="FF1F3864"/>
      <name val="Arial"/>
      <charset val="1"/>
    </font>
    <font>
      <b/>
      <sz val="10"/>
      <color rgb="FF0000FF"/>
      <name val="Arial"/>
      <charset val="1"/>
    </font>
    <font>
      <b/>
      <sz val="9"/>
      <color rgb="FF375623"/>
      <name val="Arial"/>
      <charset val="1"/>
    </font>
    <font>
      <b/>
      <sz val="10"/>
      <color rgb="FF1F3864"/>
      <name val="Arial"/>
      <charset val="1"/>
    </font>
    <font>
      <b/>
      <sz val="11"/>
      <color rgb="FF000000"/>
      <name val="Arial"/>
      <charset val="1"/>
    </font>
    <font>
      <i/>
      <sz val="10"/>
      <color rgb="FF1F3864"/>
      <name val="Arial"/>
      <charset val="1"/>
    </font>
    <font>
      <i/>
      <sz val="10"/>
      <color rgb="FF000000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10"/>
      <color rgb="FF375623"/>
      <name val="Arial"/>
      <charset val="1"/>
    </font>
    <font>
      <i/>
      <sz val="10"/>
      <color rgb="FF375623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555555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C9A227"/>
        <bgColor rgb="FF99CC00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Border="0" applyAlignment="0" applyProtection="0"/>
    <xf numFmtId="177" fontId="20" fillId="0" borderId="0" applyBorder="0" applyAlignment="0" applyProtection="0"/>
    <xf numFmtId="9" fontId="20" fillId="0" borderId="0" applyBorder="0" applyAlignment="0" applyProtection="0"/>
    <xf numFmtId="178" fontId="20" fillId="0" borderId="0" applyBorder="0" applyAlignment="0" applyProtection="0"/>
    <xf numFmtId="179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8" applyNumberFormat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13" borderId="8" applyNumberFormat="0" applyAlignment="0" applyProtection="0">
      <alignment vertical="center"/>
    </xf>
    <xf numFmtId="0" fontId="33" fillId="14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3" fontId="9" fillId="7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2" fontId="5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2" fontId="12" fillId="6" borderId="4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2" fontId="1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5" fillId="10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7" fillId="8" borderId="4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993366"/>
      <rgbColor rgb="00FFF2CC"/>
      <rgbColor rgb="00DEEA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9F9F9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C9A227"/>
      <rgbColor rgb="00FF6600"/>
      <rgbColor rgb="00555555"/>
      <rgbColor rgb="00AAAAAA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Enrolment Ratio (%) — Year-wise Trend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ER_Trend_Chart!$G$2</c:f>
              <c:strCache>
                <c:ptCount val="1"/>
                <c:pt idx="0">
                  <c:v>ER (%)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ER_Trend_Chart!$B$3:$B$5</c:f>
              <c:strCache>
                <c:ptCount val="3"/>
                <c:pt idx="0">
                  <c:v>CAY (2024–25)</c:v>
                </c:pt>
                <c:pt idx="1">
                  <c:v>CAYm1 (2023–24)</c:v>
                </c:pt>
                <c:pt idx="2">
                  <c:v>CAYm2 (2022–23)</c:v>
                </c:pt>
              </c:strCache>
            </c:strRef>
          </c:cat>
          <c:val>
            <c:numRef>
              <c:f>ER_Trend_Chart!$G$3:$G$5</c:f>
              <c:numCache>
                <c:formatCode>0.00</c:formatCode>
                <c:ptCount val="3"/>
                <c:pt idx="0">
                  <c:v>100</c:v>
                </c:pt>
                <c:pt idx="1">
                  <c:v>95.8333333333333</c:v>
                </c:pt>
                <c:pt idx="2">
                  <c:v>93.3333333333333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6392699"/>
        <c:axId val="17640920"/>
      </c:barChart>
      <c:catAx>
        <c:axId val="563926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Academic Year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7640920"/>
        <c:crosses val="autoZero"/>
        <c:auto val="1"/>
        <c:lblAlgn val="ctr"/>
        <c:lblOffset val="100"/>
        <c:noMultiLvlLbl val="0"/>
      </c:catAx>
      <c:valAx>
        <c:axId val="17640920"/>
        <c:scaling>
          <c:orientation val="minMax"/>
          <c:max val="11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ER (%)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6392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fa8ec5-bc53-4138-8a84-3b418525c7a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276840</xdr:colOff>
      <xdr:row>32</xdr:row>
      <xdr:rowOff>128880</xdr:rowOff>
    </xdr:to>
    <xdr:graphicFrame>
      <xdr:nvGraphicFramePr>
        <xdr:cNvPr id="2" name="Chart 1"/>
        <xdr:cNvGraphicFramePr/>
      </xdr:nvGraphicFramePr>
      <xdr:xfrm>
        <a:off x="0" y="2825115"/>
        <a:ext cx="6311265" cy="4151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tabSelected="1" workbookViewId="0">
      <pane ySplit="6" topLeftCell="A7" activePane="bottomLeft" state="frozen"/>
      <selection/>
      <selection pane="bottomLeft" activeCell="D7" sqref="D7:H7"/>
    </sheetView>
  </sheetViews>
  <sheetFormatPr defaultColWidth="8.67592592592593" defaultRowHeight="14.4" outlineLevelCol="7"/>
  <cols>
    <col min="1" max="1" width="3" customWidth="1"/>
    <col min="2" max="2" width="28" customWidth="1"/>
    <col min="3" max="3" width="29.4444444444444" customWidth="1"/>
    <col min="4" max="5" width="16" customWidth="1"/>
    <col min="6" max="6" width="18" customWidth="1"/>
    <col min="7" max="7" width="14" customWidth="1"/>
    <col min="8" max="8" width="18" customWidth="1"/>
  </cols>
  <sheetData>
    <row r="1" ht="31.5" customHeight="1" spans="1:8">
      <c r="A1" s="55" t="s">
        <v>0</v>
      </c>
      <c r="B1" s="55"/>
      <c r="C1" s="55"/>
      <c r="D1" s="55"/>
      <c r="E1" s="55"/>
      <c r="F1" s="55"/>
      <c r="G1" s="55"/>
      <c r="H1" s="55"/>
    </row>
    <row r="2" ht="18" customHeight="1" spans="1:8">
      <c r="A2" s="56" t="s">
        <v>1</v>
      </c>
      <c r="B2" s="56"/>
      <c r="C2" s="56"/>
      <c r="D2" s="56"/>
      <c r="E2" s="56"/>
      <c r="F2" s="56"/>
      <c r="G2" s="56"/>
      <c r="H2" s="56"/>
    </row>
    <row r="3" ht="24" customHeight="1" spans="1:8">
      <c r="A3" s="57" t="s">
        <v>2</v>
      </c>
      <c r="B3" s="57"/>
      <c r="C3" s="57"/>
      <c r="D3" s="57"/>
      <c r="E3" s="57"/>
      <c r="F3" s="57"/>
      <c r="G3" s="57"/>
      <c r="H3" s="57"/>
    </row>
    <row r="4" ht="21.75" customHeight="1" spans="1:8">
      <c r="B4" s="58" t="s">
        <v>3</v>
      </c>
      <c r="C4" s="58" t="s">
        <v>4</v>
      </c>
      <c r="D4" s="59" t="s">
        <v>5</v>
      </c>
      <c r="E4" s="59"/>
      <c r="F4" s="59"/>
      <c r="G4" s="59"/>
      <c r="H4" s="59"/>
    </row>
    <row r="5" ht="19.5" customHeight="1" spans="1:8">
      <c r="B5" s="60" t="s">
        <v>6</v>
      </c>
      <c r="C5" s="17" t="s">
        <v>7</v>
      </c>
      <c r="D5" s="4" t="s">
        <v>8</v>
      </c>
      <c r="E5" s="4"/>
      <c r="F5" s="4"/>
      <c r="G5" s="4"/>
      <c r="H5" s="4"/>
    </row>
    <row r="6" ht="19.5" customHeight="1" spans="1:8">
      <c r="B6" s="61" t="s">
        <v>9</v>
      </c>
      <c r="C6" s="62" t="s">
        <v>10</v>
      </c>
      <c r="D6" s="63" t="s">
        <v>11</v>
      </c>
      <c r="E6" s="63"/>
      <c r="F6" s="63"/>
      <c r="G6" s="63"/>
      <c r="H6" s="63"/>
    </row>
    <row r="7" ht="19.5" customHeight="1" spans="1:8">
      <c r="B7" s="60" t="s">
        <v>12</v>
      </c>
      <c r="C7" s="17" t="s">
        <v>13</v>
      </c>
      <c r="D7" s="4" t="s">
        <v>14</v>
      </c>
      <c r="E7" s="4"/>
      <c r="F7" s="4"/>
      <c r="G7" s="4"/>
      <c r="H7" s="4"/>
    </row>
    <row r="8" ht="19.5" customHeight="1" spans="1:8">
      <c r="B8" s="61" t="s">
        <v>15</v>
      </c>
      <c r="C8" s="62" t="s">
        <v>16</v>
      </c>
      <c r="D8" s="63" t="s">
        <v>17</v>
      </c>
      <c r="E8" s="63"/>
      <c r="F8" s="63"/>
      <c r="G8" s="63"/>
      <c r="H8" s="63"/>
    </row>
    <row r="9" ht="15.15"/>
    <row r="10" ht="24" customHeight="1" spans="1:8">
      <c r="A10" s="1" t="s">
        <v>18</v>
      </c>
      <c r="B10" s="1"/>
      <c r="C10" s="1"/>
      <c r="D10" s="1"/>
      <c r="E10" s="1"/>
      <c r="F10" s="1"/>
      <c r="G10" s="1"/>
      <c r="H10" s="1"/>
    </row>
    <row r="11" ht="36" customHeight="1" spans="1:8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</row>
    <row r="12" ht="21.75" customHeight="1" spans="1:8">
      <c r="A12" s="8">
        <v>1</v>
      </c>
      <c r="B12" s="17" t="s">
        <v>27</v>
      </c>
      <c r="C12" s="18">
        <v>120</v>
      </c>
      <c r="D12" s="18">
        <v>115</v>
      </c>
      <c r="E12" s="18">
        <v>5</v>
      </c>
      <c r="F12" s="19">
        <f>D12+E12</f>
        <v>120</v>
      </c>
      <c r="G12" s="20">
        <f>F12/C12*100</f>
        <v>100</v>
      </c>
      <c r="H12" s="64" t="s">
        <v>28</v>
      </c>
    </row>
    <row r="13" ht="21.75" customHeight="1" spans="1:8">
      <c r="A13" s="22">
        <v>2</v>
      </c>
      <c r="B13" s="23" t="s">
        <v>29</v>
      </c>
      <c r="C13" s="18">
        <v>120</v>
      </c>
      <c r="D13" s="18">
        <v>112</v>
      </c>
      <c r="E13" s="18">
        <v>3</v>
      </c>
      <c r="F13" s="24">
        <f>D13+E13</f>
        <v>115</v>
      </c>
      <c r="G13" s="20">
        <f>F13/C13*100</f>
        <v>95.8333333333333</v>
      </c>
      <c r="H13" s="65" t="s">
        <v>30</v>
      </c>
    </row>
    <row r="14" ht="21.75" customHeight="1" spans="1:8">
      <c r="A14" s="8">
        <v>3</v>
      </c>
      <c r="B14" s="17" t="s">
        <v>31</v>
      </c>
      <c r="C14" s="18">
        <v>120</v>
      </c>
      <c r="D14" s="18">
        <v>108</v>
      </c>
      <c r="E14" s="18">
        <v>4</v>
      </c>
      <c r="F14" s="19">
        <f>D14+E14</f>
        <v>112</v>
      </c>
      <c r="G14" s="20">
        <f>F14/C14*100</f>
        <v>93.3333333333333</v>
      </c>
      <c r="H14" s="64" t="s">
        <v>32</v>
      </c>
    </row>
    <row r="15" ht="15.15"/>
    <row r="16" ht="24" customHeight="1" spans="1:8">
      <c r="A16" s="57" t="s">
        <v>33</v>
      </c>
      <c r="B16" s="57"/>
      <c r="C16" s="57"/>
      <c r="D16" s="57"/>
      <c r="E16" s="57"/>
      <c r="F16" s="57"/>
      <c r="G16" s="57"/>
      <c r="H16" s="57"/>
    </row>
    <row r="17" ht="27.75" customHeight="1" spans="1:8">
      <c r="A17" s="25" t="s">
        <v>34</v>
      </c>
      <c r="B17" s="25"/>
      <c r="C17" s="25"/>
      <c r="D17" s="25"/>
      <c r="E17" s="25"/>
      <c r="F17" s="26">
        <f>AVERAGE(G12:G14)</f>
        <v>96.3888888888889</v>
      </c>
      <c r="G17" s="66" t="s">
        <v>35</v>
      </c>
      <c r="H17" s="66"/>
    </row>
    <row r="18" ht="15.15"/>
    <row r="19" ht="24" customHeight="1" spans="1:8">
      <c r="A19" s="1" t="s">
        <v>36</v>
      </c>
      <c r="B19" s="1"/>
      <c r="C19" s="1"/>
      <c r="D19" s="1"/>
      <c r="E19" s="1"/>
      <c r="F19" s="1"/>
      <c r="G19" s="1"/>
      <c r="H19" s="1"/>
    </row>
    <row r="20" ht="30" customHeight="1" spans="1:8">
      <c r="A20" s="25" t="s">
        <v>37</v>
      </c>
      <c r="B20" s="25"/>
      <c r="C20" s="25"/>
      <c r="D20" s="25"/>
      <c r="E20" s="25"/>
      <c r="F20" s="29">
        <f>20*(F17/100)</f>
        <v>19.2777777777778</v>
      </c>
      <c r="G20" s="28" t="s">
        <v>38</v>
      </c>
      <c r="H20" s="28"/>
    </row>
    <row r="21" ht="21.75" customHeight="1" spans="1:8">
      <c r="A21" s="67" t="s">
        <v>39</v>
      </c>
      <c r="B21" s="67"/>
      <c r="C21" s="67"/>
      <c r="D21" s="67"/>
      <c r="E21" s="67"/>
      <c r="F21" s="68" t="str">
        <f>IF(F17&gt;=90,"≥90% → 20 marks",IF(F17&gt;=80,"≥80% → 17 marks",IF(F17&gt;=70,"≥70% → 14 marks",IF(F17&gt;=60,"≥60% → 11 marks",IF(F17&gt;=50,"≥50% → 8 marks",IF(F17&gt;=40,"≥40% → 5 marks","&lt;40% → 0 marks"))))))</f>
        <v>≥90% → 20 marks</v>
      </c>
      <c r="G21" s="69" t="s">
        <v>40</v>
      </c>
      <c r="H21" s="69"/>
    </row>
    <row r="23" ht="27.75" customHeight="1" spans="1:8">
      <c r="A23" s="70" t="s">
        <v>41</v>
      </c>
      <c r="B23" s="70"/>
      <c r="C23" s="70"/>
      <c r="D23" s="70"/>
      <c r="E23" s="70"/>
      <c r="F23" s="70"/>
      <c r="G23" s="70"/>
      <c r="H23" s="70"/>
    </row>
  </sheetData>
  <mergeCells count="18">
    <mergeCell ref="A1:H1"/>
    <mergeCell ref="A2:H2"/>
    <mergeCell ref="A3:H3"/>
    <mergeCell ref="D4:H4"/>
    <mergeCell ref="D5:H5"/>
    <mergeCell ref="D6:H6"/>
    <mergeCell ref="D7:H7"/>
    <mergeCell ref="D8:H8"/>
    <mergeCell ref="A10:H10"/>
    <mergeCell ref="A16:H16"/>
    <mergeCell ref="A17:E17"/>
    <mergeCell ref="G17:H17"/>
    <mergeCell ref="A19:H19"/>
    <mergeCell ref="A20:E20"/>
    <mergeCell ref="G20:H20"/>
    <mergeCell ref="A21:E21"/>
    <mergeCell ref="G21:H21"/>
    <mergeCell ref="A23:H2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selection activeCell="A1" sqref="A1:F1"/>
    </sheetView>
  </sheetViews>
  <sheetFormatPr defaultColWidth="8.67592592592593" defaultRowHeight="14.4" outlineLevelCol="5"/>
  <cols>
    <col min="1" max="1" width="4" customWidth="1"/>
    <col min="2" max="2" width="28" customWidth="1"/>
    <col min="3" max="4" width="16" customWidth="1"/>
    <col min="5" max="5" width="28" customWidth="1"/>
    <col min="6" max="6" width="20" customWidth="1"/>
  </cols>
  <sheetData>
    <row r="1" ht="24" customHeight="1" spans="1:6">
      <c r="A1" s="1" t="s">
        <v>42</v>
      </c>
      <c r="B1" s="1"/>
      <c r="C1" s="1"/>
      <c r="D1" s="1"/>
      <c r="E1" s="1"/>
      <c r="F1" s="1"/>
    </row>
    <row r="2" ht="24" customHeight="1" spans="1:6">
      <c r="A2" s="2" t="s">
        <v>43</v>
      </c>
      <c r="B2" s="2"/>
      <c r="C2" s="2"/>
      <c r="D2" s="2"/>
      <c r="E2" s="2"/>
      <c r="F2" s="2"/>
    </row>
    <row r="3" ht="36" customHeight="1" spans="1:6">
      <c r="A3" s="7" t="s">
        <v>44</v>
      </c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</row>
    <row r="4" ht="27.75" customHeight="1" spans="1:6">
      <c r="A4" s="31" t="s">
        <v>50</v>
      </c>
      <c r="B4" s="31" t="s">
        <v>51</v>
      </c>
      <c r="C4" s="32">
        <v>20</v>
      </c>
      <c r="D4" s="33" t="s">
        <v>52</v>
      </c>
      <c r="E4" s="34" t="s">
        <v>53</v>
      </c>
      <c r="F4" s="35" t="s">
        <v>54</v>
      </c>
    </row>
    <row r="5" ht="27.75" customHeight="1" spans="1:6">
      <c r="A5" s="36" t="s">
        <v>55</v>
      </c>
      <c r="B5" s="36" t="s">
        <v>56</v>
      </c>
      <c r="C5" s="37">
        <v>17</v>
      </c>
      <c r="D5" s="22" t="s">
        <v>57</v>
      </c>
      <c r="E5" s="38" t="s">
        <v>58</v>
      </c>
      <c r="F5" s="39" t="s">
        <v>59</v>
      </c>
    </row>
    <row r="6" ht="27.75" customHeight="1" spans="1:6">
      <c r="A6" s="40" t="s">
        <v>60</v>
      </c>
      <c r="B6" s="40" t="s">
        <v>61</v>
      </c>
      <c r="C6" s="41">
        <v>14</v>
      </c>
      <c r="D6" s="42" t="s">
        <v>62</v>
      </c>
      <c r="E6" s="43" t="s">
        <v>63</v>
      </c>
      <c r="F6" s="44" t="s">
        <v>64</v>
      </c>
    </row>
    <row r="7" ht="27.75" customHeight="1" spans="1:6">
      <c r="A7" s="40" t="s">
        <v>65</v>
      </c>
      <c r="B7" s="40" t="s">
        <v>66</v>
      </c>
      <c r="C7" s="41">
        <v>11</v>
      </c>
      <c r="D7" s="42" t="s">
        <v>67</v>
      </c>
      <c r="E7" s="43" t="s">
        <v>68</v>
      </c>
      <c r="F7" s="44" t="s">
        <v>69</v>
      </c>
    </row>
    <row r="8" ht="27.75" customHeight="1" spans="1:6">
      <c r="A8" s="45" t="s">
        <v>70</v>
      </c>
      <c r="B8" s="45" t="s">
        <v>71</v>
      </c>
      <c r="C8" s="46">
        <v>8</v>
      </c>
      <c r="D8" s="47" t="s">
        <v>72</v>
      </c>
      <c r="E8" s="48" t="s">
        <v>73</v>
      </c>
      <c r="F8" s="49" t="s">
        <v>74</v>
      </c>
    </row>
    <row r="9" ht="27.75" customHeight="1" spans="1:6">
      <c r="A9" s="45" t="s">
        <v>75</v>
      </c>
      <c r="B9" s="45" t="s">
        <v>76</v>
      </c>
      <c r="C9" s="46">
        <v>5</v>
      </c>
      <c r="D9" s="47" t="s">
        <v>77</v>
      </c>
      <c r="E9" s="48" t="s">
        <v>78</v>
      </c>
      <c r="F9" s="49" t="s">
        <v>79</v>
      </c>
    </row>
    <row r="10" ht="27.75" customHeight="1" spans="1:6">
      <c r="A10" s="45" t="s">
        <v>80</v>
      </c>
      <c r="B10" s="45" t="s">
        <v>81</v>
      </c>
      <c r="C10" s="46">
        <v>0</v>
      </c>
      <c r="D10" s="47" t="s">
        <v>82</v>
      </c>
      <c r="E10" s="48" t="s">
        <v>83</v>
      </c>
      <c r="F10" s="49" t="s">
        <v>84</v>
      </c>
    </row>
    <row r="12" ht="21.75" customHeight="1" spans="1:6">
      <c r="A12" s="25" t="s">
        <v>85</v>
      </c>
      <c r="B12" s="25"/>
      <c r="C12" s="25"/>
      <c r="D12" s="25"/>
      <c r="E12" s="25"/>
      <c r="F12" s="25"/>
    </row>
    <row r="13" ht="24" customHeight="1" spans="1:6">
      <c r="A13" s="2" t="s">
        <v>86</v>
      </c>
      <c r="B13" s="2"/>
      <c r="C13" s="2"/>
      <c r="D13" s="2"/>
      <c r="E13" s="2"/>
      <c r="F13" s="2"/>
    </row>
    <row r="14" ht="19.5" customHeight="1" spans="1:6">
      <c r="A14" s="50" t="s">
        <v>87</v>
      </c>
      <c r="B14" s="51" t="s">
        <v>88</v>
      </c>
      <c r="C14" s="52" t="s">
        <v>89</v>
      </c>
      <c r="D14" s="53" t="s">
        <v>90</v>
      </c>
      <c r="E14" s="54"/>
      <c r="F14" s="54"/>
    </row>
  </sheetData>
  <mergeCells count="4">
    <mergeCell ref="A1:F1"/>
    <mergeCell ref="A2:F2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workbookViewId="0">
      <selection activeCell="A1" sqref="A1:H1"/>
    </sheetView>
  </sheetViews>
  <sheetFormatPr defaultColWidth="8.67592592592593" defaultRowHeight="14.4"/>
  <cols>
    <col min="1" max="1" width="4" customWidth="1"/>
    <col min="2" max="2" width="20" customWidth="1"/>
    <col min="3" max="8" width="16" customWidth="1"/>
  </cols>
  <sheetData>
    <row r="1" ht="24" customHeight="1" spans="1:11">
      <c r="A1" s="1" t="s">
        <v>91</v>
      </c>
      <c r="B1" s="1"/>
      <c r="C1" s="1"/>
      <c r="D1" s="1"/>
      <c r="E1" s="1"/>
      <c r="F1" s="1"/>
      <c r="G1" s="1"/>
      <c r="H1" s="1"/>
    </row>
    <row r="2" ht="36" customHeight="1" spans="1:11">
      <c r="A2" s="7" t="s">
        <v>19</v>
      </c>
      <c r="B2" s="7" t="s">
        <v>20</v>
      </c>
      <c r="C2" s="7" t="s">
        <v>21</v>
      </c>
      <c r="D2" s="7" t="s">
        <v>92</v>
      </c>
      <c r="E2" s="7" t="s">
        <v>93</v>
      </c>
      <c r="F2" s="7" t="s">
        <v>24</v>
      </c>
      <c r="G2" s="7" t="s">
        <v>25</v>
      </c>
      <c r="H2" s="7" t="s">
        <v>94</v>
      </c>
    </row>
    <row r="3" ht="21.75" customHeight="1" spans="1:11">
      <c r="A3" s="8">
        <v>1</v>
      </c>
      <c r="B3" s="17" t="s">
        <v>27</v>
      </c>
      <c r="C3" s="18">
        <v>120</v>
      </c>
      <c r="D3" s="18">
        <v>115</v>
      </c>
      <c r="E3" s="18">
        <v>5</v>
      </c>
      <c r="F3" s="19">
        <f>D3+E3</f>
        <v>120</v>
      </c>
      <c r="G3" s="20">
        <f>F3/C3*100</f>
        <v>100</v>
      </c>
      <c r="H3" s="21" t="str">
        <f>IF(G3&gt;=90,"≥90% (20 marks)",IF(G3&gt;=80,"≥80% (17 marks)",IF(G3&gt;=70,"≥70% (14 marks)","&lt;70% (≤11 marks)")))</f>
        <v>≥90% (20 marks)</v>
      </c>
    </row>
    <row r="4" ht="21.75" customHeight="1" spans="1:11">
      <c r="A4" s="22">
        <v>2</v>
      </c>
      <c r="B4" s="23" t="s">
        <v>29</v>
      </c>
      <c r="C4" s="18">
        <v>120</v>
      </c>
      <c r="D4" s="18">
        <v>112</v>
      </c>
      <c r="E4" s="18">
        <v>3</v>
      </c>
      <c r="F4" s="24">
        <f>D4+E4</f>
        <v>115</v>
      </c>
      <c r="G4" s="20">
        <f>F4/C4*100</f>
        <v>95.8333333333333</v>
      </c>
      <c r="H4" s="21" t="str">
        <f>IF(G4&gt;=90,"≥90% (20 marks)",IF(G4&gt;=80,"≥80% (17 marks)",IF(G4&gt;=70,"≥70% (14 marks)","&lt;70% (≤11 marks)")))</f>
        <v>≥90% (20 marks)</v>
      </c>
    </row>
    <row r="5" ht="21.75" customHeight="1" spans="1:11">
      <c r="A5" s="8">
        <v>3</v>
      </c>
      <c r="B5" s="17" t="s">
        <v>31</v>
      </c>
      <c r="C5" s="18">
        <v>120</v>
      </c>
      <c r="D5" s="18">
        <v>108</v>
      </c>
      <c r="E5" s="18">
        <v>4</v>
      </c>
      <c r="F5" s="19">
        <f>D5+E5</f>
        <v>112</v>
      </c>
      <c r="G5" s="20">
        <f>F5/C5*100</f>
        <v>93.3333333333333</v>
      </c>
      <c r="H5" s="21" t="str">
        <f>IF(G5&gt;=90,"≥90% (20 marks)",IF(G5&gt;=80,"≥80% (17 marks)",IF(G5&gt;=70,"≥70% (14 marks)","&lt;70% (≤11 marks)")))</f>
        <v>≥90% (20 marks)</v>
      </c>
    </row>
    <row r="6" ht="15.15"/>
    <row r="7" ht="25.5" customHeight="1" spans="1:11">
      <c r="A7" s="25" t="s">
        <v>95</v>
      </c>
      <c r="B7" s="25"/>
      <c r="C7" s="25"/>
      <c r="D7" s="25"/>
      <c r="E7" s="25"/>
      <c r="F7" s="26">
        <f>AVERAGE(G3:G5)</f>
        <v>96.3888888888889</v>
      </c>
      <c r="G7" s="26">
        <f>F7</f>
        <v>96.3888888888889</v>
      </c>
      <c r="H7" s="27" t="s">
        <v>96</v>
      </c>
    </row>
    <row r="8" ht="27.75" customHeight="1" spans="1:11">
      <c r="A8" s="28" t="s">
        <v>97</v>
      </c>
      <c r="B8" s="28"/>
      <c r="C8" s="28"/>
      <c r="D8" s="28"/>
      <c r="E8" s="28"/>
      <c r="F8" s="29">
        <f>20*(G7/100)</f>
        <v>19.2777777777778</v>
      </c>
      <c r="G8" s="29">
        <f>F8</f>
        <v>19.2777777777778</v>
      </c>
      <c r="H8" s="30" t="s">
        <v>98</v>
      </c>
    </row>
    <row r="10" spans="1:11">
      <c r="J10" t="s">
        <v>99</v>
      </c>
      <c r="K10">
        <v>90</v>
      </c>
    </row>
    <row r="11" spans="1:11">
      <c r="K11">
        <v>90</v>
      </c>
    </row>
    <row r="12" spans="1:11">
      <c r="K12">
        <v>90</v>
      </c>
    </row>
  </sheetData>
  <mergeCells count="3">
    <mergeCell ref="A1:H1"/>
    <mergeCell ref="A7:E7"/>
    <mergeCell ref="A8:E8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A1" sqref="A1:F1"/>
    </sheetView>
  </sheetViews>
  <sheetFormatPr defaultColWidth="8.67592592592593" defaultRowHeight="14.4" outlineLevelCol="5"/>
  <cols>
    <col min="1" max="1" width="4" customWidth="1"/>
    <col min="2" max="2" width="42" customWidth="1"/>
    <col min="3" max="4" width="16" customWidth="1"/>
    <col min="5" max="5" width="20" customWidth="1"/>
    <col min="6" max="6" width="18" customWidth="1"/>
  </cols>
  <sheetData>
    <row r="1" ht="24" customHeight="1" spans="1:6">
      <c r="A1" s="1" t="s">
        <v>100</v>
      </c>
      <c r="B1" s="1"/>
      <c r="C1" s="1"/>
      <c r="D1" s="1"/>
      <c r="E1" s="1"/>
      <c r="F1" s="1"/>
    </row>
    <row r="2" ht="24" customHeight="1" spans="1:6">
      <c r="A2" s="2" t="s">
        <v>101</v>
      </c>
      <c r="B2" s="2"/>
      <c r="C2" s="2"/>
      <c r="D2" s="2"/>
      <c r="E2" s="2"/>
      <c r="F2" s="2"/>
    </row>
    <row r="3" ht="36" customHeight="1" spans="1:6">
      <c r="A3" s="7" t="s">
        <v>19</v>
      </c>
      <c r="B3" s="7" t="s">
        <v>102</v>
      </c>
      <c r="C3" s="7" t="s">
        <v>103</v>
      </c>
      <c r="D3" s="7" t="s">
        <v>104</v>
      </c>
      <c r="E3" s="7" t="s">
        <v>105</v>
      </c>
      <c r="F3" s="7" t="s">
        <v>106</v>
      </c>
    </row>
    <row r="4" ht="25.5" customHeight="1" spans="1:6">
      <c r="A4" s="8">
        <v>1</v>
      </c>
      <c r="B4" s="9" t="s">
        <v>107</v>
      </c>
      <c r="C4" s="10" t="s">
        <v>108</v>
      </c>
      <c r="D4" s="10" t="s">
        <v>108</v>
      </c>
      <c r="E4" s="10" t="s">
        <v>108</v>
      </c>
      <c r="F4" s="11" t="s">
        <v>109</v>
      </c>
    </row>
    <row r="5" ht="25.5" customHeight="1" spans="1:6">
      <c r="A5" s="12">
        <v>2</v>
      </c>
      <c r="B5" s="13" t="s">
        <v>110</v>
      </c>
      <c r="C5" s="14" t="s">
        <v>108</v>
      </c>
      <c r="D5" s="14" t="s">
        <v>108</v>
      </c>
      <c r="E5" s="14" t="s">
        <v>108</v>
      </c>
      <c r="F5" s="15" t="s">
        <v>111</v>
      </c>
    </row>
    <row r="6" ht="25.5" customHeight="1" spans="1:6">
      <c r="A6" s="8">
        <v>3</v>
      </c>
      <c r="B6" s="9" t="s">
        <v>112</v>
      </c>
      <c r="C6" s="10" t="s">
        <v>108</v>
      </c>
      <c r="D6" s="10" t="s">
        <v>108</v>
      </c>
      <c r="E6" s="10" t="s">
        <v>108</v>
      </c>
      <c r="F6" s="11" t="s">
        <v>113</v>
      </c>
    </row>
    <row r="7" ht="25.5" customHeight="1" spans="1:6">
      <c r="A7" s="12">
        <v>4</v>
      </c>
      <c r="B7" s="13" t="s">
        <v>114</v>
      </c>
      <c r="C7" s="14" t="s">
        <v>108</v>
      </c>
      <c r="D7" s="14" t="s">
        <v>108</v>
      </c>
      <c r="E7" s="14" t="s">
        <v>108</v>
      </c>
      <c r="F7" s="15" t="s">
        <v>115</v>
      </c>
    </row>
    <row r="8" ht="25.5" customHeight="1" spans="1:6">
      <c r="A8" s="8">
        <v>5</v>
      </c>
      <c r="B8" s="9" t="s">
        <v>116</v>
      </c>
      <c r="C8" s="10" t="s">
        <v>108</v>
      </c>
      <c r="D8" s="10" t="s">
        <v>108</v>
      </c>
      <c r="E8" s="10" t="s">
        <v>108</v>
      </c>
      <c r="F8" s="11" t="s">
        <v>117</v>
      </c>
    </row>
    <row r="9" ht="25.5" customHeight="1" spans="1:6">
      <c r="A9" s="12">
        <v>6</v>
      </c>
      <c r="B9" s="13" t="s">
        <v>118</v>
      </c>
      <c r="C9" s="14" t="s">
        <v>108</v>
      </c>
      <c r="D9" s="14" t="s">
        <v>108</v>
      </c>
      <c r="E9" s="14" t="s">
        <v>108</v>
      </c>
      <c r="F9" s="15" t="s">
        <v>119</v>
      </c>
    </row>
    <row r="10" ht="25.5" customHeight="1" spans="1:6">
      <c r="A10" s="8">
        <v>7</v>
      </c>
      <c r="B10" s="9" t="s">
        <v>120</v>
      </c>
      <c r="C10" s="10" t="s">
        <v>108</v>
      </c>
      <c r="D10" s="10" t="s">
        <v>108</v>
      </c>
      <c r="E10" s="10" t="s">
        <v>108</v>
      </c>
      <c r="F10" s="11" t="s">
        <v>121</v>
      </c>
    </row>
    <row r="11" ht="25.5" customHeight="1" spans="1:6">
      <c r="A11" s="12">
        <v>8</v>
      </c>
      <c r="B11" s="13" t="s">
        <v>122</v>
      </c>
      <c r="C11" s="14" t="s">
        <v>108</v>
      </c>
      <c r="D11" s="14" t="s">
        <v>108</v>
      </c>
      <c r="E11" s="14" t="s">
        <v>108</v>
      </c>
      <c r="F11" s="15" t="s">
        <v>123</v>
      </c>
    </row>
    <row r="12" ht="25.5" customHeight="1" spans="1:6">
      <c r="A12" s="8">
        <v>9</v>
      </c>
      <c r="B12" s="9" t="s">
        <v>124</v>
      </c>
      <c r="C12" s="10" t="s">
        <v>108</v>
      </c>
      <c r="D12" s="10" t="s">
        <v>108</v>
      </c>
      <c r="E12" s="10" t="s">
        <v>108</v>
      </c>
      <c r="F12" s="11" t="s">
        <v>125</v>
      </c>
    </row>
    <row r="13" ht="25.5" customHeight="1" spans="1:6">
      <c r="A13" s="12">
        <v>10</v>
      </c>
      <c r="B13" s="13" t="s">
        <v>126</v>
      </c>
      <c r="C13" s="14" t="s">
        <v>108</v>
      </c>
      <c r="D13" s="14" t="s">
        <v>108</v>
      </c>
      <c r="E13" s="14" t="s">
        <v>108</v>
      </c>
      <c r="F13" s="15" t="s">
        <v>127</v>
      </c>
    </row>
    <row r="14" ht="25.5" customHeight="1" spans="1:6">
      <c r="A14" s="8">
        <v>11</v>
      </c>
      <c r="B14" s="9" t="s">
        <v>128</v>
      </c>
      <c r="C14" s="10" t="s">
        <v>108</v>
      </c>
      <c r="D14" s="10" t="s">
        <v>108</v>
      </c>
      <c r="E14" s="10" t="s">
        <v>108</v>
      </c>
      <c r="F14" s="11" t="s">
        <v>129</v>
      </c>
    </row>
    <row r="16" ht="27.75" customHeight="1" spans="1:6">
      <c r="A16" s="16" t="s">
        <v>130</v>
      </c>
      <c r="B16" s="16"/>
      <c r="C16" s="16"/>
      <c r="D16" s="16"/>
      <c r="E16" s="16"/>
      <c r="F16" s="16"/>
    </row>
  </sheetData>
  <mergeCells count="3">
    <mergeCell ref="A1:F1"/>
    <mergeCell ref="A2:F2"/>
    <mergeCell ref="A16:F1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showGridLines="0" topLeftCell="A9" workbookViewId="0">
      <selection activeCell="A1" sqref="A1:E1"/>
    </sheetView>
  </sheetViews>
  <sheetFormatPr defaultColWidth="8.67592592592593" defaultRowHeight="14.4" outlineLevelCol="4"/>
  <cols>
    <col min="1" max="1" width="4" customWidth="1"/>
    <col min="2" max="2" width="22" customWidth="1"/>
    <col min="3" max="3" width="20" customWidth="1"/>
    <col min="4" max="4" width="44" customWidth="1"/>
    <col min="5" max="5" width="20" customWidth="1"/>
  </cols>
  <sheetData>
    <row r="1" ht="24" customHeight="1" spans="1:5">
      <c r="A1" s="1" t="s">
        <v>131</v>
      </c>
      <c r="B1" s="1"/>
      <c r="C1" s="1"/>
      <c r="D1" s="1"/>
      <c r="E1" s="1"/>
    </row>
    <row r="2" ht="24" customHeight="1" spans="1:5">
      <c r="A2" s="2" t="s">
        <v>132</v>
      </c>
      <c r="B2" s="2"/>
      <c r="C2" s="2"/>
      <c r="D2" s="2"/>
      <c r="E2" s="2"/>
    </row>
    <row r="3" ht="19.5" customHeight="1" spans="1:5">
      <c r="A3" s="3">
        <v>1</v>
      </c>
      <c r="B3" s="4" t="s">
        <v>133</v>
      </c>
      <c r="C3" s="4"/>
      <c r="D3" s="4"/>
      <c r="E3" s="4"/>
    </row>
    <row r="4" ht="19.5" customHeight="1" spans="1:5">
      <c r="A4" s="5">
        <v>2</v>
      </c>
      <c r="B4" s="6" t="s">
        <v>134</v>
      </c>
      <c r="C4" s="6"/>
      <c r="D4" s="6"/>
      <c r="E4" s="6"/>
    </row>
    <row r="5" ht="19.5" customHeight="1" spans="1:5">
      <c r="A5" s="3">
        <v>3</v>
      </c>
      <c r="B5" s="4" t="s">
        <v>135</v>
      </c>
      <c r="C5" s="4"/>
      <c r="D5" s="4"/>
      <c r="E5" s="4"/>
    </row>
    <row r="6" ht="15.15"/>
    <row r="7" ht="24" customHeight="1" spans="1:5">
      <c r="A7" s="2" t="s">
        <v>136</v>
      </c>
      <c r="B7" s="2"/>
      <c r="C7" s="2"/>
      <c r="D7" s="2"/>
      <c r="E7" s="2"/>
    </row>
    <row r="8" ht="19.5" customHeight="1" spans="1:5">
      <c r="A8" s="3">
        <v>1</v>
      </c>
      <c r="B8" s="4" t="s">
        <v>137</v>
      </c>
      <c r="C8" s="4"/>
      <c r="D8" s="4"/>
      <c r="E8" s="4"/>
    </row>
    <row r="9" ht="19.5" customHeight="1" spans="1:5">
      <c r="A9" s="5">
        <v>2</v>
      </c>
      <c r="B9" s="6" t="s">
        <v>138</v>
      </c>
      <c r="C9" s="6"/>
      <c r="D9" s="6"/>
      <c r="E9" s="6"/>
    </row>
    <row r="10" ht="19.5" customHeight="1" spans="1:5">
      <c r="A10" s="3">
        <v>3</v>
      </c>
      <c r="B10" s="4" t="s">
        <v>139</v>
      </c>
      <c r="C10" s="4"/>
      <c r="D10" s="4"/>
      <c r="E10" s="4"/>
    </row>
    <row r="11" ht="15.15"/>
    <row r="12" ht="24" customHeight="1" spans="1:5">
      <c r="A12" s="2" t="s">
        <v>140</v>
      </c>
      <c r="B12" s="2"/>
      <c r="C12" s="2"/>
      <c r="D12" s="2"/>
      <c r="E12" s="2"/>
    </row>
    <row r="13" ht="19.5" customHeight="1" spans="1:5">
      <c r="A13" s="3">
        <v>1</v>
      </c>
      <c r="B13" s="4" t="s">
        <v>141</v>
      </c>
      <c r="C13" s="4"/>
      <c r="D13" s="4"/>
      <c r="E13" s="4"/>
    </row>
    <row r="14" ht="19.5" customHeight="1" spans="1:5">
      <c r="A14" s="5">
        <v>2</v>
      </c>
      <c r="B14" s="6" t="s">
        <v>142</v>
      </c>
      <c r="C14" s="6"/>
      <c r="D14" s="6"/>
      <c r="E14" s="6"/>
    </row>
    <row r="15" ht="19.5" customHeight="1" spans="1:5">
      <c r="A15" s="3">
        <v>3</v>
      </c>
      <c r="B15" s="4" t="s">
        <v>143</v>
      </c>
      <c r="C15" s="4"/>
      <c r="D15" s="4"/>
      <c r="E15" s="4"/>
    </row>
    <row r="16" ht="15.15"/>
    <row r="17" ht="24" customHeight="1" spans="1:5">
      <c r="A17" s="2" t="s">
        <v>144</v>
      </c>
      <c r="B17" s="2"/>
      <c r="C17" s="2"/>
      <c r="D17" s="2"/>
      <c r="E17" s="2"/>
    </row>
    <row r="18" ht="19.5" customHeight="1" spans="1:5">
      <c r="A18" s="3">
        <v>1</v>
      </c>
      <c r="B18" s="4" t="s">
        <v>145</v>
      </c>
      <c r="C18" s="4"/>
      <c r="D18" s="4"/>
      <c r="E18" s="4"/>
    </row>
    <row r="19" ht="19.5" customHeight="1" spans="1:5">
      <c r="A19" s="5">
        <v>2</v>
      </c>
      <c r="B19" s="6" t="s">
        <v>146</v>
      </c>
      <c r="C19" s="6"/>
      <c r="D19" s="6"/>
      <c r="E19" s="6"/>
    </row>
    <row r="20" ht="19.5" customHeight="1" spans="1:5">
      <c r="A20" s="3">
        <v>3</v>
      </c>
      <c r="B20" s="4" t="s">
        <v>147</v>
      </c>
      <c r="C20" s="4"/>
      <c r="D20" s="4"/>
      <c r="E20" s="4"/>
    </row>
    <row r="21" ht="15.15"/>
    <row r="22" ht="24" customHeight="1" spans="1:5">
      <c r="A22" s="2" t="s">
        <v>148</v>
      </c>
      <c r="B22" s="2"/>
      <c r="C22" s="2"/>
      <c r="D22" s="2"/>
      <c r="E22" s="2"/>
    </row>
    <row r="23" ht="19.5" customHeight="1" spans="1:5">
      <c r="A23" s="3">
        <v>1</v>
      </c>
      <c r="B23" s="4" t="s">
        <v>149</v>
      </c>
      <c r="C23" s="4"/>
      <c r="D23" s="4"/>
      <c r="E23" s="4"/>
    </row>
    <row r="24" ht="19.5" customHeight="1" spans="1:5">
      <c r="A24" s="5">
        <v>2</v>
      </c>
      <c r="B24" s="6" t="s">
        <v>150</v>
      </c>
      <c r="C24" s="6"/>
      <c r="D24" s="6"/>
      <c r="E24" s="6"/>
    </row>
    <row r="25" ht="19.5" customHeight="1" spans="1:5">
      <c r="A25" s="3">
        <v>3</v>
      </c>
      <c r="B25" s="4" t="s">
        <v>151</v>
      </c>
      <c r="C25" s="4"/>
      <c r="D25" s="4"/>
      <c r="E25" s="4"/>
    </row>
  </sheetData>
  <mergeCells count="21">
    <mergeCell ref="A1:E1"/>
    <mergeCell ref="A2:E2"/>
    <mergeCell ref="B3:E3"/>
    <mergeCell ref="B4:E4"/>
    <mergeCell ref="B5:E5"/>
    <mergeCell ref="A7:E7"/>
    <mergeCell ref="B8:E8"/>
    <mergeCell ref="B9:E9"/>
    <mergeCell ref="B10:E10"/>
    <mergeCell ref="A12:E12"/>
    <mergeCell ref="B13:E13"/>
    <mergeCell ref="B14:E14"/>
    <mergeCell ref="B15:E15"/>
    <mergeCell ref="A17:E17"/>
    <mergeCell ref="B18:E18"/>
    <mergeCell ref="B19:E19"/>
    <mergeCell ref="B20:E20"/>
    <mergeCell ref="A22:E22"/>
    <mergeCell ref="B23:E23"/>
    <mergeCell ref="B24:E24"/>
    <mergeCell ref="B25:E2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ER_Calculator</vt:lpstr>
      <vt:lpstr>Marks_Band_Table</vt:lpstr>
      <vt:lpstr>ER_Trend_Chart</vt:lpstr>
      <vt:lpstr>Documentation_Checklist</vt:lpstr>
      <vt:lpstr>Interpretation_Guide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1</cp:revision>
  <dcterms:created xsi:type="dcterms:W3CDTF">2026-06-29T04:44:00Z</dcterms:created>
  <dcterms:modified xsi:type="dcterms:W3CDTF">2026-07-20T11:33:02Z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1DB9AC298E694755A6EB9E1DF77D60F7_12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