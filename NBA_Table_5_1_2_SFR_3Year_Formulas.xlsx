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R_5_1_Tabl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Item</t>
        </is>
      </c>
      <c r="B1" s="1" t="inlineStr">
        <is>
          <t>CAY</t>
        </is>
      </c>
      <c r="C1" s="1" t="inlineStr">
        <is>
          <t>CAYm1</t>
        </is>
      </c>
      <c r="D1" s="1" t="inlineStr">
        <is>
          <t>CAYm2</t>
        </is>
      </c>
    </row>
    <row r="2">
      <c r="A2" s="2" t="inlineStr">
        <is>
          <t>UG Programs (Engineering) – Enter student counts (exclude SNQ; after SA/L caps)</t>
        </is>
      </c>
      <c r="B2" s="3" t="n"/>
      <c r="C2" s="3" t="n"/>
      <c r="D2" s="3" t="n"/>
    </row>
    <row r="3">
      <c r="A3" s="4" t="inlineStr">
        <is>
          <t>UG1.B (2nd Year)</t>
        </is>
      </c>
      <c r="B3" s="5" t="n"/>
      <c r="C3" s="5" t="n"/>
      <c r="D3" s="5" t="n"/>
    </row>
    <row r="4">
      <c r="A4" s="4" t="inlineStr">
        <is>
          <t>UG1.C (3rd Year)</t>
        </is>
      </c>
      <c r="B4" s="5" t="n"/>
      <c r="C4" s="5" t="n"/>
      <c r="D4" s="5" t="n"/>
    </row>
    <row r="5">
      <c r="A5" s="4" t="inlineStr">
        <is>
          <t>UG1.D (4th Year)</t>
        </is>
      </c>
      <c r="B5" s="5" t="n"/>
      <c r="C5" s="5" t="n"/>
      <c r="D5" s="5" t="n"/>
    </row>
    <row r="6">
      <c r="A6" s="6" t="inlineStr">
        <is>
          <t>UG1 = B + C + D</t>
        </is>
      </c>
      <c r="B6" s="7" t="n"/>
      <c r="C6" s="7" t="n"/>
      <c r="D6" s="7" t="n"/>
    </row>
    <row r="7">
      <c r="A7" s="4" t="inlineStr">
        <is>
          <t>UG2.B (2nd Year)</t>
        </is>
      </c>
      <c r="B7" s="5">
        <f>B4+B5+B6</f>
        <v/>
      </c>
      <c r="C7" s="5">
        <f>C4+C5+C6</f>
        <v/>
      </c>
      <c r="D7" s="5">
        <f>D4+D5+D6</f>
        <v/>
      </c>
    </row>
    <row r="8">
      <c r="A8" s="4" t="inlineStr">
        <is>
          <t>UG2.C (3rd Year)</t>
        </is>
      </c>
      <c r="B8" s="5" t="n"/>
      <c r="C8" s="5" t="n"/>
      <c r="D8" s="5" t="n"/>
    </row>
    <row r="9">
      <c r="A9" s="4" t="inlineStr">
        <is>
          <t>UG2.D (4th Year)</t>
        </is>
      </c>
      <c r="B9" s="5" t="n"/>
      <c r="C9" s="5" t="n"/>
      <c r="D9" s="5" t="n"/>
    </row>
    <row r="10">
      <c r="A10" s="6" t="inlineStr">
        <is>
          <t>UG2 = B + C + D</t>
        </is>
      </c>
      <c r="B10" s="7" t="n"/>
      <c r="C10" s="7" t="n"/>
      <c r="D10" s="7" t="n"/>
    </row>
    <row r="11">
      <c r="A11" s="4" t="inlineStr">
        <is>
          <t>UG3.B (2nd Year)</t>
        </is>
      </c>
      <c r="B11" s="5">
        <f>B8+B9+B10</f>
        <v/>
      </c>
      <c r="C11" s="5">
        <f>C8+C9+C10</f>
        <v/>
      </c>
      <c r="D11" s="5">
        <f>D8+D9+D10</f>
        <v/>
      </c>
    </row>
    <row r="12">
      <c r="A12" s="4" t="inlineStr">
        <is>
          <t>UG3.C (3rd Year)</t>
        </is>
      </c>
      <c r="B12" s="5" t="n"/>
      <c r="C12" s="5" t="n"/>
      <c r="D12" s="5" t="n"/>
    </row>
    <row r="13">
      <c r="A13" s="4" t="inlineStr">
        <is>
          <t>UG3.D (4th Year)</t>
        </is>
      </c>
      <c r="B13" s="5" t="n"/>
      <c r="C13" s="5" t="n"/>
      <c r="D13" s="5" t="n"/>
    </row>
    <row r="14">
      <c r="A14" s="6" t="inlineStr">
        <is>
          <t>UG3 = B + C + D</t>
        </is>
      </c>
      <c r="B14" s="7" t="n"/>
      <c r="C14" s="7" t="n"/>
      <c r="D14" s="7" t="n"/>
    </row>
    <row r="15">
      <c r="A15" s="4" t="inlineStr">
        <is>
          <t>UG4.B (2nd Year)</t>
        </is>
      </c>
      <c r="B15" s="5">
        <f>B12+B13+B14</f>
        <v/>
      </c>
      <c r="C15" s="5">
        <f>C12+C13+C14</f>
        <v/>
      </c>
      <c r="D15" s="5">
        <f>D12+D13+D14</f>
        <v/>
      </c>
    </row>
    <row r="16">
      <c r="A16" s="4" t="inlineStr">
        <is>
          <t>UG4.C (3rd Year)</t>
        </is>
      </c>
      <c r="B16" s="5" t="n"/>
      <c r="C16" s="5" t="n"/>
      <c r="D16" s="5" t="n"/>
    </row>
    <row r="17">
      <c r="A17" s="4" t="inlineStr">
        <is>
          <t>UG4.D (4th Year)</t>
        </is>
      </c>
      <c r="B17" s="5" t="n"/>
      <c r="C17" s="5" t="n"/>
      <c r="D17" s="5" t="n"/>
    </row>
    <row r="18">
      <c r="A18" s="6" t="inlineStr">
        <is>
          <t>UG4 = B + C + D</t>
        </is>
      </c>
      <c r="B18" s="7" t="n"/>
      <c r="C18" s="7" t="n"/>
      <c r="D18" s="7" t="n"/>
    </row>
    <row r="19">
      <c r="A19" s="4" t="inlineStr">
        <is>
          <t>UG5.B (2nd Year)</t>
        </is>
      </c>
      <c r="B19" s="5">
        <f>B16+B17+B18</f>
        <v/>
      </c>
      <c r="C19" s="5">
        <f>C16+C17+C18</f>
        <v/>
      </c>
      <c r="D19" s="5">
        <f>D16+D17+D18</f>
        <v/>
      </c>
    </row>
    <row r="20">
      <c r="A20" s="4" t="inlineStr">
        <is>
          <t>UG5.C (3rd Year)</t>
        </is>
      </c>
      <c r="B20" s="5" t="n"/>
      <c r="C20" s="5" t="n"/>
      <c r="D20" s="5" t="n"/>
    </row>
    <row r="21">
      <c r="A21" s="4" t="inlineStr">
        <is>
          <t>UG5.D (4th Year)</t>
        </is>
      </c>
      <c r="B21" s="5" t="n"/>
      <c r="C21" s="5" t="n"/>
      <c r="D21" s="5" t="n"/>
    </row>
    <row r="22">
      <c r="A22" s="6" t="inlineStr">
        <is>
          <t>UG5 = B + C + D</t>
        </is>
      </c>
      <c r="B22" s="7" t="n"/>
      <c r="C22" s="7" t="n"/>
      <c r="D22" s="7" t="n"/>
    </row>
    <row r="23">
      <c r="A23" s="2" t="inlineStr">
        <is>
          <t>PG Programs (Engineering) – Enter student counts (exclude SNQ; after SA/L caps)</t>
        </is>
      </c>
      <c r="B23" s="3">
        <f>B20+B21+B22</f>
        <v/>
      </c>
      <c r="C23" s="3">
        <f>C20+C21+C22</f>
        <v/>
      </c>
      <c r="D23" s="3">
        <f>D20+D21+D22</f>
        <v/>
      </c>
    </row>
    <row r="24">
      <c r="A24" s="4" t="inlineStr">
        <is>
          <t>PG1.A (1st Year)</t>
        </is>
      </c>
      <c r="B24" s="5" t="n"/>
      <c r="C24" s="5" t="n"/>
      <c r="D24" s="5" t="n"/>
    </row>
    <row r="25">
      <c r="A25" s="4" t="inlineStr">
        <is>
          <t>PG1.B (2nd Year)</t>
        </is>
      </c>
      <c r="B25" s="5" t="n"/>
      <c r="C25" s="5" t="n"/>
      <c r="D25" s="5" t="n"/>
    </row>
    <row r="26">
      <c r="A26" s="6" t="inlineStr">
        <is>
          <t>PG1 = A + B</t>
        </is>
      </c>
      <c r="B26" s="7" t="n"/>
      <c r="C26" s="7" t="n"/>
      <c r="D26" s="7" t="n"/>
    </row>
    <row r="27">
      <c r="A27" s="4" t="inlineStr">
        <is>
          <t>PG2.A (1st Year)</t>
        </is>
      </c>
      <c r="B27" s="5">
        <f>B25+B26</f>
        <v/>
      </c>
      <c r="C27" s="5">
        <f>C25+C26</f>
        <v/>
      </c>
      <c r="D27" s="5">
        <f>D25+D26</f>
        <v/>
      </c>
    </row>
    <row r="28">
      <c r="A28" s="4" t="inlineStr">
        <is>
          <t>PG2.B (2nd Year)</t>
        </is>
      </c>
      <c r="B28" s="5" t="n"/>
      <c r="C28" s="5" t="n"/>
      <c r="D28" s="5" t="n"/>
    </row>
    <row r="29">
      <c r="A29" s="6" t="inlineStr">
        <is>
          <t>PG2 = A + B</t>
        </is>
      </c>
      <c r="B29" s="7" t="n"/>
      <c r="C29" s="7" t="n"/>
      <c r="D29" s="7" t="n"/>
    </row>
    <row r="30">
      <c r="A30" s="4" t="inlineStr">
        <is>
          <t>PG3.A (1st Year)</t>
        </is>
      </c>
      <c r="B30" s="5">
        <f>B28+B29</f>
        <v/>
      </c>
      <c r="C30" s="5">
        <f>C28+C29</f>
        <v/>
      </c>
      <c r="D30" s="5">
        <f>D28+D29</f>
        <v/>
      </c>
    </row>
    <row r="31">
      <c r="A31" s="4" t="inlineStr">
        <is>
          <t>PG3.B (2nd Year)</t>
        </is>
      </c>
      <c r="B31" s="5" t="n"/>
      <c r="C31" s="5" t="n"/>
      <c r="D31" s="5" t="n"/>
    </row>
    <row r="32">
      <c r="A32" s="6" t="inlineStr">
        <is>
          <t>PG3 = A + B</t>
        </is>
      </c>
      <c r="B32" s="7" t="n"/>
      <c r="C32" s="7" t="n"/>
      <c r="D32" s="7" t="n"/>
    </row>
    <row r="33">
      <c r="A33" s="4" t="inlineStr">
        <is>
          <t>PG4.A (1st Year)</t>
        </is>
      </c>
      <c r="B33" s="5">
        <f>B31+B32</f>
        <v/>
      </c>
      <c r="C33" s="5">
        <f>C31+C32</f>
        <v/>
      </c>
      <c r="D33" s="5">
        <f>D31+D32</f>
        <v/>
      </c>
    </row>
    <row r="34">
      <c r="A34" s="4" t="inlineStr">
        <is>
          <t>PG4.B (2nd Year)</t>
        </is>
      </c>
      <c r="B34" s="5" t="n"/>
      <c r="C34" s="5" t="n"/>
      <c r="D34" s="5" t="n"/>
    </row>
    <row r="35">
      <c r="A35" s="6" t="inlineStr">
        <is>
          <t>PG4 = A + B</t>
        </is>
      </c>
      <c r="B35" s="7" t="n"/>
      <c r="C35" s="7" t="n"/>
      <c r="D35" s="7" t="n"/>
    </row>
    <row r="36">
      <c r="A36" s="4" t="inlineStr">
        <is>
          <t>PG5.A (1st Year)</t>
        </is>
      </c>
      <c r="B36" s="5">
        <f>B34+B35</f>
        <v/>
      </c>
      <c r="C36" s="5">
        <f>C34+C35</f>
        <v/>
      </c>
      <c r="D36" s="5">
        <f>D34+D35</f>
        <v/>
      </c>
    </row>
    <row r="37">
      <c r="A37" s="4" t="inlineStr">
        <is>
          <t>PG5.B (2nd Year)</t>
        </is>
      </c>
      <c r="B37" s="5" t="n"/>
      <c r="C37" s="5" t="n"/>
      <c r="D37" s="5" t="n"/>
    </row>
    <row r="38">
      <c r="A38" s="6" t="inlineStr">
        <is>
          <t>PG5 = A + B</t>
        </is>
      </c>
      <c r="B38" s="7" t="n"/>
      <c r="C38" s="7" t="n"/>
      <c r="D38" s="7" t="n"/>
    </row>
    <row r="39">
      <c r="A39" s="2" t="inlineStr">
        <is>
          <t>DS = Total students in all UG &amp; PG programs in Department</t>
        </is>
      </c>
      <c r="B39" s="3">
        <f>SUM(B6,B10,B14,B18,B22,B26,B29,B32,B35,B38)</f>
        <v/>
      </c>
      <c r="C39" s="3">
        <f>SUM(C6,C10,C14,C18,C22,C26,C29,C32,C35,C38)</f>
        <v/>
      </c>
      <c r="D39" s="3">
        <f>SUM(D6,D10,D14,D18,D22,D26,D29,D32,D35,D38)</f>
        <v/>
      </c>
    </row>
    <row r="40">
      <c r="A40" s="2" t="inlineStr">
        <is>
          <t>AS = Total students of allied engineering programs (serving this dept.)</t>
        </is>
      </c>
      <c r="B40" s="3" t="n"/>
      <c r="C40" s="3" t="n"/>
      <c r="D40" s="3" t="n"/>
    </row>
    <row r="41">
      <c r="A41" s="6" t="inlineStr">
        <is>
          <t>S = DS + AS (Total Students)</t>
        </is>
      </c>
      <c r="B41" s="7">
        <f>B39+B40</f>
        <v/>
      </c>
      <c r="C41" s="7">
        <f>C39+C40</f>
        <v/>
      </c>
      <c r="D41" s="7">
        <f>D39+D40</f>
        <v/>
      </c>
    </row>
    <row r="42">
      <c r="A42" s="2" t="inlineStr">
        <is>
          <t>DF = Total eligible full-time faculty in Department (exclude First-Year-only)</t>
        </is>
      </c>
      <c r="B42" s="3" t="n"/>
      <c r="C42" s="3" t="n"/>
      <c r="D42" s="3" t="n"/>
    </row>
    <row r="43">
      <c r="A43" s="2" t="inlineStr">
        <is>
          <t>AF = Total eligible full-time faculty in Allied engineering clusters</t>
        </is>
      </c>
      <c r="B43" s="3" t="n"/>
      <c r="C43" s="3" t="n"/>
      <c r="D43" s="3" t="n"/>
    </row>
    <row r="44">
      <c r="A44" s="6" t="inlineStr">
        <is>
          <t>F = DF + AF (Total Faculty Pool)</t>
        </is>
      </c>
      <c r="B44" s="7">
        <f>B42+B43</f>
        <v/>
      </c>
      <c r="C44" s="7">
        <f>C42+C43</f>
        <v/>
      </c>
      <c r="D44" s="7">
        <f>D42+D43</f>
        <v/>
      </c>
    </row>
    <row r="45">
      <c r="A45" s="2" t="inlineStr">
        <is>
          <t>FF = Faculty within F having 100% First-Year load (to be excluded)</t>
        </is>
      </c>
      <c r="B45" s="3" t="n"/>
      <c r="C45" s="3" t="n"/>
      <c r="D45" s="3" t="n"/>
    </row>
    <row r="46">
      <c r="A46" s="6" t="inlineStr">
        <is>
          <t>Effective Faculty = F − FF</t>
        </is>
      </c>
      <c r="B46" s="7">
        <f>B44-B45</f>
        <v/>
      </c>
      <c r="C46" s="7">
        <f>C44-C45</f>
        <v/>
      </c>
      <c r="D46" s="7">
        <f>D44-D45</f>
        <v/>
      </c>
    </row>
    <row r="47">
      <c r="A47" s="6" t="inlineStr">
        <is>
          <t>SFR = S / (Effective Faculty)</t>
        </is>
      </c>
      <c r="B47" s="7">
        <f>IF(B46&gt;0, B41/B46, "")</f>
        <v/>
      </c>
      <c r="C47" s="7">
        <f>IF(C46&gt;0, C41/C46, "")</f>
        <v/>
      </c>
      <c r="D47" s="7">
        <f>IF(D46&gt;0, D41/D46, "")</f>
        <v/>
      </c>
    </row>
    <row r="48">
      <c r="A48" s="6" t="inlineStr">
        <is>
          <t>Average SFR = (SFR_CAY + SFR_CAYm1 + SFR_CAYm2) / 3</t>
        </is>
      </c>
      <c r="B48" s="7">
        <f>AVERAGE(B47,C47,D47)</f>
        <v/>
      </c>
      <c r="C48" s="7" t="n"/>
      <c r="D48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</t>
        </is>
      </c>
    </row>
    <row r="2">
      <c r="A2" t="inlineStr">
        <is>
          <t>- Enter student counts in UGi.* and PGj.* rows for each year (after applying SA+L 10% cap and excluding SNQ).</t>
        </is>
      </c>
    </row>
    <row r="3">
      <c r="A3" t="inlineStr">
        <is>
          <t>- DS is auto-summed from all UG and PG program totals; AS is an input for allied program students.</t>
        </is>
      </c>
    </row>
    <row r="4">
      <c r="A4" t="inlineStr">
        <is>
          <t>- S = DS + AS is computed; faculty DF/AF are inputs; F = DF + AF, FF is input for 100% first-year load.</t>
        </is>
      </c>
    </row>
    <row r="5">
      <c r="A5" t="inlineStr">
        <is>
          <t>- Effective Faculty = F − FF; SFR and Average SFR are calculated automatically.</t>
        </is>
      </c>
    </row>
    <row r="6">
      <c r="A6" t="inlineStr">
        <is>
          <t>- Do not include MCA/BCA or non-engineering programs anywhere in this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