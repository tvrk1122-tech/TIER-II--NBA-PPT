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s" sheetId="1" state="visible" r:id="rId1"/>
    <sheet xmlns:r="http://schemas.openxmlformats.org/officeDocument/2006/relationships" name="Raw_Feedback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absTable" displayName="LabsTable" ref="A1:A6" headerRowCount="1">
  <autoFilter ref="A1:A6"/>
  <tableColumns count="1">
    <tableColumn id="1" name="Lab Name"/>
  </tableColumns>
  <tableStyleInfo name="TableStyleMedium9" showRowStripes="1"/>
</table>
</file>

<file path=xl/tables/table2.xml><?xml version="1.0" encoding="utf-8"?>
<table xmlns="http://schemas.openxmlformats.org/spreadsheetml/2006/main" id="2" name="RawFeedbackTable" displayName="RawFeedbackTable" ref="A1:L5" headerRowCount="1">
  <autoFilter ref="A1:L5"/>
  <tableColumns count="12">
    <tableColumn id="1" name="Timestamp"/>
    <tableColumn id="2" name="Lab Name"/>
    <tableColumn id="3" name="Cleanliness (1-5)"/>
    <tableColumn id="4" name="Lighting &amp; Ventilation (1-5)"/>
    <tableColumn id="5" name="Seating Comfort (1-5)"/>
    <tableColumn id="6" name="ICT Facilities (1-5)"/>
    <tableColumn id="7" name="Equipment Availability (1-5)"/>
    <tableColumn id="8" name="Safety (1-5)"/>
    <tableColumn id="9" name="Accessibility (1-5)"/>
    <tableColumn id="10" name="Extended Hours (1-5)"/>
    <tableColumn id="11" name="Overall Ambiance (1-5)"/>
    <tableColumn id="12" name="Student Suggestions"/>
  </tableColumns>
  <tableStyleInfo name="TableStyleMedium9" showRowStripes="1"/>
</table>
</file>

<file path=xl/tables/table3.xml><?xml version="1.0" encoding="utf-8"?>
<table xmlns="http://schemas.openxmlformats.org/spreadsheetml/2006/main" id="3" name="AnalysisTable" displayName="AnalysisTable" ref="A1:L6" headerRowCount="1">
  <autoFilter ref="A1:L6"/>
  <tableColumns count="12">
    <tableColumn id="1" name="Lab Name"/>
    <tableColumn id="2" name="Responses Count"/>
    <tableColumn id="3" name="Avg Cleanliness"/>
    <tableColumn id="4" name="Avg Lighting &amp; Ventilation"/>
    <tableColumn id="5" name="Avg Seating Comfort"/>
    <tableColumn id="6" name="Avg ICT Facilities"/>
    <tableColumn id="7" name="Avg Equipment Availability"/>
    <tableColumn id="8" name="Avg Safety"/>
    <tableColumn id="9" name="Avg Accessibility"/>
    <tableColumn id="10" name="Avg Extended Hours"/>
    <tableColumn id="11" name="Avg Overall (Direct)"/>
    <tableColumn id="12" name="Overall (Aspect Means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Lab Name</t>
        </is>
      </c>
    </row>
    <row r="2">
      <c r="A2" t="inlineStr">
        <is>
          <t>Programming Lab</t>
        </is>
      </c>
    </row>
    <row r="3">
      <c r="A3" t="inlineStr">
        <is>
          <t>Electronics Lab</t>
        </is>
      </c>
    </row>
    <row r="4">
      <c r="A4" t="inlineStr">
        <is>
          <t>AI &amp; Data Science Lab</t>
        </is>
      </c>
    </row>
    <row r="5">
      <c r="A5" t="inlineStr">
        <is>
          <t>Mechanical Workshop</t>
        </is>
      </c>
    </row>
    <row r="6">
      <c r="A6" t="inlineStr">
        <is>
          <t>Communication Systems Lab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32" customWidth="1" min="4" max="4"/>
    <col width="25" customWidth="1" min="5" max="5"/>
    <col width="24" customWidth="1" min="6" max="6"/>
    <col width="32" customWidth="1" min="7" max="7"/>
    <col width="18" customWidth="1" min="8" max="8"/>
    <col width="23" customWidth="1" min="9" max="9"/>
    <col width="24" customWidth="1" min="10" max="10"/>
    <col width="26" customWidth="1" min="11" max="11"/>
    <col width="23" customWidth="1" min="12" max="12"/>
  </cols>
  <sheetData>
    <row r="1">
      <c r="A1" t="inlineStr">
        <is>
          <t>Timestamp</t>
        </is>
      </c>
      <c r="B1" t="inlineStr">
        <is>
          <t>Lab Name</t>
        </is>
      </c>
      <c r="C1" t="inlineStr">
        <is>
          <t>Cleanliness (1-5)</t>
        </is>
      </c>
      <c r="D1" t="inlineStr">
        <is>
          <t>Lighting &amp; Ventilation (1-5)</t>
        </is>
      </c>
      <c r="E1" t="inlineStr">
        <is>
          <t>Seating Comfort (1-5)</t>
        </is>
      </c>
      <c r="F1" t="inlineStr">
        <is>
          <t>ICT Facilities (1-5)</t>
        </is>
      </c>
      <c r="G1" t="inlineStr">
        <is>
          <t>Equipment Availability (1-5)</t>
        </is>
      </c>
      <c r="H1" t="inlineStr">
        <is>
          <t>Safety (1-5)</t>
        </is>
      </c>
      <c r="I1" t="inlineStr">
        <is>
          <t>Accessibility (1-5)</t>
        </is>
      </c>
      <c r="J1" t="inlineStr">
        <is>
          <t>Extended Hours (1-5)</t>
        </is>
      </c>
      <c r="K1" t="inlineStr">
        <is>
          <t>Overall Ambiance (1-5)</t>
        </is>
      </c>
      <c r="L1" t="inlineStr">
        <is>
          <t>Student Suggestions</t>
        </is>
      </c>
    </row>
    <row r="2">
      <c r="A2" t="inlineStr">
        <is>
          <t>2025-08-20 10:05</t>
        </is>
      </c>
      <c r="B2" t="inlineStr">
        <is>
          <t>Programming Lab</t>
        </is>
      </c>
      <c r="C2" t="n">
        <v>5</v>
      </c>
      <c r="D2" t="n">
        <v>4</v>
      </c>
      <c r="E2" t="n">
        <v>4</v>
      </c>
      <c r="F2" t="n">
        <v>4</v>
      </c>
      <c r="G2" t="n">
        <v>4</v>
      </c>
      <c r="H2" t="n">
        <v>5</v>
      </c>
      <c r="I2" t="n">
        <v>4</v>
      </c>
      <c r="J2" t="n">
        <v>3</v>
      </c>
      <c r="K2" t="n">
        <v>4</v>
      </c>
      <c r="L2" t="inlineStr">
        <is>
          <t>Need more bandwidth during peak hours</t>
        </is>
      </c>
    </row>
    <row r="3">
      <c r="A3" t="inlineStr">
        <is>
          <t>2025-08-20 10:07</t>
        </is>
      </c>
      <c r="B3" t="inlineStr">
        <is>
          <t>Electronics Lab</t>
        </is>
      </c>
      <c r="C3" t="n">
        <v>4</v>
      </c>
      <c r="D3" t="n">
        <v>4</v>
      </c>
      <c r="E3" t="n">
        <v>4</v>
      </c>
      <c r="F3" t="n">
        <v>3</v>
      </c>
      <c r="G3" t="n">
        <v>3</v>
      </c>
      <c r="H3" t="n">
        <v>4</v>
      </c>
      <c r="I3" t="n">
        <v>3</v>
      </c>
      <c r="J3" t="n">
        <v>3</v>
      </c>
      <c r="K3" t="n">
        <v>4</v>
      </c>
      <c r="L3" t="inlineStr">
        <is>
          <t>Regular calibration requested</t>
        </is>
      </c>
    </row>
    <row r="4">
      <c r="A4" t="inlineStr">
        <is>
          <t>2025-08-20 10:12</t>
        </is>
      </c>
      <c r="B4" t="inlineStr">
        <is>
          <t>Mechanical Workshop</t>
        </is>
      </c>
      <c r="C4" t="n">
        <v>4</v>
      </c>
      <c r="D4" t="n">
        <v>3</v>
      </c>
      <c r="E4" t="n">
        <v>3</v>
      </c>
      <c r="F4" t="n">
        <v>3</v>
      </c>
      <c r="G4" t="n">
        <v>4</v>
      </c>
      <c r="H4" t="n">
        <v>4</v>
      </c>
      <c r="I4" t="n">
        <v>3</v>
      </c>
      <c r="J4" t="n">
        <v>2</v>
      </c>
      <c r="K4" t="n">
        <v>3</v>
      </c>
      <c r="L4" t="inlineStr">
        <is>
          <t>More ventilation in summer</t>
        </is>
      </c>
    </row>
    <row r="5">
      <c r="A5" t="inlineStr">
        <is>
          <t>2025-08-20 10:18</t>
        </is>
      </c>
      <c r="B5" t="inlineStr">
        <is>
          <t>AI &amp; Data Science Lab</t>
        </is>
      </c>
      <c r="C5" t="n">
        <v>5</v>
      </c>
      <c r="D5" t="n">
        <v>5</v>
      </c>
      <c r="E5" t="n">
        <v>4</v>
      </c>
      <c r="F5" t="n">
        <v>5</v>
      </c>
      <c r="G5" t="n">
        <v>5</v>
      </c>
      <c r="H5" t="n">
        <v>5</v>
      </c>
      <c r="I5" t="n">
        <v>4</v>
      </c>
      <c r="J5" t="n">
        <v>4</v>
      </c>
      <c r="K5" t="n">
        <v>5</v>
      </c>
      <c r="L5" t="inlineStr">
        <is>
          <t>Add one more GPU node</t>
        </is>
      </c>
    </row>
  </sheetData>
  <conditionalFormatting sqref="C2:C1000">
    <cfRule type="cellIs" priority="1" operator="lessThan" dxfId="0">
      <formula>3</formula>
    </cfRule>
  </conditionalFormatting>
  <conditionalFormatting sqref="D2:D1000">
    <cfRule type="cellIs" priority="2" operator="lessThan" dxfId="0">
      <formula>3</formula>
    </cfRule>
  </conditionalFormatting>
  <conditionalFormatting sqref="E2:E1000">
    <cfRule type="cellIs" priority="3" operator="lessThan" dxfId="0">
      <formula>3</formula>
    </cfRule>
  </conditionalFormatting>
  <conditionalFormatting sqref="F2:F1000">
    <cfRule type="cellIs" priority="4" operator="lessThan" dxfId="0">
      <formula>3</formula>
    </cfRule>
  </conditionalFormatting>
  <conditionalFormatting sqref="G2:G1000">
    <cfRule type="cellIs" priority="5" operator="lessThan" dxfId="0">
      <formula>3</formula>
    </cfRule>
  </conditionalFormatting>
  <conditionalFormatting sqref="H2:H1000">
    <cfRule type="cellIs" priority="6" operator="lessThan" dxfId="0">
      <formula>3</formula>
    </cfRule>
  </conditionalFormatting>
  <conditionalFormatting sqref="I2:I1000">
    <cfRule type="cellIs" priority="7" operator="lessThan" dxfId="0">
      <formula>3</formula>
    </cfRule>
  </conditionalFormatting>
  <conditionalFormatting sqref="J2:J1000">
    <cfRule type="cellIs" priority="8" operator="lessThan" dxfId="0">
      <formula>3</formula>
    </cfRule>
  </conditionalFormatting>
  <conditionalFormatting sqref="K2:K1000">
    <cfRule type="cellIs" priority="9" operator="lessThan" dxfId="0">
      <formula>3</formula>
    </cfRule>
  </conditionalFormatting>
  <dataValidations count="3">
    <dataValidation sqref="B2:B1000" showErrorMessage="1" showInputMessage="1" allowBlank="0" type="list">
      <formula1>=Labs!$A$2:$A$100</formula1>
    </dataValidation>
    <dataValidation sqref="C2:C1000 D2:D1000 E2:E1000 F2:F1000 G2:G1000 H2:H1000 I2:I1000 J2:J1000 K2:K1000" showErrorMessage="1" showInputMessage="1" allowBlank="1" type="whole" operator="between">
      <formula1>1</formula1>
      <formula2>5</formula2>
    </dataValidation>
    <dataValidation sqref="C2:C1000 D2:D1000 E2:E1000 F2:F1000 G2:G1000 H2:H1000 I2:I1000 J2:J1000 K2:K1000" showErrorMessage="1" showInputMessage="1" allowBlank="1" type="whole" operator="between">
      <formula1>1</formula1>
      <formula2>5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30" customWidth="1" min="4" max="4"/>
    <col width="23" customWidth="1" min="5" max="5"/>
    <col width="22" customWidth="1" min="6" max="6"/>
    <col width="30" customWidth="1" min="7" max="7"/>
    <col width="16" customWidth="1" min="8" max="8"/>
    <col width="21" customWidth="1" min="9" max="9"/>
    <col width="22" customWidth="1" min="10" max="10"/>
    <col width="24" customWidth="1" min="11" max="11"/>
    <col width="26" customWidth="1" min="12" max="12"/>
  </cols>
  <sheetData>
    <row r="1">
      <c r="A1" t="inlineStr">
        <is>
          <t>Lab Name</t>
        </is>
      </c>
      <c r="B1" t="inlineStr">
        <is>
          <t>Responses Count</t>
        </is>
      </c>
      <c r="C1" t="inlineStr">
        <is>
          <t>Avg Cleanliness</t>
        </is>
      </c>
      <c r="D1" t="inlineStr">
        <is>
          <t>Avg Lighting &amp; Ventilation</t>
        </is>
      </c>
      <c r="E1" t="inlineStr">
        <is>
          <t>Avg Seating Comfort</t>
        </is>
      </c>
      <c r="F1" t="inlineStr">
        <is>
          <t>Avg ICT Facilities</t>
        </is>
      </c>
      <c r="G1" t="inlineStr">
        <is>
          <t>Avg Equipment Availability</t>
        </is>
      </c>
      <c r="H1" t="inlineStr">
        <is>
          <t>Avg Safety</t>
        </is>
      </c>
      <c r="I1" t="inlineStr">
        <is>
          <t>Avg Accessibility</t>
        </is>
      </c>
      <c r="J1" t="inlineStr">
        <is>
          <t>Avg Extended Hours</t>
        </is>
      </c>
      <c r="K1" t="inlineStr">
        <is>
          <t>Avg Overall (Direct)</t>
        </is>
      </c>
      <c r="L1" t="inlineStr">
        <is>
          <t>Overall (Aspect Means)</t>
        </is>
      </c>
    </row>
    <row r="2">
      <c r="A2" t="inlineStr">
        <is>
          <t>Programming Lab</t>
        </is>
      </c>
      <c r="B2">
        <f>COUNTIF(Raw_Feedback!$B:$B,A2)</f>
        <v/>
      </c>
      <c r="C2">
        <f>IF(B2&gt;0,AVERAGEIF(Raw_Feedback!$B:$B,A2,Raw_Feedback!$C:$C),"")</f>
        <v/>
      </c>
      <c r="D2">
        <f>IF(B2&gt;0,AVERAGEIF(Raw_Feedback!$B:$B,A2,Raw_Feedback!$D:$D),"")</f>
        <v/>
      </c>
      <c r="E2">
        <f>IF(B2&gt;0,AVERAGEIF(Raw_Feedback!$B:$B,A2,Raw_Feedback!$E:$E),"")</f>
        <v/>
      </c>
      <c r="F2">
        <f>IF(B2&gt;0,AVERAGEIF(Raw_Feedback!$B:$B,A2,Raw_Feedback!$F:$F),"")</f>
        <v/>
      </c>
      <c r="G2">
        <f>IF(B2&gt;0,AVERAGEIF(Raw_Feedback!$B:$B,A2,Raw_Feedback!$G:$G),"")</f>
        <v/>
      </c>
      <c r="H2">
        <f>IF(B2&gt;0,AVERAGEIF(Raw_Feedback!$B:$B,A2,Raw_Feedback!$H:$H),"")</f>
        <v/>
      </c>
      <c r="I2">
        <f>IF(B2&gt;0,AVERAGEIF(Raw_Feedback!$B:$B,A2,Raw_Feedback!$I:$I),"")</f>
        <v/>
      </c>
      <c r="J2">
        <f>IF(B2&gt;0,AVERAGEIF(Raw_Feedback!$B:$B,A2,Raw_Feedback!$J:$J),"")</f>
        <v/>
      </c>
      <c r="K2">
        <f>IF(B2&gt;0,AVERAGEIF(Raw_Feedback!$B:$B,A2,Raw_Feedback!$K:$K),"")</f>
        <v/>
      </c>
      <c r="L2">
        <f>IF(B2&gt;0,AVERAGE(C2:J2),"")</f>
        <v/>
      </c>
    </row>
    <row r="3">
      <c r="A3" t="inlineStr">
        <is>
          <t>Electronics Lab</t>
        </is>
      </c>
      <c r="B3">
        <f>COUNTIF(Raw_Feedback!$B:$B,A3)</f>
        <v/>
      </c>
      <c r="C3">
        <f>IF(B3&gt;0,AVERAGEIF(Raw_Feedback!$B:$B,A3,Raw_Feedback!$C:$C),"")</f>
        <v/>
      </c>
      <c r="D3">
        <f>IF(B3&gt;0,AVERAGEIF(Raw_Feedback!$B:$B,A3,Raw_Feedback!$D:$D),"")</f>
        <v/>
      </c>
      <c r="E3">
        <f>IF(B3&gt;0,AVERAGEIF(Raw_Feedback!$B:$B,A3,Raw_Feedback!$E:$E),"")</f>
        <v/>
      </c>
      <c r="F3">
        <f>IF(B3&gt;0,AVERAGEIF(Raw_Feedback!$B:$B,A3,Raw_Feedback!$F:$F),"")</f>
        <v/>
      </c>
      <c r="G3">
        <f>IF(B3&gt;0,AVERAGEIF(Raw_Feedback!$B:$B,A3,Raw_Feedback!$G:$G),"")</f>
        <v/>
      </c>
      <c r="H3">
        <f>IF(B3&gt;0,AVERAGEIF(Raw_Feedback!$B:$B,A3,Raw_Feedback!$H:$H),"")</f>
        <v/>
      </c>
      <c r="I3">
        <f>IF(B3&gt;0,AVERAGEIF(Raw_Feedback!$B:$B,A3,Raw_Feedback!$I:$I),"")</f>
        <v/>
      </c>
      <c r="J3">
        <f>IF(B3&gt;0,AVERAGEIF(Raw_Feedback!$B:$B,A3,Raw_Feedback!$J:$J),"")</f>
        <v/>
      </c>
      <c r="K3">
        <f>IF(B3&gt;0,AVERAGEIF(Raw_Feedback!$B:$B,A3,Raw_Feedback!$K:$K),"")</f>
        <v/>
      </c>
      <c r="L3">
        <f>IF(B3&gt;0,AVERAGE(C3:J3),"")</f>
        <v/>
      </c>
    </row>
    <row r="4">
      <c r="A4" t="inlineStr">
        <is>
          <t>AI &amp; Data Science Lab</t>
        </is>
      </c>
      <c r="B4">
        <f>COUNTIF(Raw_Feedback!$B:$B,A4)</f>
        <v/>
      </c>
      <c r="C4">
        <f>IF(B4&gt;0,AVERAGEIF(Raw_Feedback!$B:$B,A4,Raw_Feedback!$C:$C),"")</f>
        <v/>
      </c>
      <c r="D4">
        <f>IF(B4&gt;0,AVERAGEIF(Raw_Feedback!$B:$B,A4,Raw_Feedback!$D:$D),"")</f>
        <v/>
      </c>
      <c r="E4">
        <f>IF(B4&gt;0,AVERAGEIF(Raw_Feedback!$B:$B,A4,Raw_Feedback!$E:$E),"")</f>
        <v/>
      </c>
      <c r="F4">
        <f>IF(B4&gt;0,AVERAGEIF(Raw_Feedback!$B:$B,A4,Raw_Feedback!$F:$F),"")</f>
        <v/>
      </c>
      <c r="G4">
        <f>IF(B4&gt;0,AVERAGEIF(Raw_Feedback!$B:$B,A4,Raw_Feedback!$G:$G),"")</f>
        <v/>
      </c>
      <c r="H4">
        <f>IF(B4&gt;0,AVERAGEIF(Raw_Feedback!$B:$B,A4,Raw_Feedback!$H:$H),"")</f>
        <v/>
      </c>
      <c r="I4">
        <f>IF(B4&gt;0,AVERAGEIF(Raw_Feedback!$B:$B,A4,Raw_Feedback!$I:$I),"")</f>
        <v/>
      </c>
      <c r="J4">
        <f>IF(B4&gt;0,AVERAGEIF(Raw_Feedback!$B:$B,A4,Raw_Feedback!$J:$J),"")</f>
        <v/>
      </c>
      <c r="K4">
        <f>IF(B4&gt;0,AVERAGEIF(Raw_Feedback!$B:$B,A4,Raw_Feedback!$K:$K),"")</f>
        <v/>
      </c>
      <c r="L4">
        <f>IF(B4&gt;0,AVERAGE(C4:J4),"")</f>
        <v/>
      </c>
    </row>
    <row r="5">
      <c r="A5" t="inlineStr">
        <is>
          <t>Mechanical Workshop</t>
        </is>
      </c>
      <c r="B5">
        <f>COUNTIF(Raw_Feedback!$B:$B,A5)</f>
        <v/>
      </c>
      <c r="C5">
        <f>IF(B5&gt;0,AVERAGEIF(Raw_Feedback!$B:$B,A5,Raw_Feedback!$C:$C),"")</f>
        <v/>
      </c>
      <c r="D5">
        <f>IF(B5&gt;0,AVERAGEIF(Raw_Feedback!$B:$B,A5,Raw_Feedback!$D:$D),"")</f>
        <v/>
      </c>
      <c r="E5">
        <f>IF(B5&gt;0,AVERAGEIF(Raw_Feedback!$B:$B,A5,Raw_Feedback!$E:$E),"")</f>
        <v/>
      </c>
      <c r="F5">
        <f>IF(B5&gt;0,AVERAGEIF(Raw_Feedback!$B:$B,A5,Raw_Feedback!$F:$F),"")</f>
        <v/>
      </c>
      <c r="G5">
        <f>IF(B5&gt;0,AVERAGEIF(Raw_Feedback!$B:$B,A5,Raw_Feedback!$G:$G),"")</f>
        <v/>
      </c>
      <c r="H5">
        <f>IF(B5&gt;0,AVERAGEIF(Raw_Feedback!$B:$B,A5,Raw_Feedback!$H:$H),"")</f>
        <v/>
      </c>
      <c r="I5">
        <f>IF(B5&gt;0,AVERAGEIF(Raw_Feedback!$B:$B,A5,Raw_Feedback!$I:$I),"")</f>
        <v/>
      </c>
      <c r="J5">
        <f>IF(B5&gt;0,AVERAGEIF(Raw_Feedback!$B:$B,A5,Raw_Feedback!$J:$J),"")</f>
        <v/>
      </c>
      <c r="K5">
        <f>IF(B5&gt;0,AVERAGEIF(Raw_Feedback!$B:$B,A5,Raw_Feedback!$K:$K),"")</f>
        <v/>
      </c>
      <c r="L5">
        <f>IF(B5&gt;0,AVERAGE(C5:J5),"")</f>
        <v/>
      </c>
    </row>
    <row r="6">
      <c r="A6" t="inlineStr">
        <is>
          <t>Communication Systems Lab</t>
        </is>
      </c>
      <c r="B6">
        <f>COUNTIF(Raw_Feedback!$B:$B,A6)</f>
        <v/>
      </c>
      <c r="C6">
        <f>IF(B6&gt;0,AVERAGEIF(Raw_Feedback!$B:$B,A6,Raw_Feedback!$C:$C),"")</f>
        <v/>
      </c>
      <c r="D6">
        <f>IF(B6&gt;0,AVERAGEIF(Raw_Feedback!$B:$B,A6,Raw_Feedback!$D:$D),"")</f>
        <v/>
      </c>
      <c r="E6">
        <f>IF(B6&gt;0,AVERAGEIF(Raw_Feedback!$B:$B,A6,Raw_Feedback!$E:$E),"")</f>
        <v/>
      </c>
      <c r="F6">
        <f>IF(B6&gt;0,AVERAGEIF(Raw_Feedback!$B:$B,A6,Raw_Feedback!$F:$F),"")</f>
        <v/>
      </c>
      <c r="G6">
        <f>IF(B6&gt;0,AVERAGEIF(Raw_Feedback!$B:$B,A6,Raw_Feedback!$G:$G),"")</f>
        <v/>
      </c>
      <c r="H6">
        <f>IF(B6&gt;0,AVERAGEIF(Raw_Feedback!$B:$B,A6,Raw_Feedback!$H:$H),"")</f>
        <v/>
      </c>
      <c r="I6">
        <f>IF(B6&gt;0,AVERAGEIF(Raw_Feedback!$B:$B,A6,Raw_Feedback!$I:$I),"")</f>
        <v/>
      </c>
      <c r="J6">
        <f>IF(B6&gt;0,AVERAGEIF(Raw_Feedback!$B:$B,A6,Raw_Feedback!$J:$J),"")</f>
        <v/>
      </c>
      <c r="K6">
        <f>IF(B6&gt;0,AVERAGEIF(Raw_Feedback!$B:$B,A6,Raw_Feedback!$K:$K),"")</f>
        <v/>
      </c>
      <c r="L6">
        <f>IF(B6&gt;0,AVERAGE(C6:J6),"")</f>
        <v/>
      </c>
    </row>
  </sheetData>
  <conditionalFormatting sqref="C2:C6">
    <cfRule type="cellIs" priority="1" operator="lessThan" dxfId="0">
      <formula>3</formula>
    </cfRule>
    <cfRule type="cellIs" priority="2" operator="between" dxfId="1">
      <formula>3</formula>
      <formula>3.5</formula>
    </cfRule>
    <cfRule type="cellIs" priority="3" operator="greaterThanOrEqual" dxfId="2">
      <formula>4</formula>
    </cfRule>
  </conditionalFormatting>
  <conditionalFormatting sqref="D2:D6">
    <cfRule type="cellIs" priority="4" operator="lessThan" dxfId="0">
      <formula>3</formula>
    </cfRule>
    <cfRule type="cellIs" priority="5" operator="between" dxfId="1">
      <formula>3</formula>
      <formula>3.5</formula>
    </cfRule>
    <cfRule type="cellIs" priority="6" operator="greaterThanOrEqual" dxfId="2">
      <formula>4</formula>
    </cfRule>
  </conditionalFormatting>
  <conditionalFormatting sqref="E2:E6">
    <cfRule type="cellIs" priority="7" operator="lessThan" dxfId="0">
      <formula>3</formula>
    </cfRule>
    <cfRule type="cellIs" priority="8" operator="between" dxfId="1">
      <formula>3</formula>
      <formula>3.5</formula>
    </cfRule>
    <cfRule type="cellIs" priority="9" operator="greaterThanOrEqual" dxfId="2">
      <formula>4</formula>
    </cfRule>
  </conditionalFormatting>
  <conditionalFormatting sqref="F2:F6">
    <cfRule type="cellIs" priority="10" operator="lessThan" dxfId="0">
      <formula>3</formula>
    </cfRule>
    <cfRule type="cellIs" priority="11" operator="between" dxfId="1">
      <formula>3</formula>
      <formula>3.5</formula>
    </cfRule>
    <cfRule type="cellIs" priority="12" operator="greaterThanOrEqual" dxfId="2">
      <formula>4</formula>
    </cfRule>
  </conditionalFormatting>
  <conditionalFormatting sqref="G2:G6">
    <cfRule type="cellIs" priority="13" operator="lessThan" dxfId="0">
      <formula>3</formula>
    </cfRule>
    <cfRule type="cellIs" priority="14" operator="between" dxfId="1">
      <formula>3</formula>
      <formula>3.5</formula>
    </cfRule>
    <cfRule type="cellIs" priority="15" operator="greaterThanOrEqual" dxfId="2">
      <formula>4</formula>
    </cfRule>
  </conditionalFormatting>
  <conditionalFormatting sqref="H2:H6">
    <cfRule type="cellIs" priority="16" operator="lessThan" dxfId="0">
      <formula>3</formula>
    </cfRule>
    <cfRule type="cellIs" priority="17" operator="between" dxfId="1">
      <formula>3</formula>
      <formula>3.5</formula>
    </cfRule>
    <cfRule type="cellIs" priority="18" operator="greaterThanOrEqual" dxfId="2">
      <formula>4</formula>
    </cfRule>
  </conditionalFormatting>
  <conditionalFormatting sqref="I2:I6">
    <cfRule type="cellIs" priority="19" operator="lessThan" dxfId="0">
      <formula>3</formula>
    </cfRule>
    <cfRule type="cellIs" priority="20" operator="between" dxfId="1">
      <formula>3</formula>
      <formula>3.5</formula>
    </cfRule>
    <cfRule type="cellIs" priority="21" operator="greaterThanOrEqual" dxfId="2">
      <formula>4</formula>
    </cfRule>
  </conditionalFormatting>
  <conditionalFormatting sqref="J2:J6">
    <cfRule type="cellIs" priority="22" operator="lessThan" dxfId="0">
      <formula>3</formula>
    </cfRule>
    <cfRule type="cellIs" priority="23" operator="between" dxfId="1">
      <formula>3</formula>
      <formula>3.5</formula>
    </cfRule>
    <cfRule type="cellIs" priority="24" operator="greaterThanOrEqual" dxfId="2">
      <formula>4</formula>
    </cfRule>
  </conditionalFormatting>
  <conditionalFormatting sqref="K2:K6">
    <cfRule type="cellIs" priority="25" operator="lessThan" dxfId="0">
      <formula>3</formula>
    </cfRule>
    <cfRule type="cellIs" priority="26" operator="between" dxfId="1">
      <formula>3</formula>
      <formula>3.5</formula>
    </cfRule>
    <cfRule type="cellIs" priority="27" operator="greaterThanOrEqual" dxfId="2">
      <formula>4</formula>
    </cfRule>
  </conditionalFormatting>
  <conditionalFormatting sqref="L2:L6">
    <cfRule type="cellIs" priority="28" operator="lessThan" dxfId="0">
      <formula>3</formula>
    </cfRule>
    <cfRule type="cellIs" priority="29" operator="between" dxfId="1">
      <formula>3</formula>
      <formula>3.5</formula>
    </cfRule>
    <cfRule type="cellIs" priority="30" operator="greaterThanOrEqual" dxfId="2">
      <formula>4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t="inlineStr">
        <is>
          <t>KPI</t>
        </is>
      </c>
      <c r="B1" t="inlineStr">
        <is>
          <t>Value / Formula</t>
        </is>
      </c>
    </row>
    <row r="2">
      <c r="A2" t="inlineStr">
        <is>
          <t>Overall Ambiance (Direct) - All Labs</t>
        </is>
      </c>
      <c r="B2">
        <f>AVERAGE(Analysis!K2:K6)</f>
        <v/>
      </c>
    </row>
    <row r="3">
      <c r="A3" t="inlineStr">
        <is>
          <t>Overall (Aspect Means) - All Labs</t>
        </is>
      </c>
      <c r="B3">
        <f>AVERAGE(Analysis!L2:L6)</f>
        <v/>
      </c>
    </row>
    <row r="4">
      <c r="A4" t="inlineStr">
        <is>
          <t>Total Responses</t>
        </is>
      </c>
      <c r="B4">
        <f>COUNTA(Raw_Feedback!B2:B1000)</f>
        <v/>
      </c>
    </row>
    <row r="5">
      <c r="A5" t="inlineStr">
        <is>
          <t># Labs below 3.5 (Direct)</t>
        </is>
      </c>
      <c r="B5">
        <f>COUNTIF(Analysis!K2:K6,"&lt;3.5")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2025-08-27T03:40:14Z</dcterms:created>
  <dcterms:modified xmlns:dcterms="http://purl.org/dc/terms/" xmlns:xsi="http://www.w3.org/2001/XMLSchema-instance" xsi:type="dcterms:W3CDTF">2025-08-27T03:40:14Z</dcterms:modified>
</cp:coreProperties>
</file>