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abl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Placement, Higher Studies &amp; Entrepreneurship – Ready Table (30 points)</t>
        </is>
      </c>
    </row>
    <row r="3">
      <c r="A3" t="inlineStr">
        <is>
          <t>• Enter data for exactly three cohorts: LYG (latest), LYGm1, LYGm2.</t>
        </is>
      </c>
    </row>
    <row r="4">
      <c r="A4" t="inlineStr">
        <is>
          <t>• If FS_raw &lt; (N + N2), FS* will auto-use (N + N2) as denominator.</t>
        </is>
      </c>
    </row>
    <row r="5">
      <c r="A5" t="inlineStr">
        <is>
          <t>• P (Placement Index) = ((X + Y + Z)/FS*) * 100.</t>
        </is>
      </c>
    </row>
    <row r="6">
      <c r="A6" t="inlineStr">
        <is>
          <t>• Average P = Average(P_LYG, P_LYGm1, P_LYGm2).</t>
        </is>
      </c>
    </row>
    <row r="7">
      <c r="A7" t="inlineStr">
        <is>
          <t>• Final Points = MIN(0.3 * Average P, 30).</t>
        </is>
      </c>
    </row>
    <row r="8">
      <c r="A8" t="inlineStr">
        <is>
          <t>• Validation: values must be non-negative integers; X + Y + Z must not exceed FS*.</t>
        </is>
      </c>
    </row>
    <row r="9">
      <c r="A9" t="inlineStr">
        <is>
          <t>• Evidence to keep: Offer letters (X), Admission letters (Y), Startup/incubation proofs (Z), Sanctioned intake &amp; lateral entry approvals (N, N2).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26" customWidth="1" min="4" max="4"/>
    <col width="24" customWidth="1" min="5" max="5"/>
    <col width="14" customWidth="1" min="6" max="6"/>
    <col width="18" customWidth="1" min="7" max="7"/>
    <col width="20" customWidth="1" min="8" max="8"/>
    <col width="12" customWidth="1" min="9" max="9"/>
    <col width="24" customWidth="1" min="10" max="10"/>
  </cols>
  <sheetData>
    <row r="1">
      <c r="A1" s="2" t="inlineStr">
        <is>
          <t>Year</t>
        </is>
      </c>
      <c r="B1" s="2" t="inlineStr">
        <is>
          <t>N (Sanctioned intake)</t>
        </is>
      </c>
      <c r="C1" s="2" t="inlineStr">
        <is>
          <t>N2 (Lateral incl. leftover)</t>
        </is>
      </c>
      <c r="D1" s="2" t="inlineStr">
        <is>
          <t>FS_raw (Final-year students)</t>
        </is>
      </c>
      <c r="E1" s="2" t="inlineStr">
        <is>
          <t>FS* = MAX(FS_raw, N+N2)</t>
        </is>
      </c>
      <c r="F1" s="2" t="inlineStr">
        <is>
          <t>X Placed</t>
        </is>
      </c>
      <c r="G1" s="2" t="inlineStr">
        <is>
          <t>Y Higher Studies</t>
        </is>
      </c>
      <c r="H1" s="2" t="inlineStr">
        <is>
          <t>Z Entrepreneurship</t>
        </is>
      </c>
      <c r="I1" s="2" t="inlineStr">
        <is>
          <t>X+Y+Z</t>
        </is>
      </c>
      <c r="J1" s="2" t="inlineStr">
        <is>
          <t>P = ((X+Y+Z)/FS*)*100</t>
        </is>
      </c>
    </row>
    <row r="2">
      <c r="A2" s="3" t="inlineStr">
        <is>
          <t>LYG</t>
        </is>
      </c>
      <c r="B2" s="3" t="n"/>
      <c r="C2" s="3" t="n"/>
      <c r="D2" s="3" t="n"/>
      <c r="E2" s="3">
        <f>MAX(D2, B2+C2)</f>
        <v/>
      </c>
      <c r="F2" s="3" t="n"/>
      <c r="G2" s="3" t="n"/>
      <c r="H2" s="3" t="n"/>
      <c r="I2" s="3">
        <f>F2+G2+H2</f>
        <v/>
      </c>
      <c r="J2" s="3">
        <f>IF(E2&gt;0, I2/E2*100, 0)</f>
        <v/>
      </c>
    </row>
    <row r="3">
      <c r="A3" s="3" t="inlineStr">
        <is>
          <t>LYGm1</t>
        </is>
      </c>
      <c r="B3" s="3" t="n"/>
      <c r="C3" s="3" t="n"/>
      <c r="D3" s="3" t="n"/>
      <c r="E3" s="3">
        <f>MAX(D3, B3+C3)</f>
        <v/>
      </c>
      <c r="F3" s="3" t="n"/>
      <c r="G3" s="3" t="n"/>
      <c r="H3" s="3" t="n"/>
      <c r="I3" s="3">
        <f>F3+G3+H3</f>
        <v/>
      </c>
      <c r="J3" s="3">
        <f>IF(E3&gt;0, I3/E3*100, 0)</f>
        <v/>
      </c>
    </row>
    <row r="4">
      <c r="A4" s="3" t="inlineStr">
        <is>
          <t>LYGm2</t>
        </is>
      </c>
      <c r="B4" s="3" t="n"/>
      <c r="C4" s="3" t="n"/>
      <c r="D4" s="3" t="n"/>
      <c r="E4" s="3">
        <f>MAX(D4, B4+C4)</f>
        <v/>
      </c>
      <c r="F4" s="3" t="n"/>
      <c r="G4" s="3" t="n"/>
      <c r="H4" s="3" t="n"/>
      <c r="I4" s="3">
        <f>F4+G4+H4</f>
        <v/>
      </c>
      <c r="J4" s="3">
        <f>IF(E4&gt;0, I4/E4*100, 0)</f>
        <v/>
      </c>
    </row>
  </sheetData>
  <conditionalFormatting sqref="A2:J2">
    <cfRule type="expression" priority="1" dxfId="0" stopIfTrue="1">
      <formula>$I2&gt;$E2</formula>
    </cfRule>
  </conditionalFormatting>
  <conditionalFormatting sqref="A3:J3">
    <cfRule type="expression" priority="1" dxfId="0" stopIfTrue="1">
      <formula>$I2&gt;$E2</formula>
    </cfRule>
  </conditionalFormatting>
  <conditionalFormatting sqref="A4:J4">
    <cfRule type="expression" priority="1" dxfId="0" stopIfTrue="1">
      <formula>$I2&gt;$E2</formula>
    </cfRule>
  </conditionalFormatting>
  <dataValidations count="1">
    <dataValidation sqref="B2:H4" showErrorMessage="1" showInputMessage="1" allowBlank="1" error="Enter a non-negative integer." prompt="Use non-negative integers only." type="whole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Summary</t>
        </is>
      </c>
    </row>
    <row r="3">
      <c r="A3" s="4" t="inlineStr">
        <is>
          <t>P_LYG</t>
        </is>
      </c>
      <c r="B3" s="5">
        <f>Table!J2</f>
        <v/>
      </c>
    </row>
    <row r="4">
      <c r="A4" s="4" t="inlineStr">
        <is>
          <t>P_LYGm1</t>
        </is>
      </c>
      <c r="B4" s="5">
        <f>Table!J3</f>
        <v/>
      </c>
    </row>
    <row r="5">
      <c r="A5" s="4" t="inlineStr">
        <is>
          <t>P_LYGm2</t>
        </is>
      </c>
      <c r="B5" s="5">
        <f>Table!J4</f>
        <v/>
      </c>
    </row>
    <row r="7">
      <c r="A7" s="4" t="inlineStr">
        <is>
          <t>Average P</t>
        </is>
      </c>
      <c r="B7" s="5">
        <f>AVERAGE(B3:B5)</f>
        <v/>
      </c>
    </row>
    <row r="8">
      <c r="A8" s="4" t="inlineStr">
        <is>
          <t>Final Points = MIN(0.3 × Average P, 30)</t>
        </is>
      </c>
      <c r="B8" s="5">
        <f>MIN(0.3*B7,30)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2025-08-26T11:28:31Z</dcterms:created>
  <dcterms:modified xmlns:dcterms="http://purl.org/dc/terms/" xmlns:xsi="http://www.w3.org/2001/XMLSchema-instance" xsi:type="dcterms:W3CDTF">2025-08-26T11:28:31Z</dcterms:modified>
</cp:coreProperties>
</file>