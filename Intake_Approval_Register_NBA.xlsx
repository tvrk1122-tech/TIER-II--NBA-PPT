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take_Registe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Intake Approval Register — NBA SFR (AICTE/University Sanctioned Seats)</t>
        </is>
      </c>
    </row>
    <row r="3">
      <c r="A3" t="inlineStr">
        <is>
          <t>- Record program-wise sanctioned intake as per AICTE EOA and University affiliation for CAY, CAYm1, CAYm2.</t>
        </is>
      </c>
    </row>
    <row r="4">
      <c r="A4" t="inlineStr">
        <is>
          <t>- Supernumerary seats (SNQ/EWS/TFWS) are excluded from SFR; they must not be added to sanctioned intake.</t>
        </is>
      </c>
    </row>
    <row r="5">
      <c r="A5" t="inlineStr">
        <is>
          <t>- Effective_SFR_Intake is the lower of AICTE_SA and Univ_SA (conservative), excluding supernumerary.</t>
        </is>
      </c>
    </row>
    <row r="6">
      <c r="A6" t="inlineStr">
        <is>
          <t>- Lateral_Entry_Cap is 10% of Effective_SFR_Intake; Max_ST_Cap is 110% of Effective_SFR_Intake (SFR cap logic).</t>
        </is>
      </c>
    </row>
    <row r="7">
      <c r="A7" t="inlineStr">
        <is>
          <t>- Use dropdowns for Year and Level; keep document references for quick NBA audit (EOA/Univ letters).</t>
        </is>
      </c>
    </row>
    <row r="8">
      <c r="A8" t="inlineStr">
        <is>
          <t>- Summary sheet auto-totals Effective intake by year for quick linkage to SFR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8" customWidth="1" min="4" max="4"/>
    <col width="12" customWidth="1" min="5" max="5"/>
    <col width="12" customWidth="1" min="6" max="6"/>
    <col width="26" customWidth="1" min="7" max="7"/>
    <col width="30" customWidth="1" min="8" max="8"/>
    <col width="26" customWidth="1" min="9" max="9"/>
    <col width="24" customWidth="1" min="10" max="10"/>
    <col width="24" customWidth="1" min="11" max="11"/>
    <col width="18" customWidth="1" min="12" max="12"/>
    <col width="22" customWidth="1" min="13" max="13"/>
    <col width="18" customWidth="1" min="14" max="14"/>
    <col width="24" customWidth="1" min="15" max="15"/>
  </cols>
  <sheetData>
    <row r="1">
      <c r="A1" s="2" t="inlineStr">
        <is>
          <t>Program</t>
        </is>
      </c>
      <c r="B1" s="2" t="inlineStr">
        <is>
          <t>Dept/Cluster</t>
        </is>
      </c>
      <c r="C1" s="2" t="inlineStr">
        <is>
          <t>Level (UG/PG)</t>
        </is>
      </c>
      <c r="D1" s="2" t="inlineStr">
        <is>
          <t>Year (CAY/CAYm1/CAYm2)</t>
        </is>
      </c>
      <c r="E1" s="2" t="inlineStr">
        <is>
          <t>AICTE_SA</t>
        </is>
      </c>
      <c r="F1" s="2" t="inlineStr">
        <is>
          <t>Univ_SA</t>
        </is>
      </c>
      <c r="G1" s="2" t="inlineStr">
        <is>
          <t>Supernumerary (SNQ/EWS/TFWS)</t>
        </is>
      </c>
      <c r="H1" s="2" t="inlineStr">
        <is>
          <t>Effective_SFR_Intake = MIN(AICTE_SA,Univ_SA)</t>
        </is>
      </c>
      <c r="I1" s="2" t="inlineStr">
        <is>
          <t>Lateral_Entry_Cap (10% of Effective)</t>
        </is>
      </c>
      <c r="J1" s="2" t="inlineStr">
        <is>
          <t>Max_ST_Cap (110% of Effective)</t>
        </is>
      </c>
      <c r="K1" s="2" t="inlineStr">
        <is>
          <t>AICTE_Approval_Ref</t>
        </is>
      </c>
      <c r="L1" s="2" t="inlineStr">
        <is>
          <t>AICTE_Approval_Date</t>
        </is>
      </c>
      <c r="M1" s="2" t="inlineStr">
        <is>
          <t>Univ_Approval_Ref</t>
        </is>
      </c>
      <c r="N1" s="2" t="inlineStr">
        <is>
          <t>Univ_Approval_Date</t>
        </is>
      </c>
      <c r="O1" s="2" t="inlineStr">
        <is>
          <t>Remarks</t>
        </is>
      </c>
    </row>
    <row r="2">
      <c r="A2" s="3" t="inlineStr">
        <is>
          <t>B.Tech CSE</t>
        </is>
      </c>
      <c r="B2" s="3" t="inlineStr">
        <is>
          <t>CSE</t>
        </is>
      </c>
      <c r="C2" s="3" t="inlineStr">
        <is>
          <t>UG</t>
        </is>
      </c>
      <c r="D2" s="3" t="inlineStr">
        <is>
          <t>CAY</t>
        </is>
      </c>
      <c r="E2" s="3" t="n">
        <v>120</v>
      </c>
      <c r="F2" s="3" t="n">
        <v>120</v>
      </c>
      <c r="G2" s="3" t="n">
        <v>6</v>
      </c>
      <c r="H2" s="3">
        <f>MIN(E2,F2)</f>
        <v/>
      </c>
      <c r="I2" s="3">
        <f>0.1*H2</f>
        <v/>
      </c>
      <c r="J2" s="3">
        <f>1.1*H2</f>
        <v/>
      </c>
      <c r="K2" s="3" t="inlineStr">
        <is>
          <t>AICTE EOA 2025-26</t>
        </is>
      </c>
      <c r="L2" s="3" t="inlineStr">
        <is>
          <t>2025-05-01</t>
        </is>
      </c>
      <c r="M2" s="3" t="inlineStr">
        <is>
          <t>Univ Ref 2025/123</t>
        </is>
      </c>
      <c r="N2" s="3" t="inlineStr">
        <is>
          <t>2025-06-15</t>
        </is>
      </c>
      <c r="O2" s="3" t="inlineStr"/>
    </row>
    <row r="3">
      <c r="A3" s="3" t="inlineStr">
        <is>
          <t>B.Tech CSE-AI</t>
        </is>
      </c>
      <c r="B3" s="3" t="inlineStr">
        <is>
          <t>CSE Cluster</t>
        </is>
      </c>
      <c r="C3" s="3" t="inlineStr">
        <is>
          <t>UG</t>
        </is>
      </c>
      <c r="D3" s="3" t="inlineStr">
        <is>
          <t>CAYm1</t>
        </is>
      </c>
      <c r="E3" s="3" t="n">
        <v>60</v>
      </c>
      <c r="F3" s="3" t="n">
        <v>60</v>
      </c>
      <c r="G3" s="3" t="n">
        <v>3</v>
      </c>
      <c r="H3" s="3">
        <f>MIN(E3,F3)</f>
        <v/>
      </c>
      <c r="I3" s="3">
        <f>0.1*H3</f>
        <v/>
      </c>
      <c r="J3" s="3">
        <f>1.1*H3</f>
        <v/>
      </c>
      <c r="K3" s="3" t="inlineStr">
        <is>
          <t>AICTE EOA 2024-25</t>
        </is>
      </c>
      <c r="L3" s="3" t="inlineStr">
        <is>
          <t>2024-05-01</t>
        </is>
      </c>
      <c r="M3" s="3" t="inlineStr">
        <is>
          <t>Univ Ref 2024/456</t>
        </is>
      </c>
      <c r="N3" s="3" t="inlineStr">
        <is>
          <t>2024-06-10</t>
        </is>
      </c>
      <c r="O3" s="3" t="inlineStr"/>
    </row>
    <row r="4">
      <c r="A4" s="3" t="inlineStr">
        <is>
          <t>B.Tech IT</t>
        </is>
      </c>
      <c r="B4" s="3" t="inlineStr">
        <is>
          <t>IT (Allied)</t>
        </is>
      </c>
      <c r="C4" s="3" t="inlineStr">
        <is>
          <t>UG</t>
        </is>
      </c>
      <c r="D4" s="3" t="inlineStr">
        <is>
          <t>CAYm2</t>
        </is>
      </c>
      <c r="E4" s="3" t="n">
        <v>120</v>
      </c>
      <c r="F4" s="3" t="n">
        <v>120</v>
      </c>
      <c r="G4" s="3" t="n">
        <v>0</v>
      </c>
      <c r="H4" s="3">
        <f>MIN(E4,F4)</f>
        <v/>
      </c>
      <c r="I4" s="3">
        <f>0.1*H4</f>
        <v/>
      </c>
      <c r="J4" s="3">
        <f>1.1*H4</f>
        <v/>
      </c>
      <c r="K4" s="3" t="inlineStr">
        <is>
          <t>AICTE EOA 2023-24</t>
        </is>
      </c>
      <c r="L4" s="3" t="inlineStr">
        <is>
          <t>2023-05-05</t>
        </is>
      </c>
      <c r="M4" s="3" t="inlineStr">
        <is>
          <t>Univ Ref 2023/789</t>
        </is>
      </c>
      <c r="N4" s="3" t="inlineStr">
        <is>
          <t>2023-06-05</t>
        </is>
      </c>
      <c r="O4" s="3" t="inlineStr"/>
    </row>
    <row r="5">
      <c r="A5" s="3" t="inlineStr">
        <is>
          <t>M.Tech CSE</t>
        </is>
      </c>
      <c r="B5" s="3" t="inlineStr">
        <is>
          <t>CSE</t>
        </is>
      </c>
      <c r="C5" s="3" t="inlineStr">
        <is>
          <t>PG</t>
        </is>
      </c>
      <c r="D5" s="3" t="inlineStr">
        <is>
          <t>CAY</t>
        </is>
      </c>
      <c r="E5" s="3" t="n">
        <v>18</v>
      </c>
      <c r="F5" s="3" t="n">
        <v>18</v>
      </c>
      <c r="G5" s="3" t="n">
        <v>0</v>
      </c>
      <c r="H5" s="3">
        <f>MIN(E5,F5)</f>
        <v/>
      </c>
      <c r="I5" s="3">
        <f>0.1*H5</f>
        <v/>
      </c>
      <c r="J5" s="3">
        <f>1.1*H5</f>
        <v/>
      </c>
      <c r="K5" s="3" t="inlineStr">
        <is>
          <t>AICTE EOA 2025-26</t>
        </is>
      </c>
      <c r="L5" s="3" t="inlineStr">
        <is>
          <t>2025-05-01</t>
        </is>
      </c>
      <c r="M5" s="3" t="inlineStr">
        <is>
          <t>Univ Ref 2025/321</t>
        </is>
      </c>
      <c r="N5" s="3" t="inlineStr">
        <is>
          <t>2025-06-15</t>
        </is>
      </c>
      <c r="O5" s="3" t="inlineStr"/>
    </row>
  </sheetData>
  <dataValidations count="2">
    <dataValidation sqref="C2:C1000" showErrorMessage="1" showInputMessage="1" allowBlank="0" type="list">
      <formula1>"UG,PG"</formula1>
    </dataValidation>
    <dataValidation sqref="D2:D1000" showErrorMessage="1" showInputMessage="1" allowBlank="0" type="list">
      <formula1>"CAY,CAYm1,CAYm2"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Metric</t>
        </is>
      </c>
      <c r="B1" s="2" t="inlineStr">
        <is>
          <t>CAY</t>
        </is>
      </c>
      <c r="C1" s="2" t="inlineStr">
        <is>
          <t>CAYm1</t>
        </is>
      </c>
      <c r="D1" s="2" t="inlineStr">
        <is>
          <t>CAYm2</t>
        </is>
      </c>
    </row>
    <row r="2">
      <c r="A2" s="5" t="inlineStr">
        <is>
          <t>Total Effective Intake (All Programs)</t>
        </is>
      </c>
      <c r="B2" s="6">
        <f>SUMIF(Intake_Register!D:D,"CAY",Intake_Register!H:H)</f>
        <v/>
      </c>
      <c r="C2" s="6">
        <f>SUMIF(Intake_Register!D:D,"CAYm1",Intake_Register!H:H)</f>
        <v/>
      </c>
      <c r="D2" s="6">
        <f>SUMIF(Intake_Register!D:D,"CAYm2",Intake_Register!H:H)</f>
        <v/>
      </c>
    </row>
    <row r="3">
      <c r="A3" s="5" t="inlineStr">
        <is>
          <t>Total Effective Intake — UG only</t>
        </is>
      </c>
      <c r="B3" s="6">
        <f>SUMIFS(Intake_Register!H:H,Intake_Register!C:C,"UG",Intake_Register!D:D,"CAY")</f>
        <v/>
      </c>
      <c r="C3" s="6">
        <f>SUMIFS(Intake_Register!H:H,Intake_Register!C:C,"UG",Intake_Register!D:D,"CAYm1")</f>
        <v/>
      </c>
      <c r="D3" s="6">
        <f>SUMIFS(Intake_Register!H:H,Intake_Register!C:C,"UG",Intake_Register!D:D,"CAYm2")</f>
        <v/>
      </c>
    </row>
    <row r="4">
      <c r="A4" s="5" t="inlineStr">
        <is>
          <t>Total Effective Intake — PG only</t>
        </is>
      </c>
      <c r="B4" s="6">
        <f>SUMIFS(Intake_Register!H:H,Intake_Register!C:C,"PG",Intake_Register!D:D,"CAY")</f>
        <v/>
      </c>
      <c r="C4" s="6">
        <f>SUMIFS(Intake_Register!H:H,Intake_Register!C:C,"PG",Intake_Register!D:D,"CAYm1")</f>
        <v/>
      </c>
      <c r="D4" s="6">
        <f>SUMIFS(Intake_Register!H:H,Intake_Register!C:C,"PG",Intake_Register!D:D,"CAYm2")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