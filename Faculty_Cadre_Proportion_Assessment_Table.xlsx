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18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Year</t>
        </is>
      </c>
      <c r="B1" s="1" t="inlineStr">
        <is>
          <t>S (Dept+Allied Students)</t>
        </is>
      </c>
      <c r="C1" s="1" t="inlineStr">
        <is>
          <t>RF = S/20</t>
        </is>
      </c>
      <c r="D1" s="1" t="inlineStr">
        <is>
          <t>RF1 Professors (RF/9)</t>
        </is>
      </c>
      <c r="E1" s="1" t="inlineStr">
        <is>
          <t>AF1 Professors (Actual)</t>
        </is>
      </c>
      <c r="F1" s="1" t="inlineStr">
        <is>
          <t>RF2 Associates (2*RF/9)</t>
        </is>
      </c>
      <c r="G1" s="1" t="inlineStr">
        <is>
          <t>AF2 Associates (Actual)</t>
        </is>
      </c>
      <c r="H1" s="1" t="inlineStr">
        <is>
          <t>RF3 Assistants (6*RF/9)</t>
        </is>
      </c>
      <c r="I1" s="1" t="inlineStr">
        <is>
          <t>AF3 Assistants (Actual)</t>
        </is>
      </c>
      <c r="J1" s="1" t="inlineStr">
        <is>
          <t>AF1/RF1</t>
        </is>
      </c>
      <c r="K1" s="1" t="inlineStr">
        <is>
          <t>AF2/RF2</t>
        </is>
      </c>
      <c r="L1" s="1" t="inlineStr">
        <is>
          <t>AF3/RF3</t>
        </is>
      </c>
      <c r="M1" s="1" t="inlineStr">
        <is>
          <t>Marks = (AF1/RF1 + 0.6*AF2/RF2 + 0.4*AF3/RF3) * 12.5 (capped, AF1&amp;AF2=0 → 0)</t>
        </is>
      </c>
    </row>
    <row r="2">
      <c r="A2" s="2" t="inlineStr">
        <is>
          <t>CAY</t>
        </is>
      </c>
      <c r="B2" s="3" t="inlineStr"/>
      <c r="C2" s="4">
        <f>IF(B2&gt;0,B2/20,"")</f>
        <v/>
      </c>
      <c r="D2" s="4">
        <f>IF(C2&gt;0,C2/9,"")</f>
        <v/>
      </c>
      <c r="E2" s="3" t="inlineStr"/>
      <c r="F2" s="4">
        <f>IF(C2&gt;0,2*C2/9,"")</f>
        <v/>
      </c>
      <c r="G2" s="3" t="inlineStr"/>
      <c r="H2" s="4">
        <f>IF(C2&gt;0,6*C2/9,"")</f>
        <v/>
      </c>
      <c r="I2" s="3" t="inlineStr"/>
      <c r="J2" s="4">
        <f>IF(D2&gt;0,E2/D2,"")</f>
        <v/>
      </c>
      <c r="K2" s="4">
        <f>IF(F2&gt;0,G2/F2,"")</f>
        <v/>
      </c>
      <c r="L2" s="4">
        <f>IF(H2&gt;0,I2/H2,"")</f>
        <v/>
      </c>
      <c r="M2" s="4">
        <f>IF(AND(E2=0,G2=0),0,MIN((J2+0.6*K2+0.4*L2)*12.5,25))</f>
        <v/>
      </c>
    </row>
    <row r="3">
      <c r="A3" s="2" t="inlineStr">
        <is>
          <t>CAYm1</t>
        </is>
      </c>
      <c r="B3" s="3" t="inlineStr"/>
      <c r="C3" s="4">
        <f>IF(B3&gt;0,B3/20,"")</f>
        <v/>
      </c>
      <c r="D3" s="4">
        <f>IF(C3&gt;0,C3/9,"")</f>
        <v/>
      </c>
      <c r="E3" s="3" t="inlineStr"/>
      <c r="F3" s="4">
        <f>IF(C3&gt;0,2*C3/9,"")</f>
        <v/>
      </c>
      <c r="G3" s="3" t="inlineStr"/>
      <c r="H3" s="4">
        <f>IF(C3&gt;0,6*C3/9,"")</f>
        <v/>
      </c>
      <c r="I3" s="3" t="inlineStr"/>
      <c r="J3" s="4">
        <f>IF(D3&gt;0,E3/D3,"")</f>
        <v/>
      </c>
      <c r="K3" s="4">
        <f>IF(F3&gt;0,G3/F3,"")</f>
        <v/>
      </c>
      <c r="L3" s="4">
        <f>IF(H3&gt;0,I3/H3,"")</f>
        <v/>
      </c>
      <c r="M3" s="4">
        <f>IF(AND(E3=0,G3=0),0,MIN((J3+0.6*K3+0.4*L3)*12.5,25))</f>
        <v/>
      </c>
    </row>
    <row r="4">
      <c r="A4" s="2" t="inlineStr">
        <is>
          <t>CAYm2</t>
        </is>
      </c>
      <c r="B4" s="3" t="inlineStr"/>
      <c r="C4" s="4">
        <f>IF(B4&gt;0,B4/20,"")</f>
        <v/>
      </c>
      <c r="D4" s="4">
        <f>IF(C4&gt;0,C4/9,"")</f>
        <v/>
      </c>
      <c r="E4" s="3" t="inlineStr"/>
      <c r="F4" s="4">
        <f>IF(C4&gt;0,2*C4/9,"")</f>
        <v/>
      </c>
      <c r="G4" s="3" t="inlineStr"/>
      <c r="H4" s="4">
        <f>IF(C4&gt;0,6*C4/9,"")</f>
        <v/>
      </c>
      <c r="I4" s="3" t="inlineStr"/>
      <c r="J4" s="4">
        <f>IF(D4&gt;0,E4/D4,"")</f>
        <v/>
      </c>
      <c r="K4" s="4">
        <f>IF(F4&gt;0,G4/F4,"")</f>
        <v/>
      </c>
      <c r="L4" s="4">
        <f>IF(H4&gt;0,I4/H4,"")</f>
        <v/>
      </c>
      <c r="M4" s="4">
        <f>IF(AND(E4=0,G4=0),0,MIN((J4+0.6*K4+0.4*L4)*12.5,25))</f>
        <v/>
      </c>
    </row>
    <row r="5">
      <c r="A5" s="2" t="inlineStr">
        <is>
          <t>Average</t>
        </is>
      </c>
      <c r="B5" s="3" t="inlineStr"/>
      <c r="C5" s="4" t="inlineStr"/>
      <c r="D5" s="4" t="inlineStr"/>
      <c r="E5" s="3" t="inlineStr"/>
      <c r="F5" s="4" t="inlineStr"/>
      <c r="G5" s="3" t="inlineStr"/>
      <c r="H5" s="4" t="inlineStr"/>
      <c r="I5" s="3" t="inlineStr"/>
      <c r="J5" s="4">
        <f>IF(COUNTA(J2:J4)=3,AVERAGE(J2:J4),"")</f>
        <v/>
      </c>
      <c r="K5" s="4">
        <f>IF(COUNTA(K2:K4)=3,AVERAGE(K2:K4),"")</f>
        <v/>
      </c>
      <c r="L5" s="4">
        <f>IF(COUNTA(L2:L4)=3,AVERAGE(L2:L4),"")</f>
        <v/>
      </c>
      <c r="M5" s="4">
        <f>IF(COUNTA(M2:M4)=3,AVERAGE(M2:M4),"")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How to use (Faculty Cadre Proportion — 25 marks)</t>
        </is>
      </c>
    </row>
    <row r="3">
      <c r="A3" t="inlineStr">
        <is>
          <t>- Fill **S (Dept + Allied engineering students)** for CAY, CAYm1, CAYm2 in column B.</t>
        </is>
      </c>
    </row>
    <row r="4">
      <c r="A4" t="inlineStr">
        <is>
          <t>- Enter **AF1, AF2, AF3** (actual full-time, approved Professors/Associates/Assistants) in columns E, G, I.</t>
        </is>
      </c>
    </row>
    <row r="5">
      <c r="A5" t="inlineStr">
        <is>
          <t>- The sheet computes **RF = S/20** and splits into **RF1, RF2, RF3** by the 1:2:6 rule.</t>
        </is>
      </c>
    </row>
    <row r="6">
      <c r="A6" t="inlineStr">
        <is>
          <t>- Marks per year: **(AF1/RF1 + 0.6*AF2/RF2 + 0.4*AF3/RF3) × 12.5**, capped at **25**.</t>
        </is>
      </c>
    </row>
    <row r="7">
      <c r="A7" t="inlineStr">
        <is>
          <t>- Special rule: **if AF1 = 0 and AF2 = 0 → 0 marks** for that year.</t>
        </is>
      </c>
    </row>
    <row r="8">
      <c r="A8" t="inlineStr">
        <is>
          <t>- **Include** faculty and students from allied engineering departments when they are counted in S.</t>
        </is>
      </c>
    </row>
    <row r="9">
      <c r="A9" t="inlineStr">
        <is>
          <t>- **Exclude** MCA/BCA and other non-engineering programs (their students &amp; faculty).</t>
        </is>
      </c>
    </row>
    <row r="10">
      <c r="A10" t="inlineStr">
        <is>
          <t>- Count **only full-time regular/contractual FT**, AICTE/UGC-compliant; exclude visiting/adjunct/part-time and 100% first-year-only.</t>
        </is>
      </c>
    </row>
    <row r="11">
      <c r="A11" t="inlineStr">
        <is>
          <t>- Keep evidence ready: intake approvals, admission registers, allied evidence, approvals, appointment &amp; payroll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2025-08-29T02:30:26Z</dcterms:created>
  <dcterms:modified xmlns:dcterms="http://purl.org/dc/terms/" xmlns:xsi="http://www.w3.org/2001/XMLSchema-instance" xsi:type="dcterms:W3CDTF">2025-08-29T02:30:26Z</dcterms:modified>
</cp:coreProperties>
</file>