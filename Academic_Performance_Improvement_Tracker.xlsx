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Performa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6" customWidth="1" min="3" max="3"/>
    <col width="24" customWidth="1" min="4" max="4"/>
    <col width="38" customWidth="1" min="5" max="5"/>
    <col width="21" customWidth="1" min="6" max="6"/>
    <col width="43" customWidth="1" min="7" max="7"/>
    <col width="41" customWidth="1" min="8" max="8"/>
    <col width="51" customWidth="1" min="9" max="9"/>
  </cols>
  <sheetData>
    <row r="1">
      <c r="A1" s="1" t="inlineStr">
        <is>
          <t>Year of Study</t>
        </is>
      </c>
      <c r="B1" s="1" t="inlineStr">
        <is>
          <t>Academic Year</t>
        </is>
      </c>
      <c r="C1" s="1" t="inlineStr">
        <is>
          <t>No. of Students Appeared</t>
        </is>
      </c>
      <c r="D1" s="1" t="inlineStr">
        <is>
          <t>No. of Students Passed</t>
        </is>
      </c>
      <c r="E1" s="1" t="inlineStr">
        <is>
          <t>Pass %</t>
        </is>
      </c>
      <c r="F1" s="1" t="inlineStr">
        <is>
          <t>Avg GPA (out of 10)</t>
        </is>
      </c>
      <c r="G1" s="1" t="inlineStr">
        <is>
          <t>API</t>
        </is>
      </c>
      <c r="H1" s="1" t="inlineStr">
        <is>
          <t>Improvement % (vs. Previous Year)</t>
        </is>
      </c>
      <c r="I1" s="1" t="inlineStr">
        <is>
          <t>Actions Taken</t>
        </is>
      </c>
    </row>
    <row r="2">
      <c r="A2" t="inlineStr">
        <is>
          <t>1st Year</t>
        </is>
      </c>
      <c r="B2" t="inlineStr">
        <is>
          <t>CAYm2 (2022-23)</t>
        </is>
      </c>
      <c r="C2" t="n">
        <v>120</v>
      </c>
      <c r="D2" t="n">
        <v>95</v>
      </c>
      <c r="E2">
        <f>IF(C2=0,"",ROUND((D2/C2)*100,1))</f>
        <v/>
      </c>
      <c r="F2" t="n">
        <v>6.8</v>
      </c>
      <c r="G2">
        <f>IF(C2=0,"",ROUND((F2/10)*(D2/C2),2))</f>
        <v/>
      </c>
      <c r="I2" t="inlineStr">
        <is>
          <t>Baseline year – gaps in mathematics &amp; programming</t>
        </is>
      </c>
    </row>
    <row r="3">
      <c r="A3" t="inlineStr">
        <is>
          <t>1st Year</t>
        </is>
      </c>
      <c r="B3" t="inlineStr">
        <is>
          <t>CAYm1 (2023-24)</t>
        </is>
      </c>
      <c r="C3" t="n">
        <v>125</v>
      </c>
      <c r="D3" t="n">
        <v>108</v>
      </c>
      <c r="E3">
        <f>IF(C3=0,"",ROUND((D3/C3)*100,1))</f>
        <v/>
      </c>
      <c r="F3" t="n">
        <v>7.2</v>
      </c>
      <c r="G3">
        <f>IF(C3=0,"",ROUND((F3/10)*(D3/C3),2))</f>
        <v/>
      </c>
      <c r="H3">
        <f>IF(G2=0,"",ROUND(((G3-G2)/G2)*100,1))</f>
        <v/>
      </c>
      <c r="I3" t="inlineStr">
        <is>
          <t>Bridge courses &amp; remedial sessions introduced</t>
        </is>
      </c>
    </row>
    <row r="4">
      <c r="A4" t="inlineStr">
        <is>
          <t>1st Year</t>
        </is>
      </c>
      <c r="B4" t="inlineStr">
        <is>
          <t>CAY (2024-25)</t>
        </is>
      </c>
      <c r="C4" t="n">
        <v>130</v>
      </c>
      <c r="D4" t="n">
        <v>120</v>
      </c>
      <c r="E4">
        <f>IF(C4=0,"",ROUND((D4/C4)*100,1))</f>
        <v/>
      </c>
      <c r="F4" t="n">
        <v>7.8</v>
      </c>
      <c r="G4">
        <f>IF(C4=0,"",ROUND((F4/10)*(D4/C4),2))</f>
        <v/>
      </c>
      <c r="H4">
        <f>IF(G3=0,"",ROUND(((G4-G3)/G3)*100,1))</f>
        <v/>
      </c>
      <c r="I4" t="inlineStr">
        <is>
          <t>Mentoring + ICT-enabled teaching improved results</t>
        </is>
      </c>
    </row>
    <row r="5">
      <c r="A5" t="inlineStr">
        <is>
          <t>2nd Year</t>
        </is>
      </c>
      <c r="B5" t="inlineStr">
        <is>
          <t>CAYm2 (2022-23)</t>
        </is>
      </c>
      <c r="C5" t="n">
        <v>110</v>
      </c>
      <c r="D5" t="n">
        <v>87</v>
      </c>
      <c r="E5">
        <f>IF(C5=0,"",ROUND((D5/C5)*100,1))</f>
        <v/>
      </c>
      <c r="F5" t="n">
        <v>6.9</v>
      </c>
      <c r="G5">
        <f>IF(C5=0,"",ROUND((F5/10)*(D5/C5),2))</f>
        <v/>
      </c>
      <c r="H5">
        <f>IF(G4=0,"",ROUND(((G5-G4)/G4)*100,1))</f>
        <v/>
      </c>
      <c r="I5" t="inlineStr">
        <is>
          <t>Weak lab performance observed</t>
        </is>
      </c>
    </row>
    <row r="6">
      <c r="A6" t="inlineStr">
        <is>
          <t>2nd Year</t>
        </is>
      </c>
      <c r="B6" t="inlineStr">
        <is>
          <t>CAYm1 (2023-24)</t>
        </is>
      </c>
      <c r="C6" t="n">
        <v>115</v>
      </c>
      <c r="D6" t="n">
        <v>97</v>
      </c>
      <c r="E6">
        <f>IF(C6=0,"",ROUND((D6/C6)*100,1))</f>
        <v/>
      </c>
      <c r="F6" t="n">
        <v>7.1</v>
      </c>
      <c r="G6">
        <f>IF(C6=0,"",ROUND((F6/10)*(D6/C6),2))</f>
        <v/>
      </c>
      <c r="H6">
        <f>IF(G5=0,"",ROUND(((G6-G5)/G5)*100,1))</f>
        <v/>
      </c>
      <c r="I6" t="inlineStr">
        <is>
          <t>Improvement after lab workshops</t>
        </is>
      </c>
    </row>
    <row r="7">
      <c r="A7" t="inlineStr">
        <is>
          <t>2nd Year</t>
        </is>
      </c>
      <c r="B7" t="inlineStr">
        <is>
          <t>CAY (2024-25)</t>
        </is>
      </c>
      <c r="C7" t="n">
        <v>118</v>
      </c>
      <c r="D7" t="n">
        <v>104</v>
      </c>
      <c r="E7">
        <f>IF(C7=0,"",ROUND((D7/C7)*100,1))</f>
        <v/>
      </c>
      <c r="F7" t="n">
        <v>7.5</v>
      </c>
      <c r="G7">
        <f>IF(C7=0,"",ROUND((F7/10)*(D7/C7),2))</f>
        <v/>
      </c>
      <c r="H7">
        <f>IF(G6=0,"",ROUND(((G7-G6)/G6)*100,1))</f>
        <v/>
      </c>
      <c r="I7" t="inlineStr">
        <is>
          <t>Improvement with FDP-trained teaching</t>
        </is>
      </c>
    </row>
    <row r="8">
      <c r="A8" t="inlineStr">
        <is>
          <t>3rd Year</t>
        </is>
      </c>
      <c r="B8" t="inlineStr">
        <is>
          <t>CAYm2 (2022-23)</t>
        </is>
      </c>
      <c r="C8" t="n">
        <v>105</v>
      </c>
      <c r="D8" t="n">
        <v>82</v>
      </c>
      <c r="E8">
        <f>IF(C8=0,"",ROUND((D8/C8)*100,1))</f>
        <v/>
      </c>
      <c r="F8" t="n">
        <v>6.7</v>
      </c>
      <c r="G8">
        <f>IF(C8=0,"",ROUND((F8/10)*(D8/C8),2))</f>
        <v/>
      </c>
      <c r="H8">
        <f>IF(G7=0,"",ROUND(((G8-G7)/G7)*100,1))</f>
        <v/>
      </c>
      <c r="I8" t="inlineStr">
        <is>
          <t>Many backlogs – weak fundamentals</t>
        </is>
      </c>
    </row>
    <row r="9">
      <c r="A9" t="inlineStr">
        <is>
          <t>3rd Year</t>
        </is>
      </c>
      <c r="B9" t="inlineStr">
        <is>
          <t>CAYm1 (2023-24)</t>
        </is>
      </c>
      <c r="C9" t="n">
        <v>108</v>
      </c>
      <c r="D9" t="n">
        <v>91</v>
      </c>
      <c r="E9">
        <f>IF(C9=0,"",ROUND((D9/C9)*100,1))</f>
        <v/>
      </c>
      <c r="F9" t="n">
        <v>7</v>
      </c>
      <c r="G9">
        <f>IF(C9=0,"",ROUND((F9/10)*(D9/C9),2))</f>
        <v/>
      </c>
      <c r="H9">
        <f>IF(G8=0,"",ROUND(((G9-G8)/G8)*100,1))</f>
        <v/>
      </c>
      <c r="I9" t="inlineStr">
        <is>
          <t>Mini-projects &amp; mentoring introduced</t>
        </is>
      </c>
    </row>
    <row r="10">
      <c r="A10" t="inlineStr">
        <is>
          <t>3rd Year</t>
        </is>
      </c>
      <c r="B10" t="inlineStr">
        <is>
          <t>CAY (2024-25)</t>
        </is>
      </c>
      <c r="C10" t="n">
        <v>112</v>
      </c>
      <c r="D10" t="n">
        <v>101</v>
      </c>
      <c r="E10">
        <f>IF(C10=0,"",ROUND((D10/C10)*100,1))</f>
        <v/>
      </c>
      <c r="F10" t="n">
        <v>7.6</v>
      </c>
      <c r="G10">
        <f>IF(C10=0,"",ROUND((F10/10)*(D10/C10),2))</f>
        <v/>
      </c>
      <c r="H10">
        <f>IF(G9=0,"",ROUND(((G10-G9)/G9)*100,1))</f>
        <v/>
      </c>
      <c r="I10" t="inlineStr">
        <is>
          <t>Improvement with industry projects &amp; internships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