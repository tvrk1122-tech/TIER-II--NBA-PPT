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quipment" sheetId="1" state="visible" r:id="rId1"/>
    <sheet xmlns:r="http://schemas.openxmlformats.org/officeDocument/2006/relationships" name="Usage_Log" sheetId="2" state="visible" r:id="rId2"/>
    <sheet xmlns:r="http://schemas.openxmlformats.org/officeDocument/2006/relationships" name="Service_Log" sheetId="3" state="visible" r:id="rId3"/>
    <sheet xmlns:r="http://schemas.openxmlformats.org/officeDocument/2006/relationships" name="PM_Schedule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:mm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EquipmentTable" displayName="EquipmentTable" ref="A1:I4" headerRowCount="1">
  <autoFilter ref="A1:I4"/>
  <tableColumns count="9">
    <tableColumn id="1" name="Equipment ID"/>
    <tableColumn id="2" name="Equipment Name"/>
    <tableColumn id="3" name="Lab Name"/>
    <tableColumn id="4" name="Make/Model"/>
    <tableColumn id="5" name="Serial No."/>
    <tableColumn id="6" name="Installation Date"/>
    <tableColumn id="7" name="Warranty Expiry"/>
    <tableColumn id="8" name="AMC Vendor/Contact"/>
    <tableColumn id="9" name="Criticality (High/Med/Low)"/>
  </tableColumns>
  <tableStyleInfo name="TableStyleMedium9" showRowStripes="1"/>
</table>
</file>

<file path=xl/tables/table2.xml><?xml version="1.0" encoding="utf-8"?>
<table xmlns="http://schemas.openxmlformats.org/spreadsheetml/2006/main" id="2" name="UsageTable" displayName="UsageTable" ref="A1:G4" headerRowCount="1">
  <autoFilter ref="A1:G4"/>
  <tableColumns count="7">
    <tableColumn id="1" name="Date"/>
    <tableColumn id="2" name="Equipment ID"/>
    <tableColumn id="3" name="Start Time"/>
    <tableColumn id="4" name="End Time"/>
    <tableColumn id="5" name="Hours (Auto)"/>
    <tableColumn id="6" name="User/Batch"/>
    <tableColumn id="7" name="Purpose/Course"/>
  </tableColumns>
  <tableStyleInfo name="TableStyleMedium9" showRowStripes="1"/>
</table>
</file>

<file path=xl/tables/table3.xml><?xml version="1.0" encoding="utf-8"?>
<table xmlns="http://schemas.openxmlformats.org/spreadsheetml/2006/main" id="3" name="ServiceTable" displayName="ServiceTable" ref="A1:H4" headerRowCount="1">
  <autoFilter ref="A1:H4"/>
  <tableColumns count="8">
    <tableColumn id="1" name="Date"/>
    <tableColumn id="2" name="Equipment ID"/>
    <tableColumn id="3" name="Service Type (PM/BD/Calib)"/>
    <tableColumn id="4" name="Vendor/Technician"/>
    <tableColumn id="5" name="Issue/Observation"/>
    <tableColumn id="6" name="Action Taken"/>
    <tableColumn id="7" name="Downtime (Hours)"/>
    <tableColumn id="8" name="Next Due Date"/>
  </tableColumns>
  <tableStyleInfo name="TableStyleMedium9" showRowStripes="1"/>
</table>
</file>

<file path=xl/tables/table4.xml><?xml version="1.0" encoding="utf-8"?>
<table xmlns="http://schemas.openxmlformats.org/spreadsheetml/2006/main" id="4" name="PMScheduleTable" displayName="PMScheduleTable" ref="A1:E4" headerRowCount="1">
  <autoFilter ref="A1:E4"/>
  <tableColumns count="5">
    <tableColumn id="1" name="Equipment ID"/>
    <tableColumn id="2" name="PM Frequency (Months)"/>
    <tableColumn id="3" name="Last Service Date"/>
    <tableColumn id="4" name="Next Due (Auto)"/>
    <tableColumn id="5" name="Status (Auto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3" customWidth="1" min="3" max="3"/>
    <col width="23" customWidth="1" min="4" max="4"/>
    <col width="16" customWidth="1" min="5" max="5"/>
    <col width="21" customWidth="1" min="6" max="6"/>
    <col width="19" customWidth="1" min="7" max="7"/>
    <col width="33" customWidth="1" min="8" max="8"/>
    <col width="30" customWidth="1" min="9" max="9"/>
  </cols>
  <sheetData>
    <row r="1">
      <c r="A1" t="inlineStr">
        <is>
          <t>Equipment ID</t>
        </is>
      </c>
      <c r="B1" t="inlineStr">
        <is>
          <t>Equipment Name</t>
        </is>
      </c>
      <c r="C1" t="inlineStr">
        <is>
          <t>Lab Name</t>
        </is>
      </c>
      <c r="D1" t="inlineStr">
        <is>
          <t>Make/Model</t>
        </is>
      </c>
      <c r="E1" t="inlineStr">
        <is>
          <t>Serial No.</t>
        </is>
      </c>
      <c r="F1" t="inlineStr">
        <is>
          <t>Installation Date</t>
        </is>
      </c>
      <c r="G1" t="inlineStr">
        <is>
          <t>Warranty Expiry</t>
        </is>
      </c>
      <c r="H1" t="inlineStr">
        <is>
          <t>AMC Vendor/Contact</t>
        </is>
      </c>
      <c r="I1" t="inlineStr">
        <is>
          <t>Criticality (High/Med/Low)</t>
        </is>
      </c>
    </row>
    <row r="2">
      <c r="A2" t="inlineStr">
        <is>
          <t>EL-OSC-01</t>
        </is>
      </c>
      <c r="B2" t="inlineStr">
        <is>
          <t>Digital Oscilloscope</t>
        </is>
      </c>
      <c r="C2" t="inlineStr">
        <is>
          <t>Electronics Lab</t>
        </is>
      </c>
      <c r="D2" t="inlineStr">
        <is>
          <t>Tektronix TBS1102B</t>
        </is>
      </c>
      <c r="E2" t="inlineStr">
        <is>
          <t>TX-1102-9876</t>
        </is>
      </c>
      <c r="F2" t="inlineStr">
        <is>
          <t>2023-01-10</t>
        </is>
      </c>
      <c r="G2" t="inlineStr">
        <is>
          <t>2026-01-09</t>
        </is>
      </c>
      <c r="H2" t="inlineStr">
        <is>
          <t>ABC Tech: 9876543210</t>
        </is>
      </c>
      <c r="I2" t="inlineStr">
        <is>
          <t>High</t>
        </is>
      </c>
    </row>
    <row r="3">
      <c r="A3" t="inlineStr">
        <is>
          <t>ME-CNC-01</t>
        </is>
      </c>
      <c r="B3" t="inlineStr">
        <is>
          <t>CNC Milling Trainer</t>
        </is>
      </c>
      <c r="C3" t="inlineStr">
        <is>
          <t>Mechanical Workshop</t>
        </is>
      </c>
      <c r="D3" t="inlineStr">
        <is>
          <t>XYZ CNC-TR</t>
        </is>
      </c>
      <c r="E3" t="inlineStr">
        <is>
          <t>CNC-TR-2231</t>
        </is>
      </c>
      <c r="F3" t="inlineStr">
        <is>
          <t>2022-08-05</t>
        </is>
      </c>
      <c r="G3" t="inlineStr">
        <is>
          <t>2025-08-04</t>
        </is>
      </c>
      <c r="H3" t="inlineStr">
        <is>
          <t>MechServe: 9876500011</t>
        </is>
      </c>
      <c r="I3" t="inlineStr">
        <is>
          <t>High</t>
        </is>
      </c>
    </row>
    <row r="4">
      <c r="A4" t="inlineStr">
        <is>
          <t>CS-CPU-01</t>
        </is>
      </c>
      <c r="B4" t="inlineStr">
        <is>
          <t>GPU Workstation</t>
        </is>
      </c>
      <c r="C4" t="inlineStr">
        <is>
          <t>AI &amp; DS Lab</t>
        </is>
      </c>
      <c r="D4" t="inlineStr">
        <is>
          <t>Dell Precision 7875</t>
        </is>
      </c>
      <c r="E4" t="inlineStr">
        <is>
          <t>D-7875-5567</t>
        </is>
      </c>
      <c r="F4" t="inlineStr">
        <is>
          <t>2024-02-01</t>
        </is>
      </c>
      <c r="G4" t="inlineStr">
        <is>
          <t>2027-01-31</t>
        </is>
      </c>
      <c r="H4" t="inlineStr">
        <is>
          <t>Dell ProSupport: 1800-XXX-XXX</t>
        </is>
      </c>
      <c r="I4" t="inlineStr">
        <is>
          <t>Medium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6" customWidth="1" min="5" max="5"/>
    <col width="14" customWidth="1" min="6" max="6"/>
    <col width="27" customWidth="1" min="7" max="7"/>
  </cols>
  <sheetData>
    <row r="1">
      <c r="A1" t="inlineStr">
        <is>
          <t>Date</t>
        </is>
      </c>
      <c r="B1" t="inlineStr">
        <is>
          <t>Equipment ID</t>
        </is>
      </c>
      <c r="C1" t="inlineStr">
        <is>
          <t>Start Time</t>
        </is>
      </c>
      <c r="D1" t="inlineStr">
        <is>
          <t>End Time</t>
        </is>
      </c>
      <c r="E1" t="inlineStr">
        <is>
          <t>Hours (Auto)</t>
        </is>
      </c>
      <c r="F1" t="inlineStr">
        <is>
          <t>User/Batch</t>
        </is>
      </c>
      <c r="G1" t="inlineStr">
        <is>
          <t>Purpose/Course</t>
        </is>
      </c>
    </row>
    <row r="2">
      <c r="A2" t="inlineStr">
        <is>
          <t>2025-08-01</t>
        </is>
      </c>
      <c r="B2" t="inlineStr">
        <is>
          <t>EL-OSC-01</t>
        </is>
      </c>
      <c r="C2" s="1" t="inlineStr">
        <is>
          <t>09:00</t>
        </is>
      </c>
      <c r="D2" s="1" t="inlineStr">
        <is>
          <t>11:00</t>
        </is>
      </c>
      <c r="E2" s="2">
        <f>(D2-C2)*24</f>
        <v/>
      </c>
      <c r="F2" t="inlineStr">
        <is>
          <t>ECE-A</t>
        </is>
      </c>
      <c r="G2" t="inlineStr">
        <is>
          <t>Digital Electronics Lab</t>
        </is>
      </c>
    </row>
    <row r="3">
      <c r="A3" t="inlineStr">
        <is>
          <t>2025-08-02</t>
        </is>
      </c>
      <c r="B3" t="inlineStr">
        <is>
          <t>CS-CPU-01</t>
        </is>
      </c>
      <c r="C3" s="1" t="inlineStr">
        <is>
          <t>14:00</t>
        </is>
      </c>
      <c r="D3" s="1" t="inlineStr">
        <is>
          <t>17:30</t>
        </is>
      </c>
      <c r="E3" s="2">
        <f>(D3-C3)*24</f>
        <v/>
      </c>
      <c r="F3" t="inlineStr">
        <is>
          <t>AIDS-B</t>
        </is>
      </c>
      <c r="G3" t="inlineStr">
        <is>
          <t>Deep Learning Practicum</t>
        </is>
      </c>
    </row>
    <row r="4">
      <c r="A4" t="inlineStr">
        <is>
          <t>2025-08-02</t>
        </is>
      </c>
      <c r="B4" t="inlineStr">
        <is>
          <t>ME-CNC-01</t>
        </is>
      </c>
      <c r="C4" s="1" t="inlineStr">
        <is>
          <t>10:00</t>
        </is>
      </c>
      <c r="D4" s="1" t="inlineStr">
        <is>
          <t>12:30</t>
        </is>
      </c>
      <c r="E4" s="2">
        <f>(D4-C4)*24</f>
        <v/>
      </c>
      <c r="F4" t="inlineStr">
        <is>
          <t>ME-A</t>
        </is>
      </c>
      <c r="G4" t="inlineStr">
        <is>
          <t>CNC Machining Exercise</t>
        </is>
      </c>
    </row>
  </sheetData>
  <dataValidations count="1">
    <dataValidation sqref="B2:B1000" showErrorMessage="1" showInputMessage="1" allowBlank="0" type="list">
      <formula1>=Master_Equipment!$A$2:$A$1000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21" customWidth="1" min="4" max="4"/>
    <col width="26" customWidth="1" min="5" max="5"/>
    <col width="24" customWidth="1" min="6" max="6"/>
    <col width="20" customWidth="1" min="7" max="7"/>
    <col width="17" customWidth="1" min="8" max="8"/>
  </cols>
  <sheetData>
    <row r="1">
      <c r="A1" t="inlineStr">
        <is>
          <t>Date</t>
        </is>
      </c>
      <c r="B1" t="inlineStr">
        <is>
          <t>Equipment ID</t>
        </is>
      </c>
      <c r="C1" t="inlineStr">
        <is>
          <t>Service Type (PM/BD/Calib)</t>
        </is>
      </c>
      <c r="D1" t="inlineStr">
        <is>
          <t>Vendor/Technician</t>
        </is>
      </c>
      <c r="E1" t="inlineStr">
        <is>
          <t>Issue/Observation</t>
        </is>
      </c>
      <c r="F1" t="inlineStr">
        <is>
          <t>Action Taken</t>
        </is>
      </c>
      <c r="G1" t="inlineStr">
        <is>
          <t>Downtime (Hours)</t>
        </is>
      </c>
      <c r="H1" t="inlineStr">
        <is>
          <t>Next Due Date</t>
        </is>
      </c>
    </row>
    <row r="2">
      <c r="A2" t="inlineStr">
        <is>
          <t>2025-07-20</t>
        </is>
      </c>
      <c r="B2" t="inlineStr">
        <is>
          <t>EL-OSC-01</t>
        </is>
      </c>
      <c r="C2" t="inlineStr">
        <is>
          <t>Calib</t>
        </is>
      </c>
      <c r="D2" t="inlineStr">
        <is>
          <t>ABC Tech</t>
        </is>
      </c>
      <c r="E2" t="inlineStr">
        <is>
          <t>Annual calibration</t>
        </is>
      </c>
      <c r="F2" t="inlineStr">
        <is>
          <t>Calibrated with cert</t>
        </is>
      </c>
      <c r="G2" t="n">
        <v>2</v>
      </c>
      <c r="H2" t="inlineStr">
        <is>
          <t>2026-07-20</t>
        </is>
      </c>
    </row>
    <row r="3">
      <c r="A3" t="inlineStr">
        <is>
          <t>2025-06-10</t>
        </is>
      </c>
      <c r="B3" t="inlineStr">
        <is>
          <t>ME-CNC-01</t>
        </is>
      </c>
      <c r="C3" t="inlineStr">
        <is>
          <t>PM</t>
        </is>
      </c>
      <c r="D3" t="inlineStr">
        <is>
          <t>MechServe</t>
        </is>
      </c>
      <c r="E3" t="inlineStr">
        <is>
          <t>Preventive maintenance</t>
        </is>
      </c>
      <c r="F3" t="inlineStr">
        <is>
          <t>Greasing, alignment</t>
        </is>
      </c>
      <c r="G3" t="n">
        <v>4</v>
      </c>
      <c r="H3" t="inlineStr">
        <is>
          <t>2025-12-10</t>
        </is>
      </c>
    </row>
    <row r="4">
      <c r="A4" t="inlineStr">
        <is>
          <t>2025-07-15</t>
        </is>
      </c>
      <c r="B4" t="inlineStr">
        <is>
          <t>CS-CPU-01</t>
        </is>
      </c>
      <c r="C4" t="inlineStr">
        <is>
          <t>BD</t>
        </is>
      </c>
      <c r="D4" t="inlineStr">
        <is>
          <t>Dell ProSupport</t>
        </is>
      </c>
      <c r="E4" t="inlineStr">
        <is>
          <t>GPU fan failure</t>
        </is>
      </c>
      <c r="F4" t="inlineStr">
        <is>
          <t>Fan replaced</t>
        </is>
      </c>
      <c r="G4" t="n">
        <v>6</v>
      </c>
      <c r="H4" t="inlineStr"/>
    </row>
  </sheetData>
  <dataValidations count="2">
    <dataValidation sqref="B2:B1000" showErrorMessage="1" showInputMessage="1" allowBlank="0" type="list">
      <formula1>=Master_Equipment!$A$2:$A$1000</formula1>
    </dataValidation>
    <dataValidation sqref="C2:C1000" showErrorMessage="1" showInputMessage="1" allowBlank="0" type="list">
      <formula1>"PM,BD,Calib"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1" customWidth="1" min="3" max="3"/>
    <col width="43" customWidth="1" min="4" max="4"/>
    <col width="76" customWidth="1" min="5" max="5"/>
  </cols>
  <sheetData>
    <row r="1">
      <c r="A1" t="inlineStr">
        <is>
          <t>Equipment ID</t>
        </is>
      </c>
      <c r="B1" t="inlineStr">
        <is>
          <t>PM Frequency (Months)</t>
        </is>
      </c>
      <c r="C1" t="inlineStr">
        <is>
          <t>Last Service Date</t>
        </is>
      </c>
      <c r="D1" t="inlineStr">
        <is>
          <t>Next Due (Auto)</t>
        </is>
      </c>
      <c r="E1" t="inlineStr">
        <is>
          <t>Status (Auto)</t>
        </is>
      </c>
    </row>
    <row r="2">
      <c r="A2" t="inlineStr">
        <is>
          <t>EL-OSC-01</t>
        </is>
      </c>
      <c r="B2" t="n">
        <v>12</v>
      </c>
      <c r="C2" s="3" t="inlineStr">
        <is>
          <t>2025-07-20</t>
        </is>
      </c>
      <c r="D2" s="3">
        <f>IF(AND(C2&lt;&gt;"",B2&lt;&gt;""),EDATE(C2,B2),"")</f>
        <v/>
      </c>
      <c r="E2">
        <f>IF(D2="","",IF(D2&lt;TODAY(),"OVERDUE",IF(D2&lt;=TODAY()+7,"DUE SOON","OK")))</f>
        <v/>
      </c>
    </row>
    <row r="3">
      <c r="A3" t="inlineStr">
        <is>
          <t>ME-CNC-01</t>
        </is>
      </c>
      <c r="B3" t="n">
        <v>6</v>
      </c>
      <c r="C3" s="3" t="inlineStr">
        <is>
          <t>2025-06-10</t>
        </is>
      </c>
      <c r="D3" s="3">
        <f>IF(AND(C3&lt;&gt;"",B3&lt;&gt;""),EDATE(C3,B3),"")</f>
        <v/>
      </c>
      <c r="E3">
        <f>IF(D3="","",IF(D3&lt;TODAY(),"OVERDUE",IF(D3&lt;=TODAY()+7,"DUE SOON","OK")))</f>
        <v/>
      </c>
    </row>
    <row r="4">
      <c r="A4" t="inlineStr">
        <is>
          <t>CS-CPU-01</t>
        </is>
      </c>
      <c r="B4" t="n">
        <v>12</v>
      </c>
      <c r="C4" s="3" t="inlineStr">
        <is>
          <t>2025-07-15</t>
        </is>
      </c>
      <c r="D4" s="3">
        <f>IF(AND(C4&lt;&gt;"",B4&lt;&gt;""),EDATE(C4,B4),"")</f>
        <v/>
      </c>
      <c r="E4">
        <f>IF(D4="","",IF(D4&lt;TODAY(),"OVERDUE",IF(D4&lt;=TODAY()+7,"DUE SOON","OK")))</f>
        <v/>
      </c>
    </row>
  </sheetData>
  <conditionalFormatting sqref="E2:E1000">
    <cfRule type="cellIs" priority="1" operator="equal" dxfId="0">
      <formula>"OVERDUE"</formula>
    </cfRule>
    <cfRule type="cellIs" priority="2" operator="equal" dxfId="1">
      <formula>"DUE SOON"</formula>
    </cfRule>
    <cfRule type="cellIs" priority="3" operator="equal" dxfId="2">
      <formula>"OK"</formula>
    </cfRule>
  </conditionalFormatting>
  <dataValidations count="1">
    <dataValidation sqref="A2:A1000" showErrorMessage="1" showInputMessage="1" allowBlank="0" type="list">
      <formula1>=Master_Equipment!$A$2:$A$1000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42" customWidth="1" min="3" max="3"/>
    <col width="46" customWidth="1" min="4" max="4"/>
    <col width="52" customWidth="1" min="5" max="5"/>
    <col width="52" customWidth="1" min="6" max="6"/>
  </cols>
  <sheetData>
    <row r="1">
      <c r="A1" t="inlineStr">
        <is>
          <t>Metric</t>
        </is>
      </c>
      <c r="B1" t="inlineStr">
        <is>
          <t>Value / Formula</t>
        </is>
      </c>
    </row>
    <row r="2">
      <c r="A2" t="inlineStr">
        <is>
          <t>Total Equipment</t>
        </is>
      </c>
      <c r="B2">
        <f>COUNTA(Master_Equipment!A2:A1000)</f>
        <v/>
      </c>
    </row>
    <row r="3"/>
    <row r="4">
      <c r="A4" t="inlineStr">
        <is>
          <t>Equipment ID</t>
        </is>
      </c>
      <c r="B4" t="inlineStr">
        <is>
          <t>Equipment Name</t>
        </is>
      </c>
      <c r="C4" t="inlineStr">
        <is>
          <t>Utilization Hours (SUM)</t>
        </is>
      </c>
      <c r="D4" t="inlineStr">
        <is>
          <t>Downtime Hours (SUM)</t>
        </is>
      </c>
      <c r="E4" t="inlineStr">
        <is>
          <t>Next PM Due</t>
        </is>
      </c>
      <c r="F4" t="inlineStr">
        <is>
          <t>PM Status</t>
        </is>
      </c>
    </row>
    <row r="5">
      <c r="A5">
        <f>Master_Equipment!A2</f>
        <v/>
      </c>
      <c r="B5">
        <f>Master_Equipment!B2</f>
        <v/>
      </c>
      <c r="C5" s="2">
        <f>SUMIF(Usage_Log!B:B,A5,Usage_Log!E:E)</f>
        <v/>
      </c>
      <c r="D5" s="2">
        <f>SUMIF(Service_Log!B:B,A5,Service_Log!G:G)</f>
        <v/>
      </c>
      <c r="E5" s="3">
        <f>IFERROR(VLOOKUP(A5,PM_Schedule!A:D,4,FALSE),"")</f>
        <v/>
      </c>
      <c r="F5">
        <f>IFERROR(VLOOKUP(A5,PM_Schedule!A:E,5,FALSE),"")</f>
        <v/>
      </c>
    </row>
    <row r="6">
      <c r="A6">
        <f>Master_Equipment!A3</f>
        <v/>
      </c>
      <c r="B6">
        <f>Master_Equipment!B3</f>
        <v/>
      </c>
      <c r="C6" s="2">
        <f>SUMIF(Usage_Log!B:B,A6,Usage_Log!E:E)</f>
        <v/>
      </c>
      <c r="D6" s="2">
        <f>SUMIF(Service_Log!B:B,A6,Service_Log!G:G)</f>
        <v/>
      </c>
      <c r="E6" s="3">
        <f>IFERROR(VLOOKUP(A6,PM_Schedule!A:D,4,FALSE),"")</f>
        <v/>
      </c>
      <c r="F6">
        <f>IFERROR(VLOOKUP(A6,PM_Schedule!A:E,5,FALSE),"")</f>
        <v/>
      </c>
    </row>
    <row r="7">
      <c r="A7">
        <f>Master_Equipment!A4</f>
        <v/>
      </c>
      <c r="B7">
        <f>Master_Equipment!B4</f>
        <v/>
      </c>
      <c r="C7" s="2">
        <f>SUMIF(Usage_Log!B:B,A7,Usage_Log!E:E)</f>
        <v/>
      </c>
      <c r="D7" s="2">
        <f>SUMIF(Service_Log!B:B,A7,Service_Log!G:G)</f>
        <v/>
      </c>
      <c r="E7" s="3">
        <f>IFERROR(VLOOKUP(A7,PM_Schedule!A:D,4,FALSE),"")</f>
        <v/>
      </c>
      <c r="F7">
        <f>IFERROR(VLOOKUP(A7,PM_Schedule!A:E,5,FALSE),"")</f>
        <v/>
      </c>
    </row>
  </sheetData>
  <conditionalFormatting sqref="F5:F9">
    <cfRule type="cellIs" priority="1" operator="equal" dxfId="0">
      <formula>"OVERDUE"</formula>
    </cfRule>
    <cfRule type="cellIs" priority="2" operator="equal" dxfId="1">
      <formula>"DUE SOON"</formula>
    </cfRule>
    <cfRule type="cellIs" priority="3" operator="equal" dxfId="2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2025-08-27T06:28:22Z</dcterms:created>
  <dcterms:modified xmlns:dcterms="http://purl.org/dc/terms/" xmlns:xsi="http://www.w3.org/2001/XMLSchema-instance" xsi:type="dcterms:W3CDTF">2025-08-27T06:28:22Z</dcterms:modified>
</cp:coreProperties>
</file>