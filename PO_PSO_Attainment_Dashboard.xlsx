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-PO Matrix" sheetId="1" state="visible" r:id="rId1"/>
    <sheet xmlns:r="http://schemas.openxmlformats.org/officeDocument/2006/relationships" name="PO Attainment Summary" sheetId="2" state="visible" r:id="rId2"/>
    <sheet xmlns:r="http://schemas.openxmlformats.org/officeDocument/2006/relationships" name="PSO Attain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</t>
        </is>
      </c>
      <c r="D1" s="1" t="inlineStr">
        <is>
          <t>PO1</t>
        </is>
      </c>
      <c r="E1" s="1" t="inlineStr">
        <is>
          <t>PO2</t>
        </is>
      </c>
      <c r="F1" s="1" t="inlineStr">
        <is>
          <t>PO3</t>
        </is>
      </c>
      <c r="G1" s="1" t="inlineStr">
        <is>
          <t>PO4</t>
        </is>
      </c>
      <c r="H1" s="1" t="inlineStr">
        <is>
          <t>PO5</t>
        </is>
      </c>
      <c r="I1" s="1" t="inlineStr">
        <is>
          <t>PO6</t>
        </is>
      </c>
      <c r="J1" s="1" t="inlineStr">
        <is>
          <t>PO7</t>
        </is>
      </c>
      <c r="K1" s="1" t="inlineStr">
        <is>
          <t>PO8</t>
        </is>
      </c>
      <c r="L1" s="1" t="inlineStr">
        <is>
          <t>PO9</t>
        </is>
      </c>
      <c r="M1" s="1" t="inlineStr">
        <is>
          <t>PO10</t>
        </is>
      </c>
      <c r="N1" s="1" t="inlineStr">
        <is>
          <t>PO11</t>
        </is>
      </c>
      <c r="O1" s="1" t="inlineStr">
        <is>
          <t>PO12</t>
        </is>
      </c>
    </row>
    <row r="2">
      <c r="A2" t="inlineStr">
        <is>
          <t>CS101</t>
        </is>
      </c>
      <c r="B2" t="inlineStr">
        <is>
          <t>Programming Fundamentals</t>
        </is>
      </c>
      <c r="C2" t="inlineStr">
        <is>
          <t>CO1</t>
        </is>
      </c>
      <c r="D2" t="n">
        <v>3</v>
      </c>
      <c r="E2" t="n">
        <v>2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CS101</t>
        </is>
      </c>
      <c r="B3" t="inlineStr">
        <is>
          <t>Programming Fundamentals</t>
        </is>
      </c>
      <c r="C3" t="inlineStr">
        <is>
          <t>CO2</t>
        </is>
      </c>
      <c r="D3" t="n">
        <v>2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CS102</t>
        </is>
      </c>
      <c r="B4" t="inlineStr">
        <is>
          <t>Data Structures</t>
        </is>
      </c>
      <c r="C4" t="inlineStr">
        <is>
          <t>CO1</t>
        </is>
      </c>
      <c r="D4" t="n">
        <v>1</v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PO</t>
        </is>
      </c>
      <c r="B1" s="2" t="inlineStr">
        <is>
          <t>Direct Attainment (%)</t>
        </is>
      </c>
      <c r="C1" s="2" t="inlineStr">
        <is>
          <t>Indirect Attainment (%)</t>
        </is>
      </c>
      <c r="D1" s="2" t="inlineStr">
        <is>
          <t>Weight Direct (80%)</t>
        </is>
      </c>
      <c r="E1" s="2" t="inlineStr">
        <is>
          <t>Weight Indirect (20%)</t>
        </is>
      </c>
      <c r="F1" s="2" t="inlineStr">
        <is>
          <t>Final Weighted Attainment (%)</t>
        </is>
      </c>
      <c r="G1" s="2" t="inlineStr">
        <is>
          <t>Target (%)</t>
        </is>
      </c>
      <c r="H1" s="2" t="inlineStr">
        <is>
          <t>Gap</t>
        </is>
      </c>
      <c r="I1" s="2" t="inlineStr">
        <is>
          <t>Status</t>
        </is>
      </c>
    </row>
    <row r="2">
      <c r="A2" t="inlineStr">
        <is>
          <t>PO1</t>
        </is>
      </c>
      <c r="B2" t="n">
        <v>72</v>
      </c>
      <c r="C2" t="n">
        <v>68</v>
      </c>
      <c r="D2" t="n">
        <v>80</v>
      </c>
      <c r="E2" t="n">
        <v>20</v>
      </c>
      <c r="F2">
        <f>ROUND((B2*D2 + C2*E2)/100,2)</f>
        <v/>
      </c>
      <c r="G2" t="n">
        <v>70</v>
      </c>
      <c r="H2">
        <f>F2-G2</f>
        <v/>
      </c>
      <c r="I2">
        <f>IF(F2&gt;=G2,"Met","Not Met")</f>
        <v/>
      </c>
    </row>
    <row r="3">
      <c r="A3" t="inlineStr">
        <is>
          <t>PO2</t>
        </is>
      </c>
      <c r="B3" t="n">
        <v>65</v>
      </c>
      <c r="C3" t="n">
        <v>63</v>
      </c>
      <c r="D3" t="n">
        <v>80</v>
      </c>
      <c r="E3" t="n">
        <v>20</v>
      </c>
      <c r="F3">
        <f>ROUND((B3*D3 + C3*E3)/100,2)</f>
        <v/>
      </c>
      <c r="G3" t="n">
        <v>70</v>
      </c>
      <c r="H3">
        <f>F3-G3</f>
        <v/>
      </c>
      <c r="I3">
        <f>IF(F3&gt;=G3,"Met","Not Met")</f>
        <v/>
      </c>
    </row>
    <row r="4">
      <c r="A4" t="inlineStr">
        <is>
          <t>PO3</t>
        </is>
      </c>
      <c r="B4" t="n">
        <v>58</v>
      </c>
      <c r="C4" t="n">
        <v>61</v>
      </c>
      <c r="D4" t="n">
        <v>80</v>
      </c>
      <c r="E4" t="n">
        <v>20</v>
      </c>
      <c r="F4">
        <f>ROUND((B4*D4 + C4*E4)/100,2)</f>
        <v/>
      </c>
      <c r="G4" t="n">
        <v>70</v>
      </c>
      <c r="H4">
        <f>F4-G4</f>
        <v/>
      </c>
      <c r="I4">
        <f>IF(F4&gt;=G4,"Met","Not Met")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PSO</t>
        </is>
      </c>
      <c r="B1" s="2" t="inlineStr">
        <is>
          <t>Direct Attainment (%)</t>
        </is>
      </c>
      <c r="C1" s="2" t="inlineStr">
        <is>
          <t>Indirect Attainment (%)</t>
        </is>
      </c>
      <c r="D1" s="2" t="inlineStr">
        <is>
          <t>Weight Direct (80%)</t>
        </is>
      </c>
      <c r="E1" s="2" t="inlineStr">
        <is>
          <t>Weight Indirect (20%)</t>
        </is>
      </c>
      <c r="F1" s="2" t="inlineStr">
        <is>
          <t>Final Weighted Attainment (%)</t>
        </is>
      </c>
      <c r="G1" s="2" t="inlineStr">
        <is>
          <t>Target (%)</t>
        </is>
      </c>
      <c r="H1" s="2" t="inlineStr">
        <is>
          <t>Gap</t>
        </is>
      </c>
      <c r="I1" s="2" t="inlineStr">
        <is>
          <t>Status</t>
        </is>
      </c>
    </row>
    <row r="2">
      <c r="A2" t="inlineStr">
        <is>
          <t>PSO1</t>
        </is>
      </c>
      <c r="B2" t="n">
        <v>74</v>
      </c>
      <c r="C2" t="n">
        <v>70</v>
      </c>
      <c r="D2" t="n">
        <v>80</v>
      </c>
      <c r="E2" t="n">
        <v>20</v>
      </c>
      <c r="F2">
        <f>ROUND((B2*D2 + C2*E2)/100,2)</f>
        <v/>
      </c>
      <c r="G2" t="n">
        <v>70</v>
      </c>
      <c r="H2">
        <f>F2-G2</f>
        <v/>
      </c>
      <c r="I2">
        <f>IF(F2&gt;=G2,"Met","Not Met")</f>
        <v/>
      </c>
    </row>
    <row r="3">
      <c r="A3" t="inlineStr">
        <is>
          <t>PSO2</t>
        </is>
      </c>
      <c r="B3" t="n">
        <v>68</v>
      </c>
      <c r="C3" t="n">
        <v>65</v>
      </c>
      <c r="D3" t="n">
        <v>80</v>
      </c>
      <c r="E3" t="n">
        <v>20</v>
      </c>
      <c r="F3">
        <f>ROUND((B3*D3 + C3*E3)/100,2)</f>
        <v/>
      </c>
      <c r="G3" t="n">
        <v>70</v>
      </c>
      <c r="H3">
        <f>F3-G3</f>
        <v/>
      </c>
      <c r="I3">
        <f>IF(F3&gt;=G3,"Met","Not Met")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