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taff_Master" sheetId="2" state="visible" r:id="rId2"/>
    <sheet xmlns:r="http://schemas.openxmlformats.org/officeDocument/2006/relationships" name="Payroll_Register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Payroll Tracker — NBA Accreditation (Faculty Employment Evidence)</t>
        </is>
      </c>
    </row>
    <row r="3">
      <c r="A3" t="inlineStr">
        <is>
          <t>- Use 'Staff_Master' to maintain faculty list (Name, EmpID, Dept, DOJ, Status).</t>
        </is>
      </c>
    </row>
    <row r="4">
      <c r="A4" t="inlineStr">
        <is>
          <t>- Record monthly payments in 'Payroll_Register'. Net Pay and monthly/yearly totals are auto-calculated.</t>
        </is>
      </c>
    </row>
    <row r="5">
      <c r="A5" t="inlineStr">
        <is>
          <t>- Attach proof: Bank/ECS ref, payslip ID, or document link in the 'Proof_ID_or_Link' column.</t>
        </is>
      </c>
    </row>
    <row r="6">
      <c r="A6" t="inlineStr">
        <is>
          <t>- Use filters on headers to view CAY / CAYm1 / CAYm2 (set 'Year' appropriately).</t>
        </is>
      </c>
    </row>
    <row r="7">
      <c r="A7" t="inlineStr">
        <is>
          <t>- 'Summary' shows Year-wise totals by Month and by Faculty using SUMIF/SUMIFS.</t>
        </is>
      </c>
    </row>
    <row r="8">
      <c r="A8" t="inlineStr">
        <is>
          <t>- Keep at least 3 months’ records for each faculty per NBA year. Export to PDF for audit if needed.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20" customWidth="1" min="4" max="4"/>
    <col width="26" customWidth="1" min="5" max="5"/>
    <col width="16" customWidth="1" min="6" max="6"/>
    <col width="16" customWidth="1" min="7" max="7"/>
    <col width="12" customWidth="1" min="8" max="8"/>
    <col width="18" customWidth="1" min="9" max="9"/>
    <col width="24" customWidth="1" min="10" max="10"/>
  </cols>
  <sheetData>
    <row r="1">
      <c r="A1" s="2" t="inlineStr">
        <is>
          <t>Emp_ID</t>
        </is>
      </c>
      <c r="B1" s="2" t="inlineStr">
        <is>
          <t>Faculty_Name</t>
        </is>
      </c>
      <c r="C1" s="2" t="inlineStr">
        <is>
          <t>Department</t>
        </is>
      </c>
      <c r="D1" s="2" t="inlineStr">
        <is>
          <t>Designation</t>
        </is>
      </c>
      <c r="E1" s="2" t="inlineStr">
        <is>
          <t>Employment_Type (Regular/Contractual_FT)</t>
        </is>
      </c>
      <c r="F1" s="2" t="inlineStr">
        <is>
          <t>Date_of_Joining</t>
        </is>
      </c>
      <c r="G1" s="2" t="inlineStr">
        <is>
          <t>Date_of_Relieving</t>
        </is>
      </c>
      <c r="H1" s="2" t="inlineStr">
        <is>
          <t>Active (Yes/No)</t>
        </is>
      </c>
      <c r="I1" s="2" t="inlineStr">
        <is>
          <t>Bank_Account_Last4</t>
        </is>
      </c>
      <c r="J1" s="2" t="inlineStr">
        <is>
          <t>Remarks</t>
        </is>
      </c>
    </row>
    <row r="2">
      <c r="A2" s="3" t="inlineStr">
        <is>
          <t>EMP001</t>
        </is>
      </c>
      <c r="B2" s="3" t="inlineStr">
        <is>
          <t>Dr. A.B. XYZ</t>
        </is>
      </c>
      <c r="C2" s="3" t="inlineStr">
        <is>
          <t>CSE</t>
        </is>
      </c>
      <c r="D2" s="3" t="inlineStr">
        <is>
          <t>Professor</t>
        </is>
      </c>
      <c r="E2" s="3" t="inlineStr">
        <is>
          <t>Regular</t>
        </is>
      </c>
      <c r="F2" s="3" t="inlineStr">
        <is>
          <t>2020-07-01</t>
        </is>
      </c>
      <c r="G2" s="3" t="inlineStr"/>
      <c r="H2" s="3" t="inlineStr">
        <is>
          <t>Yes</t>
        </is>
      </c>
      <c r="I2" s="3" t="inlineStr">
        <is>
          <t>1234</t>
        </is>
      </c>
      <c r="J2" s="3" t="inlineStr"/>
    </row>
    <row r="3">
      <c r="A3" s="3" t="inlineStr">
        <is>
          <t>EMP002</t>
        </is>
      </c>
      <c r="B3" s="3" t="inlineStr">
        <is>
          <t>Ms. C.D. PQR</t>
        </is>
      </c>
      <c r="C3" s="3" t="inlineStr">
        <is>
          <t>CSE-AI</t>
        </is>
      </c>
      <c r="D3" s="3" t="inlineStr">
        <is>
          <t>Assistant Professor</t>
        </is>
      </c>
      <c r="E3" s="3" t="inlineStr">
        <is>
          <t>Regular</t>
        </is>
      </c>
      <c r="F3" s="3" t="inlineStr">
        <is>
          <t>2021-08-15</t>
        </is>
      </c>
      <c r="G3" s="3" t="inlineStr"/>
      <c r="H3" s="3" t="inlineStr">
        <is>
          <t>Yes</t>
        </is>
      </c>
      <c r="I3" s="3" t="inlineStr">
        <is>
          <t>5678</t>
        </is>
      </c>
      <c r="J3" s="3" t="inlineStr"/>
    </row>
    <row r="4">
      <c r="A4" s="3" t="inlineStr">
        <is>
          <t>EMP003</t>
        </is>
      </c>
      <c r="B4" s="3" t="inlineStr">
        <is>
          <t>Mr. E.F. LMN</t>
        </is>
      </c>
      <c r="C4" s="3" t="inlineStr">
        <is>
          <t>IT (Allied)</t>
        </is>
      </c>
      <c r="D4" s="3" t="inlineStr">
        <is>
          <t>Assistant Professor</t>
        </is>
      </c>
      <c r="E4" s="3" t="inlineStr">
        <is>
          <t>Contractual_FT</t>
        </is>
      </c>
      <c r="F4" s="3" t="inlineStr">
        <is>
          <t>2021-09-20</t>
        </is>
      </c>
      <c r="G4" s="3" t="inlineStr"/>
      <c r="H4" s="3" t="inlineStr">
        <is>
          <t>Yes</t>
        </is>
      </c>
      <c r="I4" s="3" t="inlineStr">
        <is>
          <t>9012</t>
        </is>
      </c>
      <c r="J4" s="3" t="inlineStr"/>
    </row>
  </sheetData>
  <dataValidations count="2">
    <dataValidation sqref="E2:E1000" showErrorMessage="1" showInputMessage="1" allowBlank="0" type="list">
      <formula1>"Regular,Contractual_FT"</formula1>
    </dataValidation>
    <dataValidation sqref="H2:H1000" showErrorMessage="1" showInputMessage="1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  <col width="24" customWidth="1" min="5" max="5"/>
    <col width="16" customWidth="1" min="6" max="6"/>
    <col width="20" customWidth="1" min="7" max="7"/>
    <col width="18" customWidth="1" min="8" max="8"/>
    <col width="12" customWidth="1" min="9" max="9"/>
    <col width="10" customWidth="1" min="10" max="10"/>
    <col width="10" customWidth="1" min="11" max="11"/>
    <col width="10" customWidth="1" min="12" max="12"/>
    <col width="16" customWidth="1" min="13" max="13"/>
    <col width="16" customWidth="1" min="14" max="14"/>
    <col width="12" customWidth="1" min="15" max="15"/>
    <col width="16" customWidth="1" min="16" max="16"/>
    <col width="22" customWidth="1" min="17" max="17"/>
    <col width="20" customWidth="1" min="18" max="18"/>
  </cols>
  <sheetData>
    <row r="1">
      <c r="A1" s="2" t="inlineStr">
        <is>
          <t>Date</t>
        </is>
      </c>
      <c r="B1" s="2" t="inlineStr">
        <is>
          <t>Month</t>
        </is>
      </c>
      <c r="C1" s="2" t="inlineStr">
        <is>
          <t>Year</t>
        </is>
      </c>
      <c r="D1" s="2" t="inlineStr">
        <is>
          <t>Emp_ID</t>
        </is>
      </c>
      <c r="E1" s="2" t="inlineStr">
        <is>
          <t>Faculty_Name</t>
        </is>
      </c>
      <c r="F1" s="2" t="inlineStr">
        <is>
          <t>Department</t>
        </is>
      </c>
      <c r="G1" s="2" t="inlineStr">
        <is>
          <t>Designation</t>
        </is>
      </c>
      <c r="H1" s="2" t="inlineStr">
        <is>
          <t>Employment_Type</t>
        </is>
      </c>
      <c r="I1" s="2" t="inlineStr">
        <is>
          <t>Gross_Pay</t>
        </is>
      </c>
      <c r="J1" s="2" t="inlineStr">
        <is>
          <t>EPF</t>
        </is>
      </c>
      <c r="K1" s="2" t="inlineStr">
        <is>
          <t>ESI</t>
        </is>
      </c>
      <c r="L1" s="2" t="inlineStr">
        <is>
          <t>TDS</t>
        </is>
      </c>
      <c r="M1" s="2" t="inlineStr">
        <is>
          <t>Other_Deductions</t>
        </is>
      </c>
      <c r="N1" s="2" t="inlineStr">
        <is>
          <t>Total_Deductions</t>
        </is>
      </c>
      <c r="O1" s="2" t="inlineStr">
        <is>
          <t>Net_Pay</t>
        </is>
      </c>
      <c r="P1" s="2" t="inlineStr">
        <is>
          <t>Payment_Mode</t>
        </is>
      </c>
      <c r="Q1" s="2" t="inlineStr">
        <is>
          <t>Proof_ID_or_Link</t>
        </is>
      </c>
      <c r="R1" s="2" t="inlineStr">
        <is>
          <t>Remarks</t>
        </is>
      </c>
    </row>
    <row r="2">
      <c r="A2" s="3" t="inlineStr">
        <is>
          <t>2025-07-31</t>
        </is>
      </c>
      <c r="B2" s="3" t="inlineStr">
        <is>
          <t>Jul</t>
        </is>
      </c>
      <c r="C2" s="3" t="inlineStr">
        <is>
          <t>2025</t>
        </is>
      </c>
      <c r="D2" s="3" t="inlineStr">
        <is>
          <t>EMP001</t>
        </is>
      </c>
      <c r="E2" s="3" t="inlineStr">
        <is>
          <t>Dr. A.B. XYZ</t>
        </is>
      </c>
      <c r="F2" s="3" t="inlineStr">
        <is>
          <t>CSE</t>
        </is>
      </c>
      <c r="G2" s="3" t="inlineStr">
        <is>
          <t>Professor</t>
        </is>
      </c>
      <c r="H2" s="3" t="inlineStr">
        <is>
          <t>Regular</t>
        </is>
      </c>
      <c r="I2" s="3" t="n">
        <v>120000</v>
      </c>
      <c r="J2" s="3" t="n">
        <v>15000</v>
      </c>
      <c r="K2" s="3" t="n">
        <v>0</v>
      </c>
      <c r="L2" s="3" t="n">
        <v>0</v>
      </c>
      <c r="M2" s="3" t="n">
        <v>0</v>
      </c>
      <c r="N2" s="3">
        <f>SUM(J2:M2)</f>
        <v/>
      </c>
      <c r="O2" s="3">
        <f>I2-N2</f>
        <v/>
      </c>
      <c r="P2" s="3" t="inlineStr">
        <is>
          <t>Bank Transfer</t>
        </is>
      </c>
      <c r="Q2" s="3" t="inlineStr">
        <is>
          <t>ECS#789654</t>
        </is>
      </c>
      <c r="R2" s="3" t="inlineStr">
        <is>
          <t>Paid</t>
        </is>
      </c>
    </row>
    <row r="3">
      <c r="A3" s="3" t="inlineStr">
        <is>
          <t>2025-07-31</t>
        </is>
      </c>
      <c r="B3" s="3" t="inlineStr">
        <is>
          <t>Jul</t>
        </is>
      </c>
      <c r="C3" s="3" t="inlineStr">
        <is>
          <t>2025</t>
        </is>
      </c>
      <c r="D3" s="3" t="inlineStr">
        <is>
          <t>EMP002</t>
        </is>
      </c>
      <c r="E3" s="3" t="inlineStr">
        <is>
          <t>Ms. C.D. PQR</t>
        </is>
      </c>
      <c r="F3" s="3" t="inlineStr">
        <is>
          <t>CSE-AI</t>
        </is>
      </c>
      <c r="G3" s="3" t="inlineStr">
        <is>
          <t>Assistant Professor</t>
        </is>
      </c>
      <c r="H3" s="3" t="inlineStr">
        <is>
          <t>Regular</t>
        </is>
      </c>
      <c r="I3" s="3" t="n">
        <v>65000</v>
      </c>
      <c r="J3" s="3" t="n">
        <v>8000</v>
      </c>
      <c r="K3" s="3" t="n">
        <v>0</v>
      </c>
      <c r="L3" s="3" t="n">
        <v>0</v>
      </c>
      <c r="M3" s="3" t="n">
        <v>0</v>
      </c>
      <c r="N3" s="3">
        <f>SUM(J3:M3)</f>
        <v/>
      </c>
      <c r="O3" s="3">
        <f>I3-N3</f>
        <v/>
      </c>
      <c r="P3" s="3" t="inlineStr">
        <is>
          <t>Bank Transfer</t>
        </is>
      </c>
      <c r="Q3" s="3" t="inlineStr">
        <is>
          <t>ECS#789655</t>
        </is>
      </c>
      <c r="R3" s="3" t="inlineStr">
        <is>
          <t>Paid</t>
        </is>
      </c>
    </row>
    <row r="4">
      <c r="A4" s="3" t="inlineStr">
        <is>
          <t>2025-07-31</t>
        </is>
      </c>
      <c r="B4" s="3" t="inlineStr">
        <is>
          <t>Jul</t>
        </is>
      </c>
      <c r="C4" s="3" t="inlineStr">
        <is>
          <t>2025</t>
        </is>
      </c>
      <c r="D4" s="3" t="inlineStr">
        <is>
          <t>EMP003</t>
        </is>
      </c>
      <c r="E4" s="3" t="inlineStr">
        <is>
          <t>Mr. E.F. LMN</t>
        </is>
      </c>
      <c r="F4" s="3" t="inlineStr">
        <is>
          <t>IT (Allied)</t>
        </is>
      </c>
      <c r="G4" s="3" t="inlineStr">
        <is>
          <t>Assistant Professor</t>
        </is>
      </c>
      <c r="H4" s="3" t="inlineStr">
        <is>
          <t>Contractual_FT</t>
        </is>
      </c>
      <c r="I4" s="3" t="n">
        <v>58000</v>
      </c>
      <c r="J4" s="3" t="n">
        <v>7500</v>
      </c>
      <c r="K4" s="3" t="n">
        <v>0</v>
      </c>
      <c r="L4" s="3" t="n">
        <v>0</v>
      </c>
      <c r="M4" s="3" t="n">
        <v>0</v>
      </c>
      <c r="N4" s="3">
        <f>SUM(J4:M4)</f>
        <v/>
      </c>
      <c r="O4" s="3">
        <f>I4-N4</f>
        <v/>
      </c>
      <c r="P4" s="3" t="inlineStr">
        <is>
          <t>Bank Transfer</t>
        </is>
      </c>
      <c r="Q4" s="3" t="inlineStr">
        <is>
          <t>ECS#789656</t>
        </is>
      </c>
      <c r="R4" s="3" t="inlineStr">
        <is>
          <t>Paid</t>
        </is>
      </c>
    </row>
  </sheetData>
  <dataValidations count="2">
    <dataValidation sqref="P2:P10000" showErrorMessage="1" showInputMessage="1" allowBlank="0" type="list">
      <formula1>"Bank Transfer,Cheque,Cash"</formula1>
    </dataValidation>
    <dataValidation sqref="H2:H10000" showErrorMessage="1" showInputMessage="1" allowBlank="0" type="list">
      <formula1>"Regular,Contractual_FT"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Metric</t>
        </is>
      </c>
      <c r="B1" s="2" t="inlineStr">
        <is>
          <t>CAY</t>
        </is>
      </c>
      <c r="C1" s="2" t="inlineStr">
        <is>
          <t>CAYm1</t>
        </is>
      </c>
      <c r="D1" s="2" t="inlineStr">
        <is>
          <t>CAYm2</t>
        </is>
      </c>
    </row>
    <row r="2">
      <c r="A2" s="3" t="inlineStr">
        <is>
          <t>Yearly Totals by Month (select via 'Year' in Payroll_Register)</t>
        </is>
      </c>
      <c r="B2" s="3" t="inlineStr"/>
      <c r="C2" s="3" t="inlineStr"/>
      <c r="D2" s="3" t="inlineStr"/>
    </row>
    <row r="3">
      <c r="A3" s="2" t="inlineStr">
        <is>
          <t>Month</t>
        </is>
      </c>
      <c r="B3" s="2" t="inlineStr">
        <is>
          <t>Gross_Total</t>
        </is>
      </c>
      <c r="C3" s="2" t="inlineStr">
        <is>
          <t>Deductions_Total</t>
        </is>
      </c>
      <c r="D3" s="2" t="inlineStr">
        <is>
          <t>Net_Total</t>
        </is>
      </c>
    </row>
    <row r="4">
      <c r="A4" s="3" t="inlineStr">
        <is>
          <t>Jan</t>
        </is>
      </c>
      <c r="B4" s="3">
        <f>SUMIFS(Payroll_Register!I:I, Payroll_Register!B:B, A4, Payroll_Register!C:C, "2025")</f>
        <v/>
      </c>
      <c r="C4" s="3">
        <f>SUMIFS(Payroll_Register!N:N, Payroll_Register!B:B, A4, Payroll_Register!C:C, "2025")</f>
        <v/>
      </c>
      <c r="D4" s="3">
        <f>SUMIFS(Payroll_Register!O:O, Payroll_Register!B:B, A4, Payroll_Register!C:C, "2025")</f>
        <v/>
      </c>
    </row>
    <row r="5">
      <c r="A5" s="3" t="inlineStr">
        <is>
          <t>Feb</t>
        </is>
      </c>
      <c r="B5" s="3">
        <f>SUMIFS(Payroll_Register!I:I, Payroll_Register!B:B, A5, Payroll_Register!C:C, "2025")</f>
        <v/>
      </c>
      <c r="C5" s="3">
        <f>SUMIFS(Payroll_Register!N:N, Payroll_Register!B:B, A5, Payroll_Register!C:C, "2025")</f>
        <v/>
      </c>
      <c r="D5" s="3">
        <f>SUMIFS(Payroll_Register!O:O, Payroll_Register!B:B, A5, Payroll_Register!C:C, "2025")</f>
        <v/>
      </c>
    </row>
    <row r="6">
      <c r="A6" s="3" t="inlineStr">
        <is>
          <t>Mar</t>
        </is>
      </c>
      <c r="B6" s="3">
        <f>SUMIFS(Payroll_Register!I:I, Payroll_Register!B:B, A6, Payroll_Register!C:C, "2025")</f>
        <v/>
      </c>
      <c r="C6" s="3">
        <f>SUMIFS(Payroll_Register!N:N, Payroll_Register!B:B, A6, Payroll_Register!C:C, "2025")</f>
        <v/>
      </c>
      <c r="D6" s="3">
        <f>SUMIFS(Payroll_Register!O:O, Payroll_Register!B:B, A6, Payroll_Register!C:C, "2025")</f>
        <v/>
      </c>
    </row>
    <row r="7">
      <c r="A7" s="3" t="inlineStr">
        <is>
          <t>Apr</t>
        </is>
      </c>
      <c r="B7" s="3">
        <f>SUMIFS(Payroll_Register!I:I, Payroll_Register!B:B, A7, Payroll_Register!C:C, "2025")</f>
        <v/>
      </c>
      <c r="C7" s="3">
        <f>SUMIFS(Payroll_Register!N:N, Payroll_Register!B:B, A7, Payroll_Register!C:C, "2025")</f>
        <v/>
      </c>
      <c r="D7" s="3">
        <f>SUMIFS(Payroll_Register!O:O, Payroll_Register!B:B, A7, Payroll_Register!C:C, "2025")</f>
        <v/>
      </c>
    </row>
    <row r="8">
      <c r="A8" s="3" t="inlineStr">
        <is>
          <t>May</t>
        </is>
      </c>
      <c r="B8" s="3">
        <f>SUMIFS(Payroll_Register!I:I, Payroll_Register!B:B, A8, Payroll_Register!C:C, "2025")</f>
        <v/>
      </c>
      <c r="C8" s="3">
        <f>SUMIFS(Payroll_Register!N:N, Payroll_Register!B:B, A8, Payroll_Register!C:C, "2025")</f>
        <v/>
      </c>
      <c r="D8" s="3">
        <f>SUMIFS(Payroll_Register!O:O, Payroll_Register!B:B, A8, Payroll_Register!C:C, "2025")</f>
        <v/>
      </c>
    </row>
    <row r="9">
      <c r="A9" s="3" t="inlineStr">
        <is>
          <t>Jun</t>
        </is>
      </c>
      <c r="B9" s="3">
        <f>SUMIFS(Payroll_Register!I:I, Payroll_Register!B:B, A9, Payroll_Register!C:C, "2025")</f>
        <v/>
      </c>
      <c r="C9" s="3">
        <f>SUMIFS(Payroll_Register!N:N, Payroll_Register!B:B, A9, Payroll_Register!C:C, "2025")</f>
        <v/>
      </c>
      <c r="D9" s="3">
        <f>SUMIFS(Payroll_Register!O:O, Payroll_Register!B:B, A9, Payroll_Register!C:C, "2025")</f>
        <v/>
      </c>
    </row>
    <row r="10">
      <c r="A10" s="3" t="inlineStr">
        <is>
          <t>Jul</t>
        </is>
      </c>
      <c r="B10" s="3">
        <f>SUMIFS(Payroll_Register!I:I, Payroll_Register!B:B, A10, Payroll_Register!C:C, "2025")</f>
        <v/>
      </c>
      <c r="C10" s="3">
        <f>SUMIFS(Payroll_Register!N:N, Payroll_Register!B:B, A10, Payroll_Register!C:C, "2025")</f>
        <v/>
      </c>
      <c r="D10" s="3">
        <f>SUMIFS(Payroll_Register!O:O, Payroll_Register!B:B, A10, Payroll_Register!C:C, "2025")</f>
        <v/>
      </c>
    </row>
    <row r="11">
      <c r="A11" s="3" t="inlineStr">
        <is>
          <t>Aug</t>
        </is>
      </c>
      <c r="B11" s="3">
        <f>SUMIFS(Payroll_Register!I:I, Payroll_Register!B:B, A11, Payroll_Register!C:C, "2025")</f>
        <v/>
      </c>
      <c r="C11" s="3">
        <f>SUMIFS(Payroll_Register!N:N, Payroll_Register!B:B, A11, Payroll_Register!C:C, "2025")</f>
        <v/>
      </c>
      <c r="D11" s="3">
        <f>SUMIFS(Payroll_Register!O:O, Payroll_Register!B:B, A11, Payroll_Register!C:C, "2025")</f>
        <v/>
      </c>
    </row>
    <row r="12">
      <c r="A12" s="3" t="inlineStr">
        <is>
          <t>Sep</t>
        </is>
      </c>
      <c r="B12" s="3">
        <f>SUMIFS(Payroll_Register!I:I, Payroll_Register!B:B, A12, Payroll_Register!C:C, "2025")</f>
        <v/>
      </c>
      <c r="C12" s="3">
        <f>SUMIFS(Payroll_Register!N:N, Payroll_Register!B:B, A12, Payroll_Register!C:C, "2025")</f>
        <v/>
      </c>
      <c r="D12" s="3">
        <f>SUMIFS(Payroll_Register!O:O, Payroll_Register!B:B, A12, Payroll_Register!C:C, "2025")</f>
        <v/>
      </c>
    </row>
    <row r="13">
      <c r="A13" s="3" t="inlineStr">
        <is>
          <t>Oct</t>
        </is>
      </c>
      <c r="B13" s="3">
        <f>SUMIFS(Payroll_Register!I:I, Payroll_Register!B:B, A13, Payroll_Register!C:C, "2025")</f>
        <v/>
      </c>
      <c r="C13" s="3">
        <f>SUMIFS(Payroll_Register!N:N, Payroll_Register!B:B, A13, Payroll_Register!C:C, "2025")</f>
        <v/>
      </c>
      <c r="D13" s="3">
        <f>SUMIFS(Payroll_Register!O:O, Payroll_Register!B:B, A13, Payroll_Register!C:C, "2025")</f>
        <v/>
      </c>
    </row>
    <row r="14">
      <c r="A14" s="3" t="inlineStr">
        <is>
          <t>Nov</t>
        </is>
      </c>
      <c r="B14" s="3">
        <f>SUMIFS(Payroll_Register!I:I, Payroll_Register!B:B, A14, Payroll_Register!C:C, "2025")</f>
        <v/>
      </c>
      <c r="C14" s="3">
        <f>SUMIFS(Payroll_Register!N:N, Payroll_Register!B:B, A14, Payroll_Register!C:C, "2025")</f>
        <v/>
      </c>
      <c r="D14" s="3">
        <f>SUMIFS(Payroll_Register!O:O, Payroll_Register!B:B, A14, Payroll_Register!C:C, "2025")</f>
        <v/>
      </c>
    </row>
    <row r="15">
      <c r="A15" s="3" t="inlineStr">
        <is>
          <t>Dec</t>
        </is>
      </c>
      <c r="B15" s="3">
        <f>SUMIFS(Payroll_Register!I:I, Payroll_Register!B:B, A15, Payroll_Register!C:C, "2025")</f>
        <v/>
      </c>
      <c r="C15" s="3">
        <f>SUMIFS(Payroll_Register!N:N, Payroll_Register!B:B, A15, Payroll_Register!C:C, "2025")</f>
        <v/>
      </c>
      <c r="D15" s="3">
        <f>SUMIFS(Payroll_Register!O:O, Payroll_Register!B:B, A15, Payroll_Register!C:C, "2025")</f>
        <v/>
      </c>
    </row>
    <row r="16">
      <c r="A16" s="3" t="inlineStr">
        <is>
          <t>Year Total (CAY=2025)</t>
        </is>
      </c>
      <c r="B16" s="3">
        <f>SUM(B4:B15)</f>
        <v/>
      </c>
      <c r="C16" s="3">
        <f>SUM(C4:C15)</f>
        <v/>
      </c>
      <c r="D16" s="3">
        <f>SUM(D4:D15)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How to get CAY/CAYm1/CAYm2 totals:</t>
        </is>
      </c>
    </row>
    <row r="3">
      <c r="A3" t="inlineStr">
        <is>
          <t>- Update the YEAR criteria in Summary!B/C/D formulas or duplicate the month table for 2024 and 2023.</t>
        </is>
      </c>
    </row>
    <row r="4">
      <c r="A4" t="inlineStr">
        <is>
          <t>- Alternatively, use Excel PivotTable on 'Payroll_Register' with Year/Month and Net_Pay to get dynamic summaries.</t>
        </is>
      </c>
    </row>
    <row r="5">
      <c r="A5" t="inlineStr">
        <is>
          <t>- Keep proof documents (payslips/ECS) indexed by 'Proof_ID_or_Link'.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2025-08-28T13:57:00Z</dcterms:created>
  <dcterms:modified xmlns:dcterms="http://purl.org/dc/terms/" xmlns:xsi="http://www.w3.org/2001/XMLSchema-instance" xsi:type="dcterms:W3CDTF">2025-08-28T13:57:00Z</dcterms:modified>
</cp:coreProperties>
</file>