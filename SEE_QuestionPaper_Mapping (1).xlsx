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F:\TVRK_Books\1-12. NBA\3. Criterion 3 Outcome-Based Assessment\"/>
    </mc:Choice>
  </mc:AlternateContent>
  <xr:revisionPtr revIDLastSave="0" documentId="8_{BAAB7F64-8641-4075-A45F-B231D434AF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E Question Paper Mapping" sheetId="1" r:id="rId1"/>
    <sheet name="Question Paper Blueprint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" l="1"/>
  <c r="E27" i="2"/>
  <c r="E26" i="2"/>
  <c r="E25" i="2"/>
  <c r="E24" i="2"/>
  <c r="E23" i="2"/>
  <c r="E22" i="2"/>
  <c r="E21" i="2"/>
  <c r="E20" i="2"/>
  <c r="E19" i="2"/>
  <c r="C13" i="2"/>
  <c r="B13" i="2"/>
  <c r="C12" i="2"/>
  <c r="B12" i="2"/>
  <c r="C11" i="2"/>
  <c r="B11" i="2"/>
  <c r="C10" i="2"/>
  <c r="B10" i="2"/>
  <c r="C9" i="2"/>
  <c r="B9" i="2"/>
  <c r="H8" i="2"/>
  <c r="F28" i="2" s="1"/>
  <c r="C8" i="2"/>
  <c r="B8" i="2"/>
  <c r="D12" i="2" l="1"/>
  <c r="F23" i="2"/>
  <c r="D9" i="2"/>
  <c r="D13" i="2"/>
  <c r="F24" i="2"/>
  <c r="F19" i="2"/>
  <c r="F25" i="2"/>
  <c r="F20" i="2"/>
  <c r="F26" i="2"/>
  <c r="D10" i="2"/>
  <c r="D11" i="2"/>
  <c r="F21" i="2"/>
  <c r="F27" i="2"/>
  <c r="D8" i="2"/>
  <c r="F22" i="2"/>
</calcChain>
</file>

<file path=xl/sharedStrings.xml><?xml version="1.0" encoding="utf-8"?>
<sst xmlns="http://schemas.openxmlformats.org/spreadsheetml/2006/main" count="74" uniqueCount="60">
  <si>
    <t>Q. No</t>
  </si>
  <si>
    <t>Question Description</t>
  </si>
  <si>
    <t>CO Mapped</t>
  </si>
  <si>
    <t>PO(s) Mapped</t>
  </si>
  <si>
    <t>PSO(s) Mapped</t>
  </si>
  <si>
    <t>Bloom’s Level</t>
  </si>
  <si>
    <t>Marks</t>
  </si>
  <si>
    <t>Evidence (File/Link)</t>
  </si>
  <si>
    <t>1(a)</t>
  </si>
  <si>
    <t>Define Data Mining concepts</t>
  </si>
  <si>
    <t>CO1</t>
  </si>
  <si>
    <t>PO1</t>
  </si>
  <si>
    <t>PSO1</t>
  </si>
  <si>
    <t>Remember</t>
  </si>
  <si>
    <t>SEE_Q1a.pdf</t>
  </si>
  <si>
    <t>1(b)</t>
  </si>
  <si>
    <t>Differentiate Classification vs Clustering</t>
  </si>
  <si>
    <t>CO2</t>
  </si>
  <si>
    <t>PO2, PO3</t>
  </si>
  <si>
    <t>PSO2</t>
  </si>
  <si>
    <t>Analyze</t>
  </si>
  <si>
    <t>SEE_Q1b.pdf</t>
  </si>
  <si>
    <t>2</t>
  </si>
  <si>
    <t>Apply Apriori algorithm on dataset</t>
  </si>
  <si>
    <t>CO3</t>
  </si>
  <si>
    <t>PO4</t>
  </si>
  <si>
    <t>Apply</t>
  </si>
  <si>
    <t>SEE_Q2.pdf</t>
  </si>
  <si>
    <t>3</t>
  </si>
  <si>
    <t>Design a neural network model for classification</t>
  </si>
  <si>
    <t>CO4</t>
  </si>
  <si>
    <t>PO5</t>
  </si>
  <si>
    <t>PSO3</t>
  </si>
  <si>
    <t>Create</t>
  </si>
  <si>
    <t>SEE_Q3.pdf</t>
  </si>
  <si>
    <t>SEE Question Paper Blueprint</t>
  </si>
  <si>
    <t>Section A — Reference: Use the 'SEE Question Paper Mapping' sheet for per-question details (Q. No → CO → PO/PSO → Bloom → Marks → Evidence).</t>
  </si>
  <si>
    <t>Section B — Bloom’s Level Distribution</t>
  </si>
  <si>
    <t>No. of Questions</t>
  </si>
  <si>
    <t>Total Marks</t>
  </si>
  <si>
    <t>% Weightage</t>
  </si>
  <si>
    <t>NBA Expectation (Guide)</t>
  </si>
  <si>
    <t>Total SEE Marks</t>
  </si>
  <si>
    <t>10–15%</t>
  </si>
  <si>
    <t>Understand</t>
  </si>
  <si>
    <t>15–20%</t>
  </si>
  <si>
    <t>20–30%</t>
  </si>
  <si>
    <t>Evaluate</t>
  </si>
  <si>
    <t>10–20%</t>
  </si>
  <si>
    <t>Section C — CO–PO/PSO Coverage Summary</t>
  </si>
  <si>
    <t>CO</t>
  </si>
  <si>
    <t>PO(s) Addressed</t>
  </si>
  <si>
    <t>PSO(s) Addressed</t>
  </si>
  <si>
    <t>Questions Mapped</t>
  </si>
  <si>
    <t>CO5</t>
  </si>
  <si>
    <t>CO6</t>
  </si>
  <si>
    <t>CO7</t>
  </si>
  <si>
    <t>CO8</t>
  </si>
  <si>
    <t>CO9</t>
  </si>
  <si>
    <t>CO10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</si>
</sst>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0" customWidth="1"/>
    <col min="3" max="3" width="12" customWidth="1"/>
    <col min="4" max="6" width="16" customWidth="1"/>
    <col min="7" max="7" width="8" customWidth="1"/>
    <col min="8" max="8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19</v>
      </c>
      <c r="F4" t="s">
        <v>26</v>
      </c>
      <c r="G4">
        <v>10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15</v>
      </c>
      <c r="H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workbookViewId="0">
      <pane ySplit="7" topLeftCell="A8" activePane="bottomLeft" state="frozen"/>
      <selection pane="bottomLeft"/>
    </sheetView>
  </sheetViews>
  <sheetFormatPr defaultRowHeight="14.4" x14ac:dyDescent="0.3"/>
  <cols>
    <col min="1" max="1" width="10" customWidth="1"/>
    <col min="2" max="3" width="24" customWidth="1"/>
    <col min="4" max="4" width="36" customWidth="1"/>
    <col min="5" max="6" width="14" customWidth="1"/>
    <col min="7" max="7" width="10" customWidth="1"/>
    <col min="8" max="8" width="16" customWidth="1"/>
  </cols>
  <sheetData>
    <row r="1" spans="1:8" ht="18" x14ac:dyDescent="0.35">
      <c r="A1" s="3" t="s">
        <v>35</v>
      </c>
    </row>
    <row r="3" spans="1:8" ht="259.2" x14ac:dyDescent="0.3">
      <c r="A3" s="4" t="s">
        <v>36</v>
      </c>
    </row>
    <row r="6" spans="1:8" x14ac:dyDescent="0.3">
      <c r="A6" s="2" t="s">
        <v>37</v>
      </c>
    </row>
    <row r="7" spans="1:8" ht="43.2" x14ac:dyDescent="0.3">
      <c r="A7" s="1" t="s">
        <v>5</v>
      </c>
      <c r="B7" s="1" t="s">
        <v>38</v>
      </c>
      <c r="C7" s="1" t="s">
        <v>39</v>
      </c>
      <c r="D7" s="1" t="s">
        <v>40</v>
      </c>
      <c r="E7" s="1" t="s">
        <v>41</v>
      </c>
      <c r="H7" s="2" t="s">
        <v>42</v>
      </c>
    </row>
    <row r="8" spans="1:8" x14ac:dyDescent="0.3">
      <c r="A8" t="s">
        <v>13</v>
      </c>
      <c r="B8">
        <f>COUNTIF('SEE Question Paper Mapping'!F:F,"Remember")</f>
        <v>1</v>
      </c>
      <c r="C8">
        <f>SUMIF('SEE Question Paper Mapping'!F:F,"Remember",'SEE Question Paper Mapping'!G:G)</f>
        <v>4</v>
      </c>
      <c r="D8" s="5">
        <f t="shared" ref="D8:D13" si="0">IF($H$8=0,"",C8/$H$8)</f>
        <v>0.11428571428571428</v>
      </c>
      <c r="E8" t="s">
        <v>43</v>
      </c>
      <c r="H8">
        <f>SUM('SEE Question Paper Mapping'!G:G)</f>
        <v>35</v>
      </c>
    </row>
    <row r="9" spans="1:8" x14ac:dyDescent="0.3">
      <c r="A9" t="s">
        <v>44</v>
      </c>
      <c r="B9">
        <f>COUNTIF('SEE Question Paper Mapping'!F:F,"Understand")</f>
        <v>0</v>
      </c>
      <c r="C9">
        <f>SUMIF('SEE Question Paper Mapping'!F:F,"Understand",'SEE Question Paper Mapping'!G:G)</f>
        <v>0</v>
      </c>
      <c r="D9" s="5">
        <f t="shared" si="0"/>
        <v>0</v>
      </c>
      <c r="E9" t="s">
        <v>45</v>
      </c>
    </row>
    <row r="10" spans="1:8" x14ac:dyDescent="0.3">
      <c r="A10" t="s">
        <v>26</v>
      </c>
      <c r="B10">
        <f>COUNTIF('SEE Question Paper Mapping'!F:F,"Apply")</f>
        <v>1</v>
      </c>
      <c r="C10">
        <f>SUMIF('SEE Question Paper Mapping'!F:F,"Apply",'SEE Question Paper Mapping'!G:G)</f>
        <v>10</v>
      </c>
      <c r="D10" s="5">
        <f t="shared" si="0"/>
        <v>0.2857142857142857</v>
      </c>
      <c r="E10" t="s">
        <v>46</v>
      </c>
    </row>
    <row r="11" spans="1:8" x14ac:dyDescent="0.3">
      <c r="A11" t="s">
        <v>20</v>
      </c>
      <c r="B11">
        <f>COUNTIF('SEE Question Paper Mapping'!F:F,"Analyze")</f>
        <v>1</v>
      </c>
      <c r="C11">
        <f>SUMIF('SEE Question Paper Mapping'!F:F,"Analyze",'SEE Question Paper Mapping'!G:G)</f>
        <v>6</v>
      </c>
      <c r="D11" s="5">
        <f t="shared" si="0"/>
        <v>0.17142857142857143</v>
      </c>
      <c r="E11" t="s">
        <v>46</v>
      </c>
    </row>
    <row r="12" spans="1:8" x14ac:dyDescent="0.3">
      <c r="A12" t="s">
        <v>47</v>
      </c>
      <c r="B12">
        <f>COUNTIF('SEE Question Paper Mapping'!F:F,"Evaluate")</f>
        <v>0</v>
      </c>
      <c r="C12">
        <f>SUMIF('SEE Question Paper Mapping'!F:F,"Evaluate",'SEE Question Paper Mapping'!G:G)</f>
        <v>0</v>
      </c>
      <c r="D12" s="5">
        <f t="shared" si="0"/>
        <v>0</v>
      </c>
      <c r="E12" t="s">
        <v>48</v>
      </c>
    </row>
    <row r="13" spans="1:8" x14ac:dyDescent="0.3">
      <c r="A13" t="s">
        <v>33</v>
      </c>
      <c r="B13">
        <f>COUNTIF('SEE Question Paper Mapping'!F:F,"Create")</f>
        <v>1</v>
      </c>
      <c r="C13">
        <f>SUMIF('SEE Question Paper Mapping'!F:F,"Create",'SEE Question Paper Mapping'!G:G)</f>
        <v>15</v>
      </c>
      <c r="D13" s="5">
        <f t="shared" si="0"/>
        <v>0.42857142857142855</v>
      </c>
      <c r="E13" t="s">
        <v>43</v>
      </c>
    </row>
    <row r="17" spans="1:6" x14ac:dyDescent="0.3">
      <c r="A17" s="2" t="s">
        <v>49</v>
      </c>
    </row>
    <row r="18" spans="1:6" x14ac:dyDescent="0.3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39</v>
      </c>
      <c r="F18" s="1" t="s">
        <v>40</v>
      </c>
    </row>
    <row r="19" spans="1:6" x14ac:dyDescent="0.3">
      <c r="A19" t="s">
        <v>10</v>
      </c>
      <c r="E19">
        <f>IFERROR(SUMIF('SEE Question Paper Mapping'!C:C,A19,'SEE Question Paper Mapping'!G:G),"")</f>
        <v>4</v>
      </c>
      <c r="F19" s="5">
        <f t="shared" ref="F19:F28" si="1">IF($H$8=0,"",E19/$H$8)</f>
        <v>0.11428571428571428</v>
      </c>
    </row>
    <row r="20" spans="1:6" x14ac:dyDescent="0.3">
      <c r="A20" t="s">
        <v>17</v>
      </c>
      <c r="E20">
        <f>IFERROR(SUMIF('SEE Question Paper Mapping'!C:C,A20,'SEE Question Paper Mapping'!G:G),"")</f>
        <v>6</v>
      </c>
      <c r="F20" s="5">
        <f t="shared" si="1"/>
        <v>0.17142857142857143</v>
      </c>
    </row>
    <row r="21" spans="1:6" x14ac:dyDescent="0.3">
      <c r="A21" t="s">
        <v>24</v>
      </c>
      <c r="E21">
        <f>IFERROR(SUMIF('SEE Question Paper Mapping'!C:C,A21,'SEE Question Paper Mapping'!G:G),"")</f>
        <v>10</v>
      </c>
      <c r="F21" s="5">
        <f t="shared" si="1"/>
        <v>0.2857142857142857</v>
      </c>
    </row>
    <row r="22" spans="1:6" x14ac:dyDescent="0.3">
      <c r="A22" t="s">
        <v>30</v>
      </c>
      <c r="E22">
        <f>IFERROR(SUMIF('SEE Question Paper Mapping'!C:C,A22,'SEE Question Paper Mapping'!G:G),"")</f>
        <v>15</v>
      </c>
      <c r="F22" s="5">
        <f t="shared" si="1"/>
        <v>0.42857142857142855</v>
      </c>
    </row>
    <row r="23" spans="1:6" x14ac:dyDescent="0.3">
      <c r="A23" t="s">
        <v>54</v>
      </c>
      <c r="E23">
        <f>IFERROR(SUMIF('SEE Question Paper Mapping'!C:C,A23,'SEE Question Paper Mapping'!G:G),"")</f>
        <v>0</v>
      </c>
      <c r="F23" s="5">
        <f t="shared" si="1"/>
        <v>0</v>
      </c>
    </row>
    <row r="24" spans="1:6" x14ac:dyDescent="0.3">
      <c r="A24" t="s">
        <v>55</v>
      </c>
      <c r="E24">
        <f>IFERROR(SUMIF('SEE Question Paper Mapping'!C:C,A24,'SEE Question Paper Mapping'!G:G),"")</f>
        <v>0</v>
      </c>
      <c r="F24" s="5">
        <f t="shared" si="1"/>
        <v>0</v>
      </c>
    </row>
    <row r="25" spans="1:6" x14ac:dyDescent="0.3">
      <c r="A25" t="s">
        <v>56</v>
      </c>
      <c r="E25">
        <f>IFERROR(SUMIF('SEE Question Paper Mapping'!C:C,A25,'SEE Question Paper Mapping'!G:G),"")</f>
        <v>0</v>
      </c>
      <c r="F25" s="5">
        <f t="shared" si="1"/>
        <v>0</v>
      </c>
    </row>
    <row r="26" spans="1:6" x14ac:dyDescent="0.3">
      <c r="A26" t="s">
        <v>57</v>
      </c>
      <c r="E26">
        <f>IFERROR(SUMIF('SEE Question Paper Mapping'!C:C,A26,'SEE Question Paper Mapping'!G:G),"")</f>
        <v>0</v>
      </c>
      <c r="F26" s="5">
        <f t="shared" si="1"/>
        <v>0</v>
      </c>
    </row>
    <row r="27" spans="1:6" x14ac:dyDescent="0.3">
      <c r="A27" t="s">
        <v>58</v>
      </c>
      <c r="E27">
        <f>IFERROR(SUMIF('SEE Question Paper Mapping'!C:C,A27,'SEE Question Paper Mapping'!G:G),"")</f>
        <v>0</v>
      </c>
      <c r="F27" s="5">
        <f t="shared" si="1"/>
        <v>0</v>
      </c>
    </row>
    <row r="28" spans="1:6" x14ac:dyDescent="0.3">
      <c r="A28" t="s">
        <v>59</v>
      </c>
      <c r="E28">
        <f>IFERROR(SUMIF('SEE Question Paper Mapping'!C:C,A28,'SEE Question Paper Mapping'!G:G),"")</f>
        <v>0</v>
      </c>
      <c r="F28" s="5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 Question Paper Mapping</vt:lpstr>
      <vt:lpstr>Question Paper 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Rama Krishna Tottempudi</cp:lastModifiedBy>
  <dcterms:created xsi:type="dcterms:W3CDTF">2025-08-31T03:53:53Z</dcterms:created>
  <dcterms:modified xsi:type="dcterms:W3CDTF">2025-12-16T06:20:07Z</dcterms:modified>
</cp:coreProperties>
</file>