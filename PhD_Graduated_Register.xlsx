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D Graduated Regis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22" customWidth="1" min="4" max="4"/>
    <col width="46" customWidth="1" min="5" max="5"/>
    <col width="28" customWidth="1" min="6" max="6"/>
    <col width="20" customWidth="1" min="7" max="7"/>
    <col width="24" customWidth="1" min="8" max="8"/>
    <col width="28" customWidth="1" min="9" max="9"/>
    <col width="20" customWidth="1" min="10" max="10"/>
    <col width="40" customWidth="1" min="11" max="11"/>
    <col width="40" customWidth="1" min="12" max="12"/>
    <col width="40" customWidth="1" min="13" max="13"/>
    <col width="40" customWidth="1" min="14" max="14"/>
  </cols>
  <sheetData>
    <row r="1">
      <c r="A1" s="1" t="inlineStr">
        <is>
          <t>S.N.</t>
        </is>
      </c>
      <c r="B1" s="1" t="inlineStr">
        <is>
          <t>Scholar Name</t>
        </is>
      </c>
      <c r="C1" s="1" t="inlineStr">
        <is>
          <t>Mode (Full-time/Part-time)</t>
        </is>
      </c>
      <c r="D1" s="1" t="inlineStr">
        <is>
          <t>University Scholar ID</t>
        </is>
      </c>
      <c r="E1" s="1" t="inlineStr">
        <is>
          <t>Thesis Title</t>
        </is>
      </c>
      <c r="F1" s="1" t="inlineStr">
        <is>
          <t>Supervisor(s)</t>
        </is>
      </c>
      <c r="G1" s="1" t="inlineStr">
        <is>
          <t>Viva Date (YYYY-MM-DD)</t>
        </is>
      </c>
      <c r="H1" s="1" t="inlineStr">
        <is>
          <t>Degree Award Date (YYYY-MM-DD)</t>
        </is>
      </c>
      <c r="I1" s="1" t="inlineStr">
        <is>
          <t>Graduation Year Tag (CAY/CAYm1/CAYm2/CAYm3)</t>
        </is>
      </c>
      <c r="J1" s="1" t="inlineStr">
        <is>
          <t>Convocation/PDC No.</t>
        </is>
      </c>
      <c r="K1" s="1" t="inlineStr">
        <is>
          <t>Award Notification Link</t>
        </is>
      </c>
      <c r="L1" s="1" t="inlineStr">
        <is>
          <t>Provisional Degree (PDC) Link</t>
        </is>
      </c>
      <c r="M1" s="1" t="inlineStr">
        <is>
          <t>Thesis Approval Link</t>
        </is>
      </c>
      <c r="N1" s="1" t="inlineStr">
        <is>
          <t>University Portal Screenshot Link</t>
        </is>
      </c>
    </row>
  </sheetData>
  <dataValidations count="2">
    <dataValidation sqref="C2:C1000" showErrorMessage="1" showInputMessage="1" allowBlank="1" type="list">
      <formula1>"Full-time,Part-time"</formula1>
    </dataValidation>
    <dataValidation sqref="I2:I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CAY</t>
        </is>
      </c>
      <c r="D1" s="1" t="inlineStr">
        <is>
          <t>CAYm1</t>
        </is>
      </c>
      <c r="E1" s="1" t="inlineStr">
        <is>
          <t>CAYm2</t>
        </is>
      </c>
      <c r="F1" s="1" t="inlineStr">
        <is>
          <t>CAYm3</t>
        </is>
      </c>
    </row>
    <row r="2">
      <c r="A2" s="2" t="inlineStr">
        <is>
          <t>Total Ph.D. Graduations</t>
        </is>
      </c>
      <c r="B2" s="2" t="inlineStr">
        <is>
          <t>Count of degree awards by Graduation Year Tag</t>
        </is>
      </c>
      <c r="C2" s="2">
        <f>COUNTIF('PhD Graduated Register'!I2:I1000,"CAY")</f>
        <v/>
      </c>
      <c r="D2" s="2">
        <f>COUNTIF('PhD Graduated Register'!I2:I1000,"CAYm1")</f>
        <v/>
      </c>
      <c r="E2" s="2">
        <f>COUNTIF('PhD Graduated Register'!I2:I1000,"CAYm2")</f>
        <v/>
      </c>
      <c r="F2" s="2">
        <f>COUNTIF('PhD Graduated Register'!I2:I1000,"CAYm3")</f>
        <v/>
      </c>
    </row>
    <row r="3">
      <c r="A3" s="2" t="inlineStr">
        <is>
          <t>Graduations (Full-time)</t>
        </is>
      </c>
      <c r="B3" s="2" t="inlineStr">
        <is>
          <t>Count where Mode = "Full-time" by Graduation Year Tag</t>
        </is>
      </c>
      <c r="C3" s="2">
        <f>COUNTIFS('PhD Graduated Register'!I2:I1000,"CAY",'PhD Graduated Register'!C2:C1000,"Full-time")</f>
        <v/>
      </c>
      <c r="D3" s="2">
        <f>COUNTIFS('PhD Graduated Register'!I2:I1000,"CAYm1",'PhD Graduated Register'!C2:C1000,"Full-time")</f>
        <v/>
      </c>
      <c r="E3" s="2">
        <f>COUNTIFS('PhD Graduated Register'!I2:I1000,"CAYm2",'PhD Graduated Register'!C2:C1000,"Full-time")</f>
        <v/>
      </c>
      <c r="F3" s="2">
        <f>COUNTIFS('PhD Graduated Register'!I2:I1000,"CAYm3",'PhD Graduated Register'!C2:C1000,"Full-time")</f>
        <v/>
      </c>
    </row>
    <row r="4">
      <c r="A4" s="2" t="inlineStr">
        <is>
          <t>Graduations (Part-time)</t>
        </is>
      </c>
      <c r="B4" s="2" t="inlineStr">
        <is>
          <t>Count where Mode = "Part-time" by Graduation Year Tag</t>
        </is>
      </c>
      <c r="C4" s="2">
        <f>COUNTIFS('PhD Graduated Register'!I2:I1000,"CAY",'PhD Graduated Register'!C2:C1000,"Part-time")</f>
        <v/>
      </c>
      <c r="D4" s="2">
        <f>COUNTIFS('PhD Graduated Register'!I2:I1000,"CAYm1",'PhD Graduated Register'!C2:C1000,"Part-time")</f>
        <v/>
      </c>
      <c r="E4" s="2">
        <f>COUNTIFS('PhD Graduated Register'!I2:I1000,"CAYm2",'PhD Graduated Register'!C2:C1000,"Part-time")</f>
        <v/>
      </c>
      <c r="F4" s="2">
        <f>COUNTIFS('PhD Graduated Register'!I2:I1000,"CAYm3",'PhD Graduated Register'!C2:C1000,"Part-time")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