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_Evide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cilitiesEvidenceTable" displayName="FacilitiesEvidenceTable" ref="A1:G4" headerRowCount="1">
  <autoFilter ref="A1:G4"/>
  <tableColumns count="7">
    <tableColumn id="1" name="S. No."/>
    <tableColumn id="2" name="Name of Facility"/>
    <tableColumn id="3" name="Purpose for Creating Facility"/>
    <tableColumn id="4" name="Details / Description"/>
    <tableColumn id="5" name="Utilization (How Students Use It)"/>
    <tableColumn id="6" name="Evidence (Link / Photo Reference)"/>
    <tableColumn id="7" name="Marks Contribution (out of 20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70" customWidth="1" min="3" max="3"/>
    <col width="56" customWidth="1" min="4" max="4"/>
    <col width="45" customWidth="1" min="5" max="5"/>
    <col width="39" customWidth="1" min="6" max="6"/>
    <col width="36" customWidth="1" min="7" max="7"/>
  </cols>
  <sheetData>
    <row r="1">
      <c r="A1" t="inlineStr">
        <is>
          <t>S. No.</t>
        </is>
      </c>
      <c r="B1" t="inlineStr">
        <is>
          <t>Name of Facility</t>
        </is>
      </c>
      <c r="C1" t="inlineStr">
        <is>
          <t>Purpose for Creating Facility</t>
        </is>
      </c>
      <c r="D1" t="inlineStr">
        <is>
          <t>Details / Description</t>
        </is>
      </c>
      <c r="E1" t="inlineStr">
        <is>
          <t>Utilization (How Students Use It)</t>
        </is>
      </c>
      <c r="F1" t="inlineStr">
        <is>
          <t>Evidence (Link / Photo Reference)</t>
        </is>
      </c>
      <c r="G1" t="inlineStr">
        <is>
          <t>Marks Contribution (out of 20)</t>
        </is>
      </c>
    </row>
    <row r="2">
      <c r="A2" t="n">
        <v>1</v>
      </c>
      <c r="B2" t="inlineStr">
        <is>
          <t>Virtual Lab Simulations</t>
        </is>
      </c>
      <c r="C2" t="inlineStr">
        <is>
          <t>Enable students to repeat experiments outside class hours</t>
        </is>
      </c>
      <c r="D2" t="inlineStr">
        <is>
          <t>Access to NPTEL/SWAYAM virtual labs</t>
        </is>
      </c>
      <c r="E2" t="inlineStr">
        <is>
          <t>Students perform experiments remotely</t>
        </is>
      </c>
      <c r="F2" t="inlineStr">
        <is>
          <t>Screenshot_Link_VirtualLab.png</t>
        </is>
      </c>
      <c r="G2" t="n">
        <v>3</v>
      </c>
    </row>
    <row r="3">
      <c r="A3" t="n">
        <v>2</v>
      </c>
      <c r="B3" t="inlineStr">
        <is>
          <t>IoT &amp; Robotics Kits</t>
        </is>
      </c>
      <c r="C3" t="inlineStr">
        <is>
          <t>Promote project-based learning and hackathons</t>
        </is>
      </c>
      <c r="D3" t="inlineStr">
        <is>
          <t>Arduino, Raspberry Pi, 3D Printer available in lab</t>
        </is>
      </c>
      <c r="E3" t="inlineStr">
        <is>
          <t>Students use for final year projects</t>
        </is>
      </c>
      <c r="F3" t="inlineStr">
        <is>
          <t>Photo_Link_IoTKit.jpg</t>
        </is>
      </c>
      <c r="G3" t="n">
        <v>4</v>
      </c>
    </row>
    <row r="4">
      <c r="A4" t="n">
        <v>3</v>
      </c>
      <c r="B4" t="inlineStr">
        <is>
          <t>Extended Lab Hours</t>
        </is>
      </c>
      <c r="C4" t="inlineStr">
        <is>
          <t>Encourage innovation and entrepreneurship work after class hours</t>
        </is>
      </c>
      <c r="D4" t="inlineStr">
        <is>
          <t>Labs open until 8 PM</t>
        </is>
      </c>
      <c r="E4" t="inlineStr">
        <is>
          <t>Final year batches utilize for projects</t>
        </is>
      </c>
      <c r="F4" t="inlineStr">
        <is>
          <t>Notice_Circular_ExtendedHours.pdf</t>
        </is>
      </c>
      <c r="G4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Facilities Listed</t>
        </is>
      </c>
      <c r="B2">
        <f>COUNTA(Facilities_Evidence!B2:B4)</f>
        <v/>
      </c>
    </row>
    <row r="3">
      <c r="A3" t="inlineStr">
        <is>
          <t>Total Marks Contribution</t>
        </is>
      </c>
      <c r="B3">
        <f>SUM(Facilities_Evidence!G2:G4)</f>
        <v/>
      </c>
    </row>
    <row r="4">
      <c r="A4" t="inlineStr">
        <is>
          <t>Maximum Possible Marks</t>
        </is>
      </c>
      <c r="B4" t="n">
        <v>20</v>
      </c>
    </row>
    <row r="5">
      <c r="A5" t="inlineStr">
        <is>
          <t>% Coverage Achieved</t>
        </is>
      </c>
      <c r="B5">
        <f>IF(C2&gt;0,C3/C4*100,0)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