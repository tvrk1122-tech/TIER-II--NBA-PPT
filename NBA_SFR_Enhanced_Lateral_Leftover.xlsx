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Example_Cases" sheetId="2" state="visible" r:id="rId2"/>
    <sheet xmlns:r="http://schemas.openxmlformats.org/officeDocument/2006/relationships" name="Programs" sheetId="3" state="visible" r:id="rId3"/>
    <sheet xmlns:r="http://schemas.openxmlformats.org/officeDocument/2006/relationships" name="Faculty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FEFD5"/>
        <bgColor rgb="00FFEFD5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NBA 5.1 – Student–Faculty Ratio (SFR) Calculator with Lateral Entry &amp; Leftover Logic</t>
        </is>
      </c>
    </row>
    <row r="2">
      <c r="A2" t="inlineStr"/>
    </row>
    <row r="3">
      <c r="A3" t="inlineStr">
        <is>
          <t>How to use:</t>
        </is>
      </c>
    </row>
    <row r="4">
      <c r="A4" t="inlineStr">
        <is>
          <t>1) Enter program-year data in 'Programs' (UG2/UG3/UG4/PG1/PG2):</t>
        </is>
      </c>
    </row>
    <row r="5">
      <c r="A5" t="inlineStr">
        <is>
          <t xml:space="preserve">   - SA (Sanctioned Intake), a (Lateral Entry to 2nd year), b (Leftover filled in 2nd year), SNQ (Supernumerary to exclude).</t>
        </is>
      </c>
    </row>
    <row r="6">
      <c r="A6" t="inlineStr">
        <is>
          <t xml:space="preserve">   - The sheet auto-computes L=a+b, Allowed_L=min(L, 10%*SA), ST_capped=min(SA+Allowed_L, 1.1*SA),</t>
        </is>
      </c>
    </row>
    <row r="7">
      <c r="A7" t="inlineStr">
        <is>
          <t xml:space="preserve">     and ST_final=ST_capped−SNQ (ensuring supernumerary are excluded).</t>
        </is>
      </c>
    </row>
    <row r="8">
      <c r="A8" t="inlineStr">
        <is>
          <t>2) Enter eligible full-time faculty in 'Faculty' (Regular/Contractual_FT, exclude FirstYearOnly).</t>
        </is>
      </c>
    </row>
    <row r="9">
      <c r="A9" t="inlineStr">
        <is>
          <t>3) See 'Summary' for totals (S, F), SFR=S/F and NBA marks out of 30.</t>
        </is>
      </c>
    </row>
    <row r="10">
      <c r="A10" t="inlineStr"/>
    </row>
    <row r="11">
      <c r="A11" t="inlineStr">
        <is>
          <t>Notes:</t>
        </is>
      </c>
    </row>
    <row r="12">
      <c r="A12" t="inlineStr">
        <is>
          <t>- First-year UG students are excluded (and first-year-only faculty are excluded).</t>
        </is>
      </c>
    </row>
    <row r="13">
      <c r="A13" t="inlineStr">
        <is>
          <t>- Supernumerary (SNQ/EWS/TFWS) are excluded from SFR counts.</t>
        </is>
      </c>
    </row>
    <row r="14">
      <c r="A14" t="inlineStr">
        <is>
          <t>- Example cases for SA=120 are provided in 'Example_Cases' with caps (max ST=132).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6" customWidth="1" min="3" max="3"/>
    <col width="20" customWidth="1" min="4" max="4"/>
    <col width="16" customWidth="1" min="5" max="5"/>
    <col width="18" customWidth="1" min="6" max="6"/>
    <col width="12" customWidth="1" min="7" max="7"/>
    <col width="38" customWidth="1" min="8" max="8"/>
    <col width="36" customWidth="1" min="9" max="9"/>
  </cols>
  <sheetData>
    <row r="1">
      <c r="A1" s="2" t="inlineStr">
        <is>
          <t>Case</t>
        </is>
      </c>
      <c r="B1" s="2" t="inlineStr">
        <is>
          <t>SA</t>
        </is>
      </c>
      <c r="C1" s="2" t="inlineStr">
        <is>
          <t>1st Yr Admitted</t>
        </is>
      </c>
      <c r="D1" s="2" t="inlineStr">
        <is>
          <t>Leftover Seats (1st Yr)</t>
        </is>
      </c>
      <c r="E1" s="2" t="inlineStr">
        <is>
          <t>Lateral Entry a</t>
        </is>
      </c>
      <c r="F1" s="2" t="inlineStr">
        <is>
          <t>Leftover b (2nd Yr)</t>
        </is>
      </c>
      <c r="G1" s="2" t="inlineStr">
        <is>
          <t>L = a+b</t>
        </is>
      </c>
      <c r="H1" s="2" t="inlineStr">
        <is>
          <t>ST (Counted) = min(SA + min(L,10%*SA), 1.1*SA)</t>
        </is>
      </c>
      <c r="I1" s="2" t="inlineStr">
        <is>
          <t>Comment</t>
        </is>
      </c>
    </row>
    <row r="2">
      <c r="A2" s="3" t="n">
        <v>1</v>
      </c>
      <c r="B2" s="3" t="n">
        <v>120</v>
      </c>
      <c r="C2" s="3" t="n">
        <v>120</v>
      </c>
      <c r="D2" s="3" t="n">
        <v>0</v>
      </c>
      <c r="E2" s="3" t="n">
        <v>0</v>
      </c>
      <c r="F2" s="3" t="n">
        <v>0</v>
      </c>
      <c r="G2" s="3">
        <f>E2+F2</f>
        <v/>
      </c>
      <c r="H2" s="3">
        <f>MIN(B2 + MIN(G2, 0.1*B2), 1.1*B2)</f>
        <v/>
      </c>
      <c r="I2" s="3" t="inlineStr">
        <is>
          <t>Auto-capped to 10% of SA and then to 1.1*SA if needed</t>
        </is>
      </c>
    </row>
    <row r="3">
      <c r="A3" s="3" t="n">
        <v>2</v>
      </c>
      <c r="B3" s="3" t="n">
        <v>120</v>
      </c>
      <c r="C3" s="3" t="n">
        <v>120</v>
      </c>
      <c r="D3" s="3" t="n">
        <v>0</v>
      </c>
      <c r="E3" s="3" t="n">
        <v>12</v>
      </c>
      <c r="F3" s="3" t="n">
        <v>0</v>
      </c>
      <c r="G3" s="3">
        <f>E3+F3</f>
        <v/>
      </c>
      <c r="H3" s="3">
        <f>MIN(B3 + MIN(G3, 0.1*B3), 1.1*B3)</f>
        <v/>
      </c>
      <c r="I3" s="3" t="inlineStr">
        <is>
          <t>Auto-capped to 10% of SA and then to 1.1*SA if needed</t>
        </is>
      </c>
    </row>
    <row r="4">
      <c r="A4" s="3" t="n">
        <v>3</v>
      </c>
      <c r="B4" s="3" t="n">
        <v>120</v>
      </c>
      <c r="C4" s="3" t="n">
        <v>120</v>
      </c>
      <c r="D4" s="3" t="n">
        <v>0</v>
      </c>
      <c r="E4" s="3" t="n">
        <v>6</v>
      </c>
      <c r="F4" s="3" t="n">
        <v>0</v>
      </c>
      <c r="G4" s="3">
        <f>E4+F4</f>
        <v/>
      </c>
      <c r="H4" s="3">
        <f>MIN(B4 + MIN(G4, 0.1*B4), 1.1*B4)</f>
        <v/>
      </c>
      <c r="I4" s="3" t="inlineStr">
        <is>
          <t>Auto-capped to 10% of SA and then to 1.1*SA if needed</t>
        </is>
      </c>
    </row>
    <row r="5">
      <c r="A5" s="3" t="n">
        <v>4</v>
      </c>
      <c r="B5" s="3" t="n">
        <v>120</v>
      </c>
      <c r="C5" s="3" t="n">
        <v>60</v>
      </c>
      <c r="D5" s="3" t="n">
        <v>60</v>
      </c>
      <c r="E5" s="3" t="n">
        <v>0</v>
      </c>
      <c r="F5" s="3" t="n">
        <v>0</v>
      </c>
      <c r="G5" s="3">
        <f>E5+F5</f>
        <v/>
      </c>
      <c r="H5" s="3">
        <f>MIN(B5 + MIN(G5, 0.1*B5), 1.1*B5)</f>
        <v/>
      </c>
      <c r="I5" s="3" t="inlineStr">
        <is>
          <t>Auto-capped to 10% of SA and then to 1.1*SA if needed</t>
        </is>
      </c>
    </row>
    <row r="6">
      <c r="A6" s="3" t="n">
        <v>5</v>
      </c>
      <c r="B6" s="3" t="n">
        <v>120</v>
      </c>
      <c r="C6" s="3" t="n">
        <v>75</v>
      </c>
      <c r="D6" s="3" t="n">
        <v>45</v>
      </c>
      <c r="E6" s="3" t="n">
        <v>6</v>
      </c>
      <c r="F6" s="3" t="n">
        <v>0</v>
      </c>
      <c r="G6" s="3">
        <f>E6+F6</f>
        <v/>
      </c>
      <c r="H6" s="3">
        <f>MIN(B6 + MIN(G6, 0.1*B6), 1.1*B6)</f>
        <v/>
      </c>
      <c r="I6" s="3" t="inlineStr">
        <is>
          <t>Auto-capped to 10% of SA and then to 1.1*SA if needed</t>
        </is>
      </c>
    </row>
    <row r="7">
      <c r="A7" s="3" t="n">
        <v>6</v>
      </c>
      <c r="B7" s="3" t="n">
        <v>120</v>
      </c>
      <c r="C7" s="3" t="n">
        <v>82</v>
      </c>
      <c r="D7" s="3" t="n">
        <v>38</v>
      </c>
      <c r="E7" s="3" t="n">
        <v>12</v>
      </c>
      <c r="F7" s="3" t="n">
        <v>0</v>
      </c>
      <c r="G7" s="3">
        <f>E7+F7</f>
        <v/>
      </c>
      <c r="H7" s="3">
        <f>MIN(B7 + MIN(G7, 0.1*B7), 1.1*B7)</f>
        <v/>
      </c>
      <c r="I7" s="3" t="inlineStr">
        <is>
          <t>Auto-capped to 10% of SA and then to 1.1*SA if needed</t>
        </is>
      </c>
    </row>
    <row r="8">
      <c r="A8" s="3" t="n">
        <v>7</v>
      </c>
      <c r="B8" s="3" t="n">
        <v>120</v>
      </c>
      <c r="C8" s="3" t="n">
        <v>88</v>
      </c>
      <c r="D8" s="3" t="n">
        <v>32</v>
      </c>
      <c r="E8" s="3" t="n">
        <v>44</v>
      </c>
      <c r="F8" s="3" t="n">
        <v>0</v>
      </c>
      <c r="G8" s="3">
        <f>E8+F8</f>
        <v/>
      </c>
      <c r="H8" s="3">
        <f>MIN(B8 + MIN(G8, 0.1*B8), 1.1*B8)</f>
        <v/>
      </c>
      <c r="I8" s="3" t="inlineStr">
        <is>
          <t>Auto-capped to 10% of SA and then to 1.1*SA if needed</t>
        </is>
      </c>
    </row>
    <row r="9">
      <c r="A9" s="3" t="n">
        <v>8</v>
      </c>
      <c r="B9" s="3" t="n">
        <v>120</v>
      </c>
      <c r="C9" s="3" t="n">
        <v>60</v>
      </c>
      <c r="D9" s="3" t="n">
        <v>60</v>
      </c>
      <c r="E9" s="3" t="n">
        <v>42</v>
      </c>
      <c r="F9" s="3" t="n">
        <v>0</v>
      </c>
      <c r="G9" s="3">
        <f>E9+F9</f>
        <v/>
      </c>
      <c r="H9" s="3">
        <f>MIN(B9 + MIN(G9, 0.1*B9), 1.1*B9)</f>
        <v/>
      </c>
      <c r="I9" s="3" t="inlineStr">
        <is>
          <t>Auto-capped to 10% of SA and then to 1.1*SA if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18" customWidth="1" min="3" max="3"/>
    <col width="10" customWidth="1" min="4" max="4"/>
    <col width="16" customWidth="1" min="5" max="5"/>
    <col width="20" customWidth="1" min="6" max="6"/>
    <col width="16" customWidth="1" min="7" max="7"/>
    <col width="12" customWidth="1" min="8" max="8"/>
    <col width="22" customWidth="1" min="9" max="9"/>
    <col width="30" customWidth="1" min="10" max="10"/>
    <col width="20" customWidth="1" min="11" max="11"/>
    <col width="12" customWidth="1" min="12" max="12"/>
  </cols>
  <sheetData>
    <row r="1">
      <c r="A1" s="2" t="inlineStr">
        <is>
          <t>Program_Type (UG/PG)</t>
        </is>
      </c>
      <c r="B1" s="2" t="inlineStr">
        <is>
          <t>Program_Name</t>
        </is>
      </c>
      <c r="C1" s="2" t="inlineStr">
        <is>
          <t>Year (UG2/UG3/UG4/PG1/PG2)</t>
        </is>
      </c>
      <c r="D1" s="2" t="inlineStr">
        <is>
          <t>SA</t>
        </is>
      </c>
      <c r="E1" s="2" t="inlineStr">
        <is>
          <t>a (Lateral Entry)</t>
        </is>
      </c>
      <c r="F1" s="2" t="inlineStr">
        <is>
          <t>b (Leftover in 2nd Yr)</t>
        </is>
      </c>
      <c r="G1" s="2" t="inlineStr">
        <is>
          <t>SNQ (Exclude)</t>
        </is>
      </c>
      <c r="H1" s="2" t="inlineStr">
        <is>
          <t>L = a+b</t>
        </is>
      </c>
      <c r="I1" s="2" t="inlineStr">
        <is>
          <t>Allowed_L = MIN(L, 10%*SA)</t>
        </is>
      </c>
      <c r="J1" s="2" t="inlineStr">
        <is>
          <t>ST_capped = MIN(SA+Allowed_L,1.1*SA)</t>
        </is>
      </c>
      <c r="K1" s="2" t="inlineStr">
        <is>
          <t>ST_final = ST_capped - SNQ</t>
        </is>
      </c>
      <c r="L1" s="2" t="inlineStr">
        <is>
          <t>Cap_Flag</t>
        </is>
      </c>
    </row>
    <row r="2">
      <c r="A2" s="3" t="inlineStr">
        <is>
          <t>UG</t>
        </is>
      </c>
      <c r="B2" s="3" t="inlineStr">
        <is>
          <t>B.Tech CSE</t>
        </is>
      </c>
      <c r="C2" s="3" t="inlineStr">
        <is>
          <t>UG2</t>
        </is>
      </c>
      <c r="D2" s="3" t="n">
        <v>120</v>
      </c>
      <c r="E2" s="3" t="n">
        <v>12</v>
      </c>
      <c r="F2" s="3" t="n">
        <v>0</v>
      </c>
      <c r="G2" s="3" t="n">
        <v>0</v>
      </c>
      <c r="H2" s="3">
        <f>E2+F2</f>
        <v/>
      </c>
      <c r="I2" s="3">
        <f>MIN(H2, 0.1*D2)</f>
        <v/>
      </c>
      <c r="J2" s="3">
        <f>MIN(D2+I2, 1.1*D2)</f>
        <v/>
      </c>
      <c r="K2" s="3">
        <f>J2-G2</f>
        <v/>
      </c>
      <c r="L2" s="3">
        <f>IF(ABS(J2-1.1*D2)&lt;1E-6,"CAP","OK")</f>
        <v/>
      </c>
    </row>
    <row r="3">
      <c r="A3" s="3" t="inlineStr">
        <is>
          <t>UG</t>
        </is>
      </c>
      <c r="B3" s="3" t="inlineStr">
        <is>
          <t>B.Tech CSE</t>
        </is>
      </c>
      <c r="C3" s="3" t="inlineStr">
        <is>
          <t>UG3</t>
        </is>
      </c>
      <c r="D3" s="3" t="n">
        <v>120</v>
      </c>
      <c r="E3" s="3" t="n">
        <v>6</v>
      </c>
      <c r="F3" s="3" t="n">
        <v>0</v>
      </c>
      <c r="G3" s="3" t="n">
        <v>0</v>
      </c>
      <c r="H3" s="3">
        <f>E3+F3</f>
        <v/>
      </c>
      <c r="I3" s="3">
        <f>MIN(H3, 0.1*D3)</f>
        <v/>
      </c>
      <c r="J3" s="3">
        <f>MIN(D3+I3, 1.1*D3)</f>
        <v/>
      </c>
      <c r="K3" s="3">
        <f>J3-G3</f>
        <v/>
      </c>
      <c r="L3" s="3">
        <f>IF(ABS(J3-1.1*D3)&lt;1E-6,"CAP","OK")</f>
        <v/>
      </c>
    </row>
    <row r="4">
      <c r="A4" s="3" t="inlineStr">
        <is>
          <t>UG</t>
        </is>
      </c>
      <c r="B4" s="3" t="inlineStr">
        <is>
          <t>B.Tech CSE</t>
        </is>
      </c>
      <c r="C4" s="3" t="inlineStr">
        <is>
          <t>UG4</t>
        </is>
      </c>
      <c r="D4" s="3" t="n">
        <v>120</v>
      </c>
      <c r="E4" s="3" t="n">
        <v>0</v>
      </c>
      <c r="F4" s="3" t="n">
        <v>0</v>
      </c>
      <c r="G4" s="3" t="n">
        <v>0</v>
      </c>
      <c r="H4" s="3">
        <f>E4+F4</f>
        <v/>
      </c>
      <c r="I4" s="3">
        <f>MIN(H4, 0.1*D4)</f>
        <v/>
      </c>
      <c r="J4" s="3">
        <f>MIN(D4+I4, 1.1*D4)</f>
        <v/>
      </c>
      <c r="K4" s="3">
        <f>J4-G4</f>
        <v/>
      </c>
      <c r="L4" s="3">
        <f>IF(ABS(J4-1.1*D4)&lt;1E-6,"CAP","OK")</f>
        <v/>
      </c>
    </row>
    <row r="5">
      <c r="A5" s="3" t="inlineStr">
        <is>
          <t>PG</t>
        </is>
      </c>
      <c r="B5" s="3" t="inlineStr">
        <is>
          <t>M.Tech CSE</t>
        </is>
      </c>
      <c r="C5" s="3" t="inlineStr">
        <is>
          <t>PG1</t>
        </is>
      </c>
      <c r="D5" s="3" t="n">
        <v>18</v>
      </c>
      <c r="E5" s="3" t="n">
        <v>0</v>
      </c>
      <c r="F5" s="3" t="n">
        <v>0</v>
      </c>
      <c r="G5" s="3" t="n">
        <v>0</v>
      </c>
      <c r="H5" s="3">
        <f>E5+F5</f>
        <v/>
      </c>
      <c r="I5" s="3">
        <f>MIN(H5, 0.1*D5)</f>
        <v/>
      </c>
      <c r="J5" s="3">
        <f>MIN(D5+I5, 1.1*D5)</f>
        <v/>
      </c>
      <c r="K5" s="3">
        <f>J5-G5</f>
        <v/>
      </c>
      <c r="L5" s="3">
        <f>IF(ABS(J5-1.1*D5)&lt;1E-6,"CAP","OK")</f>
        <v/>
      </c>
    </row>
    <row r="6">
      <c r="A6" s="3" t="inlineStr">
        <is>
          <t>PG</t>
        </is>
      </c>
      <c r="B6" s="3" t="inlineStr">
        <is>
          <t>M.Tech CSE</t>
        </is>
      </c>
      <c r="C6" s="3" t="inlineStr">
        <is>
          <t>PG2</t>
        </is>
      </c>
      <c r="D6" s="3" t="n">
        <v>18</v>
      </c>
      <c r="E6" s="3" t="n">
        <v>0</v>
      </c>
      <c r="F6" s="3" t="n">
        <v>0</v>
      </c>
      <c r="G6" s="3" t="n">
        <v>0</v>
      </c>
      <c r="H6" s="3">
        <f>E6+F6</f>
        <v/>
      </c>
      <c r="I6" s="3">
        <f>MIN(H6, 0.1*D6)</f>
        <v/>
      </c>
      <c r="J6" s="3">
        <f>MIN(D6+I6, 1.1*D6)</f>
        <v/>
      </c>
      <c r="K6" s="3">
        <f>J6-G6</f>
        <v/>
      </c>
      <c r="L6" s="3">
        <f>IF(ABS(J6-1.1*D6)&lt;1E-6,"CAP","OK")</f>
        <v/>
      </c>
    </row>
  </sheetData>
  <dataValidations count="2">
    <dataValidation sqref="A2:A1000" showErrorMessage="1" showInputMessage="1" allowBlank="0" type="list">
      <formula1>"UG,PG"</formula1>
    </dataValidation>
    <dataValidation sqref="C2:C1000" showErrorMessage="1" showInputMessage="1" allowBlank="0" type="list">
      <formula1>"UG2,UG3,UG4,PG1,PG2"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20" customWidth="1" min="3" max="3"/>
    <col width="20" customWidth="1" min="4" max="4"/>
    <col width="18" customWidth="1" min="5" max="5"/>
  </cols>
  <sheetData>
    <row r="1">
      <c r="A1" s="2" t="inlineStr">
        <is>
          <t>Faculty_Name</t>
        </is>
      </c>
      <c r="B1" s="2" t="inlineStr">
        <is>
          <t>Employment_Type (Regular/Contractual_FT)</t>
        </is>
      </c>
      <c r="C1" s="2" t="inlineStr">
        <is>
          <t>Allied_Cluster (Yes/No)</t>
        </is>
      </c>
      <c r="D1" s="2" t="inlineStr">
        <is>
          <t>FirstYearOnly (Yes/No)</t>
        </is>
      </c>
      <c r="E1" s="2" t="inlineStr">
        <is>
          <t>Counted_Faculty</t>
        </is>
      </c>
    </row>
    <row r="2">
      <c r="A2" s="3" t="inlineStr">
        <is>
          <t>Dr. A</t>
        </is>
      </c>
      <c r="B2" s="3" t="inlineStr">
        <is>
          <t>Regular</t>
        </is>
      </c>
      <c r="C2" s="3" t="inlineStr">
        <is>
          <t>No</t>
        </is>
      </c>
      <c r="D2" s="3" t="inlineStr">
        <is>
          <t>No</t>
        </is>
      </c>
      <c r="E2" s="3">
        <f>IF(OR(B2="Regular",B2="Contractual_FT"),IF(D2="No",1,0),0)</f>
        <v/>
      </c>
    </row>
    <row r="3">
      <c r="A3" s="3" t="inlineStr">
        <is>
          <t>Dr. B</t>
        </is>
      </c>
      <c r="B3" s="3" t="inlineStr">
        <is>
          <t>Regular</t>
        </is>
      </c>
      <c r="C3" s="3" t="inlineStr">
        <is>
          <t>No</t>
        </is>
      </c>
      <c r="D3" s="3" t="inlineStr">
        <is>
          <t>No</t>
        </is>
      </c>
      <c r="E3" s="3">
        <f>IF(OR(B3="Regular",B3="Contractual_FT"),IF(D3="No",1,0),0)</f>
        <v/>
      </c>
    </row>
    <row r="4">
      <c r="A4" s="3" t="inlineStr">
        <is>
          <t>Dr. C</t>
        </is>
      </c>
      <c r="B4" s="3" t="inlineStr">
        <is>
          <t>Contractual_FT</t>
        </is>
      </c>
      <c r="C4" s="3" t="inlineStr">
        <is>
          <t>Yes</t>
        </is>
      </c>
      <c r="D4" s="3" t="inlineStr">
        <is>
          <t>No</t>
        </is>
      </c>
      <c r="E4" s="3">
        <f>IF(OR(B4="Regular",B4="Contractual_FT"),IF(D4="No",1,0),0)</f>
        <v/>
      </c>
    </row>
    <row r="5">
      <c r="A5" s="3" t="inlineStr">
        <is>
          <t>Dr. D</t>
        </is>
      </c>
      <c r="B5" s="3" t="inlineStr">
        <is>
          <t>Regular</t>
        </is>
      </c>
      <c r="C5" s="3" t="inlineStr">
        <is>
          <t>No</t>
        </is>
      </c>
      <c r="D5" s="3" t="inlineStr">
        <is>
          <t>Yes</t>
        </is>
      </c>
      <c r="E5" s="3">
        <f>IF(OR(B5="Regular",B5="Contractual_FT"),IF(D5="No",1,0),0)</f>
        <v/>
      </c>
    </row>
  </sheetData>
  <dataValidations count="2">
    <dataValidation sqref="B2:B1000" showErrorMessage="1" showInputMessage="1" allowBlank="0" type="list">
      <formula1>"Regular,Contractual_FT"</formula1>
    </dataValidation>
    <dataValidation sqref="C2:C1000 D2:D1000" showErrorMessage="1" showInputMessage="1" allowBlank="0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70" customWidth="1" min="3" max="3"/>
  </cols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Notes / Formula</t>
        </is>
      </c>
    </row>
    <row r="2">
      <c r="A2" s="3" t="inlineStr">
        <is>
          <t>Total Students Counted (S)</t>
        </is>
      </c>
      <c r="B2" s="3">
        <f>SUM(Programs!K2:K6)</f>
        <v/>
      </c>
      <c r="C2" s="3" t="inlineStr">
        <is>
          <t>Σ ST_final across all program-years</t>
        </is>
      </c>
    </row>
    <row r="3">
      <c r="A3" s="3" t="inlineStr">
        <is>
          <t>Total Faculty Counted (F)</t>
        </is>
      </c>
      <c r="B3" s="3">
        <f>SUM(Faculty!E2:E5)</f>
        <v/>
      </c>
      <c r="C3" s="3" t="inlineStr">
        <is>
          <t>Full-time Regular/Contractual_FT, FirstYearOnly=No</t>
        </is>
      </c>
    </row>
    <row r="4">
      <c r="A4" s="3" t="inlineStr">
        <is>
          <t>SFR = S / F</t>
        </is>
      </c>
      <c r="B4" s="4">
        <f>IF(B3&gt;0,B2/B3,"")</f>
        <v/>
      </c>
      <c r="C4" s="3" t="inlineStr">
        <is>
          <t>Student–Faculty Ratio</t>
        </is>
      </c>
    </row>
    <row r="5">
      <c r="A5" s="3" t="inlineStr">
        <is>
          <t>NBA Marks (out of 30)</t>
        </is>
      </c>
      <c r="B5" s="3">
        <f>IF(B4="","",IF(B4&gt;20,0,IF(B4&lt;=15,30,(20-B4)*6)))</f>
        <v/>
      </c>
      <c r="C5" s="3" t="inlineStr">
        <is>
          <t>Piecewise: ≤15→30; 15–20→linear; &gt;20→0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2025-08-28T13:57:00Z</dcterms:created>
  <dcterms:modified xmlns:dcterms="http://purl.org/dc/terms/" xmlns:xsi="http://www.w3.org/2001/XMLSchema-instance" xsi:type="dcterms:W3CDTF">2025-08-28T13:57:00Z</dcterms:modified>
</cp:coreProperties>
</file>