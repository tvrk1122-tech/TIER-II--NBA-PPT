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Yearly_Calc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Placement, Higher Studies &amp; Entrepreneurship – Calculator (30 Points)</t>
        </is>
      </c>
    </row>
    <row r="3">
      <c r="A3" t="inlineStr">
        <is>
          <t>• Purpose: Calculate points for 'Placement, Higher Studies &amp; Entrepreneurship (30)' metric.</t>
        </is>
      </c>
    </row>
    <row r="4">
      <c r="A4" t="inlineStr">
        <is>
          <t>• How to use:</t>
        </is>
      </c>
    </row>
    <row r="5">
      <c r="A5" t="inlineStr">
        <is>
          <t>• 1) Fill the 'Input' sheet: Year, Students Passed (Z), Placed, Higher Studies, Entrepreneurs.</t>
        </is>
      </c>
    </row>
    <row r="6">
      <c r="A6" t="inlineStr">
        <is>
          <t>• 2) 'Yearly_Calc' auto-computes PI, HSI, EI and combined P per year.</t>
        </is>
      </c>
    </row>
    <row r="7">
      <c r="A7" t="inlineStr">
        <is>
          <t>• 3) 'Summary' shows Average P and Final Points = 0.3 × Average P (capped at 30).</t>
        </is>
      </c>
    </row>
    <row r="8">
      <c r="A8" t="inlineStr">
        <is>
          <t>• Notes:</t>
        </is>
      </c>
    </row>
    <row r="9">
      <c r="A9" t="inlineStr">
        <is>
          <t>• - PI = Placed/Z × 100; HSI = Higher Studies/Z × 100; EI = Entrepreneurs/Z × 100; P = PI+HSI+EI.</t>
        </is>
      </c>
    </row>
    <row r="10">
      <c r="A10" t="inlineStr">
        <is>
          <t>• - Include exactly three academic years: CAYm1, CAYm2, CAYm3 (most recent first).</t>
        </is>
      </c>
    </row>
    <row r="11">
      <c r="A11" t="inlineStr">
        <is>
          <t>• - Evidence to retain: offer letters, admission proofs, startup registration/incubator letters.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8" customWidth="1" min="4" max="4"/>
    <col width="18" customWidth="1" min="5" max="5"/>
  </cols>
  <sheetData>
    <row r="1">
      <c r="A1" s="2" t="inlineStr">
        <is>
          <t>Year (e.g., CAYm1)</t>
        </is>
      </c>
      <c r="B1" s="2" t="inlineStr">
        <is>
          <t>Students Passed (Z)</t>
        </is>
      </c>
      <c r="C1" s="2" t="inlineStr">
        <is>
          <t>Placed</t>
        </is>
      </c>
      <c r="D1" s="2" t="inlineStr">
        <is>
          <t>Higher Studies</t>
        </is>
      </c>
      <c r="E1" s="2" t="inlineStr">
        <is>
          <t>Entrepreneurs</t>
        </is>
      </c>
    </row>
    <row r="2">
      <c r="A2" t="inlineStr">
        <is>
          <t>CAYm1</t>
        </is>
      </c>
      <c r="B2" s="3" t="n"/>
      <c r="C2" s="3" t="n"/>
      <c r="D2" s="3" t="n"/>
      <c r="E2" s="3" t="n"/>
    </row>
    <row r="3">
      <c r="A3" t="inlineStr">
        <is>
          <t>CAYm2</t>
        </is>
      </c>
      <c r="B3" s="3" t="n"/>
      <c r="C3" s="3" t="n"/>
      <c r="D3" s="3" t="n"/>
      <c r="E3" s="3" t="n"/>
    </row>
    <row r="4">
      <c r="A4" t="inlineStr">
        <is>
          <t>CAYm3</t>
        </is>
      </c>
      <c r="B4" s="3" t="n"/>
      <c r="C4" s="3" t="n"/>
      <c r="D4" s="3" t="n"/>
      <c r="E4" s="3" t="n"/>
    </row>
  </sheetData>
  <dataValidations count="1">
    <dataValidation sqref="B2:E4" showErrorMessage="1" showInputMessage="1" allowBlank="1" error="Value must be a non-negative integer." prompt="Enter a non-negative integer.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16" customWidth="1" min="5" max="5"/>
    <col width="18" customWidth="1" min="6" max="6"/>
    <col width="18" customWidth="1" min="7" max="7"/>
    <col width="16" customWidth="1" min="8" max="8"/>
    <col width="14" customWidth="1" min="9" max="9"/>
  </cols>
  <sheetData>
    <row r="1">
      <c r="A1" s="2" t="inlineStr">
        <is>
          <t>Year</t>
        </is>
      </c>
      <c r="B1" s="2" t="inlineStr">
        <is>
          <t>Z: Passed</t>
        </is>
      </c>
      <c r="C1" s="2" t="inlineStr">
        <is>
          <t>Placed</t>
        </is>
      </c>
      <c r="D1" s="2" t="inlineStr">
        <is>
          <t>Higher Studies</t>
        </is>
      </c>
      <c r="E1" s="2" t="inlineStr">
        <is>
          <t>Entrepreneurs</t>
        </is>
      </c>
      <c r="F1" s="2" t="inlineStr">
        <is>
          <t>PI = Placed/Z*100</t>
        </is>
      </c>
      <c r="G1" s="2" t="inlineStr">
        <is>
          <t>HSI = Higher/Z*100</t>
        </is>
      </c>
      <c r="H1" s="2" t="inlineStr">
        <is>
          <t>EI = Entre/Z*100</t>
        </is>
      </c>
      <c r="I1" s="2" t="inlineStr">
        <is>
          <t>P = PI+HSI+EI</t>
        </is>
      </c>
    </row>
    <row r="2">
      <c r="A2" s="3">
        <f>Input!A2</f>
        <v/>
      </c>
      <c r="B2" s="3">
        <f>Input!B2</f>
        <v/>
      </c>
      <c r="C2" s="3">
        <f>Input!C2</f>
        <v/>
      </c>
      <c r="D2" s="3">
        <f>Input!D2</f>
        <v/>
      </c>
      <c r="E2" s="3">
        <f>Input!E2</f>
        <v/>
      </c>
      <c r="F2" s="4">
        <f>IF(B2&gt;0, C2/B2*100, 0)</f>
        <v/>
      </c>
      <c r="G2" s="4">
        <f>IF(B2&gt;0, D2/B2*100, 0)</f>
        <v/>
      </c>
      <c r="H2" s="4">
        <f>IF(B2&gt;0, E2/B2*100, 0)</f>
        <v/>
      </c>
      <c r="I2" s="3">
        <f>F2+G2+H2</f>
        <v/>
      </c>
    </row>
    <row r="3">
      <c r="A3" s="3">
        <f>Input!A3</f>
        <v/>
      </c>
      <c r="B3" s="3">
        <f>Input!B3</f>
        <v/>
      </c>
      <c r="C3" s="3">
        <f>Input!C3</f>
        <v/>
      </c>
      <c r="D3" s="3">
        <f>Input!D3</f>
        <v/>
      </c>
      <c r="E3" s="3">
        <f>Input!E3</f>
        <v/>
      </c>
      <c r="F3" s="4">
        <f>IF(B3&gt;0, C3/B3*100, 0)</f>
        <v/>
      </c>
      <c r="G3" s="4">
        <f>IF(B3&gt;0, D3/B3*100, 0)</f>
        <v/>
      </c>
      <c r="H3" s="4">
        <f>IF(B3&gt;0, E3/B3*100, 0)</f>
        <v/>
      </c>
      <c r="I3" s="3">
        <f>F3+G3+H3</f>
        <v/>
      </c>
    </row>
    <row r="4">
      <c r="A4" s="3">
        <f>Input!A4</f>
        <v/>
      </c>
      <c r="B4" s="3">
        <f>Input!B4</f>
        <v/>
      </c>
      <c r="C4" s="3">
        <f>Input!C4</f>
        <v/>
      </c>
      <c r="D4" s="3">
        <f>Input!D4</f>
        <v/>
      </c>
      <c r="E4" s="3">
        <f>Input!E4</f>
        <v/>
      </c>
      <c r="F4" s="4">
        <f>IF(B4&gt;0, C4/B4*100, 0)</f>
        <v/>
      </c>
      <c r="G4" s="4">
        <f>IF(B4&gt;0, D4/B4*100, 0)</f>
        <v/>
      </c>
      <c r="H4" s="4">
        <f>IF(B4&gt;0, E4/B4*100, 0)</f>
        <v/>
      </c>
      <c r="I4" s="3">
        <f>F4+G4+H4</f>
        <v/>
      </c>
    </row>
    <row r="6">
      <c r="H6" s="5" t="inlineStr">
        <is>
          <t>Average P across years</t>
        </is>
      </c>
      <c r="I6" s="4">
        <f>AVERAGE(I2:I4)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Summary</t>
        </is>
      </c>
    </row>
    <row r="3">
      <c r="A3" s="5" t="inlineStr">
        <is>
          <t>Average Placement Index (P)</t>
        </is>
      </c>
      <c r="B3" s="6">
        <f>Yearly_Calc!I6</f>
        <v/>
      </c>
    </row>
    <row r="4">
      <c r="A4" s="5" t="inlineStr">
        <is>
          <t>Final Points = 0.3 × Average P (capped at 30)</t>
        </is>
      </c>
      <c r="B4" s="7">
        <f>MIN(0.3*B3,30)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2025-08-26T11:28:31Z</dcterms:created>
  <dcterms:modified xmlns:dcterms="http://purl.org/dc/terms/" xmlns:xsi="http://www.w3.org/2001/XMLSchema-instance" xsi:type="dcterms:W3CDTF">2025-08-26T11:28:31Z</dcterms:modified>
</cp:coreProperties>
</file>