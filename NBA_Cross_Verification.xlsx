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mission_Base" sheetId="1" r:id="rId1"/>
    <sheet name="Graduated_Summary" sheetId="2" r:id="rId2"/>
    <sheet name="Reconciliation" sheetId="3" r:id="rId3"/>
    <sheet name="Exceptions_Log" sheetId="4" r:id="rId4"/>
    <sheet name="Docs_Log" sheetId="5" r:id="rId5"/>
    <sheet name="ReadMe" sheetId="6" r:id="rId6"/>
  </sheets>
  <calcPr calcId="124519" fullCalcOnLoad="1"/>
</workbook>
</file>

<file path=xl/sharedStrings.xml><?xml version="1.0" encoding="utf-8"?>
<sst xmlns="http://schemas.openxmlformats.org/spreadsheetml/2006/main" count="113" uniqueCount="49">
  <si>
    <t>Year of Entry (Label)</t>
  </si>
  <si>
    <t>Academic Year (e.g., 2020-21)</t>
  </si>
  <si>
    <t>N1 (1st Yr admissions, migration adj.)</t>
  </si>
  <si>
    <t>N2 (Lateral entry)</t>
  </si>
  <si>
    <t>N3 (Separate division)</t>
  </si>
  <si>
    <t>N4 (Supernumerary)</t>
  </si>
  <si>
    <t>N5 (MEES multiple entry)</t>
  </si>
  <si>
    <t>N6 (MEES multiple exit)</t>
  </si>
  <si>
    <t>Base Strength (Auto = N1+N2+N3+N4+N5−N6)</t>
  </si>
  <si>
    <t>CAY</t>
  </si>
  <si>
    <t>CAYm1</t>
  </si>
  <si>
    <t>CAYm2</t>
  </si>
  <si>
    <t>CAYm3</t>
  </si>
  <si>
    <t>CAYm4 (LYG)</t>
  </si>
  <si>
    <t>CAYm5 (LYGm1)</t>
  </si>
  <si>
    <t>CAYm6 (LYGm2)</t>
  </si>
  <si>
    <t>Graduated WITHOUT Backlogs</t>
  </si>
  <si>
    <t>Graduated WITH Backlogs</t>
  </si>
  <si>
    <t>Total Graduated (Auto)</t>
  </si>
  <si>
    <t>Academic Year (auto)</t>
  </si>
  <si>
    <t>Base Strength (from Admission_Base)</t>
  </si>
  <si>
    <t>Total Graduated (from Graduated_Summary)</t>
  </si>
  <si>
    <t>Gap = Base − Graduated (Auto)</t>
  </si>
  <si>
    <t>Graduation % (Auto)</t>
  </si>
  <si>
    <t>Flag (Auto)</t>
  </si>
  <si>
    <t>Remarks (explain gap if any)</t>
  </si>
  <si>
    <t>Roll No (if applicable)</t>
  </si>
  <si>
    <t>Student Name</t>
  </si>
  <si>
    <t>Category</t>
  </si>
  <si>
    <t>Supporting Document Ref</t>
  </si>
  <si>
    <t>Remarks</t>
  </si>
  <si>
    <t>Document Type (Admission Register / Gazette / Degree Award List / Backlog Records)</t>
  </si>
  <si>
    <t>File Path or Link</t>
  </si>
  <si>
    <t>Verified By</t>
  </si>
  <si>
    <t>Verification Date (YYYY-MM-DD)</t>
  </si>
  <si>
    <t>Instructions</t>
  </si>
  <si>
    <t>NBA Criterion 4 – Cross-Verification Workbook (Admissions N1–N6 ↔ Graduations)</t>
  </si>
  <si>
    <t>How to use:</t>
  </si>
  <si>
    <t>1) Fill 'Admission_Base' with N1..N6 per Year of Entry (CAY..CAYm6).</t>
  </si>
  <si>
    <t xml:space="preserve">   - 'Base Strength' auto = N1+N2+N3+N4+N5−N6.</t>
  </si>
  <si>
    <t>2) Fill 'Graduated_Summary' with graduates (WITHOUT &amp; WITH backlogs).</t>
  </si>
  <si>
    <t xml:space="preserve">   - 'Total Graduated' auto = sum of the two.</t>
  </si>
  <si>
    <t>3) See 'Reconciliation': Base vs Graduated, Gap, % and a traffic-light Flag.</t>
  </si>
  <si>
    <t>4) If 'Gap' ≠ 0, document cases in 'Exceptions_Log' (dropouts, fails, migration out, etc.).</t>
  </si>
  <si>
    <t>5) Add proof files in 'Docs_Log' for audit trail (Admission Register, Gazette, Degree Award List, Backlog records).</t>
  </si>
  <si>
    <t>Notes:</t>
  </si>
  <si>
    <t>- MEES entries/exits must be entered ONLY in N5/N6; do not merge into N1–N4.</t>
  </si>
  <si>
    <t>- Graduation % = Total Graduated ÷ Base Strength (blank if Base=0).</t>
  </si>
  <si>
    <t>- Targets: Investigate flags Red/Amber until reconciled to Green.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</si>
</sst>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" fontId="1" fillId="3" borderId="1" xfId="0" applyNumberFormat="1" applyFont="1" applyFill="1" applyBorder="1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8" width="32.7109375" customWidth="1"/>
    <col min="9" max="9" width="3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I2" s="2">
        <f>SUM(C2:G2)-H2</f>
        <v>0</v>
      </c>
    </row>
    <row r="3" spans="1:9">
      <c r="A3" t="s">
        <v>10</v>
      </c>
      <c r="I3" s="2">
        <f>SUM(C3:G3)-H3</f>
        <v>0</v>
      </c>
    </row>
    <row r="4" spans="1:9">
      <c r="A4" t="s">
        <v>11</v>
      </c>
      <c r="I4" s="2">
        <f>SUM(C4:G4)-H4</f>
        <v>0</v>
      </c>
    </row>
    <row r="5" spans="1:9">
      <c r="A5" t="s">
        <v>12</v>
      </c>
      <c r="I5" s="2">
        <f>SUM(C5:G5)-H5</f>
        <v>0</v>
      </c>
    </row>
    <row r="6" spans="1:9">
      <c r="A6" t="s">
        <v>13</v>
      </c>
      <c r="I6" s="2">
        <f>SUM(C6:G6)-H6</f>
        <v>0</v>
      </c>
    </row>
    <row r="7" spans="1:9">
      <c r="A7" t="s">
        <v>14</v>
      </c>
      <c r="I7" s="2">
        <f>SUM(C7:G7)-H7</f>
        <v>0</v>
      </c>
    </row>
    <row r="8" spans="1:9">
      <c r="A8" t="s">
        <v>15</v>
      </c>
      <c r="I8" s="2">
        <f>SUM(C8:G8)-H8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4" width="32.7109375" customWidth="1"/>
    <col min="5" max="5" width="26.7109375" customWidth="1"/>
  </cols>
  <sheetData>
    <row r="1" spans="1: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</row>
    <row r="2" spans="1:5">
      <c r="A2" t="s">
        <v>9</v>
      </c>
      <c r="E2" s="2">
        <f>SUM(C2:D2)</f>
        <v>0</v>
      </c>
    </row>
    <row r="3" spans="1:5">
      <c r="A3" t="s">
        <v>10</v>
      </c>
      <c r="E3" s="2">
        <f>SUM(C3:D3)</f>
        <v>0</v>
      </c>
    </row>
    <row r="4" spans="1:5">
      <c r="A4" t="s">
        <v>11</v>
      </c>
      <c r="E4" s="2">
        <f>SUM(C4:D4)</f>
        <v>0</v>
      </c>
    </row>
    <row r="5" spans="1:5">
      <c r="A5" t="s">
        <v>12</v>
      </c>
      <c r="E5" s="2">
        <f>SUM(C5:D5)</f>
        <v>0</v>
      </c>
    </row>
    <row r="6" spans="1:5">
      <c r="A6" t="s">
        <v>13</v>
      </c>
      <c r="E6" s="2">
        <f>SUM(C6:D6)</f>
        <v>0</v>
      </c>
    </row>
    <row r="7" spans="1:5">
      <c r="A7" t="s">
        <v>14</v>
      </c>
      <c r="E7" s="2">
        <f>SUM(C7:D7)</f>
        <v>0</v>
      </c>
    </row>
    <row r="8" spans="1:5">
      <c r="A8" t="s">
        <v>15</v>
      </c>
      <c r="E8" s="2">
        <f>SUM(C8:D8)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2.7109375" customWidth="1"/>
    <col min="3" max="4" width="32.7109375" customWidth="1"/>
    <col min="5" max="5" width="30.7109375" customWidth="1"/>
    <col min="6" max="6" width="26.7109375" customWidth="1"/>
    <col min="7" max="7" width="18.7109375" customWidth="1"/>
    <col min="8" max="8" width="42.7109375" customWidth="1"/>
  </cols>
  <sheetData>
    <row r="1" spans="1:8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t="s">
        <v>9</v>
      </c>
      <c r="B2">
        <f>IFERROR(VLOOKUP(A2,Admission_Base!$A$2:$B$8,2,FALSE),"")</f>
        <v>0</v>
      </c>
      <c r="C2" s="3">
        <f>IFERROR(VLOOKUP(A2,Admission_Base!$A$2:$I$8,9,FALSE),"")</f>
        <v>0</v>
      </c>
      <c r="D2" s="3">
        <f>IFERROR(VLOOKUP(A2,Graduated_Summary!$A$2:$E$8,5,FALSE),"")</f>
        <v>0</v>
      </c>
      <c r="E2" s="3">
        <f>C2-D2</f>
        <v>0</v>
      </c>
      <c r="F2" s="4">
        <f>IFERROR(D2/C2,"")</f>
        <v>0</v>
      </c>
      <c r="G2">
        <f>IF(E2=0,"GREEN",IF(AND(E2&gt;0,E2&lt;=5),"AMBER","RED"))</f>
        <v>0</v>
      </c>
    </row>
    <row r="3" spans="1:8">
      <c r="A3" t="s">
        <v>10</v>
      </c>
      <c r="B3">
        <f>IFERROR(VLOOKUP(A3,Admission_Base!$A$2:$B$8,2,FALSE),"")</f>
        <v>0</v>
      </c>
      <c r="C3" s="3">
        <f>IFERROR(VLOOKUP(A3,Admission_Base!$A$2:$I$8,9,FALSE),"")</f>
        <v>0</v>
      </c>
      <c r="D3" s="3">
        <f>IFERROR(VLOOKUP(A3,Graduated_Summary!$A$2:$E$8,5,FALSE),"")</f>
        <v>0</v>
      </c>
      <c r="E3" s="3">
        <f>C3-D3</f>
        <v>0</v>
      </c>
      <c r="F3" s="4">
        <f>IFERROR(D3/C3,"")</f>
        <v>0</v>
      </c>
      <c r="G3">
        <f>IF(E3=0,"GREEN",IF(AND(E3&gt;0,E3&lt;=5),"AMBER","RED"))</f>
        <v>0</v>
      </c>
    </row>
    <row r="4" spans="1:8">
      <c r="A4" t="s">
        <v>11</v>
      </c>
      <c r="B4">
        <f>IFERROR(VLOOKUP(A4,Admission_Base!$A$2:$B$8,2,FALSE),"")</f>
        <v>0</v>
      </c>
      <c r="C4" s="3">
        <f>IFERROR(VLOOKUP(A4,Admission_Base!$A$2:$I$8,9,FALSE),"")</f>
        <v>0</v>
      </c>
      <c r="D4" s="3">
        <f>IFERROR(VLOOKUP(A4,Graduated_Summary!$A$2:$E$8,5,FALSE),"")</f>
        <v>0</v>
      </c>
      <c r="E4" s="3">
        <f>C4-D4</f>
        <v>0</v>
      </c>
      <c r="F4" s="4">
        <f>IFERROR(D4/C4,"")</f>
        <v>0</v>
      </c>
      <c r="G4">
        <f>IF(E4=0,"GREEN",IF(AND(E4&gt;0,E4&lt;=5),"AMBER","RED"))</f>
        <v>0</v>
      </c>
    </row>
    <row r="5" spans="1:8">
      <c r="A5" t="s">
        <v>12</v>
      </c>
      <c r="B5">
        <f>IFERROR(VLOOKUP(A5,Admission_Base!$A$2:$B$8,2,FALSE),"")</f>
        <v>0</v>
      </c>
      <c r="C5" s="3">
        <f>IFERROR(VLOOKUP(A5,Admission_Base!$A$2:$I$8,9,FALSE),"")</f>
        <v>0</v>
      </c>
      <c r="D5" s="3">
        <f>IFERROR(VLOOKUP(A5,Graduated_Summary!$A$2:$E$8,5,FALSE),"")</f>
        <v>0</v>
      </c>
      <c r="E5" s="3">
        <f>C5-D5</f>
        <v>0</v>
      </c>
      <c r="F5" s="4">
        <f>IFERROR(D5/C5,"")</f>
        <v>0</v>
      </c>
      <c r="G5">
        <f>IF(E5=0,"GREEN",IF(AND(E5&gt;0,E5&lt;=5),"AMBER","RED"))</f>
        <v>0</v>
      </c>
    </row>
    <row r="6" spans="1:8">
      <c r="A6" t="s">
        <v>13</v>
      </c>
      <c r="B6">
        <f>IFERROR(VLOOKUP(A6,Admission_Base!$A$2:$B$8,2,FALSE),"")</f>
        <v>0</v>
      </c>
      <c r="C6" s="3">
        <f>IFERROR(VLOOKUP(A6,Admission_Base!$A$2:$I$8,9,FALSE),"")</f>
        <v>0</v>
      </c>
      <c r="D6" s="3">
        <f>IFERROR(VLOOKUP(A6,Graduated_Summary!$A$2:$E$8,5,FALSE),"")</f>
        <v>0</v>
      </c>
      <c r="E6" s="3">
        <f>C6-D6</f>
        <v>0</v>
      </c>
      <c r="F6" s="4">
        <f>IFERROR(D6/C6,"")</f>
        <v>0</v>
      </c>
      <c r="G6">
        <f>IF(E6=0,"GREEN",IF(AND(E6&gt;0,E6&lt;=5),"AMBER","RED"))</f>
        <v>0</v>
      </c>
    </row>
    <row r="7" spans="1:8">
      <c r="A7" t="s">
        <v>14</v>
      </c>
      <c r="B7">
        <f>IFERROR(VLOOKUP(A7,Admission_Base!$A$2:$B$8,2,FALSE),"")</f>
        <v>0</v>
      </c>
      <c r="C7" s="3">
        <f>IFERROR(VLOOKUP(A7,Admission_Base!$A$2:$I$8,9,FALSE),"")</f>
        <v>0</v>
      </c>
      <c r="D7" s="3">
        <f>IFERROR(VLOOKUP(A7,Graduated_Summary!$A$2:$E$8,5,FALSE),"")</f>
        <v>0</v>
      </c>
      <c r="E7" s="3">
        <f>C7-D7</f>
        <v>0</v>
      </c>
      <c r="F7" s="4">
        <f>IFERROR(D7/C7,"")</f>
        <v>0</v>
      </c>
      <c r="G7">
        <f>IF(E7=0,"GREEN",IF(AND(E7&gt;0,E7&lt;=5),"AMBER","RED"))</f>
        <v>0</v>
      </c>
    </row>
    <row r="8" spans="1:8">
      <c r="A8" t="s">
        <v>15</v>
      </c>
      <c r="B8">
        <f>IFERROR(VLOOKUP(A8,Admission_Base!$A$2:$B$8,2,FALSE),"")</f>
        <v>0</v>
      </c>
      <c r="C8" s="3">
        <f>IFERROR(VLOOKUP(A8,Admission_Base!$A$2:$I$8,9,FALSE),"")</f>
        <v>0</v>
      </c>
      <c r="D8" s="3">
        <f>IFERROR(VLOOKUP(A8,Graduated_Summary!$A$2:$E$8,5,FALSE),"")</f>
        <v>0</v>
      </c>
      <c r="E8" s="3">
        <f>C8-D8</f>
        <v>0</v>
      </c>
      <c r="F8" s="4">
        <f>IFERROR(D8/C8,"")</f>
        <v>0</v>
      </c>
      <c r="G8">
        <f>IF(E8=0,"GREEN",IF(AND(E8&gt;0,E8&lt;=5),"AMBER","RED"))</f>
        <v>0</v>
      </c>
    </row>
  </sheetData>
  <conditionalFormatting sqref="G2:G8">
    <cfRule type="cellIs" dxfId="0" priority="1" operator="equal">
      <formula>"GREEN"</formula>
    </cfRule>
    <cfRule type="cellIs" dxfId="1" priority="2" operator="equal">
      <formula>"AMBER"</formula>
    </cfRule>
    <cfRule type="cellIs" dxfId="2" priority="3" operator="equal">
      <formula>"RED"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4" width="24.7109375" customWidth="1"/>
    <col min="5" max="5" width="28.7109375" customWidth="1"/>
    <col min="6" max="6" width="40.7109375" customWidth="1"/>
    <col min="7" max="7" width="50.7109375" customWidth="1"/>
  </cols>
  <sheetData>
    <row r="1" spans="1:7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0.7109375" customWidth="1"/>
    <col min="3" max="5" width="28.7109375" customWidth="1"/>
    <col min="6" max="6" width="40.7109375" customWidth="1"/>
  </cols>
  <sheetData>
    <row r="1" spans="1: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30</v>
      </c>
    </row>
    <row r="2" spans="1:6">
      <c r="A2" t="s">
        <v>9</v>
      </c>
    </row>
    <row r="3" spans="1:6">
      <c r="A3" t="s">
        <v>10</v>
      </c>
    </row>
    <row r="4" spans="1:6">
      <c r="A4" t="s">
        <v>11</v>
      </c>
    </row>
    <row r="5" spans="1:6">
      <c r="A5" t="s">
        <v>12</v>
      </c>
    </row>
    <row r="6" spans="1:6">
      <c r="A6" t="s">
        <v>13</v>
      </c>
    </row>
    <row r="7" spans="1:6">
      <c r="A7" t="s">
        <v>14</v>
      </c>
    </row>
    <row r="8" spans="1:6">
      <c r="A8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35</v>
      </c>
    </row>
    <row r="2" spans="1:1">
      <c r="A2" t="s">
        <v>36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  <row r="7" spans="1:1">
      <c r="A7" t="s">
        <v>40</v>
      </c>
    </row>
    <row r="8" spans="1:1">
      <c r="A8" t="s">
        <v>41</v>
      </c>
    </row>
    <row r="9" spans="1:1">
      <c r="A9" t="s">
        <v>42</v>
      </c>
    </row>
    <row r="10" spans="1:1">
      <c r="A10" t="s">
        <v>43</v>
      </c>
    </row>
    <row r="11" spans="1:1">
      <c r="A11" t="s">
        <v>44</v>
      </c>
    </row>
    <row r="13" spans="1:1">
      <c r="A13" t="s">
        <v>45</v>
      </c>
    </row>
    <row r="14" spans="1:1">
      <c r="A14" t="s">
        <v>46</v>
      </c>
    </row>
    <row r="15" spans="1:1">
      <c r="A15" t="s">
        <v>47</v>
      </c>
    </row>
    <row r="16" spans="1:1">
      <c r="A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Admission_Base</vt:lpstr>
      <vt:lpstr>Graduated_Summary</vt:lpstr>
      <vt:lpstr>Reconciliation</vt:lpstr>
      <vt:lpstr>Exceptions_Log</vt:lpstr>
      <vt:lpstr>Docs_Log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2025-08-26T05:33:12Z</dcterms:created>
  <dcterms:modified xsi:type="dcterms:W3CDTF">2025-08-26T05:33:12Z</dcterms:modified>
</cp:coreProperties>
</file>