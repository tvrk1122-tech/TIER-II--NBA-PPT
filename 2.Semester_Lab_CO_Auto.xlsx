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Labs Master" sheetId="2" state="visible" r:id="rId2"/>
    <sheet xmlns:r="http://schemas.openxmlformats.org/officeDocument/2006/relationships" name="Rubrics (Guide)" sheetId="3" state="visible" r:id="rId3"/>
    <sheet xmlns:r="http://schemas.openxmlformats.org/officeDocument/2006/relationships" name="Marks Entry (Lab)" sheetId="4" state="visible" r:id="rId4"/>
    <sheet xmlns:r="http://schemas.openxmlformats.org/officeDocument/2006/relationships" name="Lab CO Summary" sheetId="5" state="visible" r:id="rId5"/>
    <sheet xmlns:r="http://schemas.openxmlformats.org/officeDocument/2006/relationships" name="Semester Lab 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Configuration (Edit Weights &amp; Thresholds for LAB)</t>
        </is>
      </c>
    </row>
    <row r="2">
      <c r="A2" t="inlineStr">
        <is>
          <t>CIE_Lab Weight (%)</t>
        </is>
      </c>
      <c r="B2" t="n">
        <v>60</v>
      </c>
    </row>
    <row r="3">
      <c r="A3" t="inlineStr">
        <is>
          <t>EndLab Weight (%)</t>
        </is>
      </c>
      <c r="B3" t="n">
        <v>30</v>
      </c>
    </row>
    <row r="4">
      <c r="A4" t="inlineStr">
        <is>
          <t>Indirect Weight (%)</t>
        </is>
      </c>
      <c r="B4" t="n">
        <v>10</v>
      </c>
    </row>
    <row r="5">
      <c r="A5" t="inlineStr">
        <is>
          <t>Level 3 Threshold (%)</t>
        </is>
      </c>
      <c r="B5" t="n">
        <v>70</v>
      </c>
    </row>
    <row r="6">
      <c r="A6" t="inlineStr">
        <is>
          <t>Level 2 Threshold (%)</t>
        </is>
      </c>
      <c r="B6" t="n">
        <v>60</v>
      </c>
    </row>
    <row r="7">
      <c r="A7" t="inlineStr">
        <is>
          <t>Level 1 Threshold (%)</t>
        </is>
      </c>
      <c r="B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2" t="inlineStr">
        <is>
          <t>Semester</t>
        </is>
      </c>
      <c r="B1" s="2" t="inlineStr">
        <is>
          <t>Lab Code</t>
        </is>
      </c>
      <c r="C1" s="2" t="inlineStr">
        <is>
          <t>Lab Title</t>
        </is>
      </c>
      <c r="D1" s="2" t="inlineStr">
        <is>
          <t>Credits</t>
        </is>
      </c>
      <c r="E1" s="2" t="inlineStr">
        <is>
          <t>CO Count</t>
        </is>
      </c>
      <c r="F1" s="2" t="inlineStr">
        <is>
          <t>Default Target (%)</t>
        </is>
      </c>
    </row>
    <row r="2">
      <c r="A2" t="inlineStr">
        <is>
          <t>Sem 3</t>
        </is>
      </c>
      <c r="B2" t="inlineStr">
        <is>
          <t>CSL201</t>
        </is>
      </c>
      <c r="C2" t="inlineStr">
        <is>
          <t>Data Structures Lab</t>
        </is>
      </c>
      <c r="D2" t="n">
        <v>1</v>
      </c>
      <c r="E2" t="n">
        <v>4</v>
      </c>
      <c r="F2" t="n">
        <v>60</v>
      </c>
    </row>
    <row r="3">
      <c r="A3" t="inlineStr">
        <is>
          <t>Sem 3</t>
        </is>
      </c>
      <c r="B3" t="inlineStr">
        <is>
          <t>ECL202</t>
        </is>
      </c>
      <c r="C3" t="inlineStr">
        <is>
          <t>Digital Systems Lab</t>
        </is>
      </c>
      <c r="D3" t="n">
        <v>1</v>
      </c>
      <c r="E3" t="n">
        <v>4</v>
      </c>
      <c r="F3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Suggested Rubric Criteria (edit as needed)</t>
        </is>
      </c>
    </row>
    <row r="2">
      <c r="A2" s="2" t="inlineStr">
        <is>
          <t>Instrument Type</t>
        </is>
      </c>
      <c r="B2" s="2" t="inlineStr">
        <is>
          <t>Criterion</t>
        </is>
      </c>
      <c r="C2" s="2" t="inlineStr">
        <is>
          <t>Max Marks (suggested)</t>
        </is>
      </c>
      <c r="D2" s="2" t="inlineStr">
        <is>
          <t>Description (editable)</t>
        </is>
      </c>
    </row>
    <row r="3">
      <c r="A3" t="inlineStr">
        <is>
          <t>Experiment</t>
        </is>
      </c>
      <c r="B3" t="inlineStr">
        <is>
          <t>Preparation/Setup</t>
        </is>
      </c>
      <c r="C3" t="n">
        <v>5</v>
      </c>
      <c r="D3" t="inlineStr">
        <is>
          <t>Reads procedure, sets up apparatus correctly</t>
        </is>
      </c>
    </row>
    <row r="4">
      <c r="A4" t="inlineStr">
        <is>
          <t>Experiment</t>
        </is>
      </c>
      <c r="B4" t="inlineStr">
        <is>
          <t>Procedure Execution</t>
        </is>
      </c>
      <c r="C4" t="n">
        <v>5</v>
      </c>
      <c r="D4" t="inlineStr">
        <is>
          <t>Follows steps, safety, timing</t>
        </is>
      </c>
    </row>
    <row r="5">
      <c r="A5" t="inlineStr">
        <is>
          <t>Experiment</t>
        </is>
      </c>
      <c r="B5" t="inlineStr">
        <is>
          <t>Observation/Data</t>
        </is>
      </c>
      <c r="C5" t="n">
        <v>5</v>
      </c>
      <c r="D5" t="inlineStr">
        <is>
          <t>Records accurate observations</t>
        </is>
      </c>
    </row>
    <row r="6">
      <c r="A6" t="inlineStr">
        <is>
          <t>Experiment</t>
        </is>
      </c>
      <c r="B6" t="inlineStr">
        <is>
          <t>Analysis/Inference</t>
        </is>
      </c>
      <c r="C6" t="n">
        <v>5</v>
      </c>
      <c r="D6" t="inlineStr">
        <is>
          <t>Correct calculations &amp; reasoning</t>
        </is>
      </c>
    </row>
    <row r="7">
      <c r="A7" t="inlineStr">
        <is>
          <t>Record Book</t>
        </is>
      </c>
      <c r="B7" t="inlineStr">
        <is>
          <t>Record Quality</t>
        </is>
      </c>
      <c r="C7" t="n">
        <v>10</v>
      </c>
      <c r="D7" t="inlineStr">
        <is>
          <t>Neatness, completeness, structure</t>
        </is>
      </c>
    </row>
    <row r="8">
      <c r="A8" t="inlineStr">
        <is>
          <t>Viva (Internal)</t>
        </is>
      </c>
      <c r="B8" t="inlineStr">
        <is>
          <t>Concept Understanding</t>
        </is>
      </c>
      <c r="C8" t="n">
        <v>10</v>
      </c>
      <c r="D8" t="inlineStr">
        <is>
          <t>Explains theory and application</t>
        </is>
      </c>
    </row>
    <row r="9">
      <c r="A9" t="inlineStr">
        <is>
          <t>Mini-Project</t>
        </is>
      </c>
      <c r="B9" t="inlineStr">
        <is>
          <t>Design &amp; Implementation</t>
        </is>
      </c>
      <c r="C9" t="n">
        <v>20</v>
      </c>
      <c r="D9" t="inlineStr">
        <is>
          <t>Functionality, documentation</t>
        </is>
      </c>
    </row>
    <row r="10">
      <c r="A10" t="inlineStr">
        <is>
          <t>EndLab</t>
        </is>
      </c>
      <c r="B10" t="inlineStr">
        <is>
          <t>End-sem Practical + Viva</t>
        </is>
      </c>
      <c r="C10" t="n">
        <v>30</v>
      </c>
      <c r="D10" t="inlineStr">
        <is>
          <t>Exam performance at semester end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3" t="inlineStr">
        <is>
          <t>S.No</t>
        </is>
      </c>
      <c r="B1" s="3" t="inlineStr">
        <is>
          <t>Semester</t>
        </is>
      </c>
      <c r="C1" s="3" t="inlineStr">
        <is>
          <t>Lab Code</t>
        </is>
      </c>
      <c r="D1" s="3" t="inlineStr">
        <is>
          <t>Lab Title</t>
        </is>
      </c>
      <c r="E1" s="3" t="inlineStr">
        <is>
          <t>Student Roll No</t>
        </is>
      </c>
      <c r="F1" s="3" t="inlineStr">
        <is>
          <t>Student Name</t>
        </is>
      </c>
      <c r="G1" s="3" t="inlineStr">
        <is>
          <t>Assessment Type (CIE_Lab/EndLab)</t>
        </is>
      </c>
      <c r="H1" s="3" t="inlineStr">
        <is>
          <t>Instrument Type (Experiment/Record/Viva/Project/EndLab)</t>
        </is>
      </c>
      <c r="I1" s="3" t="inlineStr">
        <is>
          <t>Experiment/Item</t>
        </is>
      </c>
      <c r="J1" s="3" t="inlineStr">
        <is>
          <t>Mapped CO</t>
        </is>
      </c>
      <c r="K1" s="3" t="inlineStr">
        <is>
          <t>Criterion</t>
        </is>
      </c>
      <c r="L1" s="3" t="inlineStr">
        <is>
          <t>Max Marks</t>
        </is>
      </c>
      <c r="M1" s="3" t="inlineStr">
        <is>
          <t>Marks Obtained</t>
        </is>
      </c>
      <c r="N1" s="3" t="inlineStr">
        <is>
          <t>Target (%)</t>
        </is>
      </c>
      <c r="O1" s="3" t="inlineStr">
        <is>
          <t>Attainment (%)</t>
        </is>
      </c>
      <c r="P1" s="3" t="inlineStr">
        <is>
          <t>Attained (Y/N)</t>
        </is>
      </c>
    </row>
    <row r="2">
      <c r="A2" t="n">
        <v>1</v>
      </c>
      <c r="B2" t="inlineStr">
        <is>
          <t>Sem 3</t>
        </is>
      </c>
      <c r="C2" t="inlineStr">
        <is>
          <t>CSL201</t>
        </is>
      </c>
      <c r="D2" t="inlineStr">
        <is>
          <t>Data Structures Lab</t>
        </is>
      </c>
      <c r="E2" t="inlineStr">
        <is>
          <t>23CS001</t>
        </is>
      </c>
      <c r="F2" t="inlineStr">
        <is>
          <t>Anita Rao</t>
        </is>
      </c>
      <c r="G2" t="inlineStr">
        <is>
          <t>CIE_Lab</t>
        </is>
      </c>
      <c r="H2" t="inlineStr">
        <is>
          <t>Experiment</t>
        </is>
      </c>
      <c r="I2" t="inlineStr">
        <is>
          <t>Exp1-Stacks</t>
        </is>
      </c>
      <c r="J2" t="inlineStr">
        <is>
          <t>CO1</t>
        </is>
      </c>
      <c r="K2" t="inlineStr">
        <is>
          <t>Procedure Execution</t>
        </is>
      </c>
      <c r="L2" t="n">
        <v>5</v>
      </c>
      <c r="M2" t="n">
        <v>4</v>
      </c>
      <c r="N2" t="n">
        <v>60</v>
      </c>
      <c r="O2">
        <f>IF(L2&gt;0, M2/L2*100, 0)</f>
        <v/>
      </c>
      <c r="P2">
        <f>IF(O2&gt;=N2,"Y","N")</f>
        <v/>
      </c>
    </row>
    <row r="3">
      <c r="A3" t="n">
        <v>2</v>
      </c>
      <c r="B3" t="inlineStr">
        <is>
          <t>Sem 3</t>
        </is>
      </c>
      <c r="C3" t="inlineStr">
        <is>
          <t>CSL201</t>
        </is>
      </c>
      <c r="D3" t="inlineStr">
        <is>
          <t>Data Structures Lab</t>
        </is>
      </c>
      <c r="E3" t="inlineStr">
        <is>
          <t>23CS002</t>
        </is>
      </c>
      <c r="F3" t="inlineStr">
        <is>
          <t>Bhavesh Iyer</t>
        </is>
      </c>
      <c r="G3" t="inlineStr">
        <is>
          <t>CIE_Lab</t>
        </is>
      </c>
      <c r="H3" t="inlineStr">
        <is>
          <t>Experiment</t>
        </is>
      </c>
      <c r="I3" t="inlineStr">
        <is>
          <t>Exp1-Stacks</t>
        </is>
      </c>
      <c r="J3" t="inlineStr">
        <is>
          <t>CO1</t>
        </is>
      </c>
      <c r="K3" t="inlineStr">
        <is>
          <t>Procedure Execution</t>
        </is>
      </c>
      <c r="L3" t="n">
        <v>5</v>
      </c>
      <c r="M3" t="n">
        <v>2</v>
      </c>
      <c r="N3" t="n">
        <v>60</v>
      </c>
      <c r="O3">
        <f>IF(L3&gt;0, M3/L3*100, 0)</f>
        <v/>
      </c>
      <c r="P3">
        <f>IF(O3&gt;=N3,"Y","N")</f>
        <v/>
      </c>
    </row>
    <row r="4">
      <c r="A4" t="n">
        <v>3</v>
      </c>
      <c r="B4" t="inlineStr">
        <is>
          <t>Sem 3</t>
        </is>
      </c>
      <c r="C4" t="inlineStr">
        <is>
          <t>CSL201</t>
        </is>
      </c>
      <c r="D4" t="inlineStr">
        <is>
          <t>Data Structures Lab</t>
        </is>
      </c>
      <c r="E4" t="inlineStr">
        <is>
          <t>23CS001</t>
        </is>
      </c>
      <c r="F4" t="inlineStr">
        <is>
          <t>Anita Rao</t>
        </is>
      </c>
      <c r="G4" t="inlineStr">
        <is>
          <t>EndLab</t>
        </is>
      </c>
      <c r="H4" t="inlineStr">
        <is>
          <t>EndLab</t>
        </is>
      </c>
      <c r="I4" t="inlineStr">
        <is>
          <t>Prac+Viva</t>
        </is>
      </c>
      <c r="J4" t="inlineStr">
        <is>
          <t>CO1</t>
        </is>
      </c>
      <c r="K4" t="inlineStr">
        <is>
          <t>End-sem Practical + Viva</t>
        </is>
      </c>
      <c r="L4" t="n">
        <v>30</v>
      </c>
      <c r="M4" t="n">
        <v>22</v>
      </c>
      <c r="N4" t="n">
        <v>60</v>
      </c>
      <c r="O4">
        <f>IF(L4&gt;0, M4/L4*100, 0)</f>
        <v/>
      </c>
      <c r="P4">
        <f>IF(O4&gt;=N4,"Y","N")</f>
        <v/>
      </c>
    </row>
    <row r="5">
      <c r="A5" t="n">
        <v>4</v>
      </c>
      <c r="B5" t="inlineStr">
        <is>
          <t>Sem 3</t>
        </is>
      </c>
      <c r="C5" t="inlineStr">
        <is>
          <t>CSL201</t>
        </is>
      </c>
      <c r="D5" t="inlineStr">
        <is>
          <t>Data Structures Lab</t>
        </is>
      </c>
      <c r="E5" t="inlineStr">
        <is>
          <t>23CS002</t>
        </is>
      </c>
      <c r="F5" t="inlineStr">
        <is>
          <t>Bhavesh Iyer</t>
        </is>
      </c>
      <c r="G5" t="inlineStr">
        <is>
          <t>EndLab</t>
        </is>
      </c>
      <c r="H5" t="inlineStr">
        <is>
          <t>EndLab</t>
        </is>
      </c>
      <c r="I5" t="inlineStr">
        <is>
          <t>Prac+Viva</t>
        </is>
      </c>
      <c r="J5" t="inlineStr">
        <is>
          <t>CO1</t>
        </is>
      </c>
      <c r="K5" t="inlineStr">
        <is>
          <t>End-sem Practical + Viva</t>
        </is>
      </c>
      <c r="L5" t="n">
        <v>30</v>
      </c>
      <c r="M5" t="n">
        <v>14</v>
      </c>
      <c r="N5" t="n">
        <v>60</v>
      </c>
      <c r="O5">
        <f>IF(L5&gt;0, M5/L5*100, 0)</f>
        <v/>
      </c>
      <c r="P5">
        <f>IF(O5&gt;=N5,"Y","N")</f>
        <v/>
      </c>
    </row>
    <row r="6">
      <c r="A6" t="n">
        <v>5</v>
      </c>
      <c r="B6" t="inlineStr">
        <is>
          <t>Sem 3</t>
        </is>
      </c>
      <c r="C6" t="inlineStr">
        <is>
          <t>ECL202</t>
        </is>
      </c>
      <c r="D6" t="inlineStr">
        <is>
          <t>Digital Systems Lab</t>
        </is>
      </c>
      <c r="E6" t="inlineStr">
        <is>
          <t>23CS001</t>
        </is>
      </c>
      <c r="F6" t="inlineStr">
        <is>
          <t>Anita Rao</t>
        </is>
      </c>
      <c r="G6" t="inlineStr">
        <is>
          <t>CIE_Lab</t>
        </is>
      </c>
      <c r="H6" t="inlineStr">
        <is>
          <t>Viva</t>
        </is>
      </c>
      <c r="I6" t="inlineStr">
        <is>
          <t>Viva-FlipFlops</t>
        </is>
      </c>
      <c r="J6" t="inlineStr">
        <is>
          <t>CO2</t>
        </is>
      </c>
      <c r="K6" t="inlineStr">
        <is>
          <t>Concept Understanding</t>
        </is>
      </c>
      <c r="L6" t="n">
        <v>10</v>
      </c>
      <c r="M6" t="n">
        <v>8</v>
      </c>
      <c r="N6" t="n">
        <v>60</v>
      </c>
      <c r="O6">
        <f>IF(L6&gt;0, M6/L6*100, 0)</f>
        <v/>
      </c>
      <c r="P6">
        <f>IF(O6&gt;=N6,"Y","N")</f>
        <v/>
      </c>
    </row>
    <row r="7">
      <c r="A7" t="n">
        <v>6</v>
      </c>
      <c r="B7" t="inlineStr">
        <is>
          <t>Sem 3</t>
        </is>
      </c>
      <c r="C7" t="inlineStr">
        <is>
          <t>ECL202</t>
        </is>
      </c>
      <c r="D7" t="inlineStr">
        <is>
          <t>Digital Systems Lab</t>
        </is>
      </c>
      <c r="E7" t="inlineStr">
        <is>
          <t>23CS002</t>
        </is>
      </c>
      <c r="F7" t="inlineStr">
        <is>
          <t>Bhavesh Iyer</t>
        </is>
      </c>
      <c r="G7" t="inlineStr">
        <is>
          <t>CIE_Lab</t>
        </is>
      </c>
      <c r="H7" t="inlineStr">
        <is>
          <t>Viva</t>
        </is>
      </c>
      <c r="I7" t="inlineStr">
        <is>
          <t>Viva-FlipFlops</t>
        </is>
      </c>
      <c r="J7" t="inlineStr">
        <is>
          <t>CO2</t>
        </is>
      </c>
      <c r="K7" t="inlineStr">
        <is>
          <t>Concept Understanding</t>
        </is>
      </c>
      <c r="L7" t="n">
        <v>10</v>
      </c>
      <c r="M7" t="n">
        <v>5</v>
      </c>
      <c r="N7" t="n">
        <v>60</v>
      </c>
      <c r="O7">
        <f>IF(L7&gt;0, M7/L7*100, 0)</f>
        <v/>
      </c>
      <c r="P7">
        <f>IF(O7&gt;=N7,"Y","N")</f>
        <v/>
      </c>
    </row>
    <row r="8">
      <c r="A8" t="n">
        <v>7</v>
      </c>
      <c r="B8" t="inlineStr">
        <is>
          <t>Sem 3</t>
        </is>
      </c>
      <c r="C8" t="inlineStr">
        <is>
          <t>ECL202</t>
        </is>
      </c>
      <c r="D8" t="inlineStr">
        <is>
          <t>Digital Systems Lab</t>
        </is>
      </c>
      <c r="E8" t="inlineStr">
        <is>
          <t>23CS001</t>
        </is>
      </c>
      <c r="F8" t="inlineStr">
        <is>
          <t>Anita Rao</t>
        </is>
      </c>
      <c r="G8" t="inlineStr">
        <is>
          <t>EndLab</t>
        </is>
      </c>
      <c r="H8" t="inlineStr">
        <is>
          <t>EndLab</t>
        </is>
      </c>
      <c r="I8" t="inlineStr">
        <is>
          <t>Prac+Viva</t>
        </is>
      </c>
      <c r="J8" t="inlineStr">
        <is>
          <t>CO2</t>
        </is>
      </c>
      <c r="K8" t="inlineStr">
        <is>
          <t>End-sem Practical + Viva</t>
        </is>
      </c>
      <c r="L8" t="n">
        <v>30</v>
      </c>
      <c r="M8" t="n">
        <v>21</v>
      </c>
      <c r="N8" t="n">
        <v>60</v>
      </c>
      <c r="O8">
        <f>IF(L8&gt;0, M8/L8*100, 0)</f>
        <v/>
      </c>
      <c r="P8">
        <f>IF(O8&gt;=N8,"Y","N")</f>
        <v/>
      </c>
    </row>
    <row r="9">
      <c r="A9" t="n">
        <v>8</v>
      </c>
      <c r="B9" t="inlineStr">
        <is>
          <t>Sem 3</t>
        </is>
      </c>
      <c r="C9" t="inlineStr">
        <is>
          <t>ECL202</t>
        </is>
      </c>
      <c r="D9" t="inlineStr">
        <is>
          <t>Digital Systems Lab</t>
        </is>
      </c>
      <c r="E9" t="inlineStr">
        <is>
          <t>23CS002</t>
        </is>
      </c>
      <c r="F9" t="inlineStr">
        <is>
          <t>Bhavesh Iyer</t>
        </is>
      </c>
      <c r="G9" t="inlineStr">
        <is>
          <t>EndLab</t>
        </is>
      </c>
      <c r="H9" t="inlineStr">
        <is>
          <t>EndLab</t>
        </is>
      </c>
      <c r="I9" t="inlineStr">
        <is>
          <t>Prac+Viva</t>
        </is>
      </c>
      <c r="J9" t="inlineStr">
        <is>
          <t>CO2</t>
        </is>
      </c>
      <c r="K9" t="inlineStr">
        <is>
          <t>End-sem Practical + Viva</t>
        </is>
      </c>
      <c r="L9" t="n">
        <v>30</v>
      </c>
      <c r="M9" t="n">
        <v>12</v>
      </c>
      <c r="N9" t="n">
        <v>60</v>
      </c>
      <c r="O9">
        <f>IF(L9&gt;0, M9/L9*100, 0)</f>
        <v/>
      </c>
      <c r="P9">
        <f>IF(O9&gt;=N9,"Y","N")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A1" s="2" t="inlineStr">
        <is>
          <t>Semester</t>
        </is>
      </c>
      <c r="B1" s="2" t="inlineStr">
        <is>
          <t>Lab Code</t>
        </is>
      </c>
      <c r="C1" s="2" t="inlineStr">
        <is>
          <t>Lab Title</t>
        </is>
      </c>
      <c r="D1" s="2" t="inlineStr">
        <is>
          <t>CO</t>
        </is>
      </c>
      <c r="E1" s="2" t="inlineStr">
        <is>
          <t>Target (%)</t>
        </is>
      </c>
      <c r="F1" s="2" t="inlineStr">
        <is>
          <t>CIE_Lab Attainment (%)</t>
        </is>
      </c>
      <c r="G1" s="2" t="inlineStr">
        <is>
          <t>EndLab Attainment (%)</t>
        </is>
      </c>
      <c r="H1" s="2" t="inlineStr">
        <is>
          <t>Indirect Attainment (%)</t>
        </is>
      </c>
      <c r="I1" s="2" t="inlineStr">
        <is>
          <t>Final Attainment (%)</t>
        </is>
      </c>
      <c r="J1" s="2" t="inlineStr">
        <is>
          <t>Attainment Level</t>
        </is>
      </c>
      <c r="K1" s="2" t="inlineStr">
        <is>
          <t>Gap (Final-Target)</t>
        </is>
      </c>
      <c r="L1" s="2" t="inlineStr">
        <is>
          <t>Status</t>
        </is>
      </c>
      <c r="M1" s="2" t="inlineStr">
        <is>
          <t>Suggested Action</t>
        </is>
      </c>
    </row>
    <row r="2">
      <c r="A2" t="inlineStr">
        <is>
          <t>Sem 3</t>
        </is>
      </c>
      <c r="B2" t="inlineStr">
        <is>
          <t>CSL201</t>
        </is>
      </c>
      <c r="C2" t="inlineStr">
        <is>
          <t>Data Structures Lab</t>
        </is>
      </c>
      <c r="D2" t="inlineStr">
        <is>
          <t>CO1</t>
        </is>
      </c>
      <c r="E2" t="n">
        <v>60</v>
      </c>
      <c r="F2">
        <f>IFERROR(COUNTIFS('Marks Entry (Lab)'!$B:$B,$A2,'Marks Entry (Lab)'!$C:$C,$B2,'Marks Entry (Lab)'!$J:$J,$D2,'Marks Entry (Lab)'!$G:$G,"CIE_Lab",'Marks Entry (Lab)'!$P:$P,"Y")/COUNTIFS('Marks Entry (Lab)'!$B:$B,$A2,'Marks Entry (Lab)'!$C:$C,$B2,'Marks Entry (Lab)'!$J:$J,$D2,'Marks Entry (Lab)'!$G:$G,"CIE_Lab")*100,0)</f>
        <v/>
      </c>
      <c r="G2">
        <f>IFERROR(COUNTIFS('Marks Entry (Lab)'!$B:$B,$A2,'Marks Entry (Lab)'!$C:$C,$B2,'Marks Entry (Lab)'!$J:$J,$D2,'Marks Entry (Lab)'!$G:$G,"EndLab",'Marks Entry (Lab)'!$P:$P,"Y")/COUNTIFS('Marks Entry (Lab)'!$B:$B,$A2,'Marks Entry (Lab)'!$C:$C,$B2,'Marks Entry (Lab)'!$J:$J,$D2,'Marks Entry (Lab)'!$G:$G,"EndLab")*100,0)</f>
        <v/>
      </c>
      <c r="H2" t="n">
        <v>65</v>
      </c>
      <c r="I2">
        <f>ROUND((F2*$B$2+G2*$B$3+H2*$B$4)/100,2)</f>
        <v/>
      </c>
      <c r="J2">
        <f>IF(I2&gt;=$B$5,"L3",IF(I2&gt;=$B$6,"L2",IF(I2&gt;=$B$7,"L1","L0")))</f>
        <v/>
      </c>
      <c r="K2">
        <f>I2-E2</f>
        <v/>
      </c>
      <c r="L2">
        <f>IF(I2&gt;=E2,"Met","Not Met")</f>
        <v/>
      </c>
      <c r="M2" t="inlineStr">
        <is>
          <t>If Not Met: extra trials, demo sessions, rubric feedback, viva practice</t>
        </is>
      </c>
    </row>
    <row r="3">
      <c r="A3" t="inlineStr">
        <is>
          <t>Sem 3</t>
        </is>
      </c>
      <c r="B3" t="inlineStr">
        <is>
          <t>ECL202</t>
        </is>
      </c>
      <c r="C3" t="inlineStr">
        <is>
          <t>Digital Systems Lab</t>
        </is>
      </c>
      <c r="D3" t="inlineStr">
        <is>
          <t>CO2</t>
        </is>
      </c>
      <c r="E3" t="n">
        <v>60</v>
      </c>
      <c r="F3">
        <f>IFERROR(COUNTIFS('Marks Entry (Lab)'!$B:$B,$A3,'Marks Entry (Lab)'!$C:$C,$B3,'Marks Entry (Lab)'!$J:$J,$D3,'Marks Entry (Lab)'!$G:$G,"CIE_Lab",'Marks Entry (Lab)'!$P:$P,"Y")/COUNTIFS('Marks Entry (Lab)'!$B:$B,$A3,'Marks Entry (Lab)'!$C:$C,$B3,'Marks Entry (Lab)'!$J:$J,$D3,'Marks Entry (Lab)'!$G:$G,"CIE_Lab")*100,0)</f>
        <v/>
      </c>
      <c r="G3">
        <f>IFERROR(COUNTIFS('Marks Entry (Lab)'!$B:$B,$A3,'Marks Entry (Lab)'!$C:$C,$B3,'Marks Entry (Lab)'!$J:$J,$D3,'Marks Entry (Lab)'!$G:$G,"EndLab",'Marks Entry (Lab)'!$P:$P,"Y")/COUNTIFS('Marks Entry (Lab)'!$B:$B,$A3,'Marks Entry (Lab)'!$C:$C,$B3,'Marks Entry (Lab)'!$J:$J,$D3,'Marks Entry (Lab)'!$G:$G,"EndLab")*100,0)</f>
        <v/>
      </c>
      <c r="H3" t="n">
        <v>65</v>
      </c>
      <c r="I3">
        <f>ROUND((F3*$B$2+G3*$B$3+H3*$B$4)/100,2)</f>
        <v/>
      </c>
      <c r="J3">
        <f>IF(I3&gt;=$B$5,"L3",IF(I3&gt;=$B$6,"L2",IF(I3&gt;=$B$7,"L1","L0")))</f>
        <v/>
      </c>
      <c r="K3">
        <f>I3-E3</f>
        <v/>
      </c>
      <c r="L3">
        <f>IF(I3&gt;=E3,"Met","Not Met")</f>
        <v/>
      </c>
      <c r="M3" t="inlineStr">
        <is>
          <t>If Not Met: extra trials, demo sessions, rubric feedback, viva practice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2" t="inlineStr">
        <is>
          <t>Semester</t>
        </is>
      </c>
      <c r="B1" s="2" t="inlineStr">
        <is>
          <t>Lab Code</t>
        </is>
      </c>
      <c r="C1" s="2" t="inlineStr">
        <is>
          <t>Lab Title</t>
        </is>
      </c>
      <c r="D1" s="2" t="inlineStr">
        <is>
          <t>Avg Final Attainment across COs (%)</t>
        </is>
      </c>
      <c r="E1" s="2" t="inlineStr">
        <is>
          <t>COs at L3</t>
        </is>
      </c>
      <c r="F1" s="2" t="inlineStr">
        <is>
          <t>COs at L2</t>
        </is>
      </c>
      <c r="G1" s="2" t="inlineStr">
        <is>
          <t>COs at L1/L0</t>
        </is>
      </c>
      <c r="H1" s="2" t="inlineStr">
        <is>
          <t>Lab Status (All COs Met?)</t>
        </is>
      </c>
    </row>
    <row r="2">
      <c r="A2" t="inlineStr">
        <is>
          <t>Sem 3</t>
        </is>
      </c>
      <c r="B2" t="inlineStr">
        <is>
          <t>CSL201</t>
        </is>
      </c>
      <c r="C2" t="inlineStr">
        <is>
          <t>Data Structures Lab</t>
        </is>
      </c>
      <c r="D2">
        <f>IFERROR(AVERAGEIF('Lab CO Summary'!$B:$B,$B2,'Lab CO Summary'!$I:$I),0)</f>
        <v/>
      </c>
      <c r="E2">
        <f>COUNTIFS('Lab CO Summary'!$B:$B,$B2,'Lab CO Summary'!$J:$J,"L3")</f>
        <v/>
      </c>
      <c r="F2">
        <f>COUNTIFS('Lab CO Summary'!$B:$B,$B2,'Lab CO Summary'!$J:$J,"L2")</f>
        <v/>
      </c>
      <c r="G2">
        <f>COUNTIFS('Lab CO Summary'!$B:$B,$B2,'Lab CO Summary'!$J:$J,"L1")+COUNTIFS('Lab CO Summary'!$B:$B,$B2,'Lab CO Summary'!$J:$J,"L0")</f>
        <v/>
      </c>
      <c r="H2">
        <f>IF(MIN(IF('Lab CO Summary'!$B:$B=$B2,'Lab CO Summary'!$I:$I-'Lab CO Summary'!$E:$E))&gt;=0,"All COs Met","Pending COs")</f>
        <v/>
      </c>
    </row>
    <row r="3">
      <c r="A3" t="inlineStr">
        <is>
          <t>Sem 3</t>
        </is>
      </c>
      <c r="B3" t="inlineStr">
        <is>
          <t>ECL202</t>
        </is>
      </c>
      <c r="C3" t="inlineStr">
        <is>
          <t>Digital Systems Lab</t>
        </is>
      </c>
      <c r="D3">
        <f>IFERROR(AVERAGEIF('Lab CO Summary'!$B:$B,$B3,'Lab CO Summary'!$I:$I),0)</f>
        <v/>
      </c>
      <c r="E3">
        <f>COUNTIFS('Lab CO Summary'!$B:$B,$B3,'Lab CO Summary'!$J:$J,"L3")</f>
        <v/>
      </c>
      <c r="F3">
        <f>COUNTIFS('Lab CO Summary'!$B:$B,$B3,'Lab CO Summary'!$J:$J,"L2")</f>
        <v/>
      </c>
      <c r="G3">
        <f>COUNTIFS('Lab CO Summary'!$B:$B,$B3,'Lab CO Summary'!$J:$J,"L1")+COUNTIFS('Lab CO Summary'!$B:$B,$B3,'Lab CO Summary'!$J:$J,"L0")</f>
        <v/>
      </c>
      <c r="H3">
        <f>IF(MIN(IF('Lab CO Summary'!$B:$B=$B3,'Lab CO Summary'!$I:$I-'Lab CO Summary'!$E:$E))&gt;=0,"All COs Met","Pending COs")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2025-08-31T12:33:32Z</dcterms:created>
  <dcterms:modified xmlns:dcterms="http://purl.org/dc/terms/" xmlns:xsi="http://www.w3.org/2001/XMLSchema-instance" xsi:type="dcterms:W3CDTF">2025-08-31T12:33:32Z</dcterms:modified>
</cp:coreProperties>
</file>