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tivity_Track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Student Chapters/Clubs Activity Records – NBA Evidence Tracker</t>
        </is>
      </c>
    </row>
    <row r="3">
      <c r="A3" t="inlineStr">
        <is>
          <t>• Purpose: Track student chapters/clubs with membership counts and activity reports for NBA accreditation.</t>
        </is>
      </c>
    </row>
    <row r="4">
      <c r="A4" t="inlineStr">
        <is>
          <t>• How to fill:</t>
        </is>
      </c>
    </row>
    <row r="5">
      <c r="A5" t="inlineStr">
        <is>
          <t>• 1) Use the Activity_Tracker sheet to log each chapter/club.</t>
        </is>
      </c>
    </row>
    <row r="6">
      <c r="A6" t="inlineStr">
        <is>
          <t>• 2) Enter name, year of establishment, faculty coordinator, and membership counts (students + faculty).</t>
        </is>
      </c>
    </row>
    <row r="7">
      <c r="A7" t="inlineStr">
        <is>
          <t>• 3) For activities: enter event name, date, level (State/National/International), and outcomes/remarks.</t>
        </is>
      </c>
    </row>
    <row r="8">
      <c r="A8" t="inlineStr">
        <is>
          <t>• 4) Each entry corresponds to one event conducted by a chapter/club in a specific year.</t>
        </is>
      </c>
    </row>
    <row r="9">
      <c r="A9" t="inlineStr">
        <is>
          <t>• 5) Use Summary sheet to view consolidated counts of members and events year-wise (CAYm1, CAYm2, CAYm3).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28" customWidth="1" min="4" max="4"/>
    <col width="22" customWidth="1" min="5" max="5"/>
    <col width="22" customWidth="1" min="6" max="6"/>
    <col width="28" customWidth="1" min="7" max="7"/>
    <col width="16" customWidth="1" min="8" max="8"/>
    <col width="26" customWidth="1" min="9" max="9"/>
    <col width="26" customWidth="1" min="10" max="10"/>
    <col width="32" customWidth="1" min="11" max="11"/>
  </cols>
  <sheetData>
    <row r="1">
      <c r="A1" s="2" t="inlineStr">
        <is>
          <t>S.N.</t>
        </is>
      </c>
      <c r="B1" s="2" t="inlineStr">
        <is>
          <t>Name of Chapter/Club</t>
        </is>
      </c>
      <c r="C1" s="2" t="inlineStr">
        <is>
          <t>Year of Establishment</t>
        </is>
      </c>
      <c r="D1" s="2" t="inlineStr">
        <is>
          <t>Faculty Coordinator</t>
        </is>
      </c>
      <c r="E1" s="2" t="inlineStr">
        <is>
          <t>No. of Student Members</t>
        </is>
      </c>
      <c r="F1" s="2" t="inlineStr">
        <is>
          <t>No. of Faculty Members</t>
        </is>
      </c>
      <c r="G1" s="2" t="inlineStr">
        <is>
          <t>Event Name</t>
        </is>
      </c>
      <c r="H1" s="2" t="inlineStr">
        <is>
          <t>Event Date</t>
        </is>
      </c>
      <c r="I1" s="2" t="inlineStr">
        <is>
          <t>Level (State/National/International)</t>
        </is>
      </c>
      <c r="J1" s="2" t="inlineStr">
        <is>
          <t>Academic Year (CAYm1/CAYm2/CAYm3)</t>
        </is>
      </c>
      <c r="K1" s="2" t="inlineStr">
        <is>
          <t>Outcomes / Remarks</t>
        </is>
      </c>
    </row>
    <row r="2">
      <c r="A2" s="3" t="n">
        <v>1</v>
      </c>
      <c r="B2" s="3" t="inlineStr">
        <is>
          <t>IEEE Student Chapter</t>
        </is>
      </c>
      <c r="C2" s="3" t="n">
        <v>2018</v>
      </c>
      <c r="D2" s="3" t="inlineStr">
        <is>
          <t>Dr. A. Kumar</t>
        </is>
      </c>
      <c r="E2" s="3" t="n">
        <v>120</v>
      </c>
      <c r="F2" s="3" t="n">
        <v>5</v>
      </c>
      <c r="G2" s="3" t="inlineStr">
        <is>
          <t>Hackathon 2023</t>
        </is>
      </c>
      <c r="H2" s="3" t="inlineStr">
        <is>
          <t>14-10-2023</t>
        </is>
      </c>
      <c r="I2" s="3" t="inlineStr">
        <is>
          <t>National</t>
        </is>
      </c>
      <c r="J2" s="3" t="inlineStr">
        <is>
          <t>CAYm1 (2023)</t>
        </is>
      </c>
      <c r="K2" s="3" t="inlineStr">
        <is>
          <t>3 teams shortlisted nationally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– Student Chapters/Clubs Activities by Year</t>
        </is>
      </c>
    </row>
    <row r="2">
      <c r="A2" s="2" t="inlineStr">
        <is>
          <t>Academic Year</t>
        </is>
      </c>
      <c r="B2" s="2" t="inlineStr">
        <is>
          <t>Total Events Recorded</t>
        </is>
      </c>
      <c r="C2" s="2" t="inlineStr">
        <is>
          <t>Total Student Members (Entries)</t>
        </is>
      </c>
      <c r="D2" s="2" t="inlineStr">
        <is>
          <t>Total Faculty Members (Entries)</t>
        </is>
      </c>
    </row>
    <row r="3">
      <c r="A3" s="3" t="inlineStr">
        <is>
          <t>CAYm1</t>
        </is>
      </c>
      <c r="B3" s="3">
        <f>COUNTIF(Activity_Tracker!J:J,"*CAYm1*")</f>
        <v/>
      </c>
      <c r="C3" s="3">
        <f>SUMIF(Activity_Tracker!J:J,"*CAYm1*",Activity_Tracker!E:E)</f>
        <v/>
      </c>
      <c r="D3" s="3">
        <f>SUMIF(Activity_Tracker!J:J,"*CAYm1*",Activity_Tracker!F:F)</f>
        <v/>
      </c>
    </row>
    <row r="4">
      <c r="A4" s="3" t="inlineStr">
        <is>
          <t>CAYm2</t>
        </is>
      </c>
      <c r="B4" s="3">
        <f>COUNTIF(Activity_Tracker!J:J,"*CAYm2*")</f>
        <v/>
      </c>
      <c r="C4" s="3">
        <f>SUMIF(Activity_Tracker!J:J,"*CAYm2*",Activity_Tracker!E:E)</f>
        <v/>
      </c>
      <c r="D4" s="3">
        <f>SUMIF(Activity_Tracker!J:J,"*CAYm2*",Activity_Tracker!F:F)</f>
        <v/>
      </c>
    </row>
    <row r="5">
      <c r="A5" s="3" t="inlineStr">
        <is>
          <t>CAYm3</t>
        </is>
      </c>
      <c r="B5" s="3">
        <f>COUNTIF(Activity_Tracker!J:J,"*CAYm3*")</f>
        <v/>
      </c>
      <c r="C5" s="3">
        <f>SUMIF(Activity_Tracker!J:J,"*CAYm3*",Activity_Tracker!E:E)</f>
        <v/>
      </c>
      <c r="D5" s="3">
        <f>SUMIF(Activity_Tracker!J:J,"*CAYm3*",Activity_Tracker!F:F)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2025-08-27T03:20:52Z</dcterms:created>
  <dcterms:modified xmlns:dcterms="http://purl.org/dc/terms/" xmlns:xsi="http://www.w3.org/2001/XMLSchema-instance" xsi:type="dcterms:W3CDTF">2025-08-27T03:20:52Z</dcterms:modified>
</cp:coreProperties>
</file>