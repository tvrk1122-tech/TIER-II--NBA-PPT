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ams_Years" sheetId="2" state="visible" r:id="rId2"/>
    <sheet xmlns:r="http://schemas.openxmlformats.org/officeDocument/2006/relationships" name="Faculty_Lis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NBA 5.1 – Student–Faculty Ratio (SFR) Calculator (30 Marks)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1) Fill student details year-wise in 'Programs_Years':</t>
        </is>
      </c>
    </row>
    <row r="5">
      <c r="A5" t="inlineStr">
        <is>
          <t xml:space="preserve">   - For each program-year (UG2, UG3, UG4, PG1, PG2), enter SA (Sanctioned Intake),</t>
        </is>
      </c>
    </row>
    <row r="6">
      <c r="A6" t="inlineStr">
        <is>
          <t xml:space="preserve">     L (Actual Lateral Entry), and SNQ (Supernumerary like EWS/TFWS/SNQ to be excluded).</t>
        </is>
      </c>
    </row>
    <row r="7">
      <c r="A7" t="inlineStr">
        <is>
          <t xml:space="preserve">   - The sheet caps L at 10% of SA automatically and computes Counted_Students.</t>
        </is>
      </c>
    </row>
    <row r="8">
      <c r="A8" t="inlineStr">
        <is>
          <t>2) Fill full-time faculty details in 'Faculty_List':</t>
        </is>
      </c>
    </row>
    <row r="9">
      <c r="A9" t="inlineStr">
        <is>
          <t xml:space="preserve">   - Include Regular and Contractual full-time faculty who support the department</t>
        </is>
      </c>
    </row>
    <row r="10">
      <c r="A10" t="inlineStr">
        <is>
          <t xml:space="preserve">     (including allied clusters).</t>
        </is>
      </c>
    </row>
    <row r="11">
      <c r="A11" t="inlineStr">
        <is>
          <t xml:space="preserve">   - Mark 'FirstYearOnly' = Yes if the faculty has 100% load in 1st year – they are excluded.</t>
        </is>
      </c>
    </row>
    <row r="12">
      <c r="A12" t="inlineStr">
        <is>
          <t>3) Check 'Summary' for totals, SFR, and Marks out of 30.</t>
        </is>
      </c>
    </row>
    <row r="13">
      <c r="A13" t="inlineStr"/>
    </row>
    <row r="14">
      <c r="A14" t="inlineStr">
        <is>
          <t>Notes:</t>
        </is>
      </c>
    </row>
    <row r="15">
      <c r="A15" t="inlineStr">
        <is>
          <t>- First-year UG students are excluded because first-year-only faculty are excluded.</t>
        </is>
      </c>
    </row>
    <row r="16">
      <c r="A16" t="inlineStr">
        <is>
          <t>- Supernumerary admissions (SNQ/EWS/TFWS etc.) are excluded from S.</t>
        </is>
      </c>
    </row>
    <row r="17">
      <c r="A17" t="inlineStr">
        <is>
          <t>- SFR = S / F. Marks: 30 if SFR ≤ 15; 0 if SFR &gt; 20; linear in between.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0" customWidth="1" min="4" max="4"/>
    <col width="20" customWidth="1" min="5" max="5"/>
    <col width="25" customWidth="1" min="6" max="6"/>
    <col width="20" customWidth="1" min="7" max="7"/>
    <col width="28" customWidth="1" min="8" max="8"/>
  </cols>
  <sheetData>
    <row r="1">
      <c r="A1" s="2" t="inlineStr">
        <is>
          <t>Program_Type (UG/PG)</t>
        </is>
      </c>
      <c r="B1" s="2" t="inlineStr">
        <is>
          <t>Program_Name</t>
        </is>
      </c>
      <c r="C1" s="2" t="inlineStr">
        <is>
          <t>Year (UG2/UG3/UG4/PG1/PG2)</t>
        </is>
      </c>
      <c r="D1" s="2" t="inlineStr">
        <is>
          <t>SA (Sanctioned Intake)</t>
        </is>
      </c>
      <c r="E1" s="2" t="inlineStr">
        <is>
          <t>L (Actual Lateral Entry)</t>
        </is>
      </c>
      <c r="F1" s="2" t="inlineStr">
        <is>
          <t>SNQ (Supernumerary Excluded)</t>
        </is>
      </c>
      <c r="G1" s="2" t="inlineStr">
        <is>
          <t>Counted_L (min(L, 10% of SA))</t>
        </is>
      </c>
      <c r="H1" s="2" t="inlineStr">
        <is>
          <t>Counted_Students = SA + Counted_L - SNQ</t>
        </is>
      </c>
    </row>
    <row r="2">
      <c r="A2" s="3" t="inlineStr">
        <is>
          <t>UG</t>
        </is>
      </c>
      <c r="B2" s="3" t="inlineStr">
        <is>
          <t>B.Tech CSE</t>
        </is>
      </c>
      <c r="C2" s="3" t="inlineStr">
        <is>
          <t>UG2</t>
        </is>
      </c>
      <c r="D2" s="3" t="n">
        <v>120</v>
      </c>
      <c r="E2" s="3" t="n">
        <v>12</v>
      </c>
      <c r="F2" s="3" t="n">
        <v>0</v>
      </c>
      <c r="G2" s="3">
        <f>MIN(E2,0.1*D2)</f>
        <v/>
      </c>
      <c r="H2" s="3">
        <f>D2+G2-F2</f>
        <v/>
      </c>
    </row>
    <row r="3">
      <c r="A3" s="3" t="inlineStr">
        <is>
          <t>UG</t>
        </is>
      </c>
      <c r="B3" s="3" t="inlineStr">
        <is>
          <t>B.Tech CSE</t>
        </is>
      </c>
      <c r="C3" s="3" t="inlineStr">
        <is>
          <t>UG3</t>
        </is>
      </c>
      <c r="D3" s="3" t="n">
        <v>120</v>
      </c>
      <c r="E3" s="3" t="n">
        <v>10</v>
      </c>
      <c r="F3" s="3" t="n">
        <v>0</v>
      </c>
      <c r="G3" s="3">
        <f>MIN(E3,0.1*D3)</f>
        <v/>
      </c>
      <c r="H3" s="3">
        <f>D3+G3-F3</f>
        <v/>
      </c>
    </row>
    <row r="4">
      <c r="A4" s="3" t="inlineStr">
        <is>
          <t>UG</t>
        </is>
      </c>
      <c r="B4" s="3" t="inlineStr">
        <is>
          <t>B.Tech CSE</t>
        </is>
      </c>
      <c r="C4" s="3" t="inlineStr">
        <is>
          <t>UG4</t>
        </is>
      </c>
      <c r="D4" s="3" t="n">
        <v>120</v>
      </c>
      <c r="E4" s="3" t="n">
        <v>8</v>
      </c>
      <c r="F4" s="3" t="n">
        <v>0</v>
      </c>
      <c r="G4" s="3">
        <f>MIN(E4,0.1*D4)</f>
        <v/>
      </c>
      <c r="H4" s="3">
        <f>D4+G4-F4</f>
        <v/>
      </c>
    </row>
    <row r="5">
      <c r="A5" s="3" t="inlineStr">
        <is>
          <t>PG</t>
        </is>
      </c>
      <c r="B5" s="3" t="inlineStr">
        <is>
          <t>M.Tech CSE</t>
        </is>
      </c>
      <c r="C5" s="3" t="inlineStr">
        <is>
          <t>PG1</t>
        </is>
      </c>
      <c r="D5" s="3" t="n">
        <v>18</v>
      </c>
      <c r="E5" s="3" t="n">
        <v>0</v>
      </c>
      <c r="F5" s="3" t="n">
        <v>0</v>
      </c>
      <c r="G5" s="3">
        <f>MIN(E5,0.1*D5)</f>
        <v/>
      </c>
      <c r="H5" s="3">
        <f>D5+G5-F5</f>
        <v/>
      </c>
    </row>
    <row r="6">
      <c r="A6" s="3" t="inlineStr">
        <is>
          <t>PG</t>
        </is>
      </c>
      <c r="B6" s="3" t="inlineStr">
        <is>
          <t>M.Tech CSE</t>
        </is>
      </c>
      <c r="C6" s="3" t="inlineStr">
        <is>
          <t>PG2</t>
        </is>
      </c>
      <c r="D6" s="3" t="n">
        <v>18</v>
      </c>
      <c r="E6" s="3" t="n">
        <v>0</v>
      </c>
      <c r="F6" s="3" t="n">
        <v>0</v>
      </c>
      <c r="G6" s="3">
        <f>MIN(E6,0.1*D6)</f>
        <v/>
      </c>
      <c r="H6" s="3">
        <f>D6+G6-F6</f>
        <v/>
      </c>
    </row>
  </sheetData>
  <dataValidations count="2">
    <dataValidation sqref="A2:A1000" showErrorMessage="1" showInputMessage="1" allowBlank="0" type="list">
      <formula1>"UG,PG"</formula1>
    </dataValidation>
    <dataValidation sqref="C2:C1000" showErrorMessage="1" showInputMessage="1" allowBlank="0" type="list">
      <formula1>"UG2,UG3,UG4,PG1,PG2"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26" customWidth="1" min="5" max="5"/>
  </cols>
  <sheetData>
    <row r="1">
      <c r="A1" s="2" t="inlineStr">
        <is>
          <t>Faculty_Name</t>
        </is>
      </c>
      <c r="B1" s="2" t="inlineStr">
        <is>
          <t>Employment_Type (Regular/Contractual_FT)</t>
        </is>
      </c>
      <c r="C1" s="2" t="inlineStr">
        <is>
          <t>Allied_Cluster (Yes/No)</t>
        </is>
      </c>
      <c r="D1" s="2" t="inlineStr">
        <is>
          <t>FirstYearOnly (Yes/No)</t>
        </is>
      </c>
      <c r="E1" s="2" t="inlineStr">
        <is>
          <t>Counted_Faculty (=1 if FT and not FirstYearOnly else 0)</t>
        </is>
      </c>
    </row>
    <row r="2">
      <c r="A2" s="3" t="inlineStr">
        <is>
          <t>Dr. A</t>
        </is>
      </c>
      <c r="B2" s="3" t="inlineStr">
        <is>
          <t>Regular</t>
        </is>
      </c>
      <c r="C2" s="3" t="inlineStr">
        <is>
          <t>No</t>
        </is>
      </c>
      <c r="D2" s="3" t="inlineStr">
        <is>
          <t>No</t>
        </is>
      </c>
      <c r="E2" s="3">
        <f>IF(OR(B2="Regular",B2="Contractual_FT"),IF(D2="No",1,0),0)</f>
        <v/>
      </c>
    </row>
    <row r="3">
      <c r="A3" s="3" t="inlineStr">
        <is>
          <t>Dr. B</t>
        </is>
      </c>
      <c r="B3" s="3" t="inlineStr">
        <is>
          <t>Regular</t>
        </is>
      </c>
      <c r="C3" s="3" t="inlineStr">
        <is>
          <t>No</t>
        </is>
      </c>
      <c r="D3" s="3" t="inlineStr">
        <is>
          <t>No</t>
        </is>
      </c>
      <c r="E3" s="3">
        <f>IF(OR(B3="Regular",B3="Contractual_FT"),IF(D3="No",1,0),0)</f>
        <v/>
      </c>
    </row>
    <row r="4">
      <c r="A4" s="3" t="inlineStr">
        <is>
          <t>Dr. C</t>
        </is>
      </c>
      <c r="B4" s="3" t="inlineStr">
        <is>
          <t>Contractual_FT</t>
        </is>
      </c>
      <c r="C4" s="3" t="inlineStr">
        <is>
          <t>Yes</t>
        </is>
      </c>
      <c r="D4" s="3" t="inlineStr">
        <is>
          <t>No</t>
        </is>
      </c>
      <c r="E4" s="3">
        <f>IF(OR(B4="Regular",B4="Contractual_FT"),IF(D4="No",1,0),0)</f>
        <v/>
      </c>
    </row>
    <row r="5">
      <c r="A5" s="3" t="inlineStr">
        <is>
          <t>Dr. D</t>
        </is>
      </c>
      <c r="B5" s="3" t="inlineStr">
        <is>
          <t>Regular</t>
        </is>
      </c>
      <c r="C5" s="3" t="inlineStr">
        <is>
          <t>No</t>
        </is>
      </c>
      <c r="D5" s="3" t="inlineStr">
        <is>
          <t>Yes</t>
        </is>
      </c>
      <c r="E5" s="3">
        <f>IF(OR(B5="Regular",B5="Contractual_FT"),IF(D5="No",1,0),0)</f>
        <v/>
      </c>
    </row>
  </sheetData>
  <dataValidations count="2">
    <dataValidation sqref="B2:B1000" showErrorMessage="1" showInputMessage="1" allowBlank="0" type="list">
      <formula1>"Regular,Contractual_FT"</formula1>
    </dataValidation>
    <dataValidation sqref="C2:C1000 D2:D1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6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Formula/Notes</t>
        </is>
      </c>
    </row>
    <row r="2">
      <c r="A2" s="4" t="inlineStr">
        <is>
          <t>Total Counted Students (S)</t>
        </is>
      </c>
      <c r="B2" s="4">
        <f>SUM(Programs_Years!H2:H6)</f>
        <v/>
      </c>
      <c r="C2" s="4" t="inlineStr">
        <is>
          <t>Sum of Counted_Students across UG2/UG3/UG4/PG1/PG2</t>
        </is>
      </c>
    </row>
    <row r="3">
      <c r="A3" s="4" t="inlineStr">
        <is>
          <t>Total Counted Faculty (F)</t>
        </is>
      </c>
      <c r="B3" s="4">
        <f>SUM(Faculty_List!E2:E5)</f>
        <v/>
      </c>
      <c r="C3" s="4" t="inlineStr">
        <is>
          <t>Full-time Regular/Contractual, excluding FirstYearOnly</t>
        </is>
      </c>
    </row>
    <row r="4">
      <c r="A4" s="4" t="inlineStr">
        <is>
          <t>Student–Faculty Ratio (SFR)</t>
        </is>
      </c>
      <c r="B4" s="5">
        <f>IF(B3&gt;0,B2/B3,"")</f>
        <v/>
      </c>
      <c r="C4" s="4" t="inlineStr">
        <is>
          <t>S / F</t>
        </is>
      </c>
    </row>
    <row r="5">
      <c r="A5" s="4" t="inlineStr">
        <is>
          <t>NBA Marks out of 30</t>
        </is>
      </c>
      <c r="B5" s="4">
        <f>IF(B4="","",IF(B4&gt;20,0,IF(B4&lt;=15,30, (20-B4)*6 )))</f>
        <v/>
      </c>
      <c r="C5" s="4" t="inlineStr">
        <is>
          <t>Piecewise linear scoring per 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