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Evaluation" sheetId="1" state="visible" r:id="rId1"/>
    <sheet xmlns:r="http://schemas.openxmlformats.org/officeDocument/2006/relationships" name="Final Evaluation" sheetId="2" state="visible" r:id="rId2"/>
    <sheet xmlns:r="http://schemas.openxmlformats.org/officeDocument/2006/relationships" name="Rubric Definition" sheetId="3" state="visible" r:id="rId3"/>
    <sheet xmlns:r="http://schemas.openxmlformats.org/officeDocument/2006/relationships" name="CO Attainment (Projects)" sheetId="4" state="visible" r:id="rId4"/>
    <sheet xmlns:r="http://schemas.openxmlformats.org/officeDocument/2006/relationships" name="CO–PO_PSO Matrix" sheetId="5" state="visible" r:id="rId5"/>
    <sheet xmlns:r="http://schemas.openxmlformats.org/officeDocument/2006/relationships" name="PO_PSO Aggregation" sheetId="6" state="visible" r:id="rId6"/>
    <sheet xmlns:r="http://schemas.openxmlformats.org/officeDocument/2006/relationships" name="Evidence Logs" sheetId="7" state="visible" r:id="rId7"/>
    <sheet xmlns:r="http://schemas.openxmlformats.org/officeDocument/2006/relationships" name="Audit Checklist" sheetId="8" state="visible" r:id="rId8"/>
    <sheet xmlns:r="http://schemas.openxmlformats.org/officeDocument/2006/relationships" name="Project Proposal &amp; Approva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32" customWidth="1" min="7" max="7"/>
    <col width="28" customWidth="1" min="8" max="8"/>
    <col width="18" customWidth="1" min="9" max="9"/>
    <col width="14" customWidth="1" min="10" max="10"/>
    <col width="18" customWidth="1" min="11" max="11"/>
    <col width="3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C1 Problem Identification (0–3)</t>
        </is>
      </c>
      <c r="D1" s="1" t="inlineStr">
        <is>
          <t>C2 Methodology &amp; Design (0–3)</t>
        </is>
      </c>
      <c r="E1" s="1" t="inlineStr">
        <is>
          <t>C3 Progress &amp; Discipline (0–3)</t>
        </is>
      </c>
      <c r="F1" s="1" t="inlineStr">
        <is>
          <t>C4 Innovation &amp; Depth (0–3)</t>
        </is>
      </c>
      <c r="G1" s="1" t="inlineStr">
        <is>
          <t>C5 Teamwork &amp; Communication (0–3)</t>
        </is>
      </c>
      <c r="H1" s="1" t="inlineStr">
        <is>
          <t>C6 Periodic Review (0–3)</t>
        </is>
      </c>
      <c r="I1" s="1" t="inlineStr">
        <is>
          <t>Total (Weighted)</t>
        </is>
      </c>
      <c r="J1" s="1" t="inlineStr">
        <is>
          <t>Level (0–3)</t>
        </is>
      </c>
      <c r="L1" s="2" t="inlineStr">
        <is>
          <t>Weights: C1=0.10, C2=0.20, C3=0.15, C4=0.15, C5=0.10, C6=0.30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>
        <f>IF(COUNTA(C2:H2)=0,"",C2*0.1+D2*0.2+E2*0.15+F2*0.15+G2*0.1+H2*0.3)</f>
        <v/>
      </c>
      <c r="J2">
        <f>IF(I2="","",IF(I2&gt;=2.5,3,IF(I2&gt;=2,2,IF(I2&gt;=1.5,1,0))))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2</v>
      </c>
      <c r="I3">
        <f>IF(COUNTA(C3:H3)=0,"",C3*0.1+D3*0.2+E3*0.15+F3*0.15+G3*0.1+H3*0.3)</f>
        <v/>
      </c>
      <c r="J3">
        <f>IF(I3="","",IF(I3&gt;=2.5,3,IF(I3&gt;=2,2,IF(I3&gt;=1.5,1,0))))</f>
        <v/>
      </c>
    </row>
    <row r="4">
      <c r="I4">
        <f>IF(COUNTA(C4:H4)=0,"",C4*0.1+D4*0.2+E4*0.15+F4*0.15+G4*0.1+H4*0.3)</f>
        <v/>
      </c>
      <c r="J4">
        <f>IF(I4="","",IF(I4&gt;=2.5,3,IF(I4&gt;=2,2,IF(I4&gt;=1.5,1,0))))</f>
        <v/>
      </c>
    </row>
    <row r="5">
      <c r="I5">
        <f>IF(COUNTA(C5:H5)=0,"",C5*0.1+D5*0.2+E5*0.15+F5*0.15+G5*0.1+H5*0.3)</f>
        <v/>
      </c>
      <c r="J5">
        <f>IF(I5="","",IF(I5&gt;=2.5,3,IF(I5&gt;=2,2,IF(I5&gt;=1.5,1,0))))</f>
        <v/>
      </c>
    </row>
    <row r="6">
      <c r="I6">
        <f>IF(COUNTA(C6:H6)=0,"",C6*0.1+D6*0.2+E6*0.15+F6*0.15+G6*0.1+H6*0.3)</f>
        <v/>
      </c>
      <c r="J6">
        <f>IF(I6="","",IF(I6&gt;=2.5,3,IF(I6&gt;=2,2,IF(I6&gt;=1.5,1,0))))</f>
        <v/>
      </c>
    </row>
    <row r="7">
      <c r="I7">
        <f>IF(COUNTA(C7:H7)=0,"",C7*0.1+D7*0.2+E7*0.15+F7*0.15+G7*0.1+H7*0.3)</f>
        <v/>
      </c>
      <c r="J7">
        <f>IF(I7="","",IF(I7&gt;=2.5,3,IF(I7&gt;=2,2,IF(I7&gt;=1.5,1,0))))</f>
        <v/>
      </c>
    </row>
    <row r="8">
      <c r="I8">
        <f>IF(COUNTA(C8:H8)=0,"",C8*0.1+D8*0.2+E8*0.15+F8*0.15+G8*0.1+H8*0.3)</f>
        <v/>
      </c>
      <c r="J8">
        <f>IF(I8="","",IF(I8&gt;=2.5,3,IF(I8&gt;=2,2,IF(I8&gt;=1.5,1,0))))</f>
        <v/>
      </c>
    </row>
    <row r="9">
      <c r="I9">
        <f>IF(COUNTA(C9:H9)=0,"",C9*0.1+D9*0.2+E9*0.15+F9*0.15+G9*0.1+H9*0.3)</f>
        <v/>
      </c>
      <c r="J9">
        <f>IF(I9="","",IF(I9&gt;=2.5,3,IF(I9&gt;=2,2,IF(I9&gt;=1.5,1,0))))</f>
        <v/>
      </c>
    </row>
    <row r="10">
      <c r="I10">
        <f>IF(COUNTA(C10:H10)=0,"",C10*0.1+D10*0.2+E10*0.15+F10*0.15+G10*0.1+H10*0.3)</f>
        <v/>
      </c>
      <c r="J10">
        <f>IF(I10="","",IF(I10&gt;=2.5,3,IF(I10&gt;=2,2,IF(I10&gt;=1.5,1,0))))</f>
        <v/>
      </c>
    </row>
    <row r="11">
      <c r="I11">
        <f>IF(COUNTA(C11:H11)=0,"",C11*0.1+D11*0.2+E11*0.15+F11*0.15+G11*0.1+H11*0.3)</f>
        <v/>
      </c>
      <c r="J11">
        <f>IF(I11="","",IF(I11&gt;=2.5,3,IF(I11&gt;=2,2,IF(I11&gt;=1.5,1,0))))</f>
        <v/>
      </c>
    </row>
    <row r="12">
      <c r="I12">
        <f>IF(COUNTA(C12:H12)=0,"",C12*0.1+D12*0.2+E12*0.15+F12*0.15+G12*0.1+H12*0.3)</f>
        <v/>
      </c>
      <c r="J12">
        <f>IF(I12="","",IF(I12&gt;=2.5,3,IF(I12&gt;=2,2,IF(I12&gt;=1.5,1,0))))</f>
        <v/>
      </c>
    </row>
    <row r="13">
      <c r="I13">
        <f>IF(COUNTA(C13:H13)=0,"",C13*0.1+D13*0.2+E13*0.15+F13*0.15+G13*0.1+H13*0.3)</f>
        <v/>
      </c>
      <c r="J13">
        <f>IF(I13="","",IF(I13&gt;=2.5,3,IF(I13&gt;=2,2,IF(I13&gt;=1.5,1,0))))</f>
        <v/>
      </c>
    </row>
    <row r="14">
      <c r="I14">
        <f>IF(COUNTA(C14:H14)=0,"",C14*0.1+D14*0.2+E14*0.15+F14*0.15+G14*0.1+H14*0.3)</f>
        <v/>
      </c>
      <c r="J14">
        <f>IF(I14="","",IF(I14&gt;=2.5,3,IF(I14&gt;=2,2,IF(I14&gt;=1.5,1,0))))</f>
        <v/>
      </c>
    </row>
    <row r="15">
      <c r="I15">
        <f>IF(COUNTA(C15:H15)=0,"",C15*0.1+D15*0.2+E15*0.15+F15*0.15+G15*0.1+H15*0.3)</f>
        <v/>
      </c>
      <c r="J15">
        <f>IF(I15="","",IF(I15&gt;=2.5,3,IF(I15&gt;=2,2,IF(I15&gt;=1.5,1,0))))</f>
        <v/>
      </c>
    </row>
    <row r="16">
      <c r="I16">
        <f>IF(COUNTA(C16:H16)=0,"",C16*0.1+D16*0.2+E16*0.15+F16*0.15+G16*0.1+H16*0.3)</f>
        <v/>
      </c>
      <c r="J16">
        <f>IF(I16="","",IF(I16&gt;=2.5,3,IF(I16&gt;=2,2,IF(I16&gt;=1.5,1,0))))</f>
        <v/>
      </c>
    </row>
    <row r="17">
      <c r="I17">
        <f>IF(COUNTA(C17:H17)=0,"",C17*0.1+D17*0.2+E17*0.15+F17*0.15+G17*0.1+H17*0.3)</f>
        <v/>
      </c>
      <c r="J17">
        <f>IF(I17="","",IF(I17&gt;=2.5,3,IF(I17&gt;=2,2,IF(I17&gt;=1.5,1,0))))</f>
        <v/>
      </c>
    </row>
    <row r="18">
      <c r="I18">
        <f>IF(COUNTA(C18:H18)=0,"",C18*0.1+D18*0.2+E18*0.15+F18*0.15+G18*0.1+H18*0.3)</f>
        <v/>
      </c>
      <c r="J18">
        <f>IF(I18="","",IF(I18&gt;=2.5,3,IF(I18&gt;=2,2,IF(I18&gt;=1.5,1,0))))</f>
        <v/>
      </c>
    </row>
    <row r="19">
      <c r="I19">
        <f>IF(COUNTA(C19:H19)=0,"",C19*0.1+D19*0.2+E19*0.15+F19*0.15+G19*0.1+H19*0.3)</f>
        <v/>
      </c>
      <c r="J19">
        <f>IF(I19="","",IF(I19&gt;=2.5,3,IF(I19&gt;=2,2,IF(I19&gt;=1.5,1,0))))</f>
        <v/>
      </c>
    </row>
    <row r="20">
      <c r="I20">
        <f>IF(COUNTA(C20:H20)=0,"",C20*0.1+D20*0.2+E20*0.15+F20*0.15+G20*0.1+H20*0.3)</f>
        <v/>
      </c>
      <c r="J20">
        <f>IF(I20="","",IF(I20&gt;=2.5,3,IF(I20&gt;=2,2,IF(I20&gt;=1.5,1,0))))</f>
        <v/>
      </c>
    </row>
    <row r="21">
      <c r="I21">
        <f>IF(COUNTA(C21:H21)=0,"",C21*0.1+D21*0.2+E21*0.15+F21*0.15+G21*0.1+H21*0.3)</f>
        <v/>
      </c>
      <c r="J21">
        <f>IF(I21="","",IF(I21&gt;=2.5,3,IF(I21&gt;=2,2,IF(I21&gt;=1.5,1,0))))</f>
        <v/>
      </c>
    </row>
    <row r="22">
      <c r="I22">
        <f>IF(COUNTA(C22:H22)=0,"",C22*0.1+D22*0.2+E22*0.15+F22*0.15+G22*0.1+H22*0.3)</f>
        <v/>
      </c>
      <c r="J22">
        <f>IF(I22="","",IF(I22&gt;=2.5,3,IF(I22&gt;=2,2,IF(I22&gt;=1.5,1,0))))</f>
        <v/>
      </c>
    </row>
    <row r="23">
      <c r="I23">
        <f>IF(COUNTA(C23:H23)=0,"",C23*0.1+D23*0.2+E23*0.15+F23*0.15+G23*0.1+H23*0.3)</f>
        <v/>
      </c>
      <c r="J23">
        <f>IF(I23="","",IF(I23&gt;=2.5,3,IF(I23&gt;=2,2,IF(I23&gt;=1.5,1,0))))</f>
        <v/>
      </c>
    </row>
    <row r="24">
      <c r="I24">
        <f>IF(COUNTA(C24:H24)=0,"",C24*0.1+D24*0.2+E24*0.15+F24*0.15+G24*0.1+H24*0.3)</f>
        <v/>
      </c>
      <c r="J24">
        <f>IF(I24="","",IF(I24&gt;=2.5,3,IF(I24&gt;=2,2,IF(I24&gt;=1.5,1,0))))</f>
        <v/>
      </c>
    </row>
    <row r="25">
      <c r="I25">
        <f>IF(COUNTA(C25:H25)=0,"",C25*0.1+D25*0.2+E25*0.15+F25*0.15+G25*0.1+H25*0.3)</f>
        <v/>
      </c>
      <c r="J25">
        <f>IF(I25="","",IF(I25&gt;=2.5,3,IF(I25&gt;=2,2,IF(I25&gt;=1.5,1,0))))</f>
        <v/>
      </c>
    </row>
    <row r="26">
      <c r="I26">
        <f>IF(COUNTA(C26:H26)=0,"",C26*0.1+D26*0.2+E26*0.15+F26*0.15+G26*0.1+H26*0.3)</f>
        <v/>
      </c>
      <c r="J26">
        <f>IF(I26="","",IF(I26&gt;=2.5,3,IF(I26&gt;=2,2,IF(I26&gt;=1.5,1,0))))</f>
        <v/>
      </c>
    </row>
    <row r="27">
      <c r="I27">
        <f>IF(COUNTA(C27:H27)=0,"",C27*0.1+D27*0.2+E27*0.15+F27*0.15+G27*0.1+H27*0.3)</f>
        <v/>
      </c>
      <c r="J27">
        <f>IF(I27="","",IF(I27&gt;=2.5,3,IF(I27&gt;=2,2,IF(I27&gt;=1.5,1,0))))</f>
        <v/>
      </c>
    </row>
    <row r="28">
      <c r="I28">
        <f>IF(COUNTA(C28:H28)=0,"",C28*0.1+D28*0.2+E28*0.15+F28*0.15+G28*0.1+H28*0.3)</f>
        <v/>
      </c>
      <c r="J28">
        <f>IF(I28="","",IF(I28&gt;=2.5,3,IF(I28&gt;=2,2,IF(I28&gt;=1.5,1,0))))</f>
        <v/>
      </c>
    </row>
    <row r="29">
      <c r="I29">
        <f>IF(COUNTA(C29:H29)=0,"",C29*0.1+D29*0.2+E29*0.15+F29*0.15+G29*0.1+H29*0.3)</f>
        <v/>
      </c>
      <c r="J29">
        <f>IF(I29="","",IF(I29&gt;=2.5,3,IF(I29&gt;=2,2,IF(I29&gt;=1.5,1,0))))</f>
        <v/>
      </c>
    </row>
    <row r="30">
      <c r="I30">
        <f>IF(COUNTA(C30:H30)=0,"",C30*0.1+D30*0.2+E30*0.15+F30*0.15+G30*0.1+H30*0.3)</f>
        <v/>
      </c>
      <c r="J30">
        <f>IF(I30="","",IF(I30&gt;=2.5,3,IF(I30&gt;=2,2,IF(I30&gt;=1.5,1,0))))</f>
        <v/>
      </c>
    </row>
    <row r="31">
      <c r="I31">
        <f>IF(COUNTA(C31:H31)=0,"",C31*0.1+D31*0.2+E31*0.15+F31*0.15+G31*0.1+H31*0.3)</f>
        <v/>
      </c>
      <c r="J31">
        <f>IF(I31="","",IF(I31&gt;=2.5,3,IF(I31&gt;=2,2,IF(I31&gt;=1.5,1,0))))</f>
        <v/>
      </c>
    </row>
    <row r="32">
      <c r="I32">
        <f>IF(COUNTA(C32:H32)=0,"",C32*0.1+D32*0.2+E32*0.15+F32*0.15+G32*0.1+H32*0.3)</f>
        <v/>
      </c>
      <c r="J32">
        <f>IF(I32="","",IF(I32&gt;=2.5,3,IF(I32&gt;=2,2,IF(I32&gt;=1.5,1,0))))</f>
        <v/>
      </c>
    </row>
    <row r="33">
      <c r="I33">
        <f>IF(COUNTA(C33:H33)=0,"",C33*0.1+D33*0.2+E33*0.15+F33*0.15+G33*0.1+H33*0.3)</f>
        <v/>
      </c>
      <c r="J33">
        <f>IF(I33="","",IF(I33&gt;=2.5,3,IF(I33&gt;=2,2,IF(I33&gt;=1.5,1,0))))</f>
        <v/>
      </c>
    </row>
    <row r="34">
      <c r="I34">
        <f>IF(COUNTA(C34:H34)=0,"",C34*0.1+D34*0.2+E34*0.15+F34*0.15+G34*0.1+H34*0.3)</f>
        <v/>
      </c>
      <c r="J34">
        <f>IF(I34="","",IF(I34&gt;=2.5,3,IF(I34&gt;=2,2,IF(I34&gt;=1.5,1,0))))</f>
        <v/>
      </c>
    </row>
    <row r="35">
      <c r="I35">
        <f>IF(COUNTA(C35:H35)=0,"",C35*0.1+D35*0.2+E35*0.15+F35*0.15+G35*0.1+H35*0.3)</f>
        <v/>
      </c>
      <c r="J35">
        <f>IF(I35="","",IF(I35&gt;=2.5,3,IF(I35&gt;=2,2,IF(I35&gt;=1.5,1,0))))</f>
        <v/>
      </c>
    </row>
    <row r="36">
      <c r="I36">
        <f>IF(COUNTA(C36:H36)=0,"",C36*0.1+D36*0.2+E36*0.15+F36*0.15+G36*0.1+H36*0.3)</f>
        <v/>
      </c>
      <c r="J36">
        <f>IF(I36="","",IF(I36&gt;=2.5,3,IF(I36&gt;=2,2,IF(I36&gt;=1.5,1,0))))</f>
        <v/>
      </c>
    </row>
    <row r="37">
      <c r="I37">
        <f>IF(COUNTA(C37:H37)=0,"",C37*0.1+D37*0.2+E37*0.15+F37*0.15+G37*0.1+H37*0.3)</f>
        <v/>
      </c>
      <c r="J37">
        <f>IF(I37="","",IF(I37&gt;=2.5,3,IF(I37&gt;=2,2,IF(I37&gt;=1.5,1,0))))</f>
        <v/>
      </c>
    </row>
    <row r="38">
      <c r="I38">
        <f>IF(COUNTA(C38:H38)=0,"",C38*0.1+D38*0.2+E38*0.15+F38*0.15+G38*0.1+H38*0.3)</f>
        <v/>
      </c>
      <c r="J38">
        <f>IF(I38="","",IF(I38&gt;=2.5,3,IF(I38&gt;=2,2,IF(I38&gt;=1.5,1,0))))</f>
        <v/>
      </c>
    </row>
    <row r="39">
      <c r="I39">
        <f>IF(COUNTA(C39:H39)=0,"",C39*0.1+D39*0.2+E39*0.15+F39*0.15+G39*0.1+H39*0.3)</f>
        <v/>
      </c>
      <c r="J39">
        <f>IF(I39="","",IF(I39&gt;=2.5,3,IF(I39&gt;=2,2,IF(I39&gt;=1.5,1,0))))</f>
        <v/>
      </c>
    </row>
    <row r="40">
      <c r="I40">
        <f>IF(COUNTA(C40:H40)=0,"",C40*0.1+D40*0.2+E40*0.15+F40*0.15+G40*0.1+H40*0.3)</f>
        <v/>
      </c>
      <c r="J40">
        <f>IF(I40="","",IF(I40&gt;=2.5,3,IF(I40&gt;=2,2,IF(I40&gt;=1.5,1,0))))</f>
        <v/>
      </c>
    </row>
    <row r="41">
      <c r="I41">
        <f>IF(COUNTA(C41:H41)=0,"",C41*0.1+D41*0.2+E41*0.15+F41*0.15+G41*0.1+H41*0.3)</f>
        <v/>
      </c>
      <c r="J41">
        <f>IF(I41="","",IF(I41&gt;=2.5,3,IF(I41&gt;=2,2,IF(I41&gt;=1.5,1,0))))</f>
        <v/>
      </c>
    </row>
    <row r="42">
      <c r="I42">
        <f>IF(COUNTA(C42:H42)=0,"",C42*0.1+D42*0.2+E42*0.15+F42*0.15+G42*0.1+H42*0.3)</f>
        <v/>
      </c>
      <c r="J42">
        <f>IF(I42="","",IF(I42&gt;=2.5,3,IF(I42&gt;=2,2,IF(I42&gt;=1.5,1,0))))</f>
        <v/>
      </c>
    </row>
    <row r="43">
      <c r="I43">
        <f>IF(COUNTA(C43:H43)=0,"",C43*0.1+D43*0.2+E43*0.15+F43*0.15+G43*0.1+H43*0.3)</f>
        <v/>
      </c>
      <c r="J43">
        <f>IF(I43="","",IF(I43&gt;=2.5,3,IF(I43&gt;=2,2,IF(I43&gt;=1.5,1,0))))</f>
        <v/>
      </c>
    </row>
    <row r="44">
      <c r="I44">
        <f>IF(COUNTA(C44:H44)=0,"",C44*0.1+D44*0.2+E44*0.15+F44*0.15+G44*0.1+H44*0.3)</f>
        <v/>
      </c>
      <c r="J44">
        <f>IF(I44="","",IF(I44&gt;=2.5,3,IF(I44&gt;=2,2,IF(I44&gt;=1.5,1,0))))</f>
        <v/>
      </c>
    </row>
    <row r="45">
      <c r="I45">
        <f>IF(COUNTA(C45:H45)=0,"",C45*0.1+D45*0.2+E45*0.15+F45*0.15+G45*0.1+H45*0.3)</f>
        <v/>
      </c>
      <c r="J45">
        <f>IF(I45="","",IF(I45&gt;=2.5,3,IF(I45&gt;=2,2,IF(I45&gt;=1.5,1,0))))</f>
        <v/>
      </c>
    </row>
    <row r="46">
      <c r="I46">
        <f>IF(COUNTA(C46:H46)=0,"",C46*0.1+D46*0.2+E46*0.15+F46*0.15+G46*0.1+H46*0.3)</f>
        <v/>
      </c>
      <c r="J46">
        <f>IF(I46="","",IF(I46&gt;=2.5,3,IF(I46&gt;=2,2,IF(I46&gt;=1.5,1,0))))</f>
        <v/>
      </c>
    </row>
    <row r="47">
      <c r="I47">
        <f>IF(COUNTA(C47:H47)=0,"",C47*0.1+D47*0.2+E47*0.15+F47*0.15+G47*0.1+H47*0.3)</f>
        <v/>
      </c>
      <c r="J47">
        <f>IF(I47="","",IF(I47&gt;=2.5,3,IF(I47&gt;=2,2,IF(I47&gt;=1.5,1,0))))</f>
        <v/>
      </c>
    </row>
    <row r="48">
      <c r="I48">
        <f>IF(COUNTA(C48:H48)=0,"",C48*0.1+D48*0.2+E48*0.15+F48*0.15+G48*0.1+H48*0.3)</f>
        <v/>
      </c>
      <c r="J48">
        <f>IF(I48="","",IF(I48&gt;=2.5,3,IF(I48&gt;=2,2,IF(I48&gt;=1.5,1,0))))</f>
        <v/>
      </c>
    </row>
    <row r="49">
      <c r="I49">
        <f>IF(COUNTA(C49:H49)=0,"",C49*0.1+D49*0.2+E49*0.15+F49*0.15+G49*0.1+H49*0.3)</f>
        <v/>
      </c>
      <c r="J49">
        <f>IF(I49="","",IF(I49&gt;=2.5,3,IF(I49&gt;=2,2,IF(I49&gt;=1.5,1,0))))</f>
        <v/>
      </c>
    </row>
    <row r="50">
      <c r="I50">
        <f>IF(COUNTA(C50:H50)=0,"",C50*0.1+D50*0.2+E50*0.15+F50*0.15+G50*0.1+H50*0.3)</f>
        <v/>
      </c>
      <c r="J50">
        <f>IF(I50="","",IF(I50&gt;=2.5,3,IF(I50&gt;=2,2,IF(I50&gt;=1.5,1,0))))</f>
        <v/>
      </c>
    </row>
    <row r="51">
      <c r="I51">
        <f>IF(COUNTA(C51:H51)=0,"",C51*0.1+D51*0.2+E51*0.15+F51*0.15+G51*0.1+H51*0.3)</f>
        <v/>
      </c>
      <c r="J51">
        <f>IF(I51="","",IF(I51&gt;=2.5,3,IF(I51&gt;=2,2,IF(I51&gt;=1.5,1,0))))</f>
        <v/>
      </c>
    </row>
    <row r="52">
      <c r="I52">
        <f>IF(COUNTA(C52:H52)=0,"",C52*0.1+D52*0.2+E52*0.15+F52*0.15+G52*0.1+H52*0.3)</f>
        <v/>
      </c>
      <c r="J52">
        <f>IF(I52="","",IF(I52&gt;=2.5,3,IF(I52&gt;=2,2,IF(I52&gt;=1.5,1,0))))</f>
        <v/>
      </c>
    </row>
    <row r="53">
      <c r="I53">
        <f>IF(COUNTA(C53:H53)=0,"",C53*0.1+D53*0.2+E53*0.15+F53*0.15+G53*0.1+H53*0.3)</f>
        <v/>
      </c>
      <c r="J53">
        <f>IF(I53="","",IF(I53&gt;=2.5,3,IF(I53&gt;=2,2,IF(I53&gt;=1.5,1,0))))</f>
        <v/>
      </c>
    </row>
    <row r="54">
      <c r="I54">
        <f>IF(COUNTA(C54:H54)=0,"",C54*0.1+D54*0.2+E54*0.15+F54*0.15+G54*0.1+H54*0.3)</f>
        <v/>
      </c>
      <c r="J54">
        <f>IF(I54="","",IF(I54&gt;=2.5,3,IF(I54&gt;=2,2,IF(I54&gt;=1.5,1,0))))</f>
        <v/>
      </c>
    </row>
    <row r="55">
      <c r="I55">
        <f>IF(COUNTA(C55:H55)=0,"",C55*0.1+D55*0.2+E55*0.15+F55*0.15+G55*0.1+H55*0.3)</f>
        <v/>
      </c>
      <c r="J55">
        <f>IF(I55="","",IF(I55&gt;=2.5,3,IF(I55&gt;=2,2,IF(I55&gt;=1.5,1,0))))</f>
        <v/>
      </c>
    </row>
    <row r="56">
      <c r="I56">
        <f>IF(COUNTA(C56:H56)=0,"",C56*0.1+D56*0.2+E56*0.15+F56*0.15+G56*0.1+H56*0.3)</f>
        <v/>
      </c>
      <c r="J56">
        <f>IF(I56="","",IF(I56&gt;=2.5,3,IF(I56&gt;=2,2,IF(I56&gt;=1.5,1,0))))</f>
        <v/>
      </c>
    </row>
    <row r="57">
      <c r="I57">
        <f>IF(COUNTA(C57:H57)=0,"",C57*0.1+D57*0.2+E57*0.15+F57*0.15+G57*0.1+H57*0.3)</f>
        <v/>
      </c>
      <c r="J57">
        <f>IF(I57="","",IF(I57&gt;=2.5,3,IF(I57&gt;=2,2,IF(I57&gt;=1.5,1,0))))</f>
        <v/>
      </c>
    </row>
    <row r="58">
      <c r="I58">
        <f>IF(COUNTA(C58:H58)=0,"",C58*0.1+D58*0.2+E58*0.15+F58*0.15+G58*0.1+H58*0.3)</f>
        <v/>
      </c>
      <c r="J58">
        <f>IF(I58="","",IF(I58&gt;=2.5,3,IF(I58&gt;=2,2,IF(I58&gt;=1.5,1,0))))</f>
        <v/>
      </c>
    </row>
    <row r="59">
      <c r="I59">
        <f>IF(COUNTA(C59:H59)=0,"",C59*0.1+D59*0.2+E59*0.15+F59*0.15+G59*0.1+H59*0.3)</f>
        <v/>
      </c>
      <c r="J59">
        <f>IF(I59="","",IF(I59&gt;=2.5,3,IF(I59&gt;=2,2,IF(I59&gt;=1.5,1,0))))</f>
        <v/>
      </c>
    </row>
    <row r="60">
      <c r="I60">
        <f>IF(COUNTA(C60:H60)=0,"",C60*0.1+D60*0.2+E60*0.15+F60*0.15+G60*0.1+H60*0.3)</f>
        <v/>
      </c>
      <c r="J60">
        <f>IF(I60="","",IF(I60&gt;=2.5,3,IF(I60&gt;=2,2,IF(I60&gt;=1.5,1,0))))</f>
        <v/>
      </c>
    </row>
    <row r="61">
      <c r="I61">
        <f>IF(COUNTA(C61:H61)=0,"",C61*0.1+D61*0.2+E61*0.15+F61*0.15+G61*0.1+H61*0.3)</f>
        <v/>
      </c>
      <c r="J61">
        <f>IF(I61="","",IF(I61&gt;=2.5,3,IF(I61&gt;=2,2,IF(I61&gt;=1.5,1,0))))</f>
        <v/>
      </c>
    </row>
    <row r="62">
      <c r="I62">
        <f>IF(COUNTA(C62:H62)=0,"",C62*0.1+D62*0.2+E62*0.15+F62*0.15+G62*0.1+H62*0.3)</f>
        <v/>
      </c>
      <c r="J62">
        <f>IF(I62="","",IF(I62&gt;=2.5,3,IF(I62&gt;=2,2,IF(I62&gt;=1.5,1,0))))</f>
        <v/>
      </c>
    </row>
    <row r="63">
      <c r="I63">
        <f>IF(COUNTA(C63:H63)=0,"",C63*0.1+D63*0.2+E63*0.15+F63*0.15+G63*0.1+H63*0.3)</f>
        <v/>
      </c>
      <c r="J63">
        <f>IF(I63="","",IF(I63&gt;=2.5,3,IF(I63&gt;=2,2,IF(I63&gt;=1.5,1,0))))</f>
        <v/>
      </c>
    </row>
    <row r="64">
      <c r="I64">
        <f>IF(COUNTA(C64:H64)=0,"",C64*0.1+D64*0.2+E64*0.15+F64*0.15+G64*0.1+H64*0.3)</f>
        <v/>
      </c>
      <c r="J64">
        <f>IF(I64="","",IF(I64&gt;=2.5,3,IF(I64&gt;=2,2,IF(I64&gt;=1.5,1,0))))</f>
        <v/>
      </c>
    </row>
    <row r="65">
      <c r="I65">
        <f>IF(COUNTA(C65:H65)=0,"",C65*0.1+D65*0.2+E65*0.15+F65*0.15+G65*0.1+H65*0.3)</f>
        <v/>
      </c>
      <c r="J65">
        <f>IF(I65="","",IF(I65&gt;=2.5,3,IF(I65&gt;=2,2,IF(I65&gt;=1.5,1,0))))</f>
        <v/>
      </c>
    </row>
    <row r="66">
      <c r="I66">
        <f>IF(COUNTA(C66:H66)=0,"",C66*0.1+D66*0.2+E66*0.15+F66*0.15+G66*0.1+H66*0.3)</f>
        <v/>
      </c>
      <c r="J66">
        <f>IF(I66="","",IF(I66&gt;=2.5,3,IF(I66&gt;=2,2,IF(I66&gt;=1.5,1,0))))</f>
        <v/>
      </c>
    </row>
    <row r="67">
      <c r="I67">
        <f>IF(COUNTA(C67:H67)=0,"",C67*0.1+D67*0.2+E67*0.15+F67*0.15+G67*0.1+H67*0.3)</f>
        <v/>
      </c>
      <c r="J67">
        <f>IF(I67="","",IF(I67&gt;=2.5,3,IF(I67&gt;=2,2,IF(I67&gt;=1.5,1,0))))</f>
        <v/>
      </c>
    </row>
    <row r="68">
      <c r="I68">
        <f>IF(COUNTA(C68:H68)=0,"",C68*0.1+D68*0.2+E68*0.15+F68*0.15+G68*0.1+H68*0.3)</f>
        <v/>
      </c>
      <c r="J68">
        <f>IF(I68="","",IF(I68&gt;=2.5,3,IF(I68&gt;=2,2,IF(I68&gt;=1.5,1,0))))</f>
        <v/>
      </c>
    </row>
    <row r="69">
      <c r="I69">
        <f>IF(COUNTA(C69:H69)=0,"",C69*0.1+D69*0.2+E69*0.15+F69*0.15+G69*0.1+H69*0.3)</f>
        <v/>
      </c>
      <c r="J69">
        <f>IF(I69="","",IF(I69&gt;=2.5,3,IF(I69&gt;=2,2,IF(I69&gt;=1.5,1,0))))</f>
        <v/>
      </c>
    </row>
    <row r="70">
      <c r="I70">
        <f>IF(COUNTA(C70:H70)=0,"",C70*0.1+D70*0.2+E70*0.15+F70*0.15+G70*0.1+H70*0.3)</f>
        <v/>
      </c>
      <c r="J70">
        <f>IF(I70="","",IF(I70&gt;=2.5,3,IF(I70&gt;=2,2,IF(I70&gt;=1.5,1,0))))</f>
        <v/>
      </c>
    </row>
    <row r="71">
      <c r="I71">
        <f>IF(COUNTA(C71:H71)=0,"",C71*0.1+D71*0.2+E71*0.15+F71*0.15+G71*0.1+H71*0.3)</f>
        <v/>
      </c>
      <c r="J71">
        <f>IF(I71="","",IF(I71&gt;=2.5,3,IF(I71&gt;=2,2,IF(I71&gt;=1.5,1,0))))</f>
        <v/>
      </c>
    </row>
    <row r="72">
      <c r="I72">
        <f>IF(COUNTA(C72:H72)=0,"",C72*0.1+D72*0.2+E72*0.15+F72*0.15+G72*0.1+H72*0.3)</f>
        <v/>
      </c>
      <c r="J72">
        <f>IF(I72="","",IF(I72&gt;=2.5,3,IF(I72&gt;=2,2,IF(I72&gt;=1.5,1,0))))</f>
        <v/>
      </c>
    </row>
    <row r="73">
      <c r="I73">
        <f>IF(COUNTA(C73:H73)=0,"",C73*0.1+D73*0.2+E73*0.15+F73*0.15+G73*0.1+H73*0.3)</f>
        <v/>
      </c>
      <c r="J73">
        <f>IF(I73="","",IF(I73&gt;=2.5,3,IF(I73&gt;=2,2,IF(I73&gt;=1.5,1,0))))</f>
        <v/>
      </c>
    </row>
    <row r="74">
      <c r="I74">
        <f>IF(COUNTA(C74:H74)=0,"",C74*0.1+D74*0.2+E74*0.15+F74*0.15+G74*0.1+H74*0.3)</f>
        <v/>
      </c>
      <c r="J74">
        <f>IF(I74="","",IF(I74&gt;=2.5,3,IF(I74&gt;=2,2,IF(I74&gt;=1.5,1,0))))</f>
        <v/>
      </c>
    </row>
    <row r="75">
      <c r="I75">
        <f>IF(COUNTA(C75:H75)=0,"",C75*0.1+D75*0.2+E75*0.15+F75*0.15+G75*0.1+H75*0.3)</f>
        <v/>
      </c>
      <c r="J75">
        <f>IF(I75="","",IF(I75&gt;=2.5,3,IF(I75&gt;=2,2,IF(I75&gt;=1.5,1,0))))</f>
        <v/>
      </c>
    </row>
    <row r="76">
      <c r="I76">
        <f>IF(COUNTA(C76:H76)=0,"",C76*0.1+D76*0.2+E76*0.15+F76*0.15+G76*0.1+H76*0.3)</f>
        <v/>
      </c>
      <c r="J76">
        <f>IF(I76="","",IF(I76&gt;=2.5,3,IF(I76&gt;=2,2,IF(I76&gt;=1.5,1,0))))</f>
        <v/>
      </c>
    </row>
    <row r="77">
      <c r="I77">
        <f>IF(COUNTA(C77:H77)=0,"",C77*0.1+D77*0.2+E77*0.15+F77*0.15+G77*0.1+H77*0.3)</f>
        <v/>
      </c>
      <c r="J77">
        <f>IF(I77="","",IF(I77&gt;=2.5,3,IF(I77&gt;=2,2,IF(I77&gt;=1.5,1,0))))</f>
        <v/>
      </c>
    </row>
    <row r="78">
      <c r="I78">
        <f>IF(COUNTA(C78:H78)=0,"",C78*0.1+D78*0.2+E78*0.15+F78*0.15+G78*0.1+H78*0.3)</f>
        <v/>
      </c>
      <c r="J78">
        <f>IF(I78="","",IF(I78&gt;=2.5,3,IF(I78&gt;=2,2,IF(I78&gt;=1.5,1,0))))</f>
        <v/>
      </c>
    </row>
    <row r="79">
      <c r="I79">
        <f>IF(COUNTA(C79:H79)=0,"",C79*0.1+D79*0.2+E79*0.15+F79*0.15+G79*0.1+H79*0.3)</f>
        <v/>
      </c>
      <c r="J79">
        <f>IF(I79="","",IF(I79&gt;=2.5,3,IF(I79&gt;=2,2,IF(I79&gt;=1.5,1,0))))</f>
        <v/>
      </c>
    </row>
    <row r="80">
      <c r="I80">
        <f>IF(COUNTA(C80:H80)=0,"",C80*0.1+D80*0.2+E80*0.15+F80*0.15+G80*0.1+H80*0.3)</f>
        <v/>
      </c>
      <c r="J80">
        <f>IF(I80="","",IF(I80&gt;=2.5,3,IF(I80&gt;=2,2,IF(I80&gt;=1.5,1,0))))</f>
        <v/>
      </c>
    </row>
    <row r="81">
      <c r="I81">
        <f>IF(COUNTA(C81:H81)=0,"",C81*0.1+D81*0.2+E81*0.15+F81*0.15+G81*0.1+H81*0.3)</f>
        <v/>
      </c>
      <c r="J81">
        <f>IF(I81="","",IF(I81&gt;=2.5,3,IF(I81&gt;=2,2,IF(I81&gt;=1.5,1,0))))</f>
        <v/>
      </c>
    </row>
    <row r="82">
      <c r="I82">
        <f>IF(COUNTA(C82:H82)=0,"",C82*0.1+D82*0.2+E82*0.15+F82*0.15+G82*0.1+H82*0.3)</f>
        <v/>
      </c>
      <c r="J82">
        <f>IF(I82="","",IF(I82&gt;=2.5,3,IF(I82&gt;=2,2,IF(I82&gt;=1.5,1,0))))</f>
        <v/>
      </c>
    </row>
    <row r="83">
      <c r="I83">
        <f>IF(COUNTA(C83:H83)=0,"",C83*0.1+D83*0.2+E83*0.15+F83*0.15+G83*0.1+H83*0.3)</f>
        <v/>
      </c>
      <c r="J83">
        <f>IF(I83="","",IF(I83&gt;=2.5,3,IF(I83&gt;=2,2,IF(I83&gt;=1.5,1,0))))</f>
        <v/>
      </c>
    </row>
    <row r="84">
      <c r="I84">
        <f>IF(COUNTA(C84:H84)=0,"",C84*0.1+D84*0.2+E84*0.15+F84*0.15+G84*0.1+H84*0.3)</f>
        <v/>
      </c>
      <c r="J84">
        <f>IF(I84="","",IF(I84&gt;=2.5,3,IF(I84&gt;=2,2,IF(I84&gt;=1.5,1,0))))</f>
        <v/>
      </c>
    </row>
    <row r="85">
      <c r="I85">
        <f>IF(COUNTA(C85:H85)=0,"",C85*0.1+D85*0.2+E85*0.15+F85*0.15+G85*0.1+H85*0.3)</f>
        <v/>
      </c>
      <c r="J85">
        <f>IF(I85="","",IF(I85&gt;=2.5,3,IF(I85&gt;=2,2,IF(I85&gt;=1.5,1,0))))</f>
        <v/>
      </c>
    </row>
    <row r="86">
      <c r="I86">
        <f>IF(COUNTA(C86:H86)=0,"",C86*0.1+D86*0.2+E86*0.15+F86*0.15+G86*0.1+H86*0.3)</f>
        <v/>
      </c>
      <c r="J86">
        <f>IF(I86="","",IF(I86&gt;=2.5,3,IF(I86&gt;=2,2,IF(I86&gt;=1.5,1,0))))</f>
        <v/>
      </c>
    </row>
    <row r="87">
      <c r="I87">
        <f>IF(COUNTA(C87:H87)=0,"",C87*0.1+D87*0.2+E87*0.15+F87*0.15+G87*0.1+H87*0.3)</f>
        <v/>
      </c>
      <c r="J87">
        <f>IF(I87="","",IF(I87&gt;=2.5,3,IF(I87&gt;=2,2,IF(I87&gt;=1.5,1,0))))</f>
        <v/>
      </c>
    </row>
    <row r="88">
      <c r="I88">
        <f>IF(COUNTA(C88:H88)=0,"",C88*0.1+D88*0.2+E88*0.15+F88*0.15+G88*0.1+H88*0.3)</f>
        <v/>
      </c>
      <c r="J88">
        <f>IF(I88="","",IF(I88&gt;=2.5,3,IF(I88&gt;=2,2,IF(I88&gt;=1.5,1,0))))</f>
        <v/>
      </c>
    </row>
    <row r="89">
      <c r="I89">
        <f>IF(COUNTA(C89:H89)=0,"",C89*0.1+D89*0.2+E89*0.15+F89*0.15+G89*0.1+H89*0.3)</f>
        <v/>
      </c>
      <c r="J89">
        <f>IF(I89="","",IF(I89&gt;=2.5,3,IF(I89&gt;=2,2,IF(I89&gt;=1.5,1,0))))</f>
        <v/>
      </c>
    </row>
    <row r="90">
      <c r="I90">
        <f>IF(COUNTA(C90:H90)=0,"",C90*0.1+D90*0.2+E90*0.15+F90*0.15+G90*0.1+H90*0.3)</f>
        <v/>
      </c>
      <c r="J90">
        <f>IF(I90="","",IF(I90&gt;=2.5,3,IF(I90&gt;=2,2,IF(I90&gt;=1.5,1,0))))</f>
        <v/>
      </c>
    </row>
    <row r="91">
      <c r="I91">
        <f>IF(COUNTA(C91:H91)=0,"",C91*0.1+D91*0.2+E91*0.15+F91*0.15+G91*0.1+H91*0.3)</f>
        <v/>
      </c>
      <c r="J91">
        <f>IF(I91="","",IF(I91&gt;=2.5,3,IF(I91&gt;=2,2,IF(I91&gt;=1.5,1,0))))</f>
        <v/>
      </c>
    </row>
    <row r="92">
      <c r="I92">
        <f>IF(COUNTA(C92:H92)=0,"",C92*0.1+D92*0.2+E92*0.15+F92*0.15+G92*0.1+H92*0.3)</f>
        <v/>
      </c>
      <c r="J92">
        <f>IF(I92="","",IF(I92&gt;=2.5,3,IF(I92&gt;=2,2,IF(I92&gt;=1.5,1,0))))</f>
        <v/>
      </c>
    </row>
    <row r="93">
      <c r="I93">
        <f>IF(COUNTA(C93:H93)=0,"",C93*0.1+D93*0.2+E93*0.15+F93*0.15+G93*0.1+H93*0.3)</f>
        <v/>
      </c>
      <c r="J93">
        <f>IF(I93="","",IF(I93&gt;=2.5,3,IF(I93&gt;=2,2,IF(I93&gt;=1.5,1,0))))</f>
        <v/>
      </c>
    </row>
    <row r="94">
      <c r="I94">
        <f>IF(COUNTA(C94:H94)=0,"",C94*0.1+D94*0.2+E94*0.15+F94*0.15+G94*0.1+H94*0.3)</f>
        <v/>
      </c>
      <c r="J94">
        <f>IF(I94="","",IF(I94&gt;=2.5,3,IF(I94&gt;=2,2,IF(I94&gt;=1.5,1,0))))</f>
        <v/>
      </c>
    </row>
    <row r="95">
      <c r="I95">
        <f>IF(COUNTA(C95:H95)=0,"",C95*0.1+D95*0.2+E95*0.15+F95*0.15+G95*0.1+H95*0.3)</f>
        <v/>
      </c>
      <c r="J95">
        <f>IF(I95="","",IF(I95&gt;=2.5,3,IF(I95&gt;=2,2,IF(I95&gt;=1.5,1,0))))</f>
        <v/>
      </c>
    </row>
    <row r="96">
      <c r="I96">
        <f>IF(COUNTA(C96:H96)=0,"",C96*0.1+D96*0.2+E96*0.15+F96*0.15+G96*0.1+H96*0.3)</f>
        <v/>
      </c>
      <c r="J96">
        <f>IF(I96="","",IF(I96&gt;=2.5,3,IF(I96&gt;=2,2,IF(I96&gt;=1.5,1,0))))</f>
        <v/>
      </c>
    </row>
    <row r="97">
      <c r="I97">
        <f>IF(COUNTA(C97:H97)=0,"",C97*0.1+D97*0.2+E97*0.15+F97*0.15+G97*0.1+H97*0.3)</f>
        <v/>
      </c>
      <c r="J97">
        <f>IF(I97="","",IF(I97&gt;=2.5,3,IF(I97&gt;=2,2,IF(I97&gt;=1.5,1,0))))</f>
        <v/>
      </c>
    </row>
    <row r="98">
      <c r="I98">
        <f>IF(COUNTA(C98:H98)=0,"",C98*0.1+D98*0.2+E98*0.15+F98*0.15+G98*0.1+H98*0.3)</f>
        <v/>
      </c>
      <c r="J98">
        <f>IF(I98="","",IF(I98&gt;=2.5,3,IF(I98&gt;=2,2,IF(I98&gt;=1.5,1,0))))</f>
        <v/>
      </c>
    </row>
    <row r="99">
      <c r="I99">
        <f>IF(COUNTA(C99:H99)=0,"",C99*0.1+D99*0.2+E99*0.15+F99*0.15+G99*0.1+H99*0.3)</f>
        <v/>
      </c>
      <c r="J99">
        <f>IF(I99="","",IF(I99&gt;=2.5,3,IF(I99&gt;=2,2,IF(I99&gt;=1.5,1,0))))</f>
        <v/>
      </c>
    </row>
    <row r="100">
      <c r="I100">
        <f>IF(COUNTA(C100:H100)=0,"",C100*0.1+D100*0.2+E100*0.15+F100*0.15+G100*0.1+H100*0.3)</f>
        <v/>
      </c>
      <c r="J100">
        <f>IF(I100="","",IF(I100&gt;=2.5,3,IF(I100&gt;=2,2,IF(I100&gt;=1.5,1,0))))</f>
        <v/>
      </c>
    </row>
    <row r="101">
      <c r="I101">
        <f>IF(COUNTA(C101:H101)=0,"",C101*0.1+D101*0.2+E101*0.15+F101*0.15+G101*0.1+H101*0.3)</f>
        <v/>
      </c>
      <c r="J101">
        <f>IF(I101="","",IF(I101&gt;=2.5,3,IF(I101&gt;=2,2,IF(I101&gt;=1.5,1,0))))</f>
        <v/>
      </c>
    </row>
    <row r="102">
      <c r="I102">
        <f>IF(COUNTA(C102:H102)=0,"",C102*0.1+D102*0.2+E102*0.15+F102*0.15+G102*0.1+H102*0.3)</f>
        <v/>
      </c>
      <c r="J102">
        <f>IF(I102="","",IF(I102&gt;=2.5,3,IF(I102&gt;=2,2,IF(I102&gt;=1.5,1,0))))</f>
        <v/>
      </c>
    </row>
    <row r="103">
      <c r="I103">
        <f>IF(COUNTA(C103:H103)=0,"",C103*0.1+D103*0.2+E103*0.15+F103*0.15+G103*0.1+H103*0.3)</f>
        <v/>
      </c>
      <c r="J103">
        <f>IF(I103="","",IF(I103&gt;=2.5,3,IF(I103&gt;=2,2,IF(I103&gt;=1.5,1,0))))</f>
        <v/>
      </c>
    </row>
    <row r="104">
      <c r="I104">
        <f>IF(COUNTA(C104:H104)=0,"",C104*0.1+D104*0.2+E104*0.15+F104*0.15+G104*0.1+H104*0.3)</f>
        <v/>
      </c>
      <c r="J104">
        <f>IF(I104="","",IF(I104&gt;=2.5,3,IF(I104&gt;=2,2,IF(I104&gt;=1.5,1,0))))</f>
        <v/>
      </c>
    </row>
    <row r="105">
      <c r="I105">
        <f>IF(COUNTA(C105:H105)=0,"",C105*0.1+D105*0.2+E105*0.15+F105*0.15+G105*0.1+H105*0.3)</f>
        <v/>
      </c>
      <c r="J105">
        <f>IF(I105="","",IF(I105&gt;=2.5,3,IF(I105&gt;=2,2,IF(I105&gt;=1.5,1,0))))</f>
        <v/>
      </c>
    </row>
    <row r="106">
      <c r="I106">
        <f>IF(COUNTA(C106:H106)=0,"",C106*0.1+D106*0.2+E106*0.15+F106*0.15+G106*0.1+H106*0.3)</f>
        <v/>
      </c>
      <c r="J106">
        <f>IF(I106="","",IF(I106&gt;=2.5,3,IF(I106&gt;=2,2,IF(I106&gt;=1.5,1,0))))</f>
        <v/>
      </c>
    </row>
    <row r="107">
      <c r="I107">
        <f>IF(COUNTA(C107:H107)=0,"",C107*0.1+D107*0.2+E107*0.15+F107*0.15+G107*0.1+H107*0.3)</f>
        <v/>
      </c>
      <c r="J107">
        <f>IF(I107="","",IF(I107&gt;=2.5,3,IF(I107&gt;=2,2,IF(I107&gt;=1.5,1,0))))</f>
        <v/>
      </c>
    </row>
    <row r="108">
      <c r="I108">
        <f>IF(COUNTA(C108:H108)=0,"",C108*0.1+D108*0.2+E108*0.15+F108*0.15+G108*0.1+H108*0.3)</f>
        <v/>
      </c>
      <c r="J108">
        <f>IF(I108="","",IF(I108&gt;=2.5,3,IF(I108&gt;=2,2,IF(I108&gt;=1.5,1,0))))</f>
        <v/>
      </c>
    </row>
    <row r="109">
      <c r="I109">
        <f>IF(COUNTA(C109:H109)=0,"",C109*0.1+D109*0.2+E109*0.15+F109*0.15+G109*0.1+H109*0.3)</f>
        <v/>
      </c>
      <c r="J109">
        <f>IF(I109="","",IF(I109&gt;=2.5,3,IF(I109&gt;=2,2,IF(I109&gt;=1.5,1,0))))</f>
        <v/>
      </c>
    </row>
    <row r="110">
      <c r="I110">
        <f>IF(COUNTA(C110:H110)=0,"",C110*0.1+D110*0.2+E110*0.15+F110*0.15+G110*0.1+H110*0.3)</f>
        <v/>
      </c>
      <c r="J110">
        <f>IF(I110="","",IF(I110&gt;=2.5,3,IF(I110&gt;=2,2,IF(I110&gt;=1.5,1,0))))</f>
        <v/>
      </c>
    </row>
    <row r="111">
      <c r="I111">
        <f>IF(COUNTA(C111:H111)=0,"",C111*0.1+D111*0.2+E111*0.15+F111*0.15+G111*0.1+H111*0.3)</f>
        <v/>
      </c>
      <c r="J111">
        <f>IF(I111="","",IF(I111&gt;=2.5,3,IF(I111&gt;=2,2,IF(I111&gt;=1.5,1,0))))</f>
        <v/>
      </c>
    </row>
    <row r="112">
      <c r="I112">
        <f>IF(COUNTA(C112:H112)=0,"",C112*0.1+D112*0.2+E112*0.15+F112*0.15+G112*0.1+H112*0.3)</f>
        <v/>
      </c>
      <c r="J112">
        <f>IF(I112="","",IF(I112&gt;=2.5,3,IF(I112&gt;=2,2,IF(I112&gt;=1.5,1,0))))</f>
        <v/>
      </c>
    </row>
    <row r="113">
      <c r="I113">
        <f>IF(COUNTA(C113:H113)=0,"",C113*0.1+D113*0.2+E113*0.15+F113*0.15+G113*0.1+H113*0.3)</f>
        <v/>
      </c>
      <c r="J113">
        <f>IF(I113="","",IF(I113&gt;=2.5,3,IF(I113&gt;=2,2,IF(I113&gt;=1.5,1,0))))</f>
        <v/>
      </c>
    </row>
    <row r="114">
      <c r="I114">
        <f>IF(COUNTA(C114:H114)=0,"",C114*0.1+D114*0.2+E114*0.15+F114*0.15+G114*0.1+H114*0.3)</f>
        <v/>
      </c>
      <c r="J114">
        <f>IF(I114="","",IF(I114&gt;=2.5,3,IF(I114&gt;=2,2,IF(I114&gt;=1.5,1,0))))</f>
        <v/>
      </c>
    </row>
    <row r="115">
      <c r="I115">
        <f>IF(COUNTA(C115:H115)=0,"",C115*0.1+D115*0.2+E115*0.15+F115*0.15+G115*0.1+H115*0.3)</f>
        <v/>
      </c>
      <c r="J115">
        <f>IF(I115="","",IF(I115&gt;=2.5,3,IF(I115&gt;=2,2,IF(I115&gt;=1.5,1,0))))</f>
        <v/>
      </c>
    </row>
    <row r="116">
      <c r="I116">
        <f>IF(COUNTA(C116:H116)=0,"",C116*0.1+D116*0.2+E116*0.15+F116*0.15+G116*0.1+H116*0.3)</f>
        <v/>
      </c>
      <c r="J116">
        <f>IF(I116="","",IF(I116&gt;=2.5,3,IF(I116&gt;=2,2,IF(I116&gt;=1.5,1,0))))</f>
        <v/>
      </c>
    </row>
    <row r="117">
      <c r="I117">
        <f>IF(COUNTA(C117:H117)=0,"",C117*0.1+D117*0.2+E117*0.15+F117*0.15+G117*0.1+H117*0.3)</f>
        <v/>
      </c>
      <c r="J117">
        <f>IF(I117="","",IF(I117&gt;=2.5,3,IF(I117&gt;=2,2,IF(I117&gt;=1.5,1,0))))</f>
        <v/>
      </c>
    </row>
    <row r="118">
      <c r="I118">
        <f>IF(COUNTA(C118:H118)=0,"",C118*0.1+D118*0.2+E118*0.15+F118*0.15+G118*0.1+H118*0.3)</f>
        <v/>
      </c>
      <c r="J118">
        <f>IF(I118="","",IF(I118&gt;=2.5,3,IF(I118&gt;=2,2,IF(I118&gt;=1.5,1,0))))</f>
        <v/>
      </c>
    </row>
    <row r="119">
      <c r="I119">
        <f>IF(COUNTA(C119:H119)=0,"",C119*0.1+D119*0.2+E119*0.15+F119*0.15+G119*0.1+H119*0.3)</f>
        <v/>
      </c>
      <c r="J119">
        <f>IF(I119="","",IF(I119&gt;=2.5,3,IF(I119&gt;=2,2,IF(I119&gt;=1.5,1,0))))</f>
        <v/>
      </c>
    </row>
    <row r="120">
      <c r="I120">
        <f>IF(COUNTA(C120:H120)=0,"",C120*0.1+D120*0.2+E120*0.15+F120*0.15+G120*0.1+H120*0.3)</f>
        <v/>
      </c>
      <c r="J120">
        <f>IF(I120="","",IF(I120&gt;=2.5,3,IF(I120&gt;=2,2,IF(I120&gt;=1.5,1,0))))</f>
        <v/>
      </c>
    </row>
    <row r="121">
      <c r="I121">
        <f>IF(COUNTA(C121:H121)=0,"",C121*0.1+D121*0.2+E121*0.15+F121*0.15+G121*0.1+H121*0.3)</f>
        <v/>
      </c>
      <c r="J121">
        <f>IF(I121="","",IF(I121&gt;=2.5,3,IF(I121&gt;=2,2,IF(I121&gt;=1.5,1,0))))</f>
        <v/>
      </c>
    </row>
    <row r="122">
      <c r="I122">
        <f>IF(COUNTA(C122:H122)=0,"",C122*0.1+D122*0.2+E122*0.15+F122*0.15+G122*0.1+H122*0.3)</f>
        <v/>
      </c>
      <c r="J122">
        <f>IF(I122="","",IF(I122&gt;=2.5,3,IF(I122&gt;=2,2,IF(I122&gt;=1.5,1,0))))</f>
        <v/>
      </c>
    </row>
    <row r="123">
      <c r="I123">
        <f>IF(COUNTA(C123:H123)=0,"",C123*0.1+D123*0.2+E123*0.15+F123*0.15+G123*0.1+H123*0.3)</f>
        <v/>
      </c>
      <c r="J123">
        <f>IF(I123="","",IF(I123&gt;=2.5,3,IF(I123&gt;=2,2,IF(I123&gt;=1.5,1,0))))</f>
        <v/>
      </c>
    </row>
    <row r="124">
      <c r="I124">
        <f>IF(COUNTA(C124:H124)=0,"",C124*0.1+D124*0.2+E124*0.15+F124*0.15+G124*0.1+H124*0.3)</f>
        <v/>
      </c>
      <c r="J124">
        <f>IF(I124="","",IF(I124&gt;=2.5,3,IF(I124&gt;=2,2,IF(I124&gt;=1.5,1,0))))</f>
        <v/>
      </c>
    </row>
    <row r="125">
      <c r="I125">
        <f>IF(COUNTA(C125:H125)=0,"",C125*0.1+D125*0.2+E125*0.15+F125*0.15+G125*0.1+H125*0.3)</f>
        <v/>
      </c>
      <c r="J125">
        <f>IF(I125="","",IF(I125&gt;=2.5,3,IF(I125&gt;=2,2,IF(I125&gt;=1.5,1,0))))</f>
        <v/>
      </c>
    </row>
    <row r="126">
      <c r="I126">
        <f>IF(COUNTA(C126:H126)=0,"",C126*0.1+D126*0.2+E126*0.15+F126*0.15+G126*0.1+H126*0.3)</f>
        <v/>
      </c>
      <c r="J126">
        <f>IF(I126="","",IF(I126&gt;=2.5,3,IF(I126&gt;=2,2,IF(I126&gt;=1.5,1,0))))</f>
        <v/>
      </c>
    </row>
    <row r="127">
      <c r="I127">
        <f>IF(COUNTA(C127:H127)=0,"",C127*0.1+D127*0.2+E127*0.15+F127*0.15+G127*0.1+H127*0.3)</f>
        <v/>
      </c>
      <c r="J127">
        <f>IF(I127="","",IF(I127&gt;=2.5,3,IF(I127&gt;=2,2,IF(I127&gt;=1.5,1,0))))</f>
        <v/>
      </c>
    </row>
    <row r="128">
      <c r="I128">
        <f>IF(COUNTA(C128:H128)=0,"",C128*0.1+D128*0.2+E128*0.15+F128*0.15+G128*0.1+H128*0.3)</f>
        <v/>
      </c>
      <c r="J128">
        <f>IF(I128="","",IF(I128&gt;=2.5,3,IF(I128&gt;=2,2,IF(I128&gt;=1.5,1,0))))</f>
        <v/>
      </c>
    </row>
    <row r="129">
      <c r="I129">
        <f>IF(COUNTA(C129:H129)=0,"",C129*0.1+D129*0.2+E129*0.15+F129*0.15+G129*0.1+H129*0.3)</f>
        <v/>
      </c>
      <c r="J129">
        <f>IF(I129="","",IF(I129&gt;=2.5,3,IF(I129&gt;=2,2,IF(I129&gt;=1.5,1,0))))</f>
        <v/>
      </c>
    </row>
    <row r="130">
      <c r="I130">
        <f>IF(COUNTA(C130:H130)=0,"",C130*0.1+D130*0.2+E130*0.15+F130*0.15+G130*0.1+H130*0.3)</f>
        <v/>
      </c>
      <c r="J130">
        <f>IF(I130="","",IF(I130&gt;=2.5,3,IF(I130&gt;=2,2,IF(I130&gt;=1.5,1,0))))</f>
        <v/>
      </c>
    </row>
    <row r="131">
      <c r="I131">
        <f>IF(COUNTA(C131:H131)=0,"",C131*0.1+D131*0.2+E131*0.15+F131*0.15+G131*0.1+H131*0.3)</f>
        <v/>
      </c>
      <c r="J131">
        <f>IF(I131="","",IF(I131&gt;=2.5,3,IF(I131&gt;=2,2,IF(I131&gt;=1.5,1,0))))</f>
        <v/>
      </c>
    </row>
    <row r="132">
      <c r="I132">
        <f>IF(COUNTA(C132:H132)=0,"",C132*0.1+D132*0.2+E132*0.15+F132*0.15+G132*0.1+H132*0.3)</f>
        <v/>
      </c>
      <c r="J132">
        <f>IF(I132="","",IF(I132&gt;=2.5,3,IF(I132&gt;=2,2,IF(I132&gt;=1.5,1,0))))</f>
        <v/>
      </c>
    </row>
    <row r="133">
      <c r="I133">
        <f>IF(COUNTA(C133:H133)=0,"",C133*0.1+D133*0.2+E133*0.15+F133*0.15+G133*0.1+H133*0.3)</f>
        <v/>
      </c>
      <c r="J133">
        <f>IF(I133="","",IF(I133&gt;=2.5,3,IF(I133&gt;=2,2,IF(I133&gt;=1.5,1,0))))</f>
        <v/>
      </c>
    </row>
    <row r="134">
      <c r="I134">
        <f>IF(COUNTA(C134:H134)=0,"",C134*0.1+D134*0.2+E134*0.15+F134*0.15+G134*0.1+H134*0.3)</f>
        <v/>
      </c>
      <c r="J134">
        <f>IF(I134="","",IF(I134&gt;=2.5,3,IF(I134&gt;=2,2,IF(I134&gt;=1.5,1,0))))</f>
        <v/>
      </c>
    </row>
    <row r="135">
      <c r="I135">
        <f>IF(COUNTA(C135:H135)=0,"",C135*0.1+D135*0.2+E135*0.15+F135*0.15+G135*0.1+H135*0.3)</f>
        <v/>
      </c>
      <c r="J135">
        <f>IF(I135="","",IF(I135&gt;=2.5,3,IF(I135&gt;=2,2,IF(I135&gt;=1.5,1,0))))</f>
        <v/>
      </c>
    </row>
    <row r="136">
      <c r="I136">
        <f>IF(COUNTA(C136:H136)=0,"",C136*0.1+D136*0.2+E136*0.15+F136*0.15+G136*0.1+H136*0.3)</f>
        <v/>
      </c>
      <c r="J136">
        <f>IF(I136="","",IF(I136&gt;=2.5,3,IF(I136&gt;=2,2,IF(I136&gt;=1.5,1,0))))</f>
        <v/>
      </c>
    </row>
    <row r="137">
      <c r="I137">
        <f>IF(COUNTA(C137:H137)=0,"",C137*0.1+D137*0.2+E137*0.15+F137*0.15+G137*0.1+H137*0.3)</f>
        <v/>
      </c>
      <c r="J137">
        <f>IF(I137="","",IF(I137&gt;=2.5,3,IF(I137&gt;=2,2,IF(I137&gt;=1.5,1,0))))</f>
        <v/>
      </c>
    </row>
    <row r="138">
      <c r="I138">
        <f>IF(COUNTA(C138:H138)=0,"",C138*0.1+D138*0.2+E138*0.15+F138*0.15+G138*0.1+H138*0.3)</f>
        <v/>
      </c>
      <c r="J138">
        <f>IF(I138="","",IF(I138&gt;=2.5,3,IF(I138&gt;=2,2,IF(I138&gt;=1.5,1,0))))</f>
        <v/>
      </c>
    </row>
    <row r="139">
      <c r="I139">
        <f>IF(COUNTA(C139:H139)=0,"",C139*0.1+D139*0.2+E139*0.15+F139*0.15+G139*0.1+H139*0.3)</f>
        <v/>
      </c>
      <c r="J139">
        <f>IF(I139="","",IF(I139&gt;=2.5,3,IF(I139&gt;=2,2,IF(I139&gt;=1.5,1,0))))</f>
        <v/>
      </c>
    </row>
    <row r="140">
      <c r="I140">
        <f>IF(COUNTA(C140:H140)=0,"",C140*0.1+D140*0.2+E140*0.15+F140*0.15+G140*0.1+H140*0.3)</f>
        <v/>
      </c>
      <c r="J140">
        <f>IF(I140="","",IF(I140&gt;=2.5,3,IF(I140&gt;=2,2,IF(I140&gt;=1.5,1,0))))</f>
        <v/>
      </c>
    </row>
    <row r="141">
      <c r="I141">
        <f>IF(COUNTA(C141:H141)=0,"",C141*0.1+D141*0.2+E141*0.15+F141*0.15+G141*0.1+H141*0.3)</f>
        <v/>
      </c>
      <c r="J141">
        <f>IF(I141="","",IF(I141&gt;=2.5,3,IF(I141&gt;=2,2,IF(I141&gt;=1.5,1,0))))</f>
        <v/>
      </c>
    </row>
    <row r="142">
      <c r="I142">
        <f>IF(COUNTA(C142:H142)=0,"",C142*0.1+D142*0.2+E142*0.15+F142*0.15+G142*0.1+H142*0.3)</f>
        <v/>
      </c>
      <c r="J142">
        <f>IF(I142="","",IF(I142&gt;=2.5,3,IF(I142&gt;=2,2,IF(I142&gt;=1.5,1,0))))</f>
        <v/>
      </c>
    </row>
    <row r="143">
      <c r="I143">
        <f>IF(COUNTA(C143:H143)=0,"",C143*0.1+D143*0.2+E143*0.15+F143*0.15+G143*0.1+H143*0.3)</f>
        <v/>
      </c>
      <c r="J143">
        <f>IF(I143="","",IF(I143&gt;=2.5,3,IF(I143&gt;=2,2,IF(I143&gt;=1.5,1,0))))</f>
        <v/>
      </c>
    </row>
    <row r="144">
      <c r="I144">
        <f>IF(COUNTA(C144:H144)=0,"",C144*0.1+D144*0.2+E144*0.15+F144*0.15+G144*0.1+H144*0.3)</f>
        <v/>
      </c>
      <c r="J144">
        <f>IF(I144="","",IF(I144&gt;=2.5,3,IF(I144&gt;=2,2,IF(I144&gt;=1.5,1,0))))</f>
        <v/>
      </c>
    </row>
    <row r="145">
      <c r="I145">
        <f>IF(COUNTA(C145:H145)=0,"",C145*0.1+D145*0.2+E145*0.15+F145*0.15+G145*0.1+H145*0.3)</f>
        <v/>
      </c>
      <c r="J145">
        <f>IF(I145="","",IF(I145&gt;=2.5,3,IF(I145&gt;=2,2,IF(I145&gt;=1.5,1,0))))</f>
        <v/>
      </c>
    </row>
    <row r="146">
      <c r="I146">
        <f>IF(COUNTA(C146:H146)=0,"",C146*0.1+D146*0.2+E146*0.15+F146*0.15+G146*0.1+H146*0.3)</f>
        <v/>
      </c>
      <c r="J146">
        <f>IF(I146="","",IF(I146&gt;=2.5,3,IF(I146&gt;=2,2,IF(I146&gt;=1.5,1,0))))</f>
        <v/>
      </c>
    </row>
    <row r="147">
      <c r="I147">
        <f>IF(COUNTA(C147:H147)=0,"",C147*0.1+D147*0.2+E147*0.15+F147*0.15+G147*0.1+H147*0.3)</f>
        <v/>
      </c>
      <c r="J147">
        <f>IF(I147="","",IF(I147&gt;=2.5,3,IF(I147&gt;=2,2,IF(I147&gt;=1.5,1,0))))</f>
        <v/>
      </c>
    </row>
    <row r="148">
      <c r="I148">
        <f>IF(COUNTA(C148:H148)=0,"",C148*0.1+D148*0.2+E148*0.15+F148*0.15+G148*0.1+H148*0.3)</f>
        <v/>
      </c>
      <c r="J148">
        <f>IF(I148="","",IF(I148&gt;=2.5,3,IF(I148&gt;=2,2,IF(I148&gt;=1.5,1,0))))</f>
        <v/>
      </c>
    </row>
    <row r="149">
      <c r="I149">
        <f>IF(COUNTA(C149:H149)=0,"",C149*0.1+D149*0.2+E149*0.15+F149*0.15+G149*0.1+H149*0.3)</f>
        <v/>
      </c>
      <c r="J149">
        <f>IF(I149="","",IF(I149&gt;=2.5,3,IF(I149&gt;=2,2,IF(I149&gt;=1.5,1,0))))</f>
        <v/>
      </c>
    </row>
    <row r="150">
      <c r="I150">
        <f>IF(COUNTA(C150:H150)=0,"",C150*0.1+D150*0.2+E150*0.15+F150*0.15+G150*0.1+H150*0.3)</f>
        <v/>
      </c>
      <c r="J150">
        <f>IF(I150="","",IF(I150&gt;=2.5,3,IF(I150&gt;=2,2,IF(I150&gt;=1.5,1,0))))</f>
        <v/>
      </c>
    </row>
    <row r="151">
      <c r="I151">
        <f>IF(COUNTA(C151:H151)=0,"",C151*0.1+D151*0.2+E151*0.15+F151*0.15+G151*0.1+H151*0.3)</f>
        <v/>
      </c>
      <c r="J151">
        <f>IF(I151="","",IF(I151&gt;=2.5,3,IF(I151&gt;=2,2,IF(I151&gt;=1.5,1,0))))</f>
        <v/>
      </c>
    </row>
    <row r="152">
      <c r="I152">
        <f>IF(COUNTA(C152:H152)=0,"",C152*0.1+D152*0.2+E152*0.15+F152*0.15+G152*0.1+H152*0.3)</f>
        <v/>
      </c>
      <c r="J152">
        <f>IF(I152="","",IF(I152&gt;=2.5,3,IF(I152&gt;=2,2,IF(I152&gt;=1.5,1,0))))</f>
        <v/>
      </c>
    </row>
    <row r="153">
      <c r="I153">
        <f>IF(COUNTA(C153:H153)=0,"",C153*0.1+D153*0.2+E153*0.15+F153*0.15+G153*0.1+H153*0.3)</f>
        <v/>
      </c>
      <c r="J153">
        <f>IF(I153="","",IF(I153&gt;=2.5,3,IF(I153&gt;=2,2,IF(I153&gt;=1.5,1,0))))</f>
        <v/>
      </c>
    </row>
    <row r="154">
      <c r="I154">
        <f>IF(COUNTA(C154:H154)=0,"",C154*0.1+D154*0.2+E154*0.15+F154*0.15+G154*0.1+H154*0.3)</f>
        <v/>
      </c>
      <c r="J154">
        <f>IF(I154="","",IF(I154&gt;=2.5,3,IF(I154&gt;=2,2,IF(I154&gt;=1.5,1,0))))</f>
        <v/>
      </c>
    </row>
    <row r="155">
      <c r="I155">
        <f>IF(COUNTA(C155:H155)=0,"",C155*0.1+D155*0.2+E155*0.15+F155*0.15+G155*0.1+H155*0.3)</f>
        <v/>
      </c>
      <c r="J155">
        <f>IF(I155="","",IF(I155&gt;=2.5,3,IF(I155&gt;=2,2,IF(I155&gt;=1.5,1,0))))</f>
        <v/>
      </c>
    </row>
    <row r="156">
      <c r="I156">
        <f>IF(COUNTA(C156:H156)=0,"",C156*0.1+D156*0.2+E156*0.15+F156*0.15+G156*0.1+H156*0.3)</f>
        <v/>
      </c>
      <c r="J156">
        <f>IF(I156="","",IF(I156&gt;=2.5,3,IF(I156&gt;=2,2,IF(I156&gt;=1.5,1,0))))</f>
        <v/>
      </c>
    </row>
    <row r="157">
      <c r="I157">
        <f>IF(COUNTA(C157:H157)=0,"",C157*0.1+D157*0.2+E157*0.15+F157*0.15+G157*0.1+H157*0.3)</f>
        <v/>
      </c>
      <c r="J157">
        <f>IF(I157="","",IF(I157&gt;=2.5,3,IF(I157&gt;=2,2,IF(I157&gt;=1.5,1,0))))</f>
        <v/>
      </c>
    </row>
    <row r="158">
      <c r="I158">
        <f>IF(COUNTA(C158:H158)=0,"",C158*0.1+D158*0.2+E158*0.15+F158*0.15+G158*0.1+H158*0.3)</f>
        <v/>
      </c>
      <c r="J158">
        <f>IF(I158="","",IF(I158&gt;=2.5,3,IF(I158&gt;=2,2,IF(I158&gt;=1.5,1,0))))</f>
        <v/>
      </c>
    </row>
    <row r="159">
      <c r="I159">
        <f>IF(COUNTA(C159:H159)=0,"",C159*0.1+D159*0.2+E159*0.15+F159*0.15+G159*0.1+H159*0.3)</f>
        <v/>
      </c>
      <c r="J159">
        <f>IF(I159="","",IF(I159&gt;=2.5,3,IF(I159&gt;=2,2,IF(I159&gt;=1.5,1,0))))</f>
        <v/>
      </c>
    </row>
    <row r="160">
      <c r="I160">
        <f>IF(COUNTA(C160:H160)=0,"",C160*0.1+D160*0.2+E160*0.15+F160*0.15+G160*0.1+H160*0.3)</f>
        <v/>
      </c>
      <c r="J160">
        <f>IF(I160="","",IF(I160&gt;=2.5,3,IF(I160&gt;=2,2,IF(I160&gt;=1.5,1,0))))</f>
        <v/>
      </c>
    </row>
    <row r="161">
      <c r="I161">
        <f>IF(COUNTA(C161:H161)=0,"",C161*0.1+D161*0.2+E161*0.15+F161*0.15+G161*0.1+H161*0.3)</f>
        <v/>
      </c>
      <c r="J161">
        <f>IF(I161="","",IF(I161&gt;=2.5,3,IF(I161&gt;=2,2,IF(I161&gt;=1.5,1,0))))</f>
        <v/>
      </c>
    </row>
    <row r="162">
      <c r="I162">
        <f>IF(COUNTA(C162:H162)=0,"",C162*0.1+D162*0.2+E162*0.15+F162*0.15+G162*0.1+H162*0.3)</f>
        <v/>
      </c>
      <c r="J162">
        <f>IF(I162="","",IF(I162&gt;=2.5,3,IF(I162&gt;=2,2,IF(I162&gt;=1.5,1,0))))</f>
        <v/>
      </c>
    </row>
    <row r="163">
      <c r="I163">
        <f>IF(COUNTA(C163:H163)=0,"",C163*0.1+D163*0.2+E163*0.15+F163*0.15+G163*0.1+H163*0.3)</f>
        <v/>
      </c>
      <c r="J163">
        <f>IF(I163="","",IF(I163&gt;=2.5,3,IF(I163&gt;=2,2,IF(I163&gt;=1.5,1,0))))</f>
        <v/>
      </c>
    </row>
    <row r="164">
      <c r="I164">
        <f>IF(COUNTA(C164:H164)=0,"",C164*0.1+D164*0.2+E164*0.15+F164*0.15+G164*0.1+H164*0.3)</f>
        <v/>
      </c>
      <c r="J164">
        <f>IF(I164="","",IF(I164&gt;=2.5,3,IF(I164&gt;=2,2,IF(I164&gt;=1.5,1,0))))</f>
        <v/>
      </c>
    </row>
    <row r="165">
      <c r="I165">
        <f>IF(COUNTA(C165:H165)=0,"",C165*0.1+D165*0.2+E165*0.15+F165*0.15+G165*0.1+H165*0.3)</f>
        <v/>
      </c>
      <c r="J165">
        <f>IF(I165="","",IF(I165&gt;=2.5,3,IF(I165&gt;=2,2,IF(I165&gt;=1.5,1,0))))</f>
        <v/>
      </c>
    </row>
    <row r="166">
      <c r="I166">
        <f>IF(COUNTA(C166:H166)=0,"",C166*0.1+D166*0.2+E166*0.15+F166*0.15+G166*0.1+H166*0.3)</f>
        <v/>
      </c>
      <c r="J166">
        <f>IF(I166="","",IF(I166&gt;=2.5,3,IF(I166&gt;=2,2,IF(I166&gt;=1.5,1,0))))</f>
        <v/>
      </c>
    </row>
    <row r="167">
      <c r="I167">
        <f>IF(COUNTA(C167:H167)=0,"",C167*0.1+D167*0.2+E167*0.15+F167*0.15+G167*0.1+H167*0.3)</f>
        <v/>
      </c>
      <c r="J167">
        <f>IF(I167="","",IF(I167&gt;=2.5,3,IF(I167&gt;=2,2,IF(I167&gt;=1.5,1,0))))</f>
        <v/>
      </c>
    </row>
    <row r="168">
      <c r="I168">
        <f>IF(COUNTA(C168:H168)=0,"",C168*0.1+D168*0.2+E168*0.15+F168*0.15+G168*0.1+H168*0.3)</f>
        <v/>
      </c>
      <c r="J168">
        <f>IF(I168="","",IF(I168&gt;=2.5,3,IF(I168&gt;=2,2,IF(I168&gt;=1.5,1,0))))</f>
        <v/>
      </c>
    </row>
    <row r="169">
      <c r="I169">
        <f>IF(COUNTA(C169:H169)=0,"",C169*0.1+D169*0.2+E169*0.15+F169*0.15+G169*0.1+H169*0.3)</f>
        <v/>
      </c>
      <c r="J169">
        <f>IF(I169="","",IF(I169&gt;=2.5,3,IF(I169&gt;=2,2,IF(I169&gt;=1.5,1,0))))</f>
        <v/>
      </c>
    </row>
    <row r="170">
      <c r="I170">
        <f>IF(COUNTA(C170:H170)=0,"",C170*0.1+D170*0.2+E170*0.15+F170*0.15+G170*0.1+H170*0.3)</f>
        <v/>
      </c>
      <c r="J170">
        <f>IF(I170="","",IF(I170&gt;=2.5,3,IF(I170&gt;=2,2,IF(I170&gt;=1.5,1,0))))</f>
        <v/>
      </c>
    </row>
    <row r="171">
      <c r="I171">
        <f>IF(COUNTA(C171:H171)=0,"",C171*0.1+D171*0.2+E171*0.15+F171*0.15+G171*0.1+H171*0.3)</f>
        <v/>
      </c>
      <c r="J171">
        <f>IF(I171="","",IF(I171&gt;=2.5,3,IF(I171&gt;=2,2,IF(I171&gt;=1.5,1,0))))</f>
        <v/>
      </c>
    </row>
    <row r="172">
      <c r="I172">
        <f>IF(COUNTA(C172:H172)=0,"",C172*0.1+D172*0.2+E172*0.15+F172*0.15+G172*0.1+H172*0.3)</f>
        <v/>
      </c>
      <c r="J172">
        <f>IF(I172="","",IF(I172&gt;=2.5,3,IF(I172&gt;=2,2,IF(I172&gt;=1.5,1,0))))</f>
        <v/>
      </c>
    </row>
    <row r="173">
      <c r="I173">
        <f>IF(COUNTA(C173:H173)=0,"",C173*0.1+D173*0.2+E173*0.15+F173*0.15+G173*0.1+H173*0.3)</f>
        <v/>
      </c>
      <c r="J173">
        <f>IF(I173="","",IF(I173&gt;=2.5,3,IF(I173&gt;=2,2,IF(I173&gt;=1.5,1,0))))</f>
        <v/>
      </c>
    </row>
    <row r="174">
      <c r="I174">
        <f>IF(COUNTA(C174:H174)=0,"",C174*0.1+D174*0.2+E174*0.15+F174*0.15+G174*0.1+H174*0.3)</f>
        <v/>
      </c>
      <c r="J174">
        <f>IF(I174="","",IF(I174&gt;=2.5,3,IF(I174&gt;=2,2,IF(I174&gt;=1.5,1,0))))</f>
        <v/>
      </c>
    </row>
    <row r="175">
      <c r="I175">
        <f>IF(COUNTA(C175:H175)=0,"",C175*0.1+D175*0.2+E175*0.15+F175*0.15+G175*0.1+H175*0.3)</f>
        <v/>
      </c>
      <c r="J175">
        <f>IF(I175="","",IF(I175&gt;=2.5,3,IF(I175&gt;=2,2,IF(I175&gt;=1.5,1,0))))</f>
        <v/>
      </c>
    </row>
    <row r="176">
      <c r="I176">
        <f>IF(COUNTA(C176:H176)=0,"",C176*0.1+D176*0.2+E176*0.15+F176*0.15+G176*0.1+H176*0.3)</f>
        <v/>
      </c>
      <c r="J176">
        <f>IF(I176="","",IF(I176&gt;=2.5,3,IF(I176&gt;=2,2,IF(I176&gt;=1.5,1,0))))</f>
        <v/>
      </c>
    </row>
    <row r="177">
      <c r="I177">
        <f>IF(COUNTA(C177:H177)=0,"",C177*0.1+D177*0.2+E177*0.15+F177*0.15+G177*0.1+H177*0.3)</f>
        <v/>
      </c>
      <c r="J177">
        <f>IF(I177="","",IF(I177&gt;=2.5,3,IF(I177&gt;=2,2,IF(I177&gt;=1.5,1,0))))</f>
        <v/>
      </c>
    </row>
    <row r="178">
      <c r="I178">
        <f>IF(COUNTA(C178:H178)=0,"",C178*0.1+D178*0.2+E178*0.15+F178*0.15+G178*0.1+H178*0.3)</f>
        <v/>
      </c>
      <c r="J178">
        <f>IF(I178="","",IF(I178&gt;=2.5,3,IF(I178&gt;=2,2,IF(I178&gt;=1.5,1,0))))</f>
        <v/>
      </c>
    </row>
    <row r="179">
      <c r="I179">
        <f>IF(COUNTA(C179:H179)=0,"",C179*0.1+D179*0.2+E179*0.15+F179*0.15+G179*0.1+H179*0.3)</f>
        <v/>
      </c>
      <c r="J179">
        <f>IF(I179="","",IF(I179&gt;=2.5,3,IF(I179&gt;=2,2,IF(I179&gt;=1.5,1,0))))</f>
        <v/>
      </c>
    </row>
    <row r="180">
      <c r="I180">
        <f>IF(COUNTA(C180:H180)=0,"",C180*0.1+D180*0.2+E180*0.15+F180*0.15+G180*0.1+H180*0.3)</f>
        <v/>
      </c>
      <c r="J180">
        <f>IF(I180="","",IF(I180&gt;=2.5,3,IF(I180&gt;=2,2,IF(I180&gt;=1.5,1,0))))</f>
        <v/>
      </c>
    </row>
    <row r="181">
      <c r="I181">
        <f>IF(COUNTA(C181:H181)=0,"",C181*0.1+D181*0.2+E181*0.15+F181*0.15+G181*0.1+H181*0.3)</f>
        <v/>
      </c>
      <c r="J181">
        <f>IF(I181="","",IF(I181&gt;=2.5,3,IF(I181&gt;=2,2,IF(I181&gt;=1.5,1,0))))</f>
        <v/>
      </c>
    </row>
    <row r="182">
      <c r="I182">
        <f>IF(COUNTA(C182:H182)=0,"",C182*0.1+D182*0.2+E182*0.15+F182*0.15+G182*0.1+H182*0.3)</f>
        <v/>
      </c>
      <c r="J182">
        <f>IF(I182="","",IF(I182&gt;=2.5,3,IF(I182&gt;=2,2,IF(I182&gt;=1.5,1,0))))</f>
        <v/>
      </c>
    </row>
    <row r="183">
      <c r="I183">
        <f>IF(COUNTA(C183:H183)=0,"",C183*0.1+D183*0.2+E183*0.15+F183*0.15+G183*0.1+H183*0.3)</f>
        <v/>
      </c>
      <c r="J183">
        <f>IF(I183="","",IF(I183&gt;=2.5,3,IF(I183&gt;=2,2,IF(I183&gt;=1.5,1,0))))</f>
        <v/>
      </c>
    </row>
    <row r="184">
      <c r="I184">
        <f>IF(COUNTA(C184:H184)=0,"",C184*0.1+D184*0.2+E184*0.15+F184*0.15+G184*0.1+H184*0.3)</f>
        <v/>
      </c>
      <c r="J184">
        <f>IF(I184="","",IF(I184&gt;=2.5,3,IF(I184&gt;=2,2,IF(I184&gt;=1.5,1,0))))</f>
        <v/>
      </c>
    </row>
    <row r="185">
      <c r="I185">
        <f>IF(COUNTA(C185:H185)=0,"",C185*0.1+D185*0.2+E185*0.15+F185*0.15+G185*0.1+H185*0.3)</f>
        <v/>
      </c>
      <c r="J185">
        <f>IF(I185="","",IF(I185&gt;=2.5,3,IF(I185&gt;=2,2,IF(I185&gt;=1.5,1,0))))</f>
        <v/>
      </c>
    </row>
    <row r="186">
      <c r="I186">
        <f>IF(COUNTA(C186:H186)=0,"",C186*0.1+D186*0.2+E186*0.15+F186*0.15+G186*0.1+H186*0.3)</f>
        <v/>
      </c>
      <c r="J186">
        <f>IF(I186="","",IF(I186&gt;=2.5,3,IF(I186&gt;=2,2,IF(I186&gt;=1.5,1,0))))</f>
        <v/>
      </c>
    </row>
    <row r="187">
      <c r="I187">
        <f>IF(COUNTA(C187:H187)=0,"",C187*0.1+D187*0.2+E187*0.15+F187*0.15+G187*0.1+H187*0.3)</f>
        <v/>
      </c>
      <c r="J187">
        <f>IF(I187="","",IF(I187&gt;=2.5,3,IF(I187&gt;=2,2,IF(I187&gt;=1.5,1,0))))</f>
        <v/>
      </c>
    </row>
    <row r="188">
      <c r="I188">
        <f>IF(COUNTA(C188:H188)=0,"",C188*0.1+D188*0.2+E188*0.15+F188*0.15+G188*0.1+H188*0.3)</f>
        <v/>
      </c>
      <c r="J188">
        <f>IF(I188="","",IF(I188&gt;=2.5,3,IF(I188&gt;=2,2,IF(I188&gt;=1.5,1,0))))</f>
        <v/>
      </c>
    </row>
    <row r="189">
      <c r="I189">
        <f>IF(COUNTA(C189:H189)=0,"",C189*0.1+D189*0.2+E189*0.15+F189*0.15+G189*0.1+H189*0.3)</f>
        <v/>
      </c>
      <c r="J189">
        <f>IF(I189="","",IF(I189&gt;=2.5,3,IF(I189&gt;=2,2,IF(I189&gt;=1.5,1,0))))</f>
        <v/>
      </c>
    </row>
    <row r="190">
      <c r="I190">
        <f>IF(COUNTA(C190:H190)=0,"",C190*0.1+D190*0.2+E190*0.15+F190*0.15+G190*0.1+H190*0.3)</f>
        <v/>
      </c>
      <c r="J190">
        <f>IF(I190="","",IF(I190&gt;=2.5,3,IF(I190&gt;=2,2,IF(I190&gt;=1.5,1,0))))</f>
        <v/>
      </c>
    </row>
    <row r="191">
      <c r="I191">
        <f>IF(COUNTA(C191:H191)=0,"",C191*0.1+D191*0.2+E191*0.15+F191*0.15+G191*0.1+H191*0.3)</f>
        <v/>
      </c>
      <c r="J191">
        <f>IF(I191="","",IF(I191&gt;=2.5,3,IF(I191&gt;=2,2,IF(I191&gt;=1.5,1,0))))</f>
        <v/>
      </c>
    </row>
    <row r="192">
      <c r="I192">
        <f>IF(COUNTA(C192:H192)=0,"",C192*0.1+D192*0.2+E192*0.15+F192*0.15+G192*0.1+H192*0.3)</f>
        <v/>
      </c>
      <c r="J192">
        <f>IF(I192="","",IF(I192&gt;=2.5,3,IF(I192&gt;=2,2,IF(I192&gt;=1.5,1,0))))</f>
        <v/>
      </c>
    </row>
    <row r="193">
      <c r="I193">
        <f>IF(COUNTA(C193:H193)=0,"",C193*0.1+D193*0.2+E193*0.15+F193*0.15+G193*0.1+H193*0.3)</f>
        <v/>
      </c>
      <c r="J193">
        <f>IF(I193="","",IF(I193&gt;=2.5,3,IF(I193&gt;=2,2,IF(I193&gt;=1.5,1,0))))</f>
        <v/>
      </c>
    </row>
    <row r="194">
      <c r="I194">
        <f>IF(COUNTA(C194:H194)=0,"",C194*0.1+D194*0.2+E194*0.15+F194*0.15+G194*0.1+H194*0.3)</f>
        <v/>
      </c>
      <c r="J194">
        <f>IF(I194="","",IF(I194&gt;=2.5,3,IF(I194&gt;=2,2,IF(I194&gt;=1.5,1,0))))</f>
        <v/>
      </c>
    </row>
    <row r="195">
      <c r="I195">
        <f>IF(COUNTA(C195:H195)=0,"",C195*0.1+D195*0.2+E195*0.15+F195*0.15+G195*0.1+H195*0.3)</f>
        <v/>
      </c>
      <c r="J195">
        <f>IF(I195="","",IF(I195&gt;=2.5,3,IF(I195&gt;=2,2,IF(I195&gt;=1.5,1,0))))</f>
        <v/>
      </c>
    </row>
    <row r="196">
      <c r="I196">
        <f>IF(COUNTA(C196:H196)=0,"",C196*0.1+D196*0.2+E196*0.15+F196*0.15+G196*0.1+H196*0.3)</f>
        <v/>
      </c>
      <c r="J196">
        <f>IF(I196="","",IF(I196&gt;=2.5,3,IF(I196&gt;=2,2,IF(I196&gt;=1.5,1,0))))</f>
        <v/>
      </c>
    </row>
    <row r="197">
      <c r="I197">
        <f>IF(COUNTA(C197:H197)=0,"",C197*0.1+D197*0.2+E197*0.15+F197*0.15+G197*0.1+H197*0.3)</f>
        <v/>
      </c>
      <c r="J197">
        <f>IF(I197="","",IF(I197&gt;=2.5,3,IF(I197&gt;=2,2,IF(I197&gt;=1.5,1,0))))</f>
        <v/>
      </c>
    </row>
    <row r="198">
      <c r="I198">
        <f>IF(COUNTA(C198:H198)=0,"",C198*0.1+D198*0.2+E198*0.15+F198*0.15+G198*0.1+H198*0.3)</f>
        <v/>
      </c>
      <c r="J198">
        <f>IF(I198="","",IF(I198&gt;=2.5,3,IF(I198&gt;=2,2,IF(I198&gt;=1.5,1,0))))</f>
        <v/>
      </c>
    </row>
    <row r="199">
      <c r="I199">
        <f>IF(COUNTA(C199:H199)=0,"",C199*0.1+D199*0.2+E199*0.15+F199*0.15+G199*0.1+H199*0.3)</f>
        <v/>
      </c>
      <c r="J199">
        <f>IF(I199="","",IF(I199&gt;=2.5,3,IF(I199&gt;=2,2,IF(I199&gt;=1.5,1,0))))</f>
        <v/>
      </c>
    </row>
    <row r="200">
      <c r="I200">
        <f>IF(COUNTA(C200:H200)=0,"",C200*0.1+D200*0.2+E200*0.15+F200*0.15+G200*0.1+H200*0.3)</f>
        <v/>
      </c>
      <c r="J200">
        <f>IF(I200="","",IF(I200&gt;=2.5,3,IF(I200&gt;=2,2,IF(I200&gt;=1.5,1,0))))</f>
        <v/>
      </c>
    </row>
    <row r="201">
      <c r="I201">
        <f>IF(COUNTA(C201:H201)=0,"",C201*0.1+D201*0.2+E201*0.15+F201*0.15+G201*0.1+H201*0.3)</f>
        <v/>
      </c>
      <c r="J201">
        <f>IF(I201="","",IF(I201&gt;=2.5,3,IF(I201&gt;=2,2,IF(I201&gt;=1.5,1,0))))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22" customWidth="1" min="5" max="5"/>
    <col width="28" customWidth="1" min="6" max="6"/>
    <col width="28" customWidth="1" min="7" max="7"/>
    <col width="18" customWidth="1" min="8" max="8"/>
    <col width="14" customWidth="1" min="9" max="9"/>
    <col width="3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F1 Report (0–3)</t>
        </is>
      </c>
      <c r="D1" s="1" t="inlineStr">
        <is>
          <t>F2 Implementation/Results (0–3)</t>
        </is>
      </c>
      <c r="E1" s="1" t="inlineStr">
        <is>
          <t>F3 Originality (0–3)</t>
        </is>
      </c>
      <c r="F1" s="1" t="inlineStr">
        <is>
          <t>F4 Presentation/Viva (0–3)</t>
        </is>
      </c>
      <c r="G1" s="1" t="inlineStr">
        <is>
          <t>F5 Societal/Ethical Aspects (0–3)</t>
        </is>
      </c>
      <c r="H1" s="1" t="inlineStr">
        <is>
          <t>Total (Weighted)</t>
        </is>
      </c>
      <c r="I1" s="1" t="inlineStr">
        <is>
          <t>Level (0–3)</t>
        </is>
      </c>
      <c r="K1" s="2" t="inlineStr">
        <is>
          <t>Weights: F1=0.20, F2=0.30, F3=0.20, F4=0.20, F5=0.10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>
        <f>IF(COUNTA(C2:G2)=0,"",C2*0.2+D2*0.3+E2*0.2+F2*0.2+G2*0.1)</f>
        <v/>
      </c>
      <c r="I2">
        <f>IF(H2="","",IF(H2&gt;=2.5,3,IF(H2&gt;=2,2,IF(H2&gt;=1.5,1,0))))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>
        <f>IF(COUNTA(C3:G3)=0,"",C3*0.2+D3*0.3+E3*0.2+F3*0.2+G3*0.1)</f>
        <v/>
      </c>
      <c r="I3">
        <f>IF(H3="","",IF(H3&gt;=2.5,3,IF(H3&gt;=2,2,IF(H3&gt;=1.5,1,0))))</f>
        <v/>
      </c>
    </row>
    <row r="4">
      <c r="H4">
        <f>IF(COUNTA(C4:G4)=0,"",C4*0.2+D4*0.3+E4*0.2+F4*0.2+G4*0.1)</f>
        <v/>
      </c>
      <c r="I4">
        <f>IF(H4="","",IF(H4&gt;=2.5,3,IF(H4&gt;=2,2,IF(H4&gt;=1.5,1,0))))</f>
        <v/>
      </c>
    </row>
    <row r="5">
      <c r="H5">
        <f>IF(COUNTA(C5:G5)=0,"",C5*0.2+D5*0.3+E5*0.2+F5*0.2+G5*0.1)</f>
        <v/>
      </c>
      <c r="I5">
        <f>IF(H5="","",IF(H5&gt;=2.5,3,IF(H5&gt;=2,2,IF(H5&gt;=1.5,1,0))))</f>
        <v/>
      </c>
    </row>
    <row r="6">
      <c r="H6">
        <f>IF(COUNTA(C6:G6)=0,"",C6*0.2+D6*0.3+E6*0.2+F6*0.2+G6*0.1)</f>
        <v/>
      </c>
      <c r="I6">
        <f>IF(H6="","",IF(H6&gt;=2.5,3,IF(H6&gt;=2,2,IF(H6&gt;=1.5,1,0))))</f>
        <v/>
      </c>
    </row>
    <row r="7">
      <c r="H7">
        <f>IF(COUNTA(C7:G7)=0,"",C7*0.2+D7*0.3+E7*0.2+F7*0.2+G7*0.1)</f>
        <v/>
      </c>
      <c r="I7">
        <f>IF(H7="","",IF(H7&gt;=2.5,3,IF(H7&gt;=2,2,IF(H7&gt;=1.5,1,0))))</f>
        <v/>
      </c>
    </row>
    <row r="8">
      <c r="H8">
        <f>IF(COUNTA(C8:G8)=0,"",C8*0.2+D8*0.3+E8*0.2+F8*0.2+G8*0.1)</f>
        <v/>
      </c>
      <c r="I8">
        <f>IF(H8="","",IF(H8&gt;=2.5,3,IF(H8&gt;=2,2,IF(H8&gt;=1.5,1,0))))</f>
        <v/>
      </c>
    </row>
    <row r="9">
      <c r="H9">
        <f>IF(COUNTA(C9:G9)=0,"",C9*0.2+D9*0.3+E9*0.2+F9*0.2+G9*0.1)</f>
        <v/>
      </c>
      <c r="I9">
        <f>IF(H9="","",IF(H9&gt;=2.5,3,IF(H9&gt;=2,2,IF(H9&gt;=1.5,1,0))))</f>
        <v/>
      </c>
    </row>
    <row r="10">
      <c r="H10">
        <f>IF(COUNTA(C10:G10)=0,"",C10*0.2+D10*0.3+E10*0.2+F10*0.2+G10*0.1)</f>
        <v/>
      </c>
      <c r="I10">
        <f>IF(H10="","",IF(H10&gt;=2.5,3,IF(H10&gt;=2,2,IF(H10&gt;=1.5,1,0))))</f>
        <v/>
      </c>
    </row>
    <row r="11">
      <c r="H11">
        <f>IF(COUNTA(C11:G11)=0,"",C11*0.2+D11*0.3+E11*0.2+F11*0.2+G11*0.1)</f>
        <v/>
      </c>
      <c r="I11">
        <f>IF(H11="","",IF(H11&gt;=2.5,3,IF(H11&gt;=2,2,IF(H11&gt;=1.5,1,0))))</f>
        <v/>
      </c>
    </row>
    <row r="12">
      <c r="H12">
        <f>IF(COUNTA(C12:G12)=0,"",C12*0.2+D12*0.3+E12*0.2+F12*0.2+G12*0.1)</f>
        <v/>
      </c>
      <c r="I12">
        <f>IF(H12="","",IF(H12&gt;=2.5,3,IF(H12&gt;=2,2,IF(H12&gt;=1.5,1,0))))</f>
        <v/>
      </c>
    </row>
    <row r="13">
      <c r="H13">
        <f>IF(COUNTA(C13:G13)=0,"",C13*0.2+D13*0.3+E13*0.2+F13*0.2+G13*0.1)</f>
        <v/>
      </c>
      <c r="I13">
        <f>IF(H13="","",IF(H13&gt;=2.5,3,IF(H13&gt;=2,2,IF(H13&gt;=1.5,1,0))))</f>
        <v/>
      </c>
    </row>
    <row r="14">
      <c r="H14">
        <f>IF(COUNTA(C14:G14)=0,"",C14*0.2+D14*0.3+E14*0.2+F14*0.2+G14*0.1)</f>
        <v/>
      </c>
      <c r="I14">
        <f>IF(H14="","",IF(H14&gt;=2.5,3,IF(H14&gt;=2,2,IF(H14&gt;=1.5,1,0))))</f>
        <v/>
      </c>
    </row>
    <row r="15">
      <c r="H15">
        <f>IF(COUNTA(C15:G15)=0,"",C15*0.2+D15*0.3+E15*0.2+F15*0.2+G15*0.1)</f>
        <v/>
      </c>
      <c r="I15">
        <f>IF(H15="","",IF(H15&gt;=2.5,3,IF(H15&gt;=2,2,IF(H15&gt;=1.5,1,0))))</f>
        <v/>
      </c>
    </row>
    <row r="16">
      <c r="H16">
        <f>IF(COUNTA(C16:G16)=0,"",C16*0.2+D16*0.3+E16*0.2+F16*0.2+G16*0.1)</f>
        <v/>
      </c>
      <c r="I16">
        <f>IF(H16="","",IF(H16&gt;=2.5,3,IF(H16&gt;=2,2,IF(H16&gt;=1.5,1,0))))</f>
        <v/>
      </c>
    </row>
    <row r="17">
      <c r="H17">
        <f>IF(COUNTA(C17:G17)=0,"",C17*0.2+D17*0.3+E17*0.2+F17*0.2+G17*0.1)</f>
        <v/>
      </c>
      <c r="I17">
        <f>IF(H17="","",IF(H17&gt;=2.5,3,IF(H17&gt;=2,2,IF(H17&gt;=1.5,1,0))))</f>
        <v/>
      </c>
    </row>
    <row r="18">
      <c r="H18">
        <f>IF(COUNTA(C18:G18)=0,"",C18*0.2+D18*0.3+E18*0.2+F18*0.2+G18*0.1)</f>
        <v/>
      </c>
      <c r="I18">
        <f>IF(H18="","",IF(H18&gt;=2.5,3,IF(H18&gt;=2,2,IF(H18&gt;=1.5,1,0))))</f>
        <v/>
      </c>
    </row>
    <row r="19">
      <c r="H19">
        <f>IF(COUNTA(C19:G19)=0,"",C19*0.2+D19*0.3+E19*0.2+F19*0.2+G19*0.1)</f>
        <v/>
      </c>
      <c r="I19">
        <f>IF(H19="","",IF(H19&gt;=2.5,3,IF(H19&gt;=2,2,IF(H19&gt;=1.5,1,0))))</f>
        <v/>
      </c>
    </row>
    <row r="20">
      <c r="H20">
        <f>IF(COUNTA(C20:G20)=0,"",C20*0.2+D20*0.3+E20*0.2+F20*0.2+G20*0.1)</f>
        <v/>
      </c>
      <c r="I20">
        <f>IF(H20="","",IF(H20&gt;=2.5,3,IF(H20&gt;=2,2,IF(H20&gt;=1.5,1,0))))</f>
        <v/>
      </c>
    </row>
    <row r="21">
      <c r="H21">
        <f>IF(COUNTA(C21:G21)=0,"",C21*0.2+D21*0.3+E21*0.2+F21*0.2+G21*0.1)</f>
        <v/>
      </c>
      <c r="I21">
        <f>IF(H21="","",IF(H21&gt;=2.5,3,IF(H21&gt;=2,2,IF(H21&gt;=1.5,1,0))))</f>
        <v/>
      </c>
    </row>
    <row r="22">
      <c r="H22">
        <f>IF(COUNTA(C22:G22)=0,"",C22*0.2+D22*0.3+E22*0.2+F22*0.2+G22*0.1)</f>
        <v/>
      </c>
      <c r="I22">
        <f>IF(H22="","",IF(H22&gt;=2.5,3,IF(H22&gt;=2,2,IF(H22&gt;=1.5,1,0))))</f>
        <v/>
      </c>
    </row>
    <row r="23">
      <c r="H23">
        <f>IF(COUNTA(C23:G23)=0,"",C23*0.2+D23*0.3+E23*0.2+F23*0.2+G23*0.1)</f>
        <v/>
      </c>
      <c r="I23">
        <f>IF(H23="","",IF(H23&gt;=2.5,3,IF(H23&gt;=2,2,IF(H23&gt;=1.5,1,0))))</f>
        <v/>
      </c>
    </row>
    <row r="24">
      <c r="H24">
        <f>IF(COUNTA(C24:G24)=0,"",C24*0.2+D24*0.3+E24*0.2+F24*0.2+G24*0.1)</f>
        <v/>
      </c>
      <c r="I24">
        <f>IF(H24="","",IF(H24&gt;=2.5,3,IF(H24&gt;=2,2,IF(H24&gt;=1.5,1,0))))</f>
        <v/>
      </c>
    </row>
    <row r="25">
      <c r="H25">
        <f>IF(COUNTA(C25:G25)=0,"",C25*0.2+D25*0.3+E25*0.2+F25*0.2+G25*0.1)</f>
        <v/>
      </c>
      <c r="I25">
        <f>IF(H25="","",IF(H25&gt;=2.5,3,IF(H25&gt;=2,2,IF(H25&gt;=1.5,1,0))))</f>
        <v/>
      </c>
    </row>
    <row r="26">
      <c r="H26">
        <f>IF(COUNTA(C26:G26)=0,"",C26*0.2+D26*0.3+E26*0.2+F26*0.2+G26*0.1)</f>
        <v/>
      </c>
      <c r="I26">
        <f>IF(H26="","",IF(H26&gt;=2.5,3,IF(H26&gt;=2,2,IF(H26&gt;=1.5,1,0))))</f>
        <v/>
      </c>
    </row>
    <row r="27">
      <c r="H27">
        <f>IF(COUNTA(C27:G27)=0,"",C27*0.2+D27*0.3+E27*0.2+F27*0.2+G27*0.1)</f>
        <v/>
      </c>
      <c r="I27">
        <f>IF(H27="","",IF(H27&gt;=2.5,3,IF(H27&gt;=2,2,IF(H27&gt;=1.5,1,0))))</f>
        <v/>
      </c>
    </row>
    <row r="28">
      <c r="H28">
        <f>IF(COUNTA(C28:G28)=0,"",C28*0.2+D28*0.3+E28*0.2+F28*0.2+G28*0.1)</f>
        <v/>
      </c>
      <c r="I28">
        <f>IF(H28="","",IF(H28&gt;=2.5,3,IF(H28&gt;=2,2,IF(H28&gt;=1.5,1,0))))</f>
        <v/>
      </c>
    </row>
    <row r="29">
      <c r="H29">
        <f>IF(COUNTA(C29:G29)=0,"",C29*0.2+D29*0.3+E29*0.2+F29*0.2+G29*0.1)</f>
        <v/>
      </c>
      <c r="I29">
        <f>IF(H29="","",IF(H29&gt;=2.5,3,IF(H29&gt;=2,2,IF(H29&gt;=1.5,1,0))))</f>
        <v/>
      </c>
    </row>
    <row r="30">
      <c r="H30">
        <f>IF(COUNTA(C30:G30)=0,"",C30*0.2+D30*0.3+E30*0.2+F30*0.2+G30*0.1)</f>
        <v/>
      </c>
      <c r="I30">
        <f>IF(H30="","",IF(H30&gt;=2.5,3,IF(H30&gt;=2,2,IF(H30&gt;=1.5,1,0))))</f>
        <v/>
      </c>
    </row>
    <row r="31">
      <c r="H31">
        <f>IF(COUNTA(C31:G31)=0,"",C31*0.2+D31*0.3+E31*0.2+F31*0.2+G31*0.1)</f>
        <v/>
      </c>
      <c r="I31">
        <f>IF(H31="","",IF(H31&gt;=2.5,3,IF(H31&gt;=2,2,IF(H31&gt;=1.5,1,0))))</f>
        <v/>
      </c>
    </row>
    <row r="32">
      <c r="H32">
        <f>IF(COUNTA(C32:G32)=0,"",C32*0.2+D32*0.3+E32*0.2+F32*0.2+G32*0.1)</f>
        <v/>
      </c>
      <c r="I32">
        <f>IF(H32="","",IF(H32&gt;=2.5,3,IF(H32&gt;=2,2,IF(H32&gt;=1.5,1,0))))</f>
        <v/>
      </c>
    </row>
    <row r="33">
      <c r="H33">
        <f>IF(COUNTA(C33:G33)=0,"",C33*0.2+D33*0.3+E33*0.2+F33*0.2+G33*0.1)</f>
        <v/>
      </c>
      <c r="I33">
        <f>IF(H33="","",IF(H33&gt;=2.5,3,IF(H33&gt;=2,2,IF(H33&gt;=1.5,1,0))))</f>
        <v/>
      </c>
    </row>
    <row r="34">
      <c r="H34">
        <f>IF(COUNTA(C34:G34)=0,"",C34*0.2+D34*0.3+E34*0.2+F34*0.2+G34*0.1)</f>
        <v/>
      </c>
      <c r="I34">
        <f>IF(H34="","",IF(H34&gt;=2.5,3,IF(H34&gt;=2,2,IF(H34&gt;=1.5,1,0))))</f>
        <v/>
      </c>
    </row>
    <row r="35">
      <c r="H35">
        <f>IF(COUNTA(C35:G35)=0,"",C35*0.2+D35*0.3+E35*0.2+F35*0.2+G35*0.1)</f>
        <v/>
      </c>
      <c r="I35">
        <f>IF(H35="","",IF(H35&gt;=2.5,3,IF(H35&gt;=2,2,IF(H35&gt;=1.5,1,0))))</f>
        <v/>
      </c>
    </row>
    <row r="36">
      <c r="H36">
        <f>IF(COUNTA(C36:G36)=0,"",C36*0.2+D36*0.3+E36*0.2+F36*0.2+G36*0.1)</f>
        <v/>
      </c>
      <c r="I36">
        <f>IF(H36="","",IF(H36&gt;=2.5,3,IF(H36&gt;=2,2,IF(H36&gt;=1.5,1,0))))</f>
        <v/>
      </c>
    </row>
    <row r="37">
      <c r="H37">
        <f>IF(COUNTA(C37:G37)=0,"",C37*0.2+D37*0.3+E37*0.2+F37*0.2+G37*0.1)</f>
        <v/>
      </c>
      <c r="I37">
        <f>IF(H37="","",IF(H37&gt;=2.5,3,IF(H37&gt;=2,2,IF(H37&gt;=1.5,1,0))))</f>
        <v/>
      </c>
    </row>
    <row r="38">
      <c r="H38">
        <f>IF(COUNTA(C38:G38)=0,"",C38*0.2+D38*0.3+E38*0.2+F38*0.2+G38*0.1)</f>
        <v/>
      </c>
      <c r="I38">
        <f>IF(H38="","",IF(H38&gt;=2.5,3,IF(H38&gt;=2,2,IF(H38&gt;=1.5,1,0))))</f>
        <v/>
      </c>
    </row>
    <row r="39">
      <c r="H39">
        <f>IF(COUNTA(C39:G39)=0,"",C39*0.2+D39*0.3+E39*0.2+F39*0.2+G39*0.1)</f>
        <v/>
      </c>
      <c r="I39">
        <f>IF(H39="","",IF(H39&gt;=2.5,3,IF(H39&gt;=2,2,IF(H39&gt;=1.5,1,0))))</f>
        <v/>
      </c>
    </row>
    <row r="40">
      <c r="H40">
        <f>IF(COUNTA(C40:G40)=0,"",C40*0.2+D40*0.3+E40*0.2+F40*0.2+G40*0.1)</f>
        <v/>
      </c>
      <c r="I40">
        <f>IF(H40="","",IF(H40&gt;=2.5,3,IF(H40&gt;=2,2,IF(H40&gt;=1.5,1,0))))</f>
        <v/>
      </c>
    </row>
    <row r="41">
      <c r="H41">
        <f>IF(COUNTA(C41:G41)=0,"",C41*0.2+D41*0.3+E41*0.2+F41*0.2+G41*0.1)</f>
        <v/>
      </c>
      <c r="I41">
        <f>IF(H41="","",IF(H41&gt;=2.5,3,IF(H41&gt;=2,2,IF(H41&gt;=1.5,1,0))))</f>
        <v/>
      </c>
    </row>
    <row r="42">
      <c r="H42">
        <f>IF(COUNTA(C42:G42)=0,"",C42*0.2+D42*0.3+E42*0.2+F42*0.2+G42*0.1)</f>
        <v/>
      </c>
      <c r="I42">
        <f>IF(H42="","",IF(H42&gt;=2.5,3,IF(H42&gt;=2,2,IF(H42&gt;=1.5,1,0))))</f>
        <v/>
      </c>
    </row>
    <row r="43">
      <c r="H43">
        <f>IF(COUNTA(C43:G43)=0,"",C43*0.2+D43*0.3+E43*0.2+F43*0.2+G43*0.1)</f>
        <v/>
      </c>
      <c r="I43">
        <f>IF(H43="","",IF(H43&gt;=2.5,3,IF(H43&gt;=2,2,IF(H43&gt;=1.5,1,0))))</f>
        <v/>
      </c>
    </row>
    <row r="44">
      <c r="H44">
        <f>IF(COUNTA(C44:G44)=0,"",C44*0.2+D44*0.3+E44*0.2+F44*0.2+G44*0.1)</f>
        <v/>
      </c>
      <c r="I44">
        <f>IF(H44="","",IF(H44&gt;=2.5,3,IF(H44&gt;=2,2,IF(H44&gt;=1.5,1,0))))</f>
        <v/>
      </c>
    </row>
    <row r="45">
      <c r="H45">
        <f>IF(COUNTA(C45:G45)=0,"",C45*0.2+D45*0.3+E45*0.2+F45*0.2+G45*0.1)</f>
        <v/>
      </c>
      <c r="I45">
        <f>IF(H45="","",IF(H45&gt;=2.5,3,IF(H45&gt;=2,2,IF(H45&gt;=1.5,1,0))))</f>
        <v/>
      </c>
    </row>
    <row r="46">
      <c r="H46">
        <f>IF(COUNTA(C46:G46)=0,"",C46*0.2+D46*0.3+E46*0.2+F46*0.2+G46*0.1)</f>
        <v/>
      </c>
      <c r="I46">
        <f>IF(H46="","",IF(H46&gt;=2.5,3,IF(H46&gt;=2,2,IF(H46&gt;=1.5,1,0))))</f>
        <v/>
      </c>
    </row>
    <row r="47">
      <c r="H47">
        <f>IF(COUNTA(C47:G47)=0,"",C47*0.2+D47*0.3+E47*0.2+F47*0.2+G47*0.1)</f>
        <v/>
      </c>
      <c r="I47">
        <f>IF(H47="","",IF(H47&gt;=2.5,3,IF(H47&gt;=2,2,IF(H47&gt;=1.5,1,0))))</f>
        <v/>
      </c>
    </row>
    <row r="48">
      <c r="H48">
        <f>IF(COUNTA(C48:G48)=0,"",C48*0.2+D48*0.3+E48*0.2+F48*0.2+G48*0.1)</f>
        <v/>
      </c>
      <c r="I48">
        <f>IF(H48="","",IF(H48&gt;=2.5,3,IF(H48&gt;=2,2,IF(H48&gt;=1.5,1,0))))</f>
        <v/>
      </c>
    </row>
    <row r="49">
      <c r="H49">
        <f>IF(COUNTA(C49:G49)=0,"",C49*0.2+D49*0.3+E49*0.2+F49*0.2+G49*0.1)</f>
        <v/>
      </c>
      <c r="I49">
        <f>IF(H49="","",IF(H49&gt;=2.5,3,IF(H49&gt;=2,2,IF(H49&gt;=1.5,1,0))))</f>
        <v/>
      </c>
    </row>
    <row r="50">
      <c r="H50">
        <f>IF(COUNTA(C50:G50)=0,"",C50*0.2+D50*0.3+E50*0.2+F50*0.2+G50*0.1)</f>
        <v/>
      </c>
      <c r="I50">
        <f>IF(H50="","",IF(H50&gt;=2.5,3,IF(H50&gt;=2,2,IF(H50&gt;=1.5,1,0))))</f>
        <v/>
      </c>
    </row>
    <row r="51">
      <c r="H51">
        <f>IF(COUNTA(C51:G51)=0,"",C51*0.2+D51*0.3+E51*0.2+F51*0.2+G51*0.1)</f>
        <v/>
      </c>
      <c r="I51">
        <f>IF(H51="","",IF(H51&gt;=2.5,3,IF(H51&gt;=2,2,IF(H51&gt;=1.5,1,0))))</f>
        <v/>
      </c>
    </row>
    <row r="52">
      <c r="H52">
        <f>IF(COUNTA(C52:G52)=0,"",C52*0.2+D52*0.3+E52*0.2+F52*0.2+G52*0.1)</f>
        <v/>
      </c>
      <c r="I52">
        <f>IF(H52="","",IF(H52&gt;=2.5,3,IF(H52&gt;=2,2,IF(H52&gt;=1.5,1,0))))</f>
        <v/>
      </c>
    </row>
    <row r="53">
      <c r="H53">
        <f>IF(COUNTA(C53:G53)=0,"",C53*0.2+D53*0.3+E53*0.2+F53*0.2+G53*0.1)</f>
        <v/>
      </c>
      <c r="I53">
        <f>IF(H53="","",IF(H53&gt;=2.5,3,IF(H53&gt;=2,2,IF(H53&gt;=1.5,1,0))))</f>
        <v/>
      </c>
    </row>
    <row r="54">
      <c r="H54">
        <f>IF(COUNTA(C54:G54)=0,"",C54*0.2+D54*0.3+E54*0.2+F54*0.2+G54*0.1)</f>
        <v/>
      </c>
      <c r="I54">
        <f>IF(H54="","",IF(H54&gt;=2.5,3,IF(H54&gt;=2,2,IF(H54&gt;=1.5,1,0))))</f>
        <v/>
      </c>
    </row>
    <row r="55">
      <c r="H55">
        <f>IF(COUNTA(C55:G55)=0,"",C55*0.2+D55*0.3+E55*0.2+F55*0.2+G55*0.1)</f>
        <v/>
      </c>
      <c r="I55">
        <f>IF(H55="","",IF(H55&gt;=2.5,3,IF(H55&gt;=2,2,IF(H55&gt;=1.5,1,0))))</f>
        <v/>
      </c>
    </row>
    <row r="56">
      <c r="H56">
        <f>IF(COUNTA(C56:G56)=0,"",C56*0.2+D56*0.3+E56*0.2+F56*0.2+G56*0.1)</f>
        <v/>
      </c>
      <c r="I56">
        <f>IF(H56="","",IF(H56&gt;=2.5,3,IF(H56&gt;=2,2,IF(H56&gt;=1.5,1,0))))</f>
        <v/>
      </c>
    </row>
    <row r="57">
      <c r="H57">
        <f>IF(COUNTA(C57:G57)=0,"",C57*0.2+D57*0.3+E57*0.2+F57*0.2+G57*0.1)</f>
        <v/>
      </c>
      <c r="I57">
        <f>IF(H57="","",IF(H57&gt;=2.5,3,IF(H57&gt;=2,2,IF(H57&gt;=1.5,1,0))))</f>
        <v/>
      </c>
    </row>
    <row r="58">
      <c r="H58">
        <f>IF(COUNTA(C58:G58)=0,"",C58*0.2+D58*0.3+E58*0.2+F58*0.2+G58*0.1)</f>
        <v/>
      </c>
      <c r="I58">
        <f>IF(H58="","",IF(H58&gt;=2.5,3,IF(H58&gt;=2,2,IF(H58&gt;=1.5,1,0))))</f>
        <v/>
      </c>
    </row>
    <row r="59">
      <c r="H59">
        <f>IF(COUNTA(C59:G59)=0,"",C59*0.2+D59*0.3+E59*0.2+F59*0.2+G59*0.1)</f>
        <v/>
      </c>
      <c r="I59">
        <f>IF(H59="","",IF(H59&gt;=2.5,3,IF(H59&gt;=2,2,IF(H59&gt;=1.5,1,0))))</f>
        <v/>
      </c>
    </row>
    <row r="60">
      <c r="H60">
        <f>IF(COUNTA(C60:G60)=0,"",C60*0.2+D60*0.3+E60*0.2+F60*0.2+G60*0.1)</f>
        <v/>
      </c>
      <c r="I60">
        <f>IF(H60="","",IF(H60&gt;=2.5,3,IF(H60&gt;=2,2,IF(H60&gt;=1.5,1,0))))</f>
        <v/>
      </c>
    </row>
    <row r="61">
      <c r="H61">
        <f>IF(COUNTA(C61:G61)=0,"",C61*0.2+D61*0.3+E61*0.2+F61*0.2+G61*0.1)</f>
        <v/>
      </c>
      <c r="I61">
        <f>IF(H61="","",IF(H61&gt;=2.5,3,IF(H61&gt;=2,2,IF(H61&gt;=1.5,1,0))))</f>
        <v/>
      </c>
    </row>
    <row r="62">
      <c r="H62">
        <f>IF(COUNTA(C62:G62)=0,"",C62*0.2+D62*0.3+E62*0.2+F62*0.2+G62*0.1)</f>
        <v/>
      </c>
      <c r="I62">
        <f>IF(H62="","",IF(H62&gt;=2.5,3,IF(H62&gt;=2,2,IF(H62&gt;=1.5,1,0))))</f>
        <v/>
      </c>
    </row>
    <row r="63">
      <c r="H63">
        <f>IF(COUNTA(C63:G63)=0,"",C63*0.2+D63*0.3+E63*0.2+F63*0.2+G63*0.1)</f>
        <v/>
      </c>
      <c r="I63">
        <f>IF(H63="","",IF(H63&gt;=2.5,3,IF(H63&gt;=2,2,IF(H63&gt;=1.5,1,0))))</f>
        <v/>
      </c>
    </row>
    <row r="64">
      <c r="H64">
        <f>IF(COUNTA(C64:G64)=0,"",C64*0.2+D64*0.3+E64*0.2+F64*0.2+G64*0.1)</f>
        <v/>
      </c>
      <c r="I64">
        <f>IF(H64="","",IF(H64&gt;=2.5,3,IF(H64&gt;=2,2,IF(H64&gt;=1.5,1,0))))</f>
        <v/>
      </c>
    </row>
    <row r="65">
      <c r="H65">
        <f>IF(COUNTA(C65:G65)=0,"",C65*0.2+D65*0.3+E65*0.2+F65*0.2+G65*0.1)</f>
        <v/>
      </c>
      <c r="I65">
        <f>IF(H65="","",IF(H65&gt;=2.5,3,IF(H65&gt;=2,2,IF(H65&gt;=1.5,1,0))))</f>
        <v/>
      </c>
    </row>
    <row r="66">
      <c r="H66">
        <f>IF(COUNTA(C66:G66)=0,"",C66*0.2+D66*0.3+E66*0.2+F66*0.2+G66*0.1)</f>
        <v/>
      </c>
      <c r="I66">
        <f>IF(H66="","",IF(H66&gt;=2.5,3,IF(H66&gt;=2,2,IF(H66&gt;=1.5,1,0))))</f>
        <v/>
      </c>
    </row>
    <row r="67">
      <c r="H67">
        <f>IF(COUNTA(C67:G67)=0,"",C67*0.2+D67*0.3+E67*0.2+F67*0.2+G67*0.1)</f>
        <v/>
      </c>
      <c r="I67">
        <f>IF(H67="","",IF(H67&gt;=2.5,3,IF(H67&gt;=2,2,IF(H67&gt;=1.5,1,0))))</f>
        <v/>
      </c>
    </row>
    <row r="68">
      <c r="H68">
        <f>IF(COUNTA(C68:G68)=0,"",C68*0.2+D68*0.3+E68*0.2+F68*0.2+G68*0.1)</f>
        <v/>
      </c>
      <c r="I68">
        <f>IF(H68="","",IF(H68&gt;=2.5,3,IF(H68&gt;=2,2,IF(H68&gt;=1.5,1,0))))</f>
        <v/>
      </c>
    </row>
    <row r="69">
      <c r="H69">
        <f>IF(COUNTA(C69:G69)=0,"",C69*0.2+D69*0.3+E69*0.2+F69*0.2+G69*0.1)</f>
        <v/>
      </c>
      <c r="I69">
        <f>IF(H69="","",IF(H69&gt;=2.5,3,IF(H69&gt;=2,2,IF(H69&gt;=1.5,1,0))))</f>
        <v/>
      </c>
    </row>
    <row r="70">
      <c r="H70">
        <f>IF(COUNTA(C70:G70)=0,"",C70*0.2+D70*0.3+E70*0.2+F70*0.2+G70*0.1)</f>
        <v/>
      </c>
      <c r="I70">
        <f>IF(H70="","",IF(H70&gt;=2.5,3,IF(H70&gt;=2,2,IF(H70&gt;=1.5,1,0))))</f>
        <v/>
      </c>
    </row>
    <row r="71">
      <c r="H71">
        <f>IF(COUNTA(C71:G71)=0,"",C71*0.2+D71*0.3+E71*0.2+F71*0.2+G71*0.1)</f>
        <v/>
      </c>
      <c r="I71">
        <f>IF(H71="","",IF(H71&gt;=2.5,3,IF(H71&gt;=2,2,IF(H71&gt;=1.5,1,0))))</f>
        <v/>
      </c>
    </row>
    <row r="72">
      <c r="H72">
        <f>IF(COUNTA(C72:G72)=0,"",C72*0.2+D72*0.3+E72*0.2+F72*0.2+G72*0.1)</f>
        <v/>
      </c>
      <c r="I72">
        <f>IF(H72="","",IF(H72&gt;=2.5,3,IF(H72&gt;=2,2,IF(H72&gt;=1.5,1,0))))</f>
        <v/>
      </c>
    </row>
    <row r="73">
      <c r="H73">
        <f>IF(COUNTA(C73:G73)=0,"",C73*0.2+D73*0.3+E73*0.2+F73*0.2+G73*0.1)</f>
        <v/>
      </c>
      <c r="I73">
        <f>IF(H73="","",IF(H73&gt;=2.5,3,IF(H73&gt;=2,2,IF(H73&gt;=1.5,1,0))))</f>
        <v/>
      </c>
    </row>
    <row r="74">
      <c r="H74">
        <f>IF(COUNTA(C74:G74)=0,"",C74*0.2+D74*0.3+E74*0.2+F74*0.2+G74*0.1)</f>
        <v/>
      </c>
      <c r="I74">
        <f>IF(H74="","",IF(H74&gt;=2.5,3,IF(H74&gt;=2,2,IF(H74&gt;=1.5,1,0))))</f>
        <v/>
      </c>
    </row>
    <row r="75">
      <c r="H75">
        <f>IF(COUNTA(C75:G75)=0,"",C75*0.2+D75*0.3+E75*0.2+F75*0.2+G75*0.1)</f>
        <v/>
      </c>
      <c r="I75">
        <f>IF(H75="","",IF(H75&gt;=2.5,3,IF(H75&gt;=2,2,IF(H75&gt;=1.5,1,0))))</f>
        <v/>
      </c>
    </row>
    <row r="76">
      <c r="H76">
        <f>IF(COUNTA(C76:G76)=0,"",C76*0.2+D76*0.3+E76*0.2+F76*0.2+G76*0.1)</f>
        <v/>
      </c>
      <c r="I76">
        <f>IF(H76="","",IF(H76&gt;=2.5,3,IF(H76&gt;=2,2,IF(H76&gt;=1.5,1,0))))</f>
        <v/>
      </c>
    </row>
    <row r="77">
      <c r="H77">
        <f>IF(COUNTA(C77:G77)=0,"",C77*0.2+D77*0.3+E77*0.2+F77*0.2+G77*0.1)</f>
        <v/>
      </c>
      <c r="I77">
        <f>IF(H77="","",IF(H77&gt;=2.5,3,IF(H77&gt;=2,2,IF(H77&gt;=1.5,1,0))))</f>
        <v/>
      </c>
    </row>
    <row r="78">
      <c r="H78">
        <f>IF(COUNTA(C78:G78)=0,"",C78*0.2+D78*0.3+E78*0.2+F78*0.2+G78*0.1)</f>
        <v/>
      </c>
      <c r="I78">
        <f>IF(H78="","",IF(H78&gt;=2.5,3,IF(H78&gt;=2,2,IF(H78&gt;=1.5,1,0))))</f>
        <v/>
      </c>
    </row>
    <row r="79">
      <c r="H79">
        <f>IF(COUNTA(C79:G79)=0,"",C79*0.2+D79*0.3+E79*0.2+F79*0.2+G79*0.1)</f>
        <v/>
      </c>
      <c r="I79">
        <f>IF(H79="","",IF(H79&gt;=2.5,3,IF(H79&gt;=2,2,IF(H79&gt;=1.5,1,0))))</f>
        <v/>
      </c>
    </row>
    <row r="80">
      <c r="H80">
        <f>IF(COUNTA(C80:G80)=0,"",C80*0.2+D80*0.3+E80*0.2+F80*0.2+G80*0.1)</f>
        <v/>
      </c>
      <c r="I80">
        <f>IF(H80="","",IF(H80&gt;=2.5,3,IF(H80&gt;=2,2,IF(H80&gt;=1.5,1,0))))</f>
        <v/>
      </c>
    </row>
    <row r="81">
      <c r="H81">
        <f>IF(COUNTA(C81:G81)=0,"",C81*0.2+D81*0.3+E81*0.2+F81*0.2+G81*0.1)</f>
        <v/>
      </c>
      <c r="I81">
        <f>IF(H81="","",IF(H81&gt;=2.5,3,IF(H81&gt;=2,2,IF(H81&gt;=1.5,1,0))))</f>
        <v/>
      </c>
    </row>
    <row r="82">
      <c r="H82">
        <f>IF(COUNTA(C82:G82)=0,"",C82*0.2+D82*0.3+E82*0.2+F82*0.2+G82*0.1)</f>
        <v/>
      </c>
      <c r="I82">
        <f>IF(H82="","",IF(H82&gt;=2.5,3,IF(H82&gt;=2,2,IF(H82&gt;=1.5,1,0))))</f>
        <v/>
      </c>
    </row>
    <row r="83">
      <c r="H83">
        <f>IF(COUNTA(C83:G83)=0,"",C83*0.2+D83*0.3+E83*0.2+F83*0.2+G83*0.1)</f>
        <v/>
      </c>
      <c r="I83">
        <f>IF(H83="","",IF(H83&gt;=2.5,3,IF(H83&gt;=2,2,IF(H83&gt;=1.5,1,0))))</f>
        <v/>
      </c>
    </row>
    <row r="84">
      <c r="H84">
        <f>IF(COUNTA(C84:G84)=0,"",C84*0.2+D84*0.3+E84*0.2+F84*0.2+G84*0.1)</f>
        <v/>
      </c>
      <c r="I84">
        <f>IF(H84="","",IF(H84&gt;=2.5,3,IF(H84&gt;=2,2,IF(H84&gt;=1.5,1,0))))</f>
        <v/>
      </c>
    </row>
    <row r="85">
      <c r="H85">
        <f>IF(COUNTA(C85:G85)=0,"",C85*0.2+D85*0.3+E85*0.2+F85*0.2+G85*0.1)</f>
        <v/>
      </c>
      <c r="I85">
        <f>IF(H85="","",IF(H85&gt;=2.5,3,IF(H85&gt;=2,2,IF(H85&gt;=1.5,1,0))))</f>
        <v/>
      </c>
    </row>
    <row r="86">
      <c r="H86">
        <f>IF(COUNTA(C86:G86)=0,"",C86*0.2+D86*0.3+E86*0.2+F86*0.2+G86*0.1)</f>
        <v/>
      </c>
      <c r="I86">
        <f>IF(H86="","",IF(H86&gt;=2.5,3,IF(H86&gt;=2,2,IF(H86&gt;=1.5,1,0))))</f>
        <v/>
      </c>
    </row>
    <row r="87">
      <c r="H87">
        <f>IF(COUNTA(C87:G87)=0,"",C87*0.2+D87*0.3+E87*0.2+F87*0.2+G87*0.1)</f>
        <v/>
      </c>
      <c r="I87">
        <f>IF(H87="","",IF(H87&gt;=2.5,3,IF(H87&gt;=2,2,IF(H87&gt;=1.5,1,0))))</f>
        <v/>
      </c>
    </row>
    <row r="88">
      <c r="H88">
        <f>IF(COUNTA(C88:G88)=0,"",C88*0.2+D88*0.3+E88*0.2+F88*0.2+G88*0.1)</f>
        <v/>
      </c>
      <c r="I88">
        <f>IF(H88="","",IF(H88&gt;=2.5,3,IF(H88&gt;=2,2,IF(H88&gt;=1.5,1,0))))</f>
        <v/>
      </c>
    </row>
    <row r="89">
      <c r="H89">
        <f>IF(COUNTA(C89:G89)=0,"",C89*0.2+D89*0.3+E89*0.2+F89*0.2+G89*0.1)</f>
        <v/>
      </c>
      <c r="I89">
        <f>IF(H89="","",IF(H89&gt;=2.5,3,IF(H89&gt;=2,2,IF(H89&gt;=1.5,1,0))))</f>
        <v/>
      </c>
    </row>
    <row r="90">
      <c r="H90">
        <f>IF(COUNTA(C90:G90)=0,"",C90*0.2+D90*0.3+E90*0.2+F90*0.2+G90*0.1)</f>
        <v/>
      </c>
      <c r="I90">
        <f>IF(H90="","",IF(H90&gt;=2.5,3,IF(H90&gt;=2,2,IF(H90&gt;=1.5,1,0))))</f>
        <v/>
      </c>
    </row>
    <row r="91">
      <c r="H91">
        <f>IF(COUNTA(C91:G91)=0,"",C91*0.2+D91*0.3+E91*0.2+F91*0.2+G91*0.1)</f>
        <v/>
      </c>
      <c r="I91">
        <f>IF(H91="","",IF(H91&gt;=2.5,3,IF(H91&gt;=2,2,IF(H91&gt;=1.5,1,0))))</f>
        <v/>
      </c>
    </row>
    <row r="92">
      <c r="H92">
        <f>IF(COUNTA(C92:G92)=0,"",C92*0.2+D92*0.3+E92*0.2+F92*0.2+G92*0.1)</f>
        <v/>
      </c>
      <c r="I92">
        <f>IF(H92="","",IF(H92&gt;=2.5,3,IF(H92&gt;=2,2,IF(H92&gt;=1.5,1,0))))</f>
        <v/>
      </c>
    </row>
    <row r="93">
      <c r="H93">
        <f>IF(COUNTA(C93:G93)=0,"",C93*0.2+D93*0.3+E93*0.2+F93*0.2+G93*0.1)</f>
        <v/>
      </c>
      <c r="I93">
        <f>IF(H93="","",IF(H93&gt;=2.5,3,IF(H93&gt;=2,2,IF(H93&gt;=1.5,1,0))))</f>
        <v/>
      </c>
    </row>
    <row r="94">
      <c r="H94">
        <f>IF(COUNTA(C94:G94)=0,"",C94*0.2+D94*0.3+E94*0.2+F94*0.2+G94*0.1)</f>
        <v/>
      </c>
      <c r="I94">
        <f>IF(H94="","",IF(H94&gt;=2.5,3,IF(H94&gt;=2,2,IF(H94&gt;=1.5,1,0))))</f>
        <v/>
      </c>
    </row>
    <row r="95">
      <c r="H95">
        <f>IF(COUNTA(C95:G95)=0,"",C95*0.2+D95*0.3+E95*0.2+F95*0.2+G95*0.1)</f>
        <v/>
      </c>
      <c r="I95">
        <f>IF(H95="","",IF(H95&gt;=2.5,3,IF(H95&gt;=2,2,IF(H95&gt;=1.5,1,0))))</f>
        <v/>
      </c>
    </row>
    <row r="96">
      <c r="H96">
        <f>IF(COUNTA(C96:G96)=0,"",C96*0.2+D96*0.3+E96*0.2+F96*0.2+G96*0.1)</f>
        <v/>
      </c>
      <c r="I96">
        <f>IF(H96="","",IF(H96&gt;=2.5,3,IF(H96&gt;=2,2,IF(H96&gt;=1.5,1,0))))</f>
        <v/>
      </c>
    </row>
    <row r="97">
      <c r="H97">
        <f>IF(COUNTA(C97:G97)=0,"",C97*0.2+D97*0.3+E97*0.2+F97*0.2+G97*0.1)</f>
        <v/>
      </c>
      <c r="I97">
        <f>IF(H97="","",IF(H97&gt;=2.5,3,IF(H97&gt;=2,2,IF(H97&gt;=1.5,1,0))))</f>
        <v/>
      </c>
    </row>
    <row r="98">
      <c r="H98">
        <f>IF(COUNTA(C98:G98)=0,"",C98*0.2+D98*0.3+E98*0.2+F98*0.2+G98*0.1)</f>
        <v/>
      </c>
      <c r="I98">
        <f>IF(H98="","",IF(H98&gt;=2.5,3,IF(H98&gt;=2,2,IF(H98&gt;=1.5,1,0))))</f>
        <v/>
      </c>
    </row>
    <row r="99">
      <c r="H99">
        <f>IF(COUNTA(C99:G99)=0,"",C99*0.2+D99*0.3+E99*0.2+F99*0.2+G99*0.1)</f>
        <v/>
      </c>
      <c r="I99">
        <f>IF(H99="","",IF(H99&gt;=2.5,3,IF(H99&gt;=2,2,IF(H99&gt;=1.5,1,0))))</f>
        <v/>
      </c>
    </row>
    <row r="100">
      <c r="H100">
        <f>IF(COUNTA(C100:G100)=0,"",C100*0.2+D100*0.3+E100*0.2+F100*0.2+G100*0.1)</f>
        <v/>
      </c>
      <c r="I100">
        <f>IF(H100="","",IF(H100&gt;=2.5,3,IF(H100&gt;=2,2,IF(H100&gt;=1.5,1,0))))</f>
        <v/>
      </c>
    </row>
    <row r="101">
      <c r="H101">
        <f>IF(COUNTA(C101:G101)=0,"",C101*0.2+D101*0.3+E101*0.2+F101*0.2+G101*0.1)</f>
        <v/>
      </c>
      <c r="I101">
        <f>IF(H101="","",IF(H101&gt;=2.5,3,IF(H101&gt;=2,2,IF(H101&gt;=1.5,1,0))))</f>
        <v/>
      </c>
    </row>
    <row r="102">
      <c r="H102">
        <f>IF(COUNTA(C102:G102)=0,"",C102*0.2+D102*0.3+E102*0.2+F102*0.2+G102*0.1)</f>
        <v/>
      </c>
      <c r="I102">
        <f>IF(H102="","",IF(H102&gt;=2.5,3,IF(H102&gt;=2,2,IF(H102&gt;=1.5,1,0))))</f>
        <v/>
      </c>
    </row>
    <row r="103">
      <c r="H103">
        <f>IF(COUNTA(C103:G103)=0,"",C103*0.2+D103*0.3+E103*0.2+F103*0.2+G103*0.1)</f>
        <v/>
      </c>
      <c r="I103">
        <f>IF(H103="","",IF(H103&gt;=2.5,3,IF(H103&gt;=2,2,IF(H103&gt;=1.5,1,0))))</f>
        <v/>
      </c>
    </row>
    <row r="104">
      <c r="H104">
        <f>IF(COUNTA(C104:G104)=0,"",C104*0.2+D104*0.3+E104*0.2+F104*0.2+G104*0.1)</f>
        <v/>
      </c>
      <c r="I104">
        <f>IF(H104="","",IF(H104&gt;=2.5,3,IF(H104&gt;=2,2,IF(H104&gt;=1.5,1,0))))</f>
        <v/>
      </c>
    </row>
    <row r="105">
      <c r="H105">
        <f>IF(COUNTA(C105:G105)=0,"",C105*0.2+D105*0.3+E105*0.2+F105*0.2+G105*0.1)</f>
        <v/>
      </c>
      <c r="I105">
        <f>IF(H105="","",IF(H105&gt;=2.5,3,IF(H105&gt;=2,2,IF(H105&gt;=1.5,1,0))))</f>
        <v/>
      </c>
    </row>
    <row r="106">
      <c r="H106">
        <f>IF(COUNTA(C106:G106)=0,"",C106*0.2+D106*0.3+E106*0.2+F106*0.2+G106*0.1)</f>
        <v/>
      </c>
      <c r="I106">
        <f>IF(H106="","",IF(H106&gt;=2.5,3,IF(H106&gt;=2,2,IF(H106&gt;=1.5,1,0))))</f>
        <v/>
      </c>
    </row>
    <row r="107">
      <c r="H107">
        <f>IF(COUNTA(C107:G107)=0,"",C107*0.2+D107*0.3+E107*0.2+F107*0.2+G107*0.1)</f>
        <v/>
      </c>
      <c r="I107">
        <f>IF(H107="","",IF(H107&gt;=2.5,3,IF(H107&gt;=2,2,IF(H107&gt;=1.5,1,0))))</f>
        <v/>
      </c>
    </row>
    <row r="108">
      <c r="H108">
        <f>IF(COUNTA(C108:G108)=0,"",C108*0.2+D108*0.3+E108*0.2+F108*0.2+G108*0.1)</f>
        <v/>
      </c>
      <c r="I108">
        <f>IF(H108="","",IF(H108&gt;=2.5,3,IF(H108&gt;=2,2,IF(H108&gt;=1.5,1,0))))</f>
        <v/>
      </c>
    </row>
    <row r="109">
      <c r="H109">
        <f>IF(COUNTA(C109:G109)=0,"",C109*0.2+D109*0.3+E109*0.2+F109*0.2+G109*0.1)</f>
        <v/>
      </c>
      <c r="I109">
        <f>IF(H109="","",IF(H109&gt;=2.5,3,IF(H109&gt;=2,2,IF(H109&gt;=1.5,1,0))))</f>
        <v/>
      </c>
    </row>
    <row r="110">
      <c r="H110">
        <f>IF(COUNTA(C110:G110)=0,"",C110*0.2+D110*0.3+E110*0.2+F110*0.2+G110*0.1)</f>
        <v/>
      </c>
      <c r="I110">
        <f>IF(H110="","",IF(H110&gt;=2.5,3,IF(H110&gt;=2,2,IF(H110&gt;=1.5,1,0))))</f>
        <v/>
      </c>
    </row>
    <row r="111">
      <c r="H111">
        <f>IF(COUNTA(C111:G111)=0,"",C111*0.2+D111*0.3+E111*0.2+F111*0.2+G111*0.1)</f>
        <v/>
      </c>
      <c r="I111">
        <f>IF(H111="","",IF(H111&gt;=2.5,3,IF(H111&gt;=2,2,IF(H111&gt;=1.5,1,0))))</f>
        <v/>
      </c>
    </row>
    <row r="112">
      <c r="H112">
        <f>IF(COUNTA(C112:G112)=0,"",C112*0.2+D112*0.3+E112*0.2+F112*0.2+G112*0.1)</f>
        <v/>
      </c>
      <c r="I112">
        <f>IF(H112="","",IF(H112&gt;=2.5,3,IF(H112&gt;=2,2,IF(H112&gt;=1.5,1,0))))</f>
        <v/>
      </c>
    </row>
    <row r="113">
      <c r="H113">
        <f>IF(COUNTA(C113:G113)=0,"",C113*0.2+D113*0.3+E113*0.2+F113*0.2+G113*0.1)</f>
        <v/>
      </c>
      <c r="I113">
        <f>IF(H113="","",IF(H113&gt;=2.5,3,IF(H113&gt;=2,2,IF(H113&gt;=1.5,1,0))))</f>
        <v/>
      </c>
    </row>
    <row r="114">
      <c r="H114">
        <f>IF(COUNTA(C114:G114)=0,"",C114*0.2+D114*0.3+E114*0.2+F114*0.2+G114*0.1)</f>
        <v/>
      </c>
      <c r="I114">
        <f>IF(H114="","",IF(H114&gt;=2.5,3,IF(H114&gt;=2,2,IF(H114&gt;=1.5,1,0))))</f>
        <v/>
      </c>
    </row>
    <row r="115">
      <c r="H115">
        <f>IF(COUNTA(C115:G115)=0,"",C115*0.2+D115*0.3+E115*0.2+F115*0.2+G115*0.1)</f>
        <v/>
      </c>
      <c r="I115">
        <f>IF(H115="","",IF(H115&gt;=2.5,3,IF(H115&gt;=2,2,IF(H115&gt;=1.5,1,0))))</f>
        <v/>
      </c>
    </row>
    <row r="116">
      <c r="H116">
        <f>IF(COUNTA(C116:G116)=0,"",C116*0.2+D116*0.3+E116*0.2+F116*0.2+G116*0.1)</f>
        <v/>
      </c>
      <c r="I116">
        <f>IF(H116="","",IF(H116&gt;=2.5,3,IF(H116&gt;=2,2,IF(H116&gt;=1.5,1,0))))</f>
        <v/>
      </c>
    </row>
    <row r="117">
      <c r="H117">
        <f>IF(COUNTA(C117:G117)=0,"",C117*0.2+D117*0.3+E117*0.2+F117*0.2+G117*0.1)</f>
        <v/>
      </c>
      <c r="I117">
        <f>IF(H117="","",IF(H117&gt;=2.5,3,IF(H117&gt;=2,2,IF(H117&gt;=1.5,1,0))))</f>
        <v/>
      </c>
    </row>
    <row r="118">
      <c r="H118">
        <f>IF(COUNTA(C118:G118)=0,"",C118*0.2+D118*0.3+E118*0.2+F118*0.2+G118*0.1)</f>
        <v/>
      </c>
      <c r="I118">
        <f>IF(H118="","",IF(H118&gt;=2.5,3,IF(H118&gt;=2,2,IF(H118&gt;=1.5,1,0))))</f>
        <v/>
      </c>
    </row>
    <row r="119">
      <c r="H119">
        <f>IF(COUNTA(C119:G119)=0,"",C119*0.2+D119*0.3+E119*0.2+F119*0.2+G119*0.1)</f>
        <v/>
      </c>
      <c r="I119">
        <f>IF(H119="","",IF(H119&gt;=2.5,3,IF(H119&gt;=2,2,IF(H119&gt;=1.5,1,0))))</f>
        <v/>
      </c>
    </row>
    <row r="120">
      <c r="H120">
        <f>IF(COUNTA(C120:G120)=0,"",C120*0.2+D120*0.3+E120*0.2+F120*0.2+G120*0.1)</f>
        <v/>
      </c>
      <c r="I120">
        <f>IF(H120="","",IF(H120&gt;=2.5,3,IF(H120&gt;=2,2,IF(H120&gt;=1.5,1,0))))</f>
        <v/>
      </c>
    </row>
    <row r="121">
      <c r="H121">
        <f>IF(COUNTA(C121:G121)=0,"",C121*0.2+D121*0.3+E121*0.2+F121*0.2+G121*0.1)</f>
        <v/>
      </c>
      <c r="I121">
        <f>IF(H121="","",IF(H121&gt;=2.5,3,IF(H121&gt;=2,2,IF(H121&gt;=1.5,1,0))))</f>
        <v/>
      </c>
    </row>
    <row r="122">
      <c r="H122">
        <f>IF(COUNTA(C122:G122)=0,"",C122*0.2+D122*0.3+E122*0.2+F122*0.2+G122*0.1)</f>
        <v/>
      </c>
      <c r="I122">
        <f>IF(H122="","",IF(H122&gt;=2.5,3,IF(H122&gt;=2,2,IF(H122&gt;=1.5,1,0))))</f>
        <v/>
      </c>
    </row>
    <row r="123">
      <c r="H123">
        <f>IF(COUNTA(C123:G123)=0,"",C123*0.2+D123*0.3+E123*0.2+F123*0.2+G123*0.1)</f>
        <v/>
      </c>
      <c r="I123">
        <f>IF(H123="","",IF(H123&gt;=2.5,3,IF(H123&gt;=2,2,IF(H123&gt;=1.5,1,0))))</f>
        <v/>
      </c>
    </row>
    <row r="124">
      <c r="H124">
        <f>IF(COUNTA(C124:G124)=0,"",C124*0.2+D124*0.3+E124*0.2+F124*0.2+G124*0.1)</f>
        <v/>
      </c>
      <c r="I124">
        <f>IF(H124="","",IF(H124&gt;=2.5,3,IF(H124&gt;=2,2,IF(H124&gt;=1.5,1,0))))</f>
        <v/>
      </c>
    </row>
    <row r="125">
      <c r="H125">
        <f>IF(COUNTA(C125:G125)=0,"",C125*0.2+D125*0.3+E125*0.2+F125*0.2+G125*0.1)</f>
        <v/>
      </c>
      <c r="I125">
        <f>IF(H125="","",IF(H125&gt;=2.5,3,IF(H125&gt;=2,2,IF(H125&gt;=1.5,1,0))))</f>
        <v/>
      </c>
    </row>
    <row r="126">
      <c r="H126">
        <f>IF(COUNTA(C126:G126)=0,"",C126*0.2+D126*0.3+E126*0.2+F126*0.2+G126*0.1)</f>
        <v/>
      </c>
      <c r="I126">
        <f>IF(H126="","",IF(H126&gt;=2.5,3,IF(H126&gt;=2,2,IF(H126&gt;=1.5,1,0))))</f>
        <v/>
      </c>
    </row>
    <row r="127">
      <c r="H127">
        <f>IF(COUNTA(C127:G127)=0,"",C127*0.2+D127*0.3+E127*0.2+F127*0.2+G127*0.1)</f>
        <v/>
      </c>
      <c r="I127">
        <f>IF(H127="","",IF(H127&gt;=2.5,3,IF(H127&gt;=2,2,IF(H127&gt;=1.5,1,0))))</f>
        <v/>
      </c>
    </row>
    <row r="128">
      <c r="H128">
        <f>IF(COUNTA(C128:G128)=0,"",C128*0.2+D128*0.3+E128*0.2+F128*0.2+G128*0.1)</f>
        <v/>
      </c>
      <c r="I128">
        <f>IF(H128="","",IF(H128&gt;=2.5,3,IF(H128&gt;=2,2,IF(H128&gt;=1.5,1,0))))</f>
        <v/>
      </c>
    </row>
    <row r="129">
      <c r="H129">
        <f>IF(COUNTA(C129:G129)=0,"",C129*0.2+D129*0.3+E129*0.2+F129*0.2+G129*0.1)</f>
        <v/>
      </c>
      <c r="I129">
        <f>IF(H129="","",IF(H129&gt;=2.5,3,IF(H129&gt;=2,2,IF(H129&gt;=1.5,1,0))))</f>
        <v/>
      </c>
    </row>
    <row r="130">
      <c r="H130">
        <f>IF(COUNTA(C130:G130)=0,"",C130*0.2+D130*0.3+E130*0.2+F130*0.2+G130*0.1)</f>
        <v/>
      </c>
      <c r="I130">
        <f>IF(H130="","",IF(H130&gt;=2.5,3,IF(H130&gt;=2,2,IF(H130&gt;=1.5,1,0))))</f>
        <v/>
      </c>
    </row>
    <row r="131">
      <c r="H131">
        <f>IF(COUNTA(C131:G131)=0,"",C131*0.2+D131*0.3+E131*0.2+F131*0.2+G131*0.1)</f>
        <v/>
      </c>
      <c r="I131">
        <f>IF(H131="","",IF(H131&gt;=2.5,3,IF(H131&gt;=2,2,IF(H131&gt;=1.5,1,0))))</f>
        <v/>
      </c>
    </row>
    <row r="132">
      <c r="H132">
        <f>IF(COUNTA(C132:G132)=0,"",C132*0.2+D132*0.3+E132*0.2+F132*0.2+G132*0.1)</f>
        <v/>
      </c>
      <c r="I132">
        <f>IF(H132="","",IF(H132&gt;=2.5,3,IF(H132&gt;=2,2,IF(H132&gt;=1.5,1,0))))</f>
        <v/>
      </c>
    </row>
    <row r="133">
      <c r="H133">
        <f>IF(COUNTA(C133:G133)=0,"",C133*0.2+D133*0.3+E133*0.2+F133*0.2+G133*0.1)</f>
        <v/>
      </c>
      <c r="I133">
        <f>IF(H133="","",IF(H133&gt;=2.5,3,IF(H133&gt;=2,2,IF(H133&gt;=1.5,1,0))))</f>
        <v/>
      </c>
    </row>
    <row r="134">
      <c r="H134">
        <f>IF(COUNTA(C134:G134)=0,"",C134*0.2+D134*0.3+E134*0.2+F134*0.2+G134*0.1)</f>
        <v/>
      </c>
      <c r="I134">
        <f>IF(H134="","",IF(H134&gt;=2.5,3,IF(H134&gt;=2,2,IF(H134&gt;=1.5,1,0))))</f>
        <v/>
      </c>
    </row>
    <row r="135">
      <c r="H135">
        <f>IF(COUNTA(C135:G135)=0,"",C135*0.2+D135*0.3+E135*0.2+F135*0.2+G135*0.1)</f>
        <v/>
      </c>
      <c r="I135">
        <f>IF(H135="","",IF(H135&gt;=2.5,3,IF(H135&gt;=2,2,IF(H135&gt;=1.5,1,0))))</f>
        <v/>
      </c>
    </row>
    <row r="136">
      <c r="H136">
        <f>IF(COUNTA(C136:G136)=0,"",C136*0.2+D136*0.3+E136*0.2+F136*0.2+G136*0.1)</f>
        <v/>
      </c>
      <c r="I136">
        <f>IF(H136="","",IF(H136&gt;=2.5,3,IF(H136&gt;=2,2,IF(H136&gt;=1.5,1,0))))</f>
        <v/>
      </c>
    </row>
    <row r="137">
      <c r="H137">
        <f>IF(COUNTA(C137:G137)=0,"",C137*0.2+D137*0.3+E137*0.2+F137*0.2+G137*0.1)</f>
        <v/>
      </c>
      <c r="I137">
        <f>IF(H137="","",IF(H137&gt;=2.5,3,IF(H137&gt;=2,2,IF(H137&gt;=1.5,1,0))))</f>
        <v/>
      </c>
    </row>
    <row r="138">
      <c r="H138">
        <f>IF(COUNTA(C138:G138)=0,"",C138*0.2+D138*0.3+E138*0.2+F138*0.2+G138*0.1)</f>
        <v/>
      </c>
      <c r="I138">
        <f>IF(H138="","",IF(H138&gt;=2.5,3,IF(H138&gt;=2,2,IF(H138&gt;=1.5,1,0))))</f>
        <v/>
      </c>
    </row>
    <row r="139">
      <c r="H139">
        <f>IF(COUNTA(C139:G139)=0,"",C139*0.2+D139*0.3+E139*0.2+F139*0.2+G139*0.1)</f>
        <v/>
      </c>
      <c r="I139">
        <f>IF(H139="","",IF(H139&gt;=2.5,3,IF(H139&gt;=2,2,IF(H139&gt;=1.5,1,0))))</f>
        <v/>
      </c>
    </row>
    <row r="140">
      <c r="H140">
        <f>IF(COUNTA(C140:G140)=0,"",C140*0.2+D140*0.3+E140*0.2+F140*0.2+G140*0.1)</f>
        <v/>
      </c>
      <c r="I140">
        <f>IF(H140="","",IF(H140&gt;=2.5,3,IF(H140&gt;=2,2,IF(H140&gt;=1.5,1,0))))</f>
        <v/>
      </c>
    </row>
    <row r="141">
      <c r="H141">
        <f>IF(COUNTA(C141:G141)=0,"",C141*0.2+D141*0.3+E141*0.2+F141*0.2+G141*0.1)</f>
        <v/>
      </c>
      <c r="I141">
        <f>IF(H141="","",IF(H141&gt;=2.5,3,IF(H141&gt;=2,2,IF(H141&gt;=1.5,1,0))))</f>
        <v/>
      </c>
    </row>
    <row r="142">
      <c r="H142">
        <f>IF(COUNTA(C142:G142)=0,"",C142*0.2+D142*0.3+E142*0.2+F142*0.2+G142*0.1)</f>
        <v/>
      </c>
      <c r="I142">
        <f>IF(H142="","",IF(H142&gt;=2.5,3,IF(H142&gt;=2,2,IF(H142&gt;=1.5,1,0))))</f>
        <v/>
      </c>
    </row>
    <row r="143">
      <c r="H143">
        <f>IF(COUNTA(C143:G143)=0,"",C143*0.2+D143*0.3+E143*0.2+F143*0.2+G143*0.1)</f>
        <v/>
      </c>
      <c r="I143">
        <f>IF(H143="","",IF(H143&gt;=2.5,3,IF(H143&gt;=2,2,IF(H143&gt;=1.5,1,0))))</f>
        <v/>
      </c>
    </row>
    <row r="144">
      <c r="H144">
        <f>IF(COUNTA(C144:G144)=0,"",C144*0.2+D144*0.3+E144*0.2+F144*0.2+G144*0.1)</f>
        <v/>
      </c>
      <c r="I144">
        <f>IF(H144="","",IF(H144&gt;=2.5,3,IF(H144&gt;=2,2,IF(H144&gt;=1.5,1,0))))</f>
        <v/>
      </c>
    </row>
    <row r="145">
      <c r="H145">
        <f>IF(COUNTA(C145:G145)=0,"",C145*0.2+D145*0.3+E145*0.2+F145*0.2+G145*0.1)</f>
        <v/>
      </c>
      <c r="I145">
        <f>IF(H145="","",IF(H145&gt;=2.5,3,IF(H145&gt;=2,2,IF(H145&gt;=1.5,1,0))))</f>
        <v/>
      </c>
    </row>
    <row r="146">
      <c r="H146">
        <f>IF(COUNTA(C146:G146)=0,"",C146*0.2+D146*0.3+E146*0.2+F146*0.2+G146*0.1)</f>
        <v/>
      </c>
      <c r="I146">
        <f>IF(H146="","",IF(H146&gt;=2.5,3,IF(H146&gt;=2,2,IF(H146&gt;=1.5,1,0))))</f>
        <v/>
      </c>
    </row>
    <row r="147">
      <c r="H147">
        <f>IF(COUNTA(C147:G147)=0,"",C147*0.2+D147*0.3+E147*0.2+F147*0.2+G147*0.1)</f>
        <v/>
      </c>
      <c r="I147">
        <f>IF(H147="","",IF(H147&gt;=2.5,3,IF(H147&gt;=2,2,IF(H147&gt;=1.5,1,0))))</f>
        <v/>
      </c>
    </row>
    <row r="148">
      <c r="H148">
        <f>IF(COUNTA(C148:G148)=0,"",C148*0.2+D148*0.3+E148*0.2+F148*0.2+G148*0.1)</f>
        <v/>
      </c>
      <c r="I148">
        <f>IF(H148="","",IF(H148&gt;=2.5,3,IF(H148&gt;=2,2,IF(H148&gt;=1.5,1,0))))</f>
        <v/>
      </c>
    </row>
    <row r="149">
      <c r="H149">
        <f>IF(COUNTA(C149:G149)=0,"",C149*0.2+D149*0.3+E149*0.2+F149*0.2+G149*0.1)</f>
        <v/>
      </c>
      <c r="I149">
        <f>IF(H149="","",IF(H149&gt;=2.5,3,IF(H149&gt;=2,2,IF(H149&gt;=1.5,1,0))))</f>
        <v/>
      </c>
    </row>
    <row r="150">
      <c r="H150">
        <f>IF(COUNTA(C150:G150)=0,"",C150*0.2+D150*0.3+E150*0.2+F150*0.2+G150*0.1)</f>
        <v/>
      </c>
      <c r="I150">
        <f>IF(H150="","",IF(H150&gt;=2.5,3,IF(H150&gt;=2,2,IF(H150&gt;=1.5,1,0))))</f>
        <v/>
      </c>
    </row>
    <row r="151">
      <c r="H151">
        <f>IF(COUNTA(C151:G151)=0,"",C151*0.2+D151*0.3+E151*0.2+F151*0.2+G151*0.1)</f>
        <v/>
      </c>
      <c r="I151">
        <f>IF(H151="","",IF(H151&gt;=2.5,3,IF(H151&gt;=2,2,IF(H151&gt;=1.5,1,0))))</f>
        <v/>
      </c>
    </row>
    <row r="152">
      <c r="H152">
        <f>IF(COUNTA(C152:G152)=0,"",C152*0.2+D152*0.3+E152*0.2+F152*0.2+G152*0.1)</f>
        <v/>
      </c>
      <c r="I152">
        <f>IF(H152="","",IF(H152&gt;=2.5,3,IF(H152&gt;=2,2,IF(H152&gt;=1.5,1,0))))</f>
        <v/>
      </c>
    </row>
    <row r="153">
      <c r="H153">
        <f>IF(COUNTA(C153:G153)=0,"",C153*0.2+D153*0.3+E153*0.2+F153*0.2+G153*0.1)</f>
        <v/>
      </c>
      <c r="I153">
        <f>IF(H153="","",IF(H153&gt;=2.5,3,IF(H153&gt;=2,2,IF(H153&gt;=1.5,1,0))))</f>
        <v/>
      </c>
    </row>
    <row r="154">
      <c r="H154">
        <f>IF(COUNTA(C154:G154)=0,"",C154*0.2+D154*0.3+E154*0.2+F154*0.2+G154*0.1)</f>
        <v/>
      </c>
      <c r="I154">
        <f>IF(H154="","",IF(H154&gt;=2.5,3,IF(H154&gt;=2,2,IF(H154&gt;=1.5,1,0))))</f>
        <v/>
      </c>
    </row>
    <row r="155">
      <c r="H155">
        <f>IF(COUNTA(C155:G155)=0,"",C155*0.2+D155*0.3+E155*0.2+F155*0.2+G155*0.1)</f>
        <v/>
      </c>
      <c r="I155">
        <f>IF(H155="","",IF(H155&gt;=2.5,3,IF(H155&gt;=2,2,IF(H155&gt;=1.5,1,0))))</f>
        <v/>
      </c>
    </row>
    <row r="156">
      <c r="H156">
        <f>IF(COUNTA(C156:G156)=0,"",C156*0.2+D156*0.3+E156*0.2+F156*0.2+G156*0.1)</f>
        <v/>
      </c>
      <c r="I156">
        <f>IF(H156="","",IF(H156&gt;=2.5,3,IF(H156&gt;=2,2,IF(H156&gt;=1.5,1,0))))</f>
        <v/>
      </c>
    </row>
    <row r="157">
      <c r="H157">
        <f>IF(COUNTA(C157:G157)=0,"",C157*0.2+D157*0.3+E157*0.2+F157*0.2+G157*0.1)</f>
        <v/>
      </c>
      <c r="I157">
        <f>IF(H157="","",IF(H157&gt;=2.5,3,IF(H157&gt;=2,2,IF(H157&gt;=1.5,1,0))))</f>
        <v/>
      </c>
    </row>
    <row r="158">
      <c r="H158">
        <f>IF(COUNTA(C158:G158)=0,"",C158*0.2+D158*0.3+E158*0.2+F158*0.2+G158*0.1)</f>
        <v/>
      </c>
      <c r="I158">
        <f>IF(H158="","",IF(H158&gt;=2.5,3,IF(H158&gt;=2,2,IF(H158&gt;=1.5,1,0))))</f>
        <v/>
      </c>
    </row>
    <row r="159">
      <c r="H159">
        <f>IF(COUNTA(C159:G159)=0,"",C159*0.2+D159*0.3+E159*0.2+F159*0.2+G159*0.1)</f>
        <v/>
      </c>
      <c r="I159">
        <f>IF(H159="","",IF(H159&gt;=2.5,3,IF(H159&gt;=2,2,IF(H159&gt;=1.5,1,0))))</f>
        <v/>
      </c>
    </row>
    <row r="160">
      <c r="H160">
        <f>IF(COUNTA(C160:G160)=0,"",C160*0.2+D160*0.3+E160*0.2+F160*0.2+G160*0.1)</f>
        <v/>
      </c>
      <c r="I160">
        <f>IF(H160="","",IF(H160&gt;=2.5,3,IF(H160&gt;=2,2,IF(H160&gt;=1.5,1,0))))</f>
        <v/>
      </c>
    </row>
    <row r="161">
      <c r="H161">
        <f>IF(COUNTA(C161:G161)=0,"",C161*0.2+D161*0.3+E161*0.2+F161*0.2+G161*0.1)</f>
        <v/>
      </c>
      <c r="I161">
        <f>IF(H161="","",IF(H161&gt;=2.5,3,IF(H161&gt;=2,2,IF(H161&gt;=1.5,1,0))))</f>
        <v/>
      </c>
    </row>
    <row r="162">
      <c r="H162">
        <f>IF(COUNTA(C162:G162)=0,"",C162*0.2+D162*0.3+E162*0.2+F162*0.2+G162*0.1)</f>
        <v/>
      </c>
      <c r="I162">
        <f>IF(H162="","",IF(H162&gt;=2.5,3,IF(H162&gt;=2,2,IF(H162&gt;=1.5,1,0))))</f>
        <v/>
      </c>
    </row>
    <row r="163">
      <c r="H163">
        <f>IF(COUNTA(C163:G163)=0,"",C163*0.2+D163*0.3+E163*0.2+F163*0.2+G163*0.1)</f>
        <v/>
      </c>
      <c r="I163">
        <f>IF(H163="","",IF(H163&gt;=2.5,3,IF(H163&gt;=2,2,IF(H163&gt;=1.5,1,0))))</f>
        <v/>
      </c>
    </row>
    <row r="164">
      <c r="H164">
        <f>IF(COUNTA(C164:G164)=0,"",C164*0.2+D164*0.3+E164*0.2+F164*0.2+G164*0.1)</f>
        <v/>
      </c>
      <c r="I164">
        <f>IF(H164="","",IF(H164&gt;=2.5,3,IF(H164&gt;=2,2,IF(H164&gt;=1.5,1,0))))</f>
        <v/>
      </c>
    </row>
    <row r="165">
      <c r="H165">
        <f>IF(COUNTA(C165:G165)=0,"",C165*0.2+D165*0.3+E165*0.2+F165*0.2+G165*0.1)</f>
        <v/>
      </c>
      <c r="I165">
        <f>IF(H165="","",IF(H165&gt;=2.5,3,IF(H165&gt;=2,2,IF(H165&gt;=1.5,1,0))))</f>
        <v/>
      </c>
    </row>
    <row r="166">
      <c r="H166">
        <f>IF(COUNTA(C166:G166)=0,"",C166*0.2+D166*0.3+E166*0.2+F166*0.2+G166*0.1)</f>
        <v/>
      </c>
      <c r="I166">
        <f>IF(H166="","",IF(H166&gt;=2.5,3,IF(H166&gt;=2,2,IF(H166&gt;=1.5,1,0))))</f>
        <v/>
      </c>
    </row>
    <row r="167">
      <c r="H167">
        <f>IF(COUNTA(C167:G167)=0,"",C167*0.2+D167*0.3+E167*0.2+F167*0.2+G167*0.1)</f>
        <v/>
      </c>
      <c r="I167">
        <f>IF(H167="","",IF(H167&gt;=2.5,3,IF(H167&gt;=2,2,IF(H167&gt;=1.5,1,0))))</f>
        <v/>
      </c>
    </row>
    <row r="168">
      <c r="H168">
        <f>IF(COUNTA(C168:G168)=0,"",C168*0.2+D168*0.3+E168*0.2+F168*0.2+G168*0.1)</f>
        <v/>
      </c>
      <c r="I168">
        <f>IF(H168="","",IF(H168&gt;=2.5,3,IF(H168&gt;=2,2,IF(H168&gt;=1.5,1,0))))</f>
        <v/>
      </c>
    </row>
    <row r="169">
      <c r="H169">
        <f>IF(COUNTA(C169:G169)=0,"",C169*0.2+D169*0.3+E169*0.2+F169*0.2+G169*0.1)</f>
        <v/>
      </c>
      <c r="I169">
        <f>IF(H169="","",IF(H169&gt;=2.5,3,IF(H169&gt;=2,2,IF(H169&gt;=1.5,1,0))))</f>
        <v/>
      </c>
    </row>
    <row r="170">
      <c r="H170">
        <f>IF(COUNTA(C170:G170)=0,"",C170*0.2+D170*0.3+E170*0.2+F170*0.2+G170*0.1)</f>
        <v/>
      </c>
      <c r="I170">
        <f>IF(H170="","",IF(H170&gt;=2.5,3,IF(H170&gt;=2,2,IF(H170&gt;=1.5,1,0))))</f>
        <v/>
      </c>
    </row>
    <row r="171">
      <c r="H171">
        <f>IF(COUNTA(C171:G171)=0,"",C171*0.2+D171*0.3+E171*0.2+F171*0.2+G171*0.1)</f>
        <v/>
      </c>
      <c r="I171">
        <f>IF(H171="","",IF(H171&gt;=2.5,3,IF(H171&gt;=2,2,IF(H171&gt;=1.5,1,0))))</f>
        <v/>
      </c>
    </row>
    <row r="172">
      <c r="H172">
        <f>IF(COUNTA(C172:G172)=0,"",C172*0.2+D172*0.3+E172*0.2+F172*0.2+G172*0.1)</f>
        <v/>
      </c>
      <c r="I172">
        <f>IF(H172="","",IF(H172&gt;=2.5,3,IF(H172&gt;=2,2,IF(H172&gt;=1.5,1,0))))</f>
        <v/>
      </c>
    </row>
    <row r="173">
      <c r="H173">
        <f>IF(COUNTA(C173:G173)=0,"",C173*0.2+D173*0.3+E173*0.2+F173*0.2+G173*0.1)</f>
        <v/>
      </c>
      <c r="I173">
        <f>IF(H173="","",IF(H173&gt;=2.5,3,IF(H173&gt;=2,2,IF(H173&gt;=1.5,1,0))))</f>
        <v/>
      </c>
    </row>
    <row r="174">
      <c r="H174">
        <f>IF(COUNTA(C174:G174)=0,"",C174*0.2+D174*0.3+E174*0.2+F174*0.2+G174*0.1)</f>
        <v/>
      </c>
      <c r="I174">
        <f>IF(H174="","",IF(H174&gt;=2.5,3,IF(H174&gt;=2,2,IF(H174&gt;=1.5,1,0))))</f>
        <v/>
      </c>
    </row>
    <row r="175">
      <c r="H175">
        <f>IF(COUNTA(C175:G175)=0,"",C175*0.2+D175*0.3+E175*0.2+F175*0.2+G175*0.1)</f>
        <v/>
      </c>
      <c r="I175">
        <f>IF(H175="","",IF(H175&gt;=2.5,3,IF(H175&gt;=2,2,IF(H175&gt;=1.5,1,0))))</f>
        <v/>
      </c>
    </row>
    <row r="176">
      <c r="H176">
        <f>IF(COUNTA(C176:G176)=0,"",C176*0.2+D176*0.3+E176*0.2+F176*0.2+G176*0.1)</f>
        <v/>
      </c>
      <c r="I176">
        <f>IF(H176="","",IF(H176&gt;=2.5,3,IF(H176&gt;=2,2,IF(H176&gt;=1.5,1,0))))</f>
        <v/>
      </c>
    </row>
    <row r="177">
      <c r="H177">
        <f>IF(COUNTA(C177:G177)=0,"",C177*0.2+D177*0.3+E177*0.2+F177*0.2+G177*0.1)</f>
        <v/>
      </c>
      <c r="I177">
        <f>IF(H177="","",IF(H177&gt;=2.5,3,IF(H177&gt;=2,2,IF(H177&gt;=1.5,1,0))))</f>
        <v/>
      </c>
    </row>
    <row r="178">
      <c r="H178">
        <f>IF(COUNTA(C178:G178)=0,"",C178*0.2+D178*0.3+E178*0.2+F178*0.2+G178*0.1)</f>
        <v/>
      </c>
      <c r="I178">
        <f>IF(H178="","",IF(H178&gt;=2.5,3,IF(H178&gt;=2,2,IF(H178&gt;=1.5,1,0))))</f>
        <v/>
      </c>
    </row>
    <row r="179">
      <c r="H179">
        <f>IF(COUNTA(C179:G179)=0,"",C179*0.2+D179*0.3+E179*0.2+F179*0.2+G179*0.1)</f>
        <v/>
      </c>
      <c r="I179">
        <f>IF(H179="","",IF(H179&gt;=2.5,3,IF(H179&gt;=2,2,IF(H179&gt;=1.5,1,0))))</f>
        <v/>
      </c>
    </row>
    <row r="180">
      <c r="H180">
        <f>IF(COUNTA(C180:G180)=0,"",C180*0.2+D180*0.3+E180*0.2+F180*0.2+G180*0.1)</f>
        <v/>
      </c>
      <c r="I180">
        <f>IF(H180="","",IF(H180&gt;=2.5,3,IF(H180&gt;=2,2,IF(H180&gt;=1.5,1,0))))</f>
        <v/>
      </c>
    </row>
    <row r="181">
      <c r="H181">
        <f>IF(COUNTA(C181:G181)=0,"",C181*0.2+D181*0.3+E181*0.2+F181*0.2+G181*0.1)</f>
        <v/>
      </c>
      <c r="I181">
        <f>IF(H181="","",IF(H181&gt;=2.5,3,IF(H181&gt;=2,2,IF(H181&gt;=1.5,1,0))))</f>
        <v/>
      </c>
    </row>
    <row r="182">
      <c r="H182">
        <f>IF(COUNTA(C182:G182)=0,"",C182*0.2+D182*0.3+E182*0.2+F182*0.2+G182*0.1)</f>
        <v/>
      </c>
      <c r="I182">
        <f>IF(H182="","",IF(H182&gt;=2.5,3,IF(H182&gt;=2,2,IF(H182&gt;=1.5,1,0))))</f>
        <v/>
      </c>
    </row>
    <row r="183">
      <c r="H183">
        <f>IF(COUNTA(C183:G183)=0,"",C183*0.2+D183*0.3+E183*0.2+F183*0.2+G183*0.1)</f>
        <v/>
      </c>
      <c r="I183">
        <f>IF(H183="","",IF(H183&gt;=2.5,3,IF(H183&gt;=2,2,IF(H183&gt;=1.5,1,0))))</f>
        <v/>
      </c>
    </row>
    <row r="184">
      <c r="H184">
        <f>IF(COUNTA(C184:G184)=0,"",C184*0.2+D184*0.3+E184*0.2+F184*0.2+G184*0.1)</f>
        <v/>
      </c>
      <c r="I184">
        <f>IF(H184="","",IF(H184&gt;=2.5,3,IF(H184&gt;=2,2,IF(H184&gt;=1.5,1,0))))</f>
        <v/>
      </c>
    </row>
    <row r="185">
      <c r="H185">
        <f>IF(COUNTA(C185:G185)=0,"",C185*0.2+D185*0.3+E185*0.2+F185*0.2+G185*0.1)</f>
        <v/>
      </c>
      <c r="I185">
        <f>IF(H185="","",IF(H185&gt;=2.5,3,IF(H185&gt;=2,2,IF(H185&gt;=1.5,1,0))))</f>
        <v/>
      </c>
    </row>
    <row r="186">
      <c r="H186">
        <f>IF(COUNTA(C186:G186)=0,"",C186*0.2+D186*0.3+E186*0.2+F186*0.2+G186*0.1)</f>
        <v/>
      </c>
      <c r="I186">
        <f>IF(H186="","",IF(H186&gt;=2.5,3,IF(H186&gt;=2,2,IF(H186&gt;=1.5,1,0))))</f>
        <v/>
      </c>
    </row>
    <row r="187">
      <c r="H187">
        <f>IF(COUNTA(C187:G187)=0,"",C187*0.2+D187*0.3+E187*0.2+F187*0.2+G187*0.1)</f>
        <v/>
      </c>
      <c r="I187">
        <f>IF(H187="","",IF(H187&gt;=2.5,3,IF(H187&gt;=2,2,IF(H187&gt;=1.5,1,0))))</f>
        <v/>
      </c>
    </row>
    <row r="188">
      <c r="H188">
        <f>IF(COUNTA(C188:G188)=0,"",C188*0.2+D188*0.3+E188*0.2+F188*0.2+G188*0.1)</f>
        <v/>
      </c>
      <c r="I188">
        <f>IF(H188="","",IF(H188&gt;=2.5,3,IF(H188&gt;=2,2,IF(H188&gt;=1.5,1,0))))</f>
        <v/>
      </c>
    </row>
    <row r="189">
      <c r="H189">
        <f>IF(COUNTA(C189:G189)=0,"",C189*0.2+D189*0.3+E189*0.2+F189*0.2+G189*0.1)</f>
        <v/>
      </c>
      <c r="I189">
        <f>IF(H189="","",IF(H189&gt;=2.5,3,IF(H189&gt;=2,2,IF(H189&gt;=1.5,1,0))))</f>
        <v/>
      </c>
    </row>
    <row r="190">
      <c r="H190">
        <f>IF(COUNTA(C190:G190)=0,"",C190*0.2+D190*0.3+E190*0.2+F190*0.2+G190*0.1)</f>
        <v/>
      </c>
      <c r="I190">
        <f>IF(H190="","",IF(H190&gt;=2.5,3,IF(H190&gt;=2,2,IF(H190&gt;=1.5,1,0))))</f>
        <v/>
      </c>
    </row>
    <row r="191">
      <c r="H191">
        <f>IF(COUNTA(C191:G191)=0,"",C191*0.2+D191*0.3+E191*0.2+F191*0.2+G191*0.1)</f>
        <v/>
      </c>
      <c r="I191">
        <f>IF(H191="","",IF(H191&gt;=2.5,3,IF(H191&gt;=2,2,IF(H191&gt;=1.5,1,0))))</f>
        <v/>
      </c>
    </row>
    <row r="192">
      <c r="H192">
        <f>IF(COUNTA(C192:G192)=0,"",C192*0.2+D192*0.3+E192*0.2+F192*0.2+G192*0.1)</f>
        <v/>
      </c>
      <c r="I192">
        <f>IF(H192="","",IF(H192&gt;=2.5,3,IF(H192&gt;=2,2,IF(H192&gt;=1.5,1,0))))</f>
        <v/>
      </c>
    </row>
    <row r="193">
      <c r="H193">
        <f>IF(COUNTA(C193:G193)=0,"",C193*0.2+D193*0.3+E193*0.2+F193*0.2+G193*0.1)</f>
        <v/>
      </c>
      <c r="I193">
        <f>IF(H193="","",IF(H193&gt;=2.5,3,IF(H193&gt;=2,2,IF(H193&gt;=1.5,1,0))))</f>
        <v/>
      </c>
    </row>
    <row r="194">
      <c r="H194">
        <f>IF(COUNTA(C194:G194)=0,"",C194*0.2+D194*0.3+E194*0.2+F194*0.2+G194*0.1)</f>
        <v/>
      </c>
      <c r="I194">
        <f>IF(H194="","",IF(H194&gt;=2.5,3,IF(H194&gt;=2,2,IF(H194&gt;=1.5,1,0))))</f>
        <v/>
      </c>
    </row>
    <row r="195">
      <c r="H195">
        <f>IF(COUNTA(C195:G195)=0,"",C195*0.2+D195*0.3+E195*0.2+F195*0.2+G195*0.1)</f>
        <v/>
      </c>
      <c r="I195">
        <f>IF(H195="","",IF(H195&gt;=2.5,3,IF(H195&gt;=2,2,IF(H195&gt;=1.5,1,0))))</f>
        <v/>
      </c>
    </row>
    <row r="196">
      <c r="H196">
        <f>IF(COUNTA(C196:G196)=0,"",C196*0.2+D196*0.3+E196*0.2+F196*0.2+G196*0.1)</f>
        <v/>
      </c>
      <c r="I196">
        <f>IF(H196="","",IF(H196&gt;=2.5,3,IF(H196&gt;=2,2,IF(H196&gt;=1.5,1,0))))</f>
        <v/>
      </c>
    </row>
    <row r="197">
      <c r="H197">
        <f>IF(COUNTA(C197:G197)=0,"",C197*0.2+D197*0.3+E197*0.2+F197*0.2+G197*0.1)</f>
        <v/>
      </c>
      <c r="I197">
        <f>IF(H197="","",IF(H197&gt;=2.5,3,IF(H197&gt;=2,2,IF(H197&gt;=1.5,1,0))))</f>
        <v/>
      </c>
    </row>
    <row r="198">
      <c r="H198">
        <f>IF(COUNTA(C198:G198)=0,"",C198*0.2+D198*0.3+E198*0.2+F198*0.2+G198*0.1)</f>
        <v/>
      </c>
      <c r="I198">
        <f>IF(H198="","",IF(H198&gt;=2.5,3,IF(H198&gt;=2,2,IF(H198&gt;=1.5,1,0))))</f>
        <v/>
      </c>
    </row>
    <row r="199">
      <c r="H199">
        <f>IF(COUNTA(C199:G199)=0,"",C199*0.2+D199*0.3+E199*0.2+F199*0.2+G199*0.1)</f>
        <v/>
      </c>
      <c r="I199">
        <f>IF(H199="","",IF(H199&gt;=2.5,3,IF(H199&gt;=2,2,IF(H199&gt;=1.5,1,0))))</f>
        <v/>
      </c>
    </row>
    <row r="200">
      <c r="H200">
        <f>IF(COUNTA(C200:G200)=0,"",C200*0.2+D200*0.3+E200*0.2+F200*0.2+G200*0.1)</f>
        <v/>
      </c>
      <c r="I200">
        <f>IF(H200="","",IF(H200&gt;=2.5,3,IF(H200&gt;=2,2,IF(H200&gt;=1.5,1,0))))</f>
        <v/>
      </c>
    </row>
    <row r="201">
      <c r="H201">
        <f>IF(COUNTA(C201:G201)=0,"",C201*0.2+D201*0.3+E201*0.2+F201*0.2+G201*0.1)</f>
        <v/>
      </c>
      <c r="I201">
        <f>IF(H201="","",IF(H201&gt;=2.5,3,IF(H201&gt;=2,2,IF(H201&gt;=1.5,1,0))))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Criterion ID</t>
        </is>
      </c>
      <c r="B1" s="1" t="inlineStr">
        <is>
          <t>Criterion Name</t>
        </is>
      </c>
      <c r="C1" s="1" t="inlineStr">
        <is>
          <t>Phase</t>
        </is>
      </c>
      <c r="D1" s="1" t="inlineStr">
        <is>
          <t>Weight</t>
        </is>
      </c>
      <c r="E1" s="1" t="inlineStr">
        <is>
          <t>CO Mapped</t>
        </is>
      </c>
      <c r="F1" s="1" t="inlineStr">
        <is>
          <t>PO(s) Mapped</t>
        </is>
      </c>
      <c r="G1" s="1" t="inlineStr">
        <is>
          <t>PSO(s) Mapped</t>
        </is>
      </c>
      <c r="H1" s="1" t="inlineStr">
        <is>
          <t>Notes/Evidence</t>
        </is>
      </c>
    </row>
    <row r="2">
      <c r="A2" s="4" t="inlineStr">
        <is>
          <t>Continuous Evaluation Rubric Definitions</t>
        </is>
      </c>
    </row>
    <row r="3">
      <c r="A3" s="5" t="inlineStr">
        <is>
          <t>Criterion ID</t>
        </is>
      </c>
      <c r="B3" s="5" t="inlineStr">
        <is>
          <t>Criterion Name</t>
        </is>
      </c>
      <c r="C3" s="5" t="inlineStr">
        <is>
          <t>Phase</t>
        </is>
      </c>
      <c r="D3" s="5" t="inlineStr">
        <is>
          <t>Weight</t>
        </is>
      </c>
      <c r="E3" s="5" t="inlineStr">
        <is>
          <t>CO Mapped</t>
        </is>
      </c>
      <c r="F3" s="5" t="inlineStr">
        <is>
          <t>PO(s) Mapped</t>
        </is>
      </c>
      <c r="G3" s="5" t="inlineStr">
        <is>
          <t>PSO(s) Mapped</t>
        </is>
      </c>
      <c r="H3" s="5" t="inlineStr">
        <is>
          <t>Notes/Evidence</t>
        </is>
      </c>
    </row>
    <row r="4">
      <c r="A4" t="inlineStr">
        <is>
          <t>C1</t>
        </is>
      </c>
      <c r="B4" t="inlineStr">
        <is>
          <t>Problem Identification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PO1, PO2</t>
        </is>
      </c>
      <c r="G4" t="inlineStr">
        <is>
          <t>PSO1</t>
        </is>
      </c>
    </row>
    <row r="5">
      <c r="A5" t="inlineStr">
        <is>
          <t>C2</t>
        </is>
      </c>
      <c r="B5" t="inlineStr">
        <is>
          <t>Methodology &amp; Design</t>
        </is>
      </c>
      <c r="C5" t="inlineStr">
        <is>
          <t>Continuous</t>
        </is>
      </c>
      <c r="D5" t="n">
        <v>0.2</v>
      </c>
      <c r="E5" t="inlineStr">
        <is>
          <t>CO2</t>
        </is>
      </c>
      <c r="F5" t="inlineStr">
        <is>
          <t>PO3, PO4</t>
        </is>
      </c>
      <c r="G5" t="inlineStr">
        <is>
          <t>PSO1</t>
        </is>
      </c>
    </row>
    <row r="6">
      <c r="A6" t="inlineStr">
        <is>
          <t>C3</t>
        </is>
      </c>
      <c r="B6" t="inlineStr">
        <is>
          <t>Progress &amp; Discipline</t>
        </is>
      </c>
      <c r="C6" t="inlineStr">
        <is>
          <t>Continuous</t>
        </is>
      </c>
      <c r="D6" t="n">
        <v>0.15</v>
      </c>
      <c r="E6" t="inlineStr">
        <is>
          <t>CO3</t>
        </is>
      </c>
      <c r="F6" t="inlineStr">
        <is>
          <t>PO8, PO11</t>
        </is>
      </c>
      <c r="G6" t="inlineStr">
        <is>
          <t>PSO3</t>
        </is>
      </c>
    </row>
    <row r="7">
      <c r="A7" t="inlineStr">
        <is>
          <t>C4</t>
        </is>
      </c>
      <c r="B7" t="inlineStr">
        <is>
          <t>Innovation &amp; Depth</t>
        </is>
      </c>
      <c r="C7" t="inlineStr">
        <is>
          <t>Continuous</t>
        </is>
      </c>
      <c r="D7" t="n">
        <v>0.15</v>
      </c>
      <c r="E7" t="inlineStr">
        <is>
          <t>CO4</t>
        </is>
      </c>
      <c r="F7" t="inlineStr">
        <is>
          <t>PO5</t>
        </is>
      </c>
      <c r="G7" t="inlineStr">
        <is>
          <t>PSO2</t>
        </is>
      </c>
    </row>
    <row r="8">
      <c r="A8" t="inlineStr">
        <is>
          <t>C5</t>
        </is>
      </c>
      <c r="B8" t="inlineStr">
        <is>
          <t>Teamwork &amp; Communication</t>
        </is>
      </c>
      <c r="C8" t="inlineStr">
        <is>
          <t>Continuous</t>
        </is>
      </c>
      <c r="D8" t="n">
        <v>0.1</v>
      </c>
      <c r="E8" t="inlineStr">
        <is>
          <t>CO5</t>
        </is>
      </c>
      <c r="F8" t="inlineStr">
        <is>
          <t>PO9, PO10</t>
        </is>
      </c>
      <c r="G8" t="inlineStr">
        <is>
          <t>PSO3</t>
        </is>
      </c>
    </row>
    <row r="9">
      <c r="A9" t="inlineStr">
        <is>
          <t>C6</t>
        </is>
      </c>
      <c r="B9" t="inlineStr">
        <is>
          <t>Periodic Review</t>
        </is>
      </c>
      <c r="C9" t="inlineStr">
        <is>
          <t>Continuous</t>
        </is>
      </c>
      <c r="D9" t="n">
        <v>0.3</v>
      </c>
      <c r="E9" t="inlineStr">
        <is>
          <t>CO6</t>
        </is>
      </c>
      <c r="F9" t="inlineStr">
        <is>
          <t>PO12</t>
        </is>
      </c>
      <c r="G9" t="inlineStr">
        <is>
          <t>PSO3</t>
        </is>
      </c>
    </row>
    <row r="12">
      <c r="A12" s="6" t="inlineStr">
        <is>
          <t>Final Evaluation Rubric Definitions</t>
        </is>
      </c>
    </row>
    <row r="13">
      <c r="A13" s="5" t="inlineStr">
        <is>
          <t>Criterion ID</t>
        </is>
      </c>
      <c r="B13" s="5" t="inlineStr">
        <is>
          <t>Criterion Name</t>
        </is>
      </c>
      <c r="C13" s="5" t="inlineStr">
        <is>
          <t>Phase</t>
        </is>
      </c>
      <c r="D13" s="5" t="inlineStr">
        <is>
          <t>Weight</t>
        </is>
      </c>
      <c r="E13" s="5" t="inlineStr">
        <is>
          <t>CO Mapped</t>
        </is>
      </c>
      <c r="F13" s="5" t="inlineStr">
        <is>
          <t>PO(s) Mapped</t>
        </is>
      </c>
      <c r="G13" s="5" t="inlineStr">
        <is>
          <t>PSO(s) Mapped</t>
        </is>
      </c>
      <c r="H13" s="5" t="inlineStr">
        <is>
          <t>Notes/Evidence</t>
        </is>
      </c>
    </row>
    <row r="14">
      <c r="A14" t="inlineStr">
        <is>
          <t>F1</t>
        </is>
      </c>
      <c r="B14" t="inlineStr">
        <is>
          <t>Report</t>
        </is>
      </c>
      <c r="C14" t="inlineStr">
        <is>
          <t>Final</t>
        </is>
      </c>
      <c r="D14" t="n">
        <v>0.2</v>
      </c>
      <c r="E14" t="inlineStr">
        <is>
          <t>CO7</t>
        </is>
      </c>
      <c r="F14" t="inlineStr">
        <is>
          <t>PO10, PO11</t>
        </is>
      </c>
      <c r="G14" t="inlineStr">
        <is>
          <t>PSO3</t>
        </is>
      </c>
    </row>
    <row r="15">
      <c r="A15" t="inlineStr">
        <is>
          <t>F2</t>
        </is>
      </c>
      <c r="B15" t="inlineStr">
        <is>
          <t>Implementation/Results</t>
        </is>
      </c>
      <c r="C15" t="inlineStr">
        <is>
          <t>Final</t>
        </is>
      </c>
      <c r="D15" t="n">
        <v>0.3</v>
      </c>
      <c r="E15" t="inlineStr">
        <is>
          <t>CO8</t>
        </is>
      </c>
      <c r="F15" t="inlineStr">
        <is>
          <t>PO3, PO4</t>
        </is>
      </c>
      <c r="G15" t="inlineStr">
        <is>
          <t>PSO1</t>
        </is>
      </c>
    </row>
    <row r="16">
      <c r="A16" t="inlineStr">
        <is>
          <t>F3</t>
        </is>
      </c>
      <c r="B16" t="inlineStr">
        <is>
          <t>Originality</t>
        </is>
      </c>
      <c r="C16" t="inlineStr">
        <is>
          <t>Final</t>
        </is>
      </c>
      <c r="D16" t="n">
        <v>0.2</v>
      </c>
      <c r="E16" t="inlineStr">
        <is>
          <t>CO9</t>
        </is>
      </c>
      <c r="F16" t="inlineStr">
        <is>
          <t>PO5</t>
        </is>
      </c>
      <c r="G16" t="inlineStr">
        <is>
          <t>PSO2</t>
        </is>
      </c>
    </row>
    <row r="17">
      <c r="A17" t="inlineStr">
        <is>
          <t>F4</t>
        </is>
      </c>
      <c r="B17" t="inlineStr">
        <is>
          <t>Presentation/Viva</t>
        </is>
      </c>
      <c r="C17" t="inlineStr">
        <is>
          <t>Final</t>
        </is>
      </c>
      <c r="D17" t="n">
        <v>0.2</v>
      </c>
      <c r="E17" t="inlineStr">
        <is>
          <t>CO10</t>
        </is>
      </c>
      <c r="F17" t="inlineStr">
        <is>
          <t>PO9, PO10</t>
        </is>
      </c>
      <c r="G17" t="inlineStr">
        <is>
          <t>PSO3</t>
        </is>
      </c>
    </row>
    <row r="18">
      <c r="A18" t="inlineStr">
        <is>
          <t>F5</t>
        </is>
      </c>
      <c r="B18" t="inlineStr">
        <is>
          <t>Societal/Ethical Aspects</t>
        </is>
      </c>
      <c r="C18" t="inlineStr">
        <is>
          <t>Final</t>
        </is>
      </c>
      <c r="D18" t="n">
        <v>0.1</v>
      </c>
      <c r="E18" t="inlineStr">
        <is>
          <t>CO11</t>
        </is>
      </c>
      <c r="F18" t="inlineStr">
        <is>
          <t>PO6, PO7</t>
        </is>
      </c>
      <c r="G18" t="inlineStr">
        <is>
          <t>PSO3</t>
        </is>
      </c>
    </row>
  </sheetData>
  <mergeCells count="2">
    <mergeCell ref="A2:H2"/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6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Final Avg (0–3)</t>
        </is>
      </c>
      <c r="D1" s="1" t="inlineStr">
        <is>
          <t>Weighted Avg (40% Cont + 60% Final)</t>
        </is>
      </c>
      <c r="E1" s="1" t="inlineStr">
        <is>
          <t>Level (0–3)</t>
        </is>
      </c>
      <c r="F1" s="1" t="inlineStr">
        <is>
          <t>PO(s)</t>
        </is>
      </c>
      <c r="G1" s="1" t="inlineStr">
        <is>
          <t>PSO(s)</t>
        </is>
      </c>
    </row>
    <row r="2">
      <c r="A2" t="inlineStr">
        <is>
          <t>CO1</t>
        </is>
      </c>
      <c r="D2">
        <f>IF(AND(B2&lt;&gt;"",C2&lt;&gt;""),0.4*B2+0.6*C2,IF(B2&lt;&gt;"",B2,C2))</f>
        <v/>
      </c>
      <c r="E2">
        <f>IF(D2="","",IF(D2&gt;=2.5,3,IF(D2&gt;=2,2,IF(D2&gt;=1.5,1,0))))</f>
        <v/>
      </c>
    </row>
    <row r="3">
      <c r="A3" t="inlineStr">
        <is>
          <t>CO2</t>
        </is>
      </c>
      <c r="D3">
        <f>IF(AND(B3&lt;&gt;"",C3&lt;&gt;""),0.4*B3+0.6*C3,IF(B3&lt;&gt;"",B3,C3))</f>
        <v/>
      </c>
      <c r="E3">
        <f>IF(D3="","",IF(D3&gt;=2.5,3,IF(D3&gt;=2,2,IF(D3&gt;=1.5,1,0))))</f>
        <v/>
      </c>
    </row>
    <row r="4">
      <c r="A4" t="inlineStr">
        <is>
          <t>CO3</t>
        </is>
      </c>
      <c r="D4">
        <f>IF(AND(B4&lt;&gt;"",C4&lt;&gt;""),0.4*B4+0.6*C4,IF(B4&lt;&gt;"",B4,C4))</f>
        <v/>
      </c>
      <c r="E4">
        <f>IF(D4="","",IF(D4&gt;=2.5,3,IF(D4&gt;=2,2,IF(D4&gt;=1.5,1,0))))</f>
        <v/>
      </c>
    </row>
    <row r="5">
      <c r="A5" t="inlineStr">
        <is>
          <t>CO4</t>
        </is>
      </c>
      <c r="D5">
        <f>IF(AND(B5&lt;&gt;"",C5&lt;&gt;""),0.4*B5+0.6*C5,IF(B5&lt;&gt;"",B5,C5))</f>
        <v/>
      </c>
      <c r="E5">
        <f>IF(D5="","",IF(D5&gt;=2.5,3,IF(D5&gt;=2,2,IF(D5&gt;=1.5,1,0))))</f>
        <v/>
      </c>
    </row>
    <row r="6">
      <c r="A6" t="inlineStr">
        <is>
          <t>CO5</t>
        </is>
      </c>
      <c r="D6">
        <f>IF(AND(B6&lt;&gt;"",C6&lt;&gt;""),0.4*B6+0.6*C6,IF(B6&lt;&gt;"",B6,C6))</f>
        <v/>
      </c>
      <c r="E6">
        <f>IF(D6="","",IF(D6&gt;=2.5,3,IF(D6&gt;=2,2,IF(D6&gt;=1.5,1,0))))</f>
        <v/>
      </c>
    </row>
    <row r="7">
      <c r="A7" t="inlineStr">
        <is>
          <t>CO6</t>
        </is>
      </c>
      <c r="D7">
        <f>IF(AND(B7&lt;&gt;"",C7&lt;&gt;""),0.4*B7+0.6*C7,IF(B7&lt;&gt;"",B7,C7))</f>
        <v/>
      </c>
      <c r="E7">
        <f>IF(D7="","",IF(D7&gt;=2.5,3,IF(D7&gt;=2,2,IF(D7&gt;=1.5,1,0))))</f>
        <v/>
      </c>
    </row>
    <row r="8">
      <c r="A8" t="inlineStr">
        <is>
          <t>CO7</t>
        </is>
      </c>
      <c r="D8">
        <f>IF(AND(B8&lt;&gt;"",C8&lt;&gt;""),0.4*B8+0.6*C8,IF(B8&lt;&gt;"",B8,C8))</f>
        <v/>
      </c>
      <c r="E8">
        <f>IF(D8="","",IF(D8&gt;=2.5,3,IF(D8&gt;=2,2,IF(D8&gt;=1.5,1,0))))</f>
        <v/>
      </c>
    </row>
    <row r="9">
      <c r="A9" t="inlineStr">
        <is>
          <t>CO8</t>
        </is>
      </c>
      <c r="D9">
        <f>IF(AND(B9&lt;&gt;"",C9&lt;&gt;""),0.4*B9+0.6*C9,IF(B9&lt;&gt;"",B9,C9))</f>
        <v/>
      </c>
      <c r="E9">
        <f>IF(D9="","",IF(D9&gt;=2.5,3,IF(D9&gt;=2,2,IF(D9&gt;=1.5,1,0))))</f>
        <v/>
      </c>
    </row>
    <row r="10">
      <c r="A10" t="inlineStr">
        <is>
          <t>CO9</t>
        </is>
      </c>
      <c r="D10">
        <f>IF(AND(B10&lt;&gt;"",C10&lt;&gt;""),0.4*B10+0.6*C10,IF(B10&lt;&gt;"",B10,C10))</f>
        <v/>
      </c>
      <c r="E10">
        <f>IF(D10="","",IF(D10&gt;=2.5,3,IF(D10&gt;=2,2,IF(D10&gt;=1.5,1,0))))</f>
        <v/>
      </c>
    </row>
    <row r="11">
      <c r="A11" t="inlineStr">
        <is>
          <t>CO10</t>
        </is>
      </c>
      <c r="D11">
        <f>IF(AND(B11&lt;&gt;"",C11&lt;&gt;""),0.4*B11+0.6*C11,IF(B11&lt;&gt;"",B11,C11))</f>
        <v/>
      </c>
      <c r="E11">
        <f>IF(D11="","",IF(D11&gt;=2.5,3,IF(D11&gt;=2,2,IF(D11&gt;=1.5,1,0))))</f>
        <v/>
      </c>
    </row>
    <row r="12">
      <c r="A12" t="inlineStr">
        <is>
          <t>CO11</t>
        </is>
      </c>
      <c r="D12">
        <f>IF(AND(B12&lt;&gt;"",C12&lt;&gt;""),0.4*B12+0.6*C12,IF(B12&lt;&gt;"",B12,C12))</f>
        <v/>
      </c>
      <c r="E12">
        <f>IF(D12="","",IF(D12&gt;=2.5,3,IF(D12&gt;=2,2,IF(D12&gt;=1.5,1,0))))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CO–PO/PSO Mapping Matrix (from Rubric Definition)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PO6</t>
        </is>
      </c>
      <c r="H3" s="1" t="inlineStr">
        <is>
          <t>PO7</t>
        </is>
      </c>
      <c r="I3" s="1" t="inlineStr">
        <is>
          <t>PO8</t>
        </is>
      </c>
      <c r="J3" s="1" t="inlineStr">
        <is>
          <t>PO9</t>
        </is>
      </c>
      <c r="K3" s="1" t="inlineStr">
        <is>
          <t>PO10</t>
        </is>
      </c>
      <c r="L3" s="1" t="inlineStr">
        <is>
          <t>PO11</t>
        </is>
      </c>
      <c r="M3" s="1" t="inlineStr">
        <is>
          <t>PO12</t>
        </is>
      </c>
      <c r="N3" s="1" t="inlineStr">
        <is>
          <t>PSO1</t>
        </is>
      </c>
      <c r="O3" s="1" t="inlineStr">
        <is>
          <t>PSO2</t>
        </is>
      </c>
      <c r="P3" s="1" t="inlineStr">
        <is>
          <t>PSO3</t>
        </is>
      </c>
    </row>
    <row r="4">
      <c r="A4" t="inlineStr">
        <is>
          <t>CO1</t>
        </is>
      </c>
    </row>
    <row r="5">
      <c r="A5" t="inlineStr">
        <is>
          <t>CO2</t>
        </is>
      </c>
    </row>
    <row r="6">
      <c r="A6" t="inlineStr">
        <is>
          <t>CO3</t>
        </is>
      </c>
    </row>
    <row r="7">
      <c r="A7" t="inlineStr">
        <is>
          <t>CO4</t>
        </is>
      </c>
    </row>
    <row r="8">
      <c r="A8" t="inlineStr">
        <is>
          <t>CO5</t>
        </is>
      </c>
    </row>
    <row r="9">
      <c r="A9" t="inlineStr">
        <is>
          <t>CO6</t>
        </is>
      </c>
    </row>
    <row r="10">
      <c r="A10" t="inlineStr">
        <is>
          <t>CO7</t>
        </is>
      </c>
    </row>
    <row r="11">
      <c r="A11" t="inlineStr">
        <is>
          <t>CO8</t>
        </is>
      </c>
    </row>
    <row r="12">
      <c r="A12" t="inlineStr">
        <is>
          <t>CO9</t>
        </is>
      </c>
    </row>
    <row r="13">
      <c r="A13" t="inlineStr">
        <is>
          <t>CO10</t>
        </is>
      </c>
    </row>
    <row r="14">
      <c r="A14" t="inlineStr">
        <is>
          <t>CO11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Outcome</t>
        </is>
      </c>
      <c r="B1" s="1" t="inlineStr">
        <is>
          <t>Aggregated Attainment (Avg of mapped CO Levels)</t>
        </is>
      </c>
    </row>
    <row r="2">
      <c r="A2" t="inlineStr">
        <is>
          <t>PO1</t>
        </is>
      </c>
    </row>
    <row r="3">
      <c r="A3" t="inlineStr">
        <is>
          <t>PO2</t>
        </is>
      </c>
    </row>
    <row r="4">
      <c r="A4" t="inlineStr">
        <is>
          <t>PO3</t>
        </is>
      </c>
    </row>
    <row r="5">
      <c r="A5" t="inlineStr">
        <is>
          <t>PO4</t>
        </is>
      </c>
    </row>
    <row r="6">
      <c r="A6" t="inlineStr">
        <is>
          <t>PO5</t>
        </is>
      </c>
    </row>
    <row r="7">
      <c r="A7" t="inlineStr">
        <is>
          <t>PO6</t>
        </is>
      </c>
    </row>
    <row r="8">
      <c r="A8" t="inlineStr">
        <is>
          <t>PO7</t>
        </is>
      </c>
    </row>
    <row r="9">
      <c r="A9" t="inlineStr">
        <is>
          <t>PO8</t>
        </is>
      </c>
    </row>
    <row r="10">
      <c r="A10" t="inlineStr">
        <is>
          <t>PO9</t>
        </is>
      </c>
    </row>
    <row r="11">
      <c r="A11" t="inlineStr">
        <is>
          <t>PO10</t>
        </is>
      </c>
    </row>
    <row r="12">
      <c r="A12" t="inlineStr">
        <is>
          <t>PO11</t>
        </is>
      </c>
    </row>
    <row r="13">
      <c r="A13" t="inlineStr">
        <is>
          <t>PO12</t>
        </is>
      </c>
    </row>
    <row r="14">
      <c r="A14" t="inlineStr">
        <is>
          <t>PSO1</t>
        </is>
      </c>
    </row>
    <row r="15">
      <c r="A15" t="inlineStr">
        <is>
          <t>PSO2</t>
        </is>
      </c>
    </row>
    <row r="16">
      <c r="A16" t="inlineStr">
        <is>
          <t>PSO3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File/Link</t>
        </is>
      </c>
      <c r="D1" s="1" t="inlineStr">
        <is>
          <t>Notes</t>
        </is>
      </c>
    </row>
    <row r="2">
      <c r="A2" t="inlineStr">
        <is>
          <t>Continuous</t>
        </is>
      </c>
      <c r="B2" t="inlineStr">
        <is>
          <t>Progress Review Forms</t>
        </is>
      </c>
    </row>
    <row r="3">
      <c r="A3" t="inlineStr">
        <is>
          <t>Final</t>
        </is>
      </c>
      <c r="B3" t="inlineStr">
        <is>
          <t>Project Reports (PDF)</t>
        </is>
      </c>
    </row>
    <row r="4">
      <c r="A4" t="inlineStr">
        <is>
          <t>Final</t>
        </is>
      </c>
      <c r="B4" t="inlineStr">
        <is>
          <t>Seminar PPTs</t>
        </is>
      </c>
    </row>
    <row r="5">
      <c r="A5" t="inlineStr">
        <is>
          <t>Final</t>
        </is>
      </c>
      <c r="B5" t="inlineStr">
        <is>
          <t>Prototype/Code/Video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</cols>
  <sheetData>
    <row r="1">
      <c r="A1" s="3" t="inlineStr">
        <is>
          <t>NBA Audit Checklist — Project Evaluation (20 Marks)</t>
        </is>
      </c>
    </row>
    <row r="3">
      <c r="A3" s="1" t="inlineStr">
        <is>
          <t>Audit Point</t>
        </is>
      </c>
      <c r="B3" s="1" t="inlineStr">
        <is>
          <t>Evidence Expected</t>
        </is>
      </c>
      <c r="C3" s="1" t="inlineStr">
        <is>
          <t>Status (✔/✖)</t>
        </is>
      </c>
    </row>
    <row r="4">
      <c r="A4" t="inlineStr">
        <is>
          <t>Rubrics Defined</t>
        </is>
      </c>
      <c r="B4" t="inlineStr">
        <is>
          <t>Continuous + Final Rubric Definitions with CO–PO/PSO mapping</t>
        </is>
      </c>
    </row>
    <row r="5">
      <c r="A5" t="inlineStr">
        <is>
          <t>Continuous Evaluation</t>
        </is>
      </c>
      <c r="B5" t="inlineStr">
        <is>
          <t>Progress reviews, mentor evaluation forms</t>
        </is>
      </c>
    </row>
    <row r="6">
      <c r="A6" t="inlineStr">
        <is>
          <t>Final Evaluation</t>
        </is>
      </c>
      <c r="B6" t="inlineStr">
        <is>
          <t>Project reports, seminar/viva evaluation forms</t>
        </is>
      </c>
    </row>
    <row r="7">
      <c r="A7" t="inlineStr">
        <is>
          <t>CO Attainment</t>
        </is>
      </c>
      <c r="B7" t="inlineStr">
        <is>
          <t>CO Attainment sheet auto-calculated</t>
        </is>
      </c>
    </row>
    <row r="8">
      <c r="A8" t="inlineStr">
        <is>
          <t>PO/PSO Aggregation</t>
        </is>
      </c>
      <c r="B8" t="inlineStr">
        <is>
          <t>PO/PSO Aggregation derived from COs</t>
        </is>
      </c>
    </row>
    <row r="9">
      <c r="A9" t="inlineStr">
        <is>
          <t>Evidence</t>
        </is>
      </c>
      <c r="B9" t="inlineStr">
        <is>
          <t>Reports, PPTs, prototypes, videos linked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22" customWidth="1" min="9" max="9"/>
    <col width="16" customWidth="1" min="10" max="10"/>
    <col width="32" customWidth="1" min="11" max="11"/>
    <col width="26" customWidth="1" min="12" max="12"/>
  </cols>
  <sheetData>
    <row r="1">
      <c r="A1" s="3" t="inlineStr">
        <is>
          <t>Project Proposal &amp; Approval Log</t>
        </is>
      </c>
    </row>
    <row r="2">
      <c r="A2" s="7" t="inlineStr">
        <is>
          <t>Note: Maintain all project proposals &amp; signed approval forms; link scanned copies in Evidence column.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Student(s)</t>
        </is>
      </c>
      <c r="D3" s="1" t="inlineStr">
        <is>
          <t>Faculty Guide</t>
        </is>
      </c>
      <c r="E3" s="1" t="inlineStr">
        <is>
          <t>COs Targeted</t>
        </is>
      </c>
      <c r="F3" s="1" t="inlineStr">
        <is>
          <t>PO/PSOs Targeted</t>
        </is>
      </c>
      <c r="G3" s="1" t="inlineStr">
        <is>
          <t>Proposal Status</t>
        </is>
      </c>
      <c r="H3" s="1" t="inlineStr">
        <is>
          <t>Approval Status</t>
        </is>
      </c>
      <c r="I3" s="1" t="inlineStr">
        <is>
          <t>Approved By</t>
        </is>
      </c>
      <c r="J3" s="1" t="inlineStr">
        <is>
          <t>Approval Date</t>
        </is>
      </c>
      <c r="K3" s="1" t="inlineStr">
        <is>
          <t>Evidence File (PDF/Link)</t>
        </is>
      </c>
      <c r="L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INT101, INT102</t>
        </is>
      </c>
      <c r="D4" t="inlineStr">
        <is>
          <t>Dr. A. Rao</t>
        </is>
      </c>
      <c r="E4" t="inlineStr">
        <is>
          <t>CO2, CO4, CO8</t>
        </is>
      </c>
      <c r="F4" t="inlineStr">
        <is>
          <t>PO3, PO4, PSO1</t>
        </is>
      </c>
      <c r="G4" t="inlineStr">
        <is>
          <t>Submitted</t>
        </is>
      </c>
      <c r="H4" t="inlineStr">
        <is>
          <t>Pending</t>
        </is>
      </c>
      <c r="I4" t="inlineStr"/>
      <c r="J4" t="inlineStr"/>
      <c r="K4" t="inlineStr">
        <is>
          <t>PJT001_Proposal.pdf</t>
        </is>
      </c>
      <c r="L4" t="inlineStr">
        <is>
          <t>Awaiting HoD approval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INT103, INT104</t>
        </is>
      </c>
      <c r="D5" t="inlineStr">
        <is>
          <t>Prof. S. Gupta</t>
        </is>
      </c>
      <c r="E5" t="inlineStr">
        <is>
          <t>CO1, CO3, CO7</t>
        </is>
      </c>
      <c r="F5" t="inlineStr">
        <is>
          <t>PO1, PO6, PSO2</t>
        </is>
      </c>
      <c r="G5" t="inlineStr">
        <is>
          <t>Submitted</t>
        </is>
      </c>
      <c r="H5" t="inlineStr">
        <is>
          <t>Approved</t>
        </is>
      </c>
      <c r="I5" t="inlineStr">
        <is>
          <t>Dr. S. Gupta (HoD)</t>
        </is>
      </c>
      <c r="J5" t="inlineStr">
        <is>
          <t>15-May-2025</t>
        </is>
      </c>
      <c r="K5" t="inlineStr">
        <is>
          <t>PJT002_Approval.pdf</t>
        </is>
      </c>
      <c r="L5" t="inlineStr">
        <is>
          <t>Approved and initiated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