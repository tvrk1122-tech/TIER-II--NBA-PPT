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Practical Exam" sheetId="2" state="visible" r:id="rId2"/>
    <sheet xmlns:r="http://schemas.openxmlformats.org/officeDocument/2006/relationships" name="CO-wise Attainment Summary" sheetId="3" state="visible" r:id="rId3"/>
    <sheet xmlns:r="http://schemas.openxmlformats.org/officeDocument/2006/relationships" name="Rubric 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8" customWidth="1" min="9" max="9"/>
    <col width="22" customWidth="1" min="10" max="10"/>
    <col width="10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CO1 (Prep)</t>
        </is>
      </c>
      <c r="D1" s="1" t="inlineStr">
        <is>
          <t>CO2 (Conduct)</t>
        </is>
      </c>
      <c r="E1" s="1" t="inlineStr">
        <is>
          <t>CO3 (Obs &amp; Results)</t>
        </is>
      </c>
      <c r="F1" s="1" t="inlineStr">
        <is>
          <t>CO4 (Record)</t>
        </is>
      </c>
      <c r="G1" s="1" t="inlineStr">
        <is>
          <t>CO5 (Innovation)</t>
        </is>
      </c>
      <c r="H1" s="1" t="inlineStr">
        <is>
          <t>CO6 (Viva)</t>
        </is>
      </c>
      <c r="I1" s="1" t="inlineStr">
        <is>
          <t>Total (Weighted)</t>
        </is>
      </c>
      <c r="J1" s="1" t="inlineStr">
        <is>
          <t>Attainment Level (0–3)</t>
        </is>
      </c>
      <c r="L1" s="2" t="inlineStr">
        <is>
          <t>Weights (edit; must sum to 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2</v>
      </c>
      <c r="F2" t="n">
        <v>2</v>
      </c>
      <c r="G2" t="n">
        <v>1</v>
      </c>
      <c r="H2" t="n">
        <v>3</v>
      </c>
      <c r="I2">
        <f>IF(COUNTA(C2:H2)=0,"",C2*$L$2+D2*$L$3+E2*$L$4+F2*$L$5+G2*$L$6+H2*$L$7)</f>
        <v/>
      </c>
      <c r="J2">
        <f>IF(I2="","",IF(I2&gt;=2.5,3,IF(I2&gt;=2,2,IF(I2&gt;=1.5,1,0))))</f>
        <v/>
      </c>
      <c r="K2" t="inlineStr">
        <is>
          <t>CO1</t>
        </is>
      </c>
      <c r="L2" t="n">
        <v>0.1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 t="n">
        <v>0</v>
      </c>
      <c r="H3" t="n">
        <v>2</v>
      </c>
      <c r="I3">
        <f>IF(COUNTA(C3:H3)=0,"",C3*$L$2+D3*$L$3+E3*$L$4+F3*$L$5+G3*$L$6+H3*$L$7)</f>
        <v/>
      </c>
      <c r="J3">
        <f>IF(I3="","",IF(I3&gt;=2.5,3,IF(I3&gt;=2,2,IF(I3&gt;=1.5,1,0))))</f>
        <v/>
      </c>
      <c r="K3" t="inlineStr">
        <is>
          <t>CO2</t>
        </is>
      </c>
      <c r="L3" t="n">
        <v>0.2</v>
      </c>
    </row>
    <row r="4">
      <c r="A4" t="inlineStr">
        <is>
          <t>103</t>
        </is>
      </c>
      <c r="B4" t="inlineStr">
        <is>
          <t>C. Rao</t>
        </is>
      </c>
      <c r="C4" t="n">
        <v>3</v>
      </c>
      <c r="D4" t="n">
        <v>3</v>
      </c>
      <c r="E4" t="n">
        <v>3</v>
      </c>
      <c r="F4" t="n">
        <v>2</v>
      </c>
      <c r="G4" t="n">
        <v>2</v>
      </c>
      <c r="H4" t="n">
        <v>3</v>
      </c>
      <c r="I4">
        <f>IF(COUNTA(C4:H4)=0,"",C4*$L$2+D4*$L$3+E4*$L$4+F4*$L$5+G4*$L$6+H4*$L$7)</f>
        <v/>
      </c>
      <c r="J4">
        <f>IF(I4="","",IF(I4&gt;=2.5,3,IF(I4&gt;=2,2,IF(I4&gt;=1.5,1,0))))</f>
        <v/>
      </c>
      <c r="K4" t="inlineStr">
        <is>
          <t>CO3</t>
        </is>
      </c>
      <c r="L4" t="n">
        <v>0.2</v>
      </c>
    </row>
    <row r="5">
      <c r="I5">
        <f>IF(COUNTA(C5:H5)=0,"",C5*$L$2+D5*$L$3+E5*$L$4+F5*$L$5+G5*$L$6+H5*$L$7)</f>
        <v/>
      </c>
      <c r="J5">
        <f>IF(I5="","",IF(I5&gt;=2.5,3,IF(I5&gt;=2,2,IF(I5&gt;=1.5,1,0))))</f>
        <v/>
      </c>
      <c r="K5" t="inlineStr">
        <is>
          <t>CO4</t>
        </is>
      </c>
      <c r="L5" t="n">
        <v>0.1</v>
      </c>
    </row>
    <row r="6">
      <c r="I6">
        <f>IF(COUNTA(C6:H6)=0,"",C6*$L$2+D6*$L$3+E6*$L$4+F6*$L$5+G6*$L$6+H6*$L$7)</f>
        <v/>
      </c>
      <c r="J6">
        <f>IF(I6="","",IF(I6&gt;=2.5,3,IF(I6&gt;=2,2,IF(I6&gt;=1.5,1,0))))</f>
        <v/>
      </c>
      <c r="K6" t="inlineStr">
        <is>
          <t>CO5</t>
        </is>
      </c>
      <c r="L6" t="n">
        <v>0.1</v>
      </c>
    </row>
    <row r="7">
      <c r="I7">
        <f>IF(COUNTA(C7:H7)=0,"",C7*$L$2+D7*$L$3+E7*$L$4+F7*$L$5+G7*$L$6+H7*$L$7)</f>
        <v/>
      </c>
      <c r="J7">
        <f>IF(I7="","",IF(I7&gt;=2.5,3,IF(I7&gt;=2,2,IF(I7&gt;=1.5,1,0))))</f>
        <v/>
      </c>
      <c r="K7" t="inlineStr">
        <is>
          <t>CO6</t>
        </is>
      </c>
      <c r="L7" t="n">
        <v>0.3</v>
      </c>
    </row>
    <row r="8">
      <c r="I8">
        <f>IF(COUNTA(C8:H8)=0,"",C8*$L$2+D8*$L$3+E8*$L$4+F8*$L$5+G8*$L$6+H8*$L$7)</f>
        <v/>
      </c>
      <c r="J8">
        <f>IF(I8="","",IF(I8&gt;=2.5,3,IF(I8&gt;=2,2,IF(I8&gt;=1.5,1,0))))</f>
        <v/>
      </c>
    </row>
    <row r="9">
      <c r="I9">
        <f>IF(COUNTA(C9:H9)=0,"",C9*$L$2+D9*$L$3+E9*$L$4+F9*$L$5+G9*$L$6+H9*$L$7)</f>
        <v/>
      </c>
      <c r="J9">
        <f>IF(I9="","",IF(I9&gt;=2.5,3,IF(I9&gt;=2,2,IF(I9&gt;=1.5,1,0))))</f>
        <v/>
      </c>
    </row>
    <row r="10">
      <c r="I10">
        <f>IF(COUNTA(C10:H10)=0,"",C10*$L$2+D10*$L$3+E10*$L$4+F10*$L$5+G10*$L$6+H10*$L$7)</f>
        <v/>
      </c>
      <c r="J10">
        <f>IF(I10="","",IF(I10&gt;=2.5,3,IF(I10&gt;=2,2,IF(I10&gt;=1.5,1,0))))</f>
        <v/>
      </c>
    </row>
    <row r="11">
      <c r="I11">
        <f>IF(COUNTA(C11:H11)=0,"",C11*$L$2+D11*$L$3+E11*$L$4+F11*$L$5+G11*$L$6+H11*$L$7)</f>
        <v/>
      </c>
      <c r="J11">
        <f>IF(I11="","",IF(I11&gt;=2.5,3,IF(I11&gt;=2,2,IF(I11&gt;=1.5,1,0))))</f>
        <v/>
      </c>
    </row>
    <row r="12">
      <c r="I12">
        <f>IF(COUNTA(C12:H12)=0,"",C12*$L$2+D12*$L$3+E12*$L$4+F12*$L$5+G12*$L$6+H12*$L$7)</f>
        <v/>
      </c>
      <c r="J12">
        <f>IF(I12="","",IF(I12&gt;=2.5,3,IF(I12&gt;=2,2,IF(I12&gt;=1.5,1,0))))</f>
        <v/>
      </c>
    </row>
    <row r="13">
      <c r="I13">
        <f>IF(COUNTA(C13:H13)=0,"",C13*$L$2+D13*$L$3+E13*$L$4+F13*$L$5+G13*$L$6+H13*$L$7)</f>
        <v/>
      </c>
      <c r="J13">
        <f>IF(I13="","",IF(I13&gt;=2.5,3,IF(I13&gt;=2,2,IF(I13&gt;=1.5,1,0))))</f>
        <v/>
      </c>
    </row>
    <row r="14">
      <c r="I14">
        <f>IF(COUNTA(C14:H14)=0,"",C14*$L$2+D14*$L$3+E14*$L$4+F14*$L$5+G14*$L$6+H14*$L$7)</f>
        <v/>
      </c>
      <c r="J14">
        <f>IF(I14="","",IF(I14&gt;=2.5,3,IF(I14&gt;=2,2,IF(I14&gt;=1.5,1,0))))</f>
        <v/>
      </c>
    </row>
    <row r="15">
      <c r="I15">
        <f>IF(COUNTA(C15:H15)=0,"",C15*$L$2+D15*$L$3+E15*$L$4+F15*$L$5+G15*$L$6+H15*$L$7)</f>
        <v/>
      </c>
      <c r="J15">
        <f>IF(I15="","",IF(I15&gt;=2.5,3,IF(I15&gt;=2,2,IF(I15&gt;=1.5,1,0))))</f>
        <v/>
      </c>
    </row>
    <row r="16">
      <c r="I16">
        <f>IF(COUNTA(C16:H16)=0,"",C16*$L$2+D16*$L$3+E16*$L$4+F16*$L$5+G16*$L$6+H16*$L$7)</f>
        <v/>
      </c>
      <c r="J16">
        <f>IF(I16="","",IF(I16&gt;=2.5,3,IF(I16&gt;=2,2,IF(I16&gt;=1.5,1,0))))</f>
        <v/>
      </c>
    </row>
    <row r="17">
      <c r="I17">
        <f>IF(COUNTA(C17:H17)=0,"",C17*$L$2+D17*$L$3+E17*$L$4+F17*$L$5+G17*$L$6+H17*$L$7)</f>
        <v/>
      </c>
      <c r="J17">
        <f>IF(I17="","",IF(I17&gt;=2.5,3,IF(I17&gt;=2,2,IF(I17&gt;=1.5,1,0))))</f>
        <v/>
      </c>
    </row>
    <row r="18">
      <c r="I18">
        <f>IF(COUNTA(C18:H18)=0,"",C18*$L$2+D18*$L$3+E18*$L$4+F18*$L$5+G18*$L$6+H18*$L$7)</f>
        <v/>
      </c>
      <c r="J18">
        <f>IF(I18="","",IF(I18&gt;=2.5,3,IF(I18&gt;=2,2,IF(I18&gt;=1.5,1,0))))</f>
        <v/>
      </c>
    </row>
    <row r="19">
      <c r="I19">
        <f>IF(COUNTA(C19:H19)=0,"",C19*$L$2+D19*$L$3+E19*$L$4+F19*$L$5+G19*$L$6+H19*$L$7)</f>
        <v/>
      </c>
      <c r="J19">
        <f>IF(I19="","",IF(I19&gt;=2.5,3,IF(I19&gt;=2,2,IF(I19&gt;=1.5,1,0))))</f>
        <v/>
      </c>
    </row>
    <row r="20">
      <c r="I20">
        <f>IF(COUNTA(C20:H20)=0,"",C20*$L$2+D20*$L$3+E20*$L$4+F20*$L$5+G20*$L$6+H20*$L$7)</f>
        <v/>
      </c>
      <c r="J20">
        <f>IF(I20="","",IF(I20&gt;=2.5,3,IF(I20&gt;=2,2,IF(I20&gt;=1.5,1,0))))</f>
        <v/>
      </c>
    </row>
    <row r="21">
      <c r="I21">
        <f>IF(COUNTA(C21:H21)=0,"",C21*$L$2+D21*$L$3+E21*$L$4+F21*$L$5+G21*$L$6+H21*$L$7)</f>
        <v/>
      </c>
      <c r="J21">
        <f>IF(I21="","",IF(I21&gt;=2.5,3,IF(I21&gt;=2,2,IF(I21&gt;=1.5,1,0))))</f>
        <v/>
      </c>
    </row>
    <row r="22">
      <c r="I22">
        <f>IF(COUNTA(C22:H22)=0,"",C22*$L$2+D22*$L$3+E22*$L$4+F22*$L$5+G22*$L$6+H22*$L$7)</f>
        <v/>
      </c>
      <c r="J22">
        <f>IF(I22="","",IF(I22&gt;=2.5,3,IF(I22&gt;=2,2,IF(I22&gt;=1.5,1,0))))</f>
        <v/>
      </c>
    </row>
    <row r="23">
      <c r="I23">
        <f>IF(COUNTA(C23:H23)=0,"",C23*$L$2+D23*$L$3+E23*$L$4+F23*$L$5+G23*$L$6+H23*$L$7)</f>
        <v/>
      </c>
      <c r="J23">
        <f>IF(I23="","",IF(I23&gt;=2.5,3,IF(I23&gt;=2,2,IF(I23&gt;=1.5,1,0))))</f>
        <v/>
      </c>
    </row>
    <row r="24">
      <c r="I24">
        <f>IF(COUNTA(C24:H24)=0,"",C24*$L$2+D24*$L$3+E24*$L$4+F24*$L$5+G24*$L$6+H24*$L$7)</f>
        <v/>
      </c>
      <c r="J24">
        <f>IF(I24="","",IF(I24&gt;=2.5,3,IF(I24&gt;=2,2,IF(I24&gt;=1.5,1,0))))</f>
        <v/>
      </c>
    </row>
    <row r="25">
      <c r="I25">
        <f>IF(COUNTA(C25:H25)=0,"",C25*$L$2+D25*$L$3+E25*$L$4+F25*$L$5+G25*$L$6+H25*$L$7)</f>
        <v/>
      </c>
      <c r="J25">
        <f>IF(I25="","",IF(I25&gt;=2.5,3,IF(I25&gt;=2,2,IF(I25&gt;=1.5,1,0))))</f>
        <v/>
      </c>
    </row>
    <row r="26">
      <c r="I26">
        <f>IF(COUNTA(C26:H26)=0,"",C26*$L$2+D26*$L$3+E26*$L$4+F26*$L$5+G26*$L$6+H26*$L$7)</f>
        <v/>
      </c>
      <c r="J26">
        <f>IF(I26="","",IF(I26&gt;=2.5,3,IF(I26&gt;=2,2,IF(I26&gt;=1.5,1,0))))</f>
        <v/>
      </c>
    </row>
    <row r="27">
      <c r="I27">
        <f>IF(COUNTA(C27:H27)=0,"",C27*$L$2+D27*$L$3+E27*$L$4+F27*$L$5+G27*$L$6+H27*$L$7)</f>
        <v/>
      </c>
      <c r="J27">
        <f>IF(I27="","",IF(I27&gt;=2.5,3,IF(I27&gt;=2,2,IF(I27&gt;=1.5,1,0))))</f>
        <v/>
      </c>
    </row>
    <row r="28">
      <c r="I28">
        <f>IF(COUNTA(C28:H28)=0,"",C28*$L$2+D28*$L$3+E28*$L$4+F28*$L$5+G28*$L$6+H28*$L$7)</f>
        <v/>
      </c>
      <c r="J28">
        <f>IF(I28="","",IF(I28&gt;=2.5,3,IF(I28&gt;=2,2,IF(I28&gt;=1.5,1,0))))</f>
        <v/>
      </c>
    </row>
    <row r="29">
      <c r="I29">
        <f>IF(COUNTA(C29:H29)=0,"",C29*$L$2+D29*$L$3+E29*$L$4+F29*$L$5+G29*$L$6+H29*$L$7)</f>
        <v/>
      </c>
      <c r="J29">
        <f>IF(I29="","",IF(I29&gt;=2.5,3,IF(I29&gt;=2,2,IF(I29&gt;=1.5,1,0))))</f>
        <v/>
      </c>
    </row>
    <row r="30">
      <c r="I30">
        <f>IF(COUNTA(C30:H30)=0,"",C30*$L$2+D30*$L$3+E30*$L$4+F30*$L$5+G30*$L$6+H30*$L$7)</f>
        <v/>
      </c>
      <c r="J30">
        <f>IF(I30="","",IF(I30&gt;=2.5,3,IF(I30&gt;=2,2,IF(I30&gt;=1.5,1,0))))</f>
        <v/>
      </c>
    </row>
    <row r="31">
      <c r="I31">
        <f>IF(COUNTA(C31:H31)=0,"",C31*$L$2+D31*$L$3+E31*$L$4+F31*$L$5+G31*$L$6+H31*$L$7)</f>
        <v/>
      </c>
      <c r="J31">
        <f>IF(I31="","",IF(I31&gt;=2.5,3,IF(I31&gt;=2,2,IF(I31&gt;=1.5,1,0))))</f>
        <v/>
      </c>
    </row>
    <row r="32">
      <c r="I32">
        <f>IF(COUNTA(C32:H32)=0,"",C32*$L$2+D32*$L$3+E32*$L$4+F32*$L$5+G32*$L$6+H32*$L$7)</f>
        <v/>
      </c>
      <c r="J32">
        <f>IF(I32="","",IF(I32&gt;=2.5,3,IF(I32&gt;=2,2,IF(I32&gt;=1.5,1,0))))</f>
        <v/>
      </c>
    </row>
    <row r="33">
      <c r="I33">
        <f>IF(COUNTA(C33:H33)=0,"",C33*$L$2+D33*$L$3+E33*$L$4+F33*$L$5+G33*$L$6+H33*$L$7)</f>
        <v/>
      </c>
      <c r="J33">
        <f>IF(I33="","",IF(I33&gt;=2.5,3,IF(I33&gt;=2,2,IF(I33&gt;=1.5,1,0))))</f>
        <v/>
      </c>
    </row>
    <row r="34">
      <c r="I34">
        <f>IF(COUNTA(C34:H34)=0,"",C34*$L$2+D34*$L$3+E34*$L$4+F34*$L$5+G34*$L$6+H34*$L$7)</f>
        <v/>
      </c>
      <c r="J34">
        <f>IF(I34="","",IF(I34&gt;=2.5,3,IF(I34&gt;=2,2,IF(I34&gt;=1.5,1,0))))</f>
        <v/>
      </c>
    </row>
    <row r="35">
      <c r="I35">
        <f>IF(COUNTA(C35:H35)=0,"",C35*$L$2+D35*$L$3+E35*$L$4+F35*$L$5+G35*$L$6+H35*$L$7)</f>
        <v/>
      </c>
      <c r="J35">
        <f>IF(I35="","",IF(I35&gt;=2.5,3,IF(I35&gt;=2,2,IF(I35&gt;=1.5,1,0))))</f>
        <v/>
      </c>
    </row>
    <row r="36">
      <c r="I36">
        <f>IF(COUNTA(C36:H36)=0,"",C36*$L$2+D36*$L$3+E36*$L$4+F36*$L$5+G36*$L$6+H36*$L$7)</f>
        <v/>
      </c>
      <c r="J36">
        <f>IF(I36="","",IF(I36&gt;=2.5,3,IF(I36&gt;=2,2,IF(I36&gt;=1.5,1,0))))</f>
        <v/>
      </c>
    </row>
    <row r="37">
      <c r="I37">
        <f>IF(COUNTA(C37:H37)=0,"",C37*$L$2+D37*$L$3+E37*$L$4+F37*$L$5+G37*$L$6+H37*$L$7)</f>
        <v/>
      </c>
      <c r="J37">
        <f>IF(I37="","",IF(I37&gt;=2.5,3,IF(I37&gt;=2,2,IF(I37&gt;=1.5,1,0))))</f>
        <v/>
      </c>
    </row>
    <row r="38">
      <c r="I38">
        <f>IF(COUNTA(C38:H38)=0,"",C38*$L$2+D38*$L$3+E38*$L$4+F38*$L$5+G38*$L$6+H38*$L$7)</f>
        <v/>
      </c>
      <c r="J38">
        <f>IF(I38="","",IF(I38&gt;=2.5,3,IF(I38&gt;=2,2,IF(I38&gt;=1.5,1,0))))</f>
        <v/>
      </c>
    </row>
    <row r="39">
      <c r="I39">
        <f>IF(COUNTA(C39:H39)=0,"",C39*$L$2+D39*$L$3+E39*$L$4+F39*$L$5+G39*$L$6+H39*$L$7)</f>
        <v/>
      </c>
      <c r="J39">
        <f>IF(I39="","",IF(I39&gt;=2.5,3,IF(I39&gt;=2,2,IF(I39&gt;=1.5,1,0))))</f>
        <v/>
      </c>
    </row>
    <row r="40">
      <c r="I40">
        <f>IF(COUNTA(C40:H40)=0,"",C40*$L$2+D40*$L$3+E40*$L$4+F40*$L$5+G40*$L$6+H40*$L$7)</f>
        <v/>
      </c>
      <c r="J40">
        <f>IF(I40="","",IF(I40&gt;=2.5,3,IF(I40&gt;=2,2,IF(I40&gt;=1.5,1,0))))</f>
        <v/>
      </c>
    </row>
    <row r="41">
      <c r="I41">
        <f>IF(COUNTA(C41:H41)=0,"",C41*$L$2+D41*$L$3+E41*$L$4+F41*$L$5+G41*$L$6+H41*$L$7)</f>
        <v/>
      </c>
      <c r="J41">
        <f>IF(I41="","",IF(I41&gt;=2.5,3,IF(I41&gt;=2,2,IF(I41&gt;=1.5,1,0))))</f>
        <v/>
      </c>
    </row>
    <row r="42">
      <c r="I42">
        <f>IF(COUNTA(C42:H42)=0,"",C42*$L$2+D42*$L$3+E42*$L$4+F42*$L$5+G42*$L$6+H42*$L$7)</f>
        <v/>
      </c>
      <c r="J42">
        <f>IF(I42="","",IF(I42&gt;=2.5,3,IF(I42&gt;=2,2,IF(I42&gt;=1.5,1,0))))</f>
        <v/>
      </c>
    </row>
    <row r="43">
      <c r="I43">
        <f>IF(COUNTA(C43:H43)=0,"",C43*$L$2+D43*$L$3+E43*$L$4+F43*$L$5+G43*$L$6+H43*$L$7)</f>
        <v/>
      </c>
      <c r="J43">
        <f>IF(I43="","",IF(I43&gt;=2.5,3,IF(I43&gt;=2,2,IF(I43&gt;=1.5,1,0))))</f>
        <v/>
      </c>
    </row>
    <row r="44">
      <c r="I44">
        <f>IF(COUNTA(C44:H44)=0,"",C44*$L$2+D44*$L$3+E44*$L$4+F44*$L$5+G44*$L$6+H44*$L$7)</f>
        <v/>
      </c>
      <c r="J44">
        <f>IF(I44="","",IF(I44&gt;=2.5,3,IF(I44&gt;=2,2,IF(I44&gt;=1.5,1,0))))</f>
        <v/>
      </c>
    </row>
    <row r="45">
      <c r="I45">
        <f>IF(COUNTA(C45:H45)=0,"",C45*$L$2+D45*$L$3+E45*$L$4+F45*$L$5+G45*$L$6+H45*$L$7)</f>
        <v/>
      </c>
      <c r="J45">
        <f>IF(I45="","",IF(I45&gt;=2.5,3,IF(I45&gt;=2,2,IF(I45&gt;=1.5,1,0))))</f>
        <v/>
      </c>
    </row>
    <row r="46">
      <c r="I46">
        <f>IF(COUNTA(C46:H46)=0,"",C46*$L$2+D46*$L$3+E46*$L$4+F46*$L$5+G46*$L$6+H46*$L$7)</f>
        <v/>
      </c>
      <c r="J46">
        <f>IF(I46="","",IF(I46&gt;=2.5,3,IF(I46&gt;=2,2,IF(I46&gt;=1.5,1,0))))</f>
        <v/>
      </c>
    </row>
    <row r="47">
      <c r="I47">
        <f>IF(COUNTA(C47:H47)=0,"",C47*$L$2+D47*$L$3+E47*$L$4+F47*$L$5+G47*$L$6+H47*$L$7)</f>
        <v/>
      </c>
      <c r="J47">
        <f>IF(I47="","",IF(I47&gt;=2.5,3,IF(I47&gt;=2,2,IF(I47&gt;=1.5,1,0))))</f>
        <v/>
      </c>
    </row>
    <row r="48">
      <c r="I48">
        <f>IF(COUNTA(C48:H48)=0,"",C48*$L$2+D48*$L$3+E48*$L$4+F48*$L$5+G48*$L$6+H48*$L$7)</f>
        <v/>
      </c>
      <c r="J48">
        <f>IF(I48="","",IF(I48&gt;=2.5,3,IF(I48&gt;=2,2,IF(I48&gt;=1.5,1,0))))</f>
        <v/>
      </c>
    </row>
    <row r="49">
      <c r="I49">
        <f>IF(COUNTA(C49:H49)=0,"",C49*$L$2+D49*$L$3+E49*$L$4+F49*$L$5+G49*$L$6+H49*$L$7)</f>
        <v/>
      </c>
      <c r="J49">
        <f>IF(I49="","",IF(I49&gt;=2.5,3,IF(I49&gt;=2,2,IF(I49&gt;=1.5,1,0))))</f>
        <v/>
      </c>
    </row>
    <row r="50">
      <c r="I50">
        <f>IF(COUNTA(C50:H50)=0,"",C50*$L$2+D50*$L$3+E50*$L$4+F50*$L$5+G50*$L$6+H50*$L$7)</f>
        <v/>
      </c>
      <c r="J50">
        <f>IF(I50="","",IF(I50&gt;=2.5,3,IF(I50&gt;=2,2,IF(I50&gt;=1.5,1,0))))</f>
        <v/>
      </c>
    </row>
    <row r="51">
      <c r="I51">
        <f>IF(COUNTA(C51:H51)=0,"",C51*$L$2+D51*$L$3+E51*$L$4+F51*$L$5+G51*$L$6+H51*$L$7)</f>
        <v/>
      </c>
      <c r="J51">
        <f>IF(I51="","",IF(I51&gt;=2.5,3,IF(I51&gt;=2,2,IF(I51&gt;=1.5,1,0))))</f>
        <v/>
      </c>
    </row>
    <row r="52">
      <c r="I52">
        <f>IF(COUNTA(C52:H52)=0,"",C52*$L$2+D52*$L$3+E52*$L$4+F52*$L$5+G52*$L$6+H52*$L$7)</f>
        <v/>
      </c>
      <c r="J52">
        <f>IF(I52="","",IF(I52&gt;=2.5,3,IF(I52&gt;=2,2,IF(I52&gt;=1.5,1,0))))</f>
        <v/>
      </c>
    </row>
    <row r="53">
      <c r="I53">
        <f>IF(COUNTA(C53:H53)=0,"",C53*$L$2+D53*$L$3+E53*$L$4+F53*$L$5+G53*$L$6+H53*$L$7)</f>
        <v/>
      </c>
      <c r="J53">
        <f>IF(I53="","",IF(I53&gt;=2.5,3,IF(I53&gt;=2,2,IF(I53&gt;=1.5,1,0))))</f>
        <v/>
      </c>
    </row>
    <row r="54">
      <c r="I54">
        <f>IF(COUNTA(C54:H54)=0,"",C54*$L$2+D54*$L$3+E54*$L$4+F54*$L$5+G54*$L$6+H54*$L$7)</f>
        <v/>
      </c>
      <c r="J54">
        <f>IF(I54="","",IF(I54&gt;=2.5,3,IF(I54&gt;=2,2,IF(I54&gt;=1.5,1,0))))</f>
        <v/>
      </c>
    </row>
    <row r="55">
      <c r="I55">
        <f>IF(COUNTA(C55:H55)=0,"",C55*$L$2+D55*$L$3+E55*$L$4+F55*$L$5+G55*$L$6+H55*$L$7)</f>
        <v/>
      </c>
      <c r="J55">
        <f>IF(I55="","",IF(I55&gt;=2.5,3,IF(I55&gt;=2,2,IF(I55&gt;=1.5,1,0))))</f>
        <v/>
      </c>
    </row>
    <row r="56">
      <c r="I56">
        <f>IF(COUNTA(C56:H56)=0,"",C56*$L$2+D56*$L$3+E56*$L$4+F56*$L$5+G56*$L$6+H56*$L$7)</f>
        <v/>
      </c>
      <c r="J56">
        <f>IF(I56="","",IF(I56&gt;=2.5,3,IF(I56&gt;=2,2,IF(I56&gt;=1.5,1,0))))</f>
        <v/>
      </c>
    </row>
    <row r="57">
      <c r="I57">
        <f>IF(COUNTA(C57:H57)=0,"",C57*$L$2+D57*$L$3+E57*$L$4+F57*$L$5+G57*$L$6+H57*$L$7)</f>
        <v/>
      </c>
      <c r="J57">
        <f>IF(I57="","",IF(I57&gt;=2.5,3,IF(I57&gt;=2,2,IF(I57&gt;=1.5,1,0))))</f>
        <v/>
      </c>
    </row>
    <row r="58">
      <c r="I58">
        <f>IF(COUNTA(C58:H58)=0,"",C58*$L$2+D58*$L$3+E58*$L$4+F58*$L$5+G58*$L$6+H58*$L$7)</f>
        <v/>
      </c>
      <c r="J58">
        <f>IF(I58="","",IF(I58&gt;=2.5,3,IF(I58&gt;=2,2,IF(I58&gt;=1.5,1,0))))</f>
        <v/>
      </c>
    </row>
    <row r="59">
      <c r="I59">
        <f>IF(COUNTA(C59:H59)=0,"",C59*$L$2+D59*$L$3+E59*$L$4+F59*$L$5+G59*$L$6+H59*$L$7)</f>
        <v/>
      </c>
      <c r="J59">
        <f>IF(I59="","",IF(I59&gt;=2.5,3,IF(I59&gt;=2,2,IF(I59&gt;=1.5,1,0))))</f>
        <v/>
      </c>
    </row>
    <row r="60">
      <c r="I60">
        <f>IF(COUNTA(C60:H60)=0,"",C60*$L$2+D60*$L$3+E60*$L$4+F60*$L$5+G60*$L$6+H60*$L$7)</f>
        <v/>
      </c>
      <c r="J60">
        <f>IF(I60="","",IF(I60&gt;=2.5,3,IF(I60&gt;=2,2,IF(I60&gt;=1.5,1,0))))</f>
        <v/>
      </c>
    </row>
    <row r="61">
      <c r="I61">
        <f>IF(COUNTA(C61:H61)=0,"",C61*$L$2+D61*$L$3+E61*$L$4+F61*$L$5+G61*$L$6+H61*$L$7)</f>
        <v/>
      </c>
      <c r="J61">
        <f>IF(I61="","",IF(I61&gt;=2.5,3,IF(I61&gt;=2,2,IF(I61&gt;=1.5,1,0))))</f>
        <v/>
      </c>
    </row>
    <row r="62">
      <c r="I62">
        <f>IF(COUNTA(C62:H62)=0,"",C62*$L$2+D62*$L$3+E62*$L$4+F62*$L$5+G62*$L$6+H62*$L$7)</f>
        <v/>
      </c>
      <c r="J62">
        <f>IF(I62="","",IF(I62&gt;=2.5,3,IF(I62&gt;=2,2,IF(I62&gt;=1.5,1,0))))</f>
        <v/>
      </c>
    </row>
    <row r="63">
      <c r="I63">
        <f>IF(COUNTA(C63:H63)=0,"",C63*$L$2+D63*$L$3+E63*$L$4+F63*$L$5+G63*$L$6+H63*$L$7)</f>
        <v/>
      </c>
      <c r="J63">
        <f>IF(I63="","",IF(I63&gt;=2.5,3,IF(I63&gt;=2,2,IF(I63&gt;=1.5,1,0))))</f>
        <v/>
      </c>
    </row>
    <row r="64">
      <c r="I64">
        <f>IF(COUNTA(C64:H64)=0,"",C64*$L$2+D64*$L$3+E64*$L$4+F64*$L$5+G64*$L$6+H64*$L$7)</f>
        <v/>
      </c>
      <c r="J64">
        <f>IF(I64="","",IF(I64&gt;=2.5,3,IF(I64&gt;=2,2,IF(I64&gt;=1.5,1,0))))</f>
        <v/>
      </c>
    </row>
    <row r="65">
      <c r="I65">
        <f>IF(COUNTA(C65:H65)=0,"",C65*$L$2+D65*$L$3+E65*$L$4+F65*$L$5+G65*$L$6+H65*$L$7)</f>
        <v/>
      </c>
      <c r="J65">
        <f>IF(I65="","",IF(I65&gt;=2.5,3,IF(I65&gt;=2,2,IF(I65&gt;=1.5,1,0))))</f>
        <v/>
      </c>
    </row>
    <row r="66">
      <c r="I66">
        <f>IF(COUNTA(C66:H66)=0,"",C66*$L$2+D66*$L$3+E66*$L$4+F66*$L$5+G66*$L$6+H66*$L$7)</f>
        <v/>
      </c>
      <c r="J66">
        <f>IF(I66="","",IF(I66&gt;=2.5,3,IF(I66&gt;=2,2,IF(I66&gt;=1.5,1,0))))</f>
        <v/>
      </c>
    </row>
    <row r="67">
      <c r="I67">
        <f>IF(COUNTA(C67:H67)=0,"",C67*$L$2+D67*$L$3+E67*$L$4+F67*$L$5+G67*$L$6+H67*$L$7)</f>
        <v/>
      </c>
      <c r="J67">
        <f>IF(I67="","",IF(I67&gt;=2.5,3,IF(I67&gt;=2,2,IF(I67&gt;=1.5,1,0))))</f>
        <v/>
      </c>
    </row>
    <row r="68">
      <c r="I68">
        <f>IF(COUNTA(C68:H68)=0,"",C68*$L$2+D68*$L$3+E68*$L$4+F68*$L$5+G68*$L$6+H68*$L$7)</f>
        <v/>
      </c>
      <c r="J68">
        <f>IF(I68="","",IF(I68&gt;=2.5,3,IF(I68&gt;=2,2,IF(I68&gt;=1.5,1,0))))</f>
        <v/>
      </c>
    </row>
    <row r="69">
      <c r="I69">
        <f>IF(COUNTA(C69:H69)=0,"",C69*$L$2+D69*$L$3+E69*$L$4+F69*$L$5+G69*$L$6+H69*$L$7)</f>
        <v/>
      </c>
      <c r="J69">
        <f>IF(I69="","",IF(I69&gt;=2.5,3,IF(I69&gt;=2,2,IF(I69&gt;=1.5,1,0))))</f>
        <v/>
      </c>
    </row>
    <row r="70">
      <c r="I70">
        <f>IF(COUNTA(C70:H70)=0,"",C70*$L$2+D70*$L$3+E70*$L$4+F70*$L$5+G70*$L$6+H70*$L$7)</f>
        <v/>
      </c>
      <c r="J70">
        <f>IF(I70="","",IF(I70&gt;=2.5,3,IF(I70&gt;=2,2,IF(I70&gt;=1.5,1,0))))</f>
        <v/>
      </c>
    </row>
    <row r="71">
      <c r="I71">
        <f>IF(COUNTA(C71:H71)=0,"",C71*$L$2+D71*$L$3+E71*$L$4+F71*$L$5+G71*$L$6+H71*$L$7)</f>
        <v/>
      </c>
      <c r="J71">
        <f>IF(I71="","",IF(I71&gt;=2.5,3,IF(I71&gt;=2,2,IF(I71&gt;=1.5,1,0))))</f>
        <v/>
      </c>
    </row>
    <row r="72">
      <c r="I72">
        <f>IF(COUNTA(C72:H72)=0,"",C72*$L$2+D72*$L$3+E72*$L$4+F72*$L$5+G72*$L$6+H72*$L$7)</f>
        <v/>
      </c>
      <c r="J72">
        <f>IF(I72="","",IF(I72&gt;=2.5,3,IF(I72&gt;=2,2,IF(I72&gt;=1.5,1,0))))</f>
        <v/>
      </c>
    </row>
    <row r="73">
      <c r="I73">
        <f>IF(COUNTA(C73:H73)=0,"",C73*$L$2+D73*$L$3+E73*$L$4+F73*$L$5+G73*$L$6+H73*$L$7)</f>
        <v/>
      </c>
      <c r="J73">
        <f>IF(I73="","",IF(I73&gt;=2.5,3,IF(I73&gt;=2,2,IF(I73&gt;=1.5,1,0))))</f>
        <v/>
      </c>
    </row>
    <row r="74">
      <c r="I74">
        <f>IF(COUNTA(C74:H74)=0,"",C74*$L$2+D74*$L$3+E74*$L$4+F74*$L$5+G74*$L$6+H74*$L$7)</f>
        <v/>
      </c>
      <c r="J74">
        <f>IF(I74="","",IF(I74&gt;=2.5,3,IF(I74&gt;=2,2,IF(I74&gt;=1.5,1,0))))</f>
        <v/>
      </c>
    </row>
    <row r="75">
      <c r="I75">
        <f>IF(COUNTA(C75:H75)=0,"",C75*$L$2+D75*$L$3+E75*$L$4+F75*$L$5+G75*$L$6+H75*$L$7)</f>
        <v/>
      </c>
      <c r="J75">
        <f>IF(I75="","",IF(I75&gt;=2.5,3,IF(I75&gt;=2,2,IF(I75&gt;=1.5,1,0))))</f>
        <v/>
      </c>
    </row>
    <row r="76">
      <c r="I76">
        <f>IF(COUNTA(C76:H76)=0,"",C76*$L$2+D76*$L$3+E76*$L$4+F76*$L$5+G76*$L$6+H76*$L$7)</f>
        <v/>
      </c>
      <c r="J76">
        <f>IF(I76="","",IF(I76&gt;=2.5,3,IF(I76&gt;=2,2,IF(I76&gt;=1.5,1,0))))</f>
        <v/>
      </c>
    </row>
    <row r="77">
      <c r="I77">
        <f>IF(COUNTA(C77:H77)=0,"",C77*$L$2+D77*$L$3+E77*$L$4+F77*$L$5+G77*$L$6+H77*$L$7)</f>
        <v/>
      </c>
      <c r="J77">
        <f>IF(I77="","",IF(I77&gt;=2.5,3,IF(I77&gt;=2,2,IF(I77&gt;=1.5,1,0))))</f>
        <v/>
      </c>
    </row>
    <row r="78">
      <c r="I78">
        <f>IF(COUNTA(C78:H78)=0,"",C78*$L$2+D78*$L$3+E78*$L$4+F78*$L$5+G78*$L$6+H78*$L$7)</f>
        <v/>
      </c>
      <c r="J78">
        <f>IF(I78="","",IF(I78&gt;=2.5,3,IF(I78&gt;=2,2,IF(I78&gt;=1.5,1,0))))</f>
        <v/>
      </c>
    </row>
    <row r="79">
      <c r="I79">
        <f>IF(COUNTA(C79:H79)=0,"",C79*$L$2+D79*$L$3+E79*$L$4+F79*$L$5+G79*$L$6+H79*$L$7)</f>
        <v/>
      </c>
      <c r="J79">
        <f>IF(I79="","",IF(I79&gt;=2.5,3,IF(I79&gt;=2,2,IF(I79&gt;=1.5,1,0))))</f>
        <v/>
      </c>
    </row>
    <row r="80">
      <c r="I80">
        <f>IF(COUNTA(C80:H80)=0,"",C80*$L$2+D80*$L$3+E80*$L$4+F80*$L$5+G80*$L$6+H80*$L$7)</f>
        <v/>
      </c>
      <c r="J80">
        <f>IF(I80="","",IF(I80&gt;=2.5,3,IF(I80&gt;=2,2,IF(I80&gt;=1.5,1,0))))</f>
        <v/>
      </c>
    </row>
    <row r="81">
      <c r="I81">
        <f>IF(COUNTA(C81:H81)=0,"",C81*$L$2+D81*$L$3+E81*$L$4+F81*$L$5+G81*$L$6+H81*$L$7)</f>
        <v/>
      </c>
      <c r="J81">
        <f>IF(I81="","",IF(I81&gt;=2.5,3,IF(I81&gt;=2,2,IF(I81&gt;=1.5,1,0))))</f>
        <v/>
      </c>
    </row>
    <row r="82">
      <c r="I82">
        <f>IF(COUNTA(C82:H82)=0,"",C82*$L$2+D82*$L$3+E82*$L$4+F82*$L$5+G82*$L$6+H82*$L$7)</f>
        <v/>
      </c>
      <c r="J82">
        <f>IF(I82="","",IF(I82&gt;=2.5,3,IF(I82&gt;=2,2,IF(I82&gt;=1.5,1,0))))</f>
        <v/>
      </c>
    </row>
    <row r="83">
      <c r="I83">
        <f>IF(COUNTA(C83:H83)=0,"",C83*$L$2+D83*$L$3+E83*$L$4+F83*$L$5+G83*$L$6+H83*$L$7)</f>
        <v/>
      </c>
      <c r="J83">
        <f>IF(I83="","",IF(I83&gt;=2.5,3,IF(I83&gt;=2,2,IF(I83&gt;=1.5,1,0))))</f>
        <v/>
      </c>
    </row>
    <row r="84">
      <c r="I84">
        <f>IF(COUNTA(C84:H84)=0,"",C84*$L$2+D84*$L$3+E84*$L$4+F84*$L$5+G84*$L$6+H84*$L$7)</f>
        <v/>
      </c>
      <c r="J84">
        <f>IF(I84="","",IF(I84&gt;=2.5,3,IF(I84&gt;=2,2,IF(I84&gt;=1.5,1,0))))</f>
        <v/>
      </c>
    </row>
    <row r="85">
      <c r="I85">
        <f>IF(COUNTA(C85:H85)=0,"",C85*$L$2+D85*$L$3+E85*$L$4+F85*$L$5+G85*$L$6+H85*$L$7)</f>
        <v/>
      </c>
      <c r="J85">
        <f>IF(I85="","",IF(I85&gt;=2.5,3,IF(I85&gt;=2,2,IF(I85&gt;=1.5,1,0))))</f>
        <v/>
      </c>
    </row>
    <row r="86">
      <c r="I86">
        <f>IF(COUNTA(C86:H86)=0,"",C86*$L$2+D86*$L$3+E86*$L$4+F86*$L$5+G86*$L$6+H86*$L$7)</f>
        <v/>
      </c>
      <c r="J86">
        <f>IF(I86="","",IF(I86&gt;=2.5,3,IF(I86&gt;=2,2,IF(I86&gt;=1.5,1,0))))</f>
        <v/>
      </c>
    </row>
    <row r="87">
      <c r="I87">
        <f>IF(COUNTA(C87:H87)=0,"",C87*$L$2+D87*$L$3+E87*$L$4+F87*$L$5+G87*$L$6+H87*$L$7)</f>
        <v/>
      </c>
      <c r="J87">
        <f>IF(I87="","",IF(I87&gt;=2.5,3,IF(I87&gt;=2,2,IF(I87&gt;=1.5,1,0))))</f>
        <v/>
      </c>
    </row>
    <row r="88">
      <c r="I88">
        <f>IF(COUNTA(C88:H88)=0,"",C88*$L$2+D88*$L$3+E88*$L$4+F88*$L$5+G88*$L$6+H88*$L$7)</f>
        <v/>
      </c>
      <c r="J88">
        <f>IF(I88="","",IF(I88&gt;=2.5,3,IF(I88&gt;=2,2,IF(I88&gt;=1.5,1,0))))</f>
        <v/>
      </c>
    </row>
    <row r="89">
      <c r="I89">
        <f>IF(COUNTA(C89:H89)=0,"",C89*$L$2+D89*$L$3+E89*$L$4+F89*$L$5+G89*$L$6+H89*$L$7)</f>
        <v/>
      </c>
      <c r="J89">
        <f>IF(I89="","",IF(I89&gt;=2.5,3,IF(I89&gt;=2,2,IF(I89&gt;=1.5,1,0))))</f>
        <v/>
      </c>
    </row>
    <row r="90">
      <c r="I90">
        <f>IF(COUNTA(C90:H90)=0,"",C90*$L$2+D90*$L$3+E90*$L$4+F90*$L$5+G90*$L$6+H90*$L$7)</f>
        <v/>
      </c>
      <c r="J90">
        <f>IF(I90="","",IF(I90&gt;=2.5,3,IF(I90&gt;=2,2,IF(I90&gt;=1.5,1,0))))</f>
        <v/>
      </c>
    </row>
    <row r="91">
      <c r="I91">
        <f>IF(COUNTA(C91:H91)=0,"",C91*$L$2+D91*$L$3+E91*$L$4+F91*$L$5+G91*$L$6+H91*$L$7)</f>
        <v/>
      </c>
      <c r="J91">
        <f>IF(I91="","",IF(I91&gt;=2.5,3,IF(I91&gt;=2,2,IF(I91&gt;=1.5,1,0))))</f>
        <v/>
      </c>
    </row>
    <row r="92">
      <c r="I92">
        <f>IF(COUNTA(C92:H92)=0,"",C92*$L$2+D92*$L$3+E92*$L$4+F92*$L$5+G92*$L$6+H92*$L$7)</f>
        <v/>
      </c>
      <c r="J92">
        <f>IF(I92="","",IF(I92&gt;=2.5,3,IF(I92&gt;=2,2,IF(I92&gt;=1.5,1,0))))</f>
        <v/>
      </c>
    </row>
    <row r="93">
      <c r="I93">
        <f>IF(COUNTA(C93:H93)=0,"",C93*$L$2+D93*$L$3+E93*$L$4+F93*$L$5+G93*$L$6+H93*$L$7)</f>
        <v/>
      </c>
      <c r="J93">
        <f>IF(I93="","",IF(I93&gt;=2.5,3,IF(I93&gt;=2,2,IF(I93&gt;=1.5,1,0))))</f>
        <v/>
      </c>
    </row>
    <row r="94">
      <c r="I94">
        <f>IF(COUNTA(C94:H94)=0,"",C94*$L$2+D94*$L$3+E94*$L$4+F94*$L$5+G94*$L$6+H94*$L$7)</f>
        <v/>
      </c>
      <c r="J94">
        <f>IF(I94="","",IF(I94&gt;=2.5,3,IF(I94&gt;=2,2,IF(I94&gt;=1.5,1,0))))</f>
        <v/>
      </c>
    </row>
    <row r="95">
      <c r="I95">
        <f>IF(COUNTA(C95:H95)=0,"",C95*$L$2+D95*$L$3+E95*$L$4+F95*$L$5+G95*$L$6+H95*$L$7)</f>
        <v/>
      </c>
      <c r="J95">
        <f>IF(I95="","",IF(I95&gt;=2.5,3,IF(I95&gt;=2,2,IF(I95&gt;=1.5,1,0))))</f>
        <v/>
      </c>
    </row>
    <row r="96">
      <c r="I96">
        <f>IF(COUNTA(C96:H96)=0,"",C96*$L$2+D96*$L$3+E96*$L$4+F96*$L$5+G96*$L$6+H96*$L$7)</f>
        <v/>
      </c>
      <c r="J96">
        <f>IF(I96="","",IF(I96&gt;=2.5,3,IF(I96&gt;=2,2,IF(I96&gt;=1.5,1,0))))</f>
        <v/>
      </c>
    </row>
    <row r="97">
      <c r="I97">
        <f>IF(COUNTA(C97:H97)=0,"",C97*$L$2+D97*$L$3+E97*$L$4+F97*$L$5+G97*$L$6+H97*$L$7)</f>
        <v/>
      </c>
      <c r="J97">
        <f>IF(I97="","",IF(I97&gt;=2.5,3,IF(I97&gt;=2,2,IF(I97&gt;=1.5,1,0))))</f>
        <v/>
      </c>
    </row>
    <row r="98">
      <c r="I98">
        <f>IF(COUNTA(C98:H98)=0,"",C98*$L$2+D98*$L$3+E98*$L$4+F98*$L$5+G98*$L$6+H98*$L$7)</f>
        <v/>
      </c>
      <c r="J98">
        <f>IF(I98="","",IF(I98&gt;=2.5,3,IF(I98&gt;=2,2,IF(I98&gt;=1.5,1,0))))</f>
        <v/>
      </c>
    </row>
    <row r="99">
      <c r="I99">
        <f>IF(COUNTA(C99:H99)=0,"",C99*$L$2+D99*$L$3+E99*$L$4+F99*$L$5+G99*$L$6+H99*$L$7)</f>
        <v/>
      </c>
      <c r="J99">
        <f>IF(I99="","",IF(I99&gt;=2.5,3,IF(I99&gt;=2,2,IF(I99&gt;=1.5,1,0))))</f>
        <v/>
      </c>
    </row>
    <row r="100">
      <c r="I100">
        <f>IF(COUNTA(C100:H100)=0,"",C100*$L$2+D100*$L$3+E100*$L$4+F100*$L$5+G100*$L$6+H100*$L$7)</f>
        <v/>
      </c>
      <c r="J100">
        <f>IF(I100="","",IF(I100&gt;=2.5,3,IF(I100&gt;=2,2,IF(I100&gt;=1.5,1,0))))</f>
        <v/>
      </c>
    </row>
    <row r="101">
      <c r="I101">
        <f>IF(COUNTA(C101:H101)=0,"",C101*$L$2+D101*$L$3+E101*$L$4+F101*$L$5+G101*$L$6+H101*$L$7)</f>
        <v/>
      </c>
      <c r="J101">
        <f>IF(I101="","",IF(I101&gt;=2.5,3,IF(I101&gt;=2,2,IF(I101&gt;=1.5,1,0))))</f>
        <v/>
      </c>
    </row>
    <row r="102">
      <c r="I102">
        <f>IF(COUNTA(C102:H102)=0,"",C102*$L$2+D102*$L$3+E102*$L$4+F102*$L$5+G102*$L$6+H102*$L$7)</f>
        <v/>
      </c>
      <c r="J102">
        <f>IF(I102="","",IF(I102&gt;=2.5,3,IF(I102&gt;=2,2,IF(I102&gt;=1.5,1,0))))</f>
        <v/>
      </c>
    </row>
    <row r="103">
      <c r="I103">
        <f>IF(COUNTA(C103:H103)=0,"",C103*$L$2+D103*$L$3+E103*$L$4+F103*$L$5+G103*$L$6+H103*$L$7)</f>
        <v/>
      </c>
      <c r="J103">
        <f>IF(I103="","",IF(I103&gt;=2.5,3,IF(I103&gt;=2,2,IF(I103&gt;=1.5,1,0))))</f>
        <v/>
      </c>
    </row>
    <row r="104">
      <c r="I104">
        <f>IF(COUNTA(C104:H104)=0,"",C104*$L$2+D104*$L$3+E104*$L$4+F104*$L$5+G104*$L$6+H104*$L$7)</f>
        <v/>
      </c>
      <c r="J104">
        <f>IF(I104="","",IF(I104&gt;=2.5,3,IF(I104&gt;=2,2,IF(I104&gt;=1.5,1,0))))</f>
        <v/>
      </c>
    </row>
    <row r="105">
      <c r="I105">
        <f>IF(COUNTA(C105:H105)=0,"",C105*$L$2+D105*$L$3+E105*$L$4+F105*$L$5+G105*$L$6+H105*$L$7)</f>
        <v/>
      </c>
      <c r="J105">
        <f>IF(I105="","",IF(I105&gt;=2.5,3,IF(I105&gt;=2,2,IF(I105&gt;=1.5,1,0))))</f>
        <v/>
      </c>
    </row>
    <row r="106">
      <c r="I106">
        <f>IF(COUNTA(C106:H106)=0,"",C106*$L$2+D106*$L$3+E106*$L$4+F106*$L$5+G106*$L$6+H106*$L$7)</f>
        <v/>
      </c>
      <c r="J106">
        <f>IF(I106="","",IF(I106&gt;=2.5,3,IF(I106&gt;=2,2,IF(I106&gt;=1.5,1,0))))</f>
        <v/>
      </c>
    </row>
    <row r="107">
      <c r="I107">
        <f>IF(COUNTA(C107:H107)=0,"",C107*$L$2+D107*$L$3+E107*$L$4+F107*$L$5+G107*$L$6+H107*$L$7)</f>
        <v/>
      </c>
      <c r="J107">
        <f>IF(I107="","",IF(I107&gt;=2.5,3,IF(I107&gt;=2,2,IF(I107&gt;=1.5,1,0))))</f>
        <v/>
      </c>
    </row>
    <row r="108">
      <c r="I108">
        <f>IF(COUNTA(C108:H108)=0,"",C108*$L$2+D108*$L$3+E108*$L$4+F108*$L$5+G108*$L$6+H108*$L$7)</f>
        <v/>
      </c>
      <c r="J108">
        <f>IF(I108="","",IF(I108&gt;=2.5,3,IF(I108&gt;=2,2,IF(I108&gt;=1.5,1,0))))</f>
        <v/>
      </c>
    </row>
    <row r="109">
      <c r="I109">
        <f>IF(COUNTA(C109:H109)=0,"",C109*$L$2+D109*$L$3+E109*$L$4+F109*$L$5+G109*$L$6+H109*$L$7)</f>
        <v/>
      </c>
      <c r="J109">
        <f>IF(I109="","",IF(I109&gt;=2.5,3,IF(I109&gt;=2,2,IF(I109&gt;=1.5,1,0))))</f>
        <v/>
      </c>
    </row>
    <row r="110">
      <c r="I110">
        <f>IF(COUNTA(C110:H110)=0,"",C110*$L$2+D110*$L$3+E110*$L$4+F110*$L$5+G110*$L$6+H110*$L$7)</f>
        <v/>
      </c>
      <c r="J110">
        <f>IF(I110="","",IF(I110&gt;=2.5,3,IF(I110&gt;=2,2,IF(I110&gt;=1.5,1,0))))</f>
        <v/>
      </c>
    </row>
    <row r="111">
      <c r="I111">
        <f>IF(COUNTA(C111:H111)=0,"",C111*$L$2+D111*$L$3+E111*$L$4+F111*$L$5+G111*$L$6+H111*$L$7)</f>
        <v/>
      </c>
      <c r="J111">
        <f>IF(I111="","",IF(I111&gt;=2.5,3,IF(I111&gt;=2,2,IF(I111&gt;=1.5,1,0))))</f>
        <v/>
      </c>
    </row>
    <row r="112">
      <c r="I112">
        <f>IF(COUNTA(C112:H112)=0,"",C112*$L$2+D112*$L$3+E112*$L$4+F112*$L$5+G112*$L$6+H112*$L$7)</f>
        <v/>
      </c>
      <c r="J112">
        <f>IF(I112="","",IF(I112&gt;=2.5,3,IF(I112&gt;=2,2,IF(I112&gt;=1.5,1,0))))</f>
        <v/>
      </c>
    </row>
    <row r="113">
      <c r="I113">
        <f>IF(COUNTA(C113:H113)=0,"",C113*$L$2+D113*$L$3+E113*$L$4+F113*$L$5+G113*$L$6+H113*$L$7)</f>
        <v/>
      </c>
      <c r="J113">
        <f>IF(I113="","",IF(I113&gt;=2.5,3,IF(I113&gt;=2,2,IF(I113&gt;=1.5,1,0))))</f>
        <v/>
      </c>
    </row>
    <row r="114">
      <c r="I114">
        <f>IF(COUNTA(C114:H114)=0,"",C114*$L$2+D114*$L$3+E114*$L$4+F114*$L$5+G114*$L$6+H114*$L$7)</f>
        <v/>
      </c>
      <c r="J114">
        <f>IF(I114="","",IF(I114&gt;=2.5,3,IF(I114&gt;=2,2,IF(I114&gt;=1.5,1,0))))</f>
        <v/>
      </c>
    </row>
    <row r="115">
      <c r="I115">
        <f>IF(COUNTA(C115:H115)=0,"",C115*$L$2+D115*$L$3+E115*$L$4+F115*$L$5+G115*$L$6+H115*$L$7)</f>
        <v/>
      </c>
      <c r="J115">
        <f>IF(I115="","",IF(I115&gt;=2.5,3,IF(I115&gt;=2,2,IF(I115&gt;=1.5,1,0))))</f>
        <v/>
      </c>
    </row>
    <row r="116">
      <c r="I116">
        <f>IF(COUNTA(C116:H116)=0,"",C116*$L$2+D116*$L$3+E116*$L$4+F116*$L$5+G116*$L$6+H116*$L$7)</f>
        <v/>
      </c>
      <c r="J116">
        <f>IF(I116="","",IF(I116&gt;=2.5,3,IF(I116&gt;=2,2,IF(I116&gt;=1.5,1,0))))</f>
        <v/>
      </c>
    </row>
    <row r="117">
      <c r="I117">
        <f>IF(COUNTA(C117:H117)=0,"",C117*$L$2+D117*$L$3+E117*$L$4+F117*$L$5+G117*$L$6+H117*$L$7)</f>
        <v/>
      </c>
      <c r="J117">
        <f>IF(I117="","",IF(I117&gt;=2.5,3,IF(I117&gt;=2,2,IF(I117&gt;=1.5,1,0))))</f>
        <v/>
      </c>
    </row>
    <row r="118">
      <c r="I118">
        <f>IF(COUNTA(C118:H118)=0,"",C118*$L$2+D118*$L$3+E118*$L$4+F118*$L$5+G118*$L$6+H118*$L$7)</f>
        <v/>
      </c>
      <c r="J118">
        <f>IF(I118="","",IF(I118&gt;=2.5,3,IF(I118&gt;=2,2,IF(I118&gt;=1.5,1,0))))</f>
        <v/>
      </c>
    </row>
    <row r="119">
      <c r="I119">
        <f>IF(COUNTA(C119:H119)=0,"",C119*$L$2+D119*$L$3+E119*$L$4+F119*$L$5+G119*$L$6+H119*$L$7)</f>
        <v/>
      </c>
      <c r="J119">
        <f>IF(I119="","",IF(I119&gt;=2.5,3,IF(I119&gt;=2,2,IF(I119&gt;=1.5,1,0))))</f>
        <v/>
      </c>
    </row>
    <row r="120">
      <c r="I120">
        <f>IF(COUNTA(C120:H120)=0,"",C120*$L$2+D120*$L$3+E120*$L$4+F120*$L$5+G120*$L$6+H120*$L$7)</f>
        <v/>
      </c>
      <c r="J120">
        <f>IF(I120="","",IF(I120&gt;=2.5,3,IF(I120&gt;=2,2,IF(I120&gt;=1.5,1,0))))</f>
        <v/>
      </c>
    </row>
    <row r="121">
      <c r="I121">
        <f>IF(COUNTA(C121:H121)=0,"",C121*$L$2+D121*$L$3+E121*$L$4+F121*$L$5+G121*$L$6+H121*$L$7)</f>
        <v/>
      </c>
      <c r="J121">
        <f>IF(I121="","",IF(I121&gt;=2.5,3,IF(I121&gt;=2,2,IF(I121&gt;=1.5,1,0))))</f>
        <v/>
      </c>
    </row>
    <row r="122">
      <c r="I122">
        <f>IF(COUNTA(C122:H122)=0,"",C122*$L$2+D122*$L$3+E122*$L$4+F122*$L$5+G122*$L$6+H122*$L$7)</f>
        <v/>
      </c>
      <c r="J122">
        <f>IF(I122="","",IF(I122&gt;=2.5,3,IF(I122&gt;=2,2,IF(I122&gt;=1.5,1,0))))</f>
        <v/>
      </c>
    </row>
    <row r="123">
      <c r="I123">
        <f>IF(COUNTA(C123:H123)=0,"",C123*$L$2+D123*$L$3+E123*$L$4+F123*$L$5+G123*$L$6+H123*$L$7)</f>
        <v/>
      </c>
      <c r="J123">
        <f>IF(I123="","",IF(I123&gt;=2.5,3,IF(I123&gt;=2,2,IF(I123&gt;=1.5,1,0))))</f>
        <v/>
      </c>
    </row>
    <row r="124">
      <c r="I124">
        <f>IF(COUNTA(C124:H124)=0,"",C124*$L$2+D124*$L$3+E124*$L$4+F124*$L$5+G124*$L$6+H124*$L$7)</f>
        <v/>
      </c>
      <c r="J124">
        <f>IF(I124="","",IF(I124&gt;=2.5,3,IF(I124&gt;=2,2,IF(I124&gt;=1.5,1,0))))</f>
        <v/>
      </c>
    </row>
    <row r="125">
      <c r="I125">
        <f>IF(COUNTA(C125:H125)=0,"",C125*$L$2+D125*$L$3+E125*$L$4+F125*$L$5+G125*$L$6+H125*$L$7)</f>
        <v/>
      </c>
      <c r="J125">
        <f>IF(I125="","",IF(I125&gt;=2.5,3,IF(I125&gt;=2,2,IF(I125&gt;=1.5,1,0))))</f>
        <v/>
      </c>
    </row>
    <row r="126">
      <c r="I126">
        <f>IF(COUNTA(C126:H126)=0,"",C126*$L$2+D126*$L$3+E126*$L$4+F126*$L$5+G126*$L$6+H126*$L$7)</f>
        <v/>
      </c>
      <c r="J126">
        <f>IF(I126="","",IF(I126&gt;=2.5,3,IF(I126&gt;=2,2,IF(I126&gt;=1.5,1,0))))</f>
        <v/>
      </c>
    </row>
    <row r="127">
      <c r="I127">
        <f>IF(COUNTA(C127:H127)=0,"",C127*$L$2+D127*$L$3+E127*$L$4+F127*$L$5+G127*$L$6+H127*$L$7)</f>
        <v/>
      </c>
      <c r="J127">
        <f>IF(I127="","",IF(I127&gt;=2.5,3,IF(I127&gt;=2,2,IF(I127&gt;=1.5,1,0))))</f>
        <v/>
      </c>
    </row>
    <row r="128">
      <c r="I128">
        <f>IF(COUNTA(C128:H128)=0,"",C128*$L$2+D128*$L$3+E128*$L$4+F128*$L$5+G128*$L$6+H128*$L$7)</f>
        <v/>
      </c>
      <c r="J128">
        <f>IF(I128="","",IF(I128&gt;=2.5,3,IF(I128&gt;=2,2,IF(I128&gt;=1.5,1,0))))</f>
        <v/>
      </c>
    </row>
    <row r="129">
      <c r="I129">
        <f>IF(COUNTA(C129:H129)=0,"",C129*$L$2+D129*$L$3+E129*$L$4+F129*$L$5+G129*$L$6+H129*$L$7)</f>
        <v/>
      </c>
      <c r="J129">
        <f>IF(I129="","",IF(I129&gt;=2.5,3,IF(I129&gt;=2,2,IF(I129&gt;=1.5,1,0))))</f>
        <v/>
      </c>
    </row>
    <row r="130">
      <c r="I130">
        <f>IF(COUNTA(C130:H130)=0,"",C130*$L$2+D130*$L$3+E130*$L$4+F130*$L$5+G130*$L$6+H130*$L$7)</f>
        <v/>
      </c>
      <c r="J130">
        <f>IF(I130="","",IF(I130&gt;=2.5,3,IF(I130&gt;=2,2,IF(I130&gt;=1.5,1,0))))</f>
        <v/>
      </c>
    </row>
    <row r="131">
      <c r="I131">
        <f>IF(COUNTA(C131:H131)=0,"",C131*$L$2+D131*$L$3+E131*$L$4+F131*$L$5+G131*$L$6+H131*$L$7)</f>
        <v/>
      </c>
      <c r="J131">
        <f>IF(I131="","",IF(I131&gt;=2.5,3,IF(I131&gt;=2,2,IF(I131&gt;=1.5,1,0))))</f>
        <v/>
      </c>
    </row>
    <row r="132">
      <c r="I132">
        <f>IF(COUNTA(C132:H132)=0,"",C132*$L$2+D132*$L$3+E132*$L$4+F132*$L$5+G132*$L$6+H132*$L$7)</f>
        <v/>
      </c>
      <c r="J132">
        <f>IF(I132="","",IF(I132&gt;=2.5,3,IF(I132&gt;=2,2,IF(I132&gt;=1.5,1,0))))</f>
        <v/>
      </c>
    </row>
    <row r="133">
      <c r="I133">
        <f>IF(COUNTA(C133:H133)=0,"",C133*$L$2+D133*$L$3+E133*$L$4+F133*$L$5+G133*$L$6+H133*$L$7)</f>
        <v/>
      </c>
      <c r="J133">
        <f>IF(I133="","",IF(I133&gt;=2.5,3,IF(I133&gt;=2,2,IF(I133&gt;=1.5,1,0))))</f>
        <v/>
      </c>
    </row>
    <row r="134">
      <c r="I134">
        <f>IF(COUNTA(C134:H134)=0,"",C134*$L$2+D134*$L$3+E134*$L$4+F134*$L$5+G134*$L$6+H134*$L$7)</f>
        <v/>
      </c>
      <c r="J134">
        <f>IF(I134="","",IF(I134&gt;=2.5,3,IF(I134&gt;=2,2,IF(I134&gt;=1.5,1,0))))</f>
        <v/>
      </c>
    </row>
    <row r="135">
      <c r="I135">
        <f>IF(COUNTA(C135:H135)=0,"",C135*$L$2+D135*$L$3+E135*$L$4+F135*$L$5+G135*$L$6+H135*$L$7)</f>
        <v/>
      </c>
      <c r="J135">
        <f>IF(I135="","",IF(I135&gt;=2.5,3,IF(I135&gt;=2,2,IF(I135&gt;=1.5,1,0))))</f>
        <v/>
      </c>
    </row>
    <row r="136">
      <c r="I136">
        <f>IF(COUNTA(C136:H136)=0,"",C136*$L$2+D136*$L$3+E136*$L$4+F136*$L$5+G136*$L$6+H136*$L$7)</f>
        <v/>
      </c>
      <c r="J136">
        <f>IF(I136="","",IF(I136&gt;=2.5,3,IF(I136&gt;=2,2,IF(I136&gt;=1.5,1,0))))</f>
        <v/>
      </c>
    </row>
    <row r="137">
      <c r="I137">
        <f>IF(COUNTA(C137:H137)=0,"",C137*$L$2+D137*$L$3+E137*$L$4+F137*$L$5+G137*$L$6+H137*$L$7)</f>
        <v/>
      </c>
      <c r="J137">
        <f>IF(I137="","",IF(I137&gt;=2.5,3,IF(I137&gt;=2,2,IF(I137&gt;=1.5,1,0))))</f>
        <v/>
      </c>
    </row>
    <row r="138">
      <c r="I138">
        <f>IF(COUNTA(C138:H138)=0,"",C138*$L$2+D138*$L$3+E138*$L$4+F138*$L$5+G138*$L$6+H138*$L$7)</f>
        <v/>
      </c>
      <c r="J138">
        <f>IF(I138="","",IF(I138&gt;=2.5,3,IF(I138&gt;=2,2,IF(I138&gt;=1.5,1,0))))</f>
        <v/>
      </c>
    </row>
    <row r="139">
      <c r="I139">
        <f>IF(COUNTA(C139:H139)=0,"",C139*$L$2+D139*$L$3+E139*$L$4+F139*$L$5+G139*$L$6+H139*$L$7)</f>
        <v/>
      </c>
      <c r="J139">
        <f>IF(I139="","",IF(I139&gt;=2.5,3,IF(I139&gt;=2,2,IF(I139&gt;=1.5,1,0))))</f>
        <v/>
      </c>
    </row>
    <row r="140">
      <c r="I140">
        <f>IF(COUNTA(C140:H140)=0,"",C140*$L$2+D140*$L$3+E140*$L$4+F140*$L$5+G140*$L$6+H140*$L$7)</f>
        <v/>
      </c>
      <c r="J140">
        <f>IF(I140="","",IF(I140&gt;=2.5,3,IF(I140&gt;=2,2,IF(I140&gt;=1.5,1,0))))</f>
        <v/>
      </c>
    </row>
    <row r="141">
      <c r="I141">
        <f>IF(COUNTA(C141:H141)=0,"",C141*$L$2+D141*$L$3+E141*$L$4+F141*$L$5+G141*$L$6+H141*$L$7)</f>
        <v/>
      </c>
      <c r="J141">
        <f>IF(I141="","",IF(I141&gt;=2.5,3,IF(I141&gt;=2,2,IF(I141&gt;=1.5,1,0))))</f>
        <v/>
      </c>
    </row>
    <row r="142">
      <c r="I142">
        <f>IF(COUNTA(C142:H142)=0,"",C142*$L$2+D142*$L$3+E142*$L$4+F142*$L$5+G142*$L$6+H142*$L$7)</f>
        <v/>
      </c>
      <c r="J142">
        <f>IF(I142="","",IF(I142&gt;=2.5,3,IF(I142&gt;=2,2,IF(I142&gt;=1.5,1,0))))</f>
        <v/>
      </c>
    </row>
    <row r="143">
      <c r="I143">
        <f>IF(COUNTA(C143:H143)=0,"",C143*$L$2+D143*$L$3+E143*$L$4+F143*$L$5+G143*$L$6+H143*$L$7)</f>
        <v/>
      </c>
      <c r="J143">
        <f>IF(I143="","",IF(I143&gt;=2.5,3,IF(I143&gt;=2,2,IF(I143&gt;=1.5,1,0))))</f>
        <v/>
      </c>
    </row>
    <row r="144">
      <c r="I144">
        <f>IF(COUNTA(C144:H144)=0,"",C144*$L$2+D144*$L$3+E144*$L$4+F144*$L$5+G144*$L$6+H144*$L$7)</f>
        <v/>
      </c>
      <c r="J144">
        <f>IF(I144="","",IF(I144&gt;=2.5,3,IF(I144&gt;=2,2,IF(I144&gt;=1.5,1,0))))</f>
        <v/>
      </c>
    </row>
    <row r="145">
      <c r="I145">
        <f>IF(COUNTA(C145:H145)=0,"",C145*$L$2+D145*$L$3+E145*$L$4+F145*$L$5+G145*$L$6+H145*$L$7)</f>
        <v/>
      </c>
      <c r="J145">
        <f>IF(I145="","",IF(I145&gt;=2.5,3,IF(I145&gt;=2,2,IF(I145&gt;=1.5,1,0))))</f>
        <v/>
      </c>
    </row>
    <row r="146">
      <c r="I146">
        <f>IF(COUNTA(C146:H146)=0,"",C146*$L$2+D146*$L$3+E146*$L$4+F146*$L$5+G146*$L$6+H146*$L$7)</f>
        <v/>
      </c>
      <c r="J146">
        <f>IF(I146="","",IF(I146&gt;=2.5,3,IF(I146&gt;=2,2,IF(I146&gt;=1.5,1,0))))</f>
        <v/>
      </c>
    </row>
    <row r="147">
      <c r="I147">
        <f>IF(COUNTA(C147:H147)=0,"",C147*$L$2+D147*$L$3+E147*$L$4+F147*$L$5+G147*$L$6+H147*$L$7)</f>
        <v/>
      </c>
      <c r="J147">
        <f>IF(I147="","",IF(I147&gt;=2.5,3,IF(I147&gt;=2,2,IF(I147&gt;=1.5,1,0))))</f>
        <v/>
      </c>
    </row>
    <row r="148">
      <c r="I148">
        <f>IF(COUNTA(C148:H148)=0,"",C148*$L$2+D148*$L$3+E148*$L$4+F148*$L$5+G148*$L$6+H148*$L$7)</f>
        <v/>
      </c>
      <c r="J148">
        <f>IF(I148="","",IF(I148&gt;=2.5,3,IF(I148&gt;=2,2,IF(I148&gt;=1.5,1,0))))</f>
        <v/>
      </c>
    </row>
    <row r="149">
      <c r="I149">
        <f>IF(COUNTA(C149:H149)=0,"",C149*$L$2+D149*$L$3+E149*$L$4+F149*$L$5+G149*$L$6+H149*$L$7)</f>
        <v/>
      </c>
      <c r="J149">
        <f>IF(I149="","",IF(I149&gt;=2.5,3,IF(I149&gt;=2,2,IF(I149&gt;=1.5,1,0))))</f>
        <v/>
      </c>
    </row>
    <row r="150">
      <c r="I150">
        <f>IF(COUNTA(C150:H150)=0,"",C150*$L$2+D150*$L$3+E150*$L$4+F150*$L$5+G150*$L$6+H150*$L$7)</f>
        <v/>
      </c>
      <c r="J150">
        <f>IF(I150="","",IF(I150&gt;=2.5,3,IF(I150&gt;=2,2,IF(I150&gt;=1.5,1,0))))</f>
        <v/>
      </c>
    </row>
    <row r="151">
      <c r="I151">
        <f>IF(COUNTA(C151:H151)=0,"",C151*$L$2+D151*$L$3+E151*$L$4+F151*$L$5+G151*$L$6+H151*$L$7)</f>
        <v/>
      </c>
      <c r="J151">
        <f>IF(I151="","",IF(I151&gt;=2.5,3,IF(I151&gt;=2,2,IF(I151&gt;=1.5,1,0))))</f>
        <v/>
      </c>
    </row>
    <row r="152">
      <c r="I152">
        <f>IF(COUNTA(C152:H152)=0,"",C152*$L$2+D152*$L$3+E152*$L$4+F152*$L$5+G152*$L$6+H152*$L$7)</f>
        <v/>
      </c>
      <c r="J152">
        <f>IF(I152="","",IF(I152&gt;=2.5,3,IF(I152&gt;=2,2,IF(I152&gt;=1.5,1,0))))</f>
        <v/>
      </c>
    </row>
    <row r="153">
      <c r="I153">
        <f>IF(COUNTA(C153:H153)=0,"",C153*$L$2+D153*$L$3+E153*$L$4+F153*$L$5+G153*$L$6+H153*$L$7)</f>
        <v/>
      </c>
      <c r="J153">
        <f>IF(I153="","",IF(I153&gt;=2.5,3,IF(I153&gt;=2,2,IF(I153&gt;=1.5,1,0))))</f>
        <v/>
      </c>
    </row>
    <row r="154">
      <c r="I154">
        <f>IF(COUNTA(C154:H154)=0,"",C154*$L$2+D154*$L$3+E154*$L$4+F154*$L$5+G154*$L$6+H154*$L$7)</f>
        <v/>
      </c>
      <c r="J154">
        <f>IF(I154="","",IF(I154&gt;=2.5,3,IF(I154&gt;=2,2,IF(I154&gt;=1.5,1,0))))</f>
        <v/>
      </c>
    </row>
    <row r="155">
      <c r="I155">
        <f>IF(COUNTA(C155:H155)=0,"",C155*$L$2+D155*$L$3+E155*$L$4+F155*$L$5+G155*$L$6+H155*$L$7)</f>
        <v/>
      </c>
      <c r="J155">
        <f>IF(I155="","",IF(I155&gt;=2.5,3,IF(I155&gt;=2,2,IF(I155&gt;=1.5,1,0))))</f>
        <v/>
      </c>
    </row>
    <row r="156">
      <c r="I156">
        <f>IF(COUNTA(C156:H156)=0,"",C156*$L$2+D156*$L$3+E156*$L$4+F156*$L$5+G156*$L$6+H156*$L$7)</f>
        <v/>
      </c>
      <c r="J156">
        <f>IF(I156="","",IF(I156&gt;=2.5,3,IF(I156&gt;=2,2,IF(I156&gt;=1.5,1,0))))</f>
        <v/>
      </c>
    </row>
    <row r="157">
      <c r="I157">
        <f>IF(COUNTA(C157:H157)=0,"",C157*$L$2+D157*$L$3+E157*$L$4+F157*$L$5+G157*$L$6+H157*$L$7)</f>
        <v/>
      </c>
      <c r="J157">
        <f>IF(I157="","",IF(I157&gt;=2.5,3,IF(I157&gt;=2,2,IF(I157&gt;=1.5,1,0))))</f>
        <v/>
      </c>
    </row>
    <row r="158">
      <c r="I158">
        <f>IF(COUNTA(C158:H158)=0,"",C158*$L$2+D158*$L$3+E158*$L$4+F158*$L$5+G158*$L$6+H158*$L$7)</f>
        <v/>
      </c>
      <c r="J158">
        <f>IF(I158="","",IF(I158&gt;=2.5,3,IF(I158&gt;=2,2,IF(I158&gt;=1.5,1,0))))</f>
        <v/>
      </c>
    </row>
    <row r="159">
      <c r="I159">
        <f>IF(COUNTA(C159:H159)=0,"",C159*$L$2+D159*$L$3+E159*$L$4+F159*$L$5+G159*$L$6+H159*$L$7)</f>
        <v/>
      </c>
      <c r="J159">
        <f>IF(I159="","",IF(I159&gt;=2.5,3,IF(I159&gt;=2,2,IF(I159&gt;=1.5,1,0))))</f>
        <v/>
      </c>
    </row>
    <row r="160">
      <c r="I160">
        <f>IF(COUNTA(C160:H160)=0,"",C160*$L$2+D160*$L$3+E160*$L$4+F160*$L$5+G160*$L$6+H160*$L$7)</f>
        <v/>
      </c>
      <c r="J160">
        <f>IF(I160="","",IF(I160&gt;=2.5,3,IF(I160&gt;=2,2,IF(I160&gt;=1.5,1,0))))</f>
        <v/>
      </c>
    </row>
    <row r="161">
      <c r="I161">
        <f>IF(COUNTA(C161:H161)=0,"",C161*$L$2+D161*$L$3+E161*$L$4+F161*$L$5+G161*$L$6+H161*$L$7)</f>
        <v/>
      </c>
      <c r="J161">
        <f>IF(I161="","",IF(I161&gt;=2.5,3,IF(I161&gt;=2,2,IF(I161&gt;=1.5,1,0))))</f>
        <v/>
      </c>
    </row>
    <row r="162">
      <c r="I162">
        <f>IF(COUNTA(C162:H162)=0,"",C162*$L$2+D162*$L$3+E162*$L$4+F162*$L$5+G162*$L$6+H162*$L$7)</f>
        <v/>
      </c>
      <c r="J162">
        <f>IF(I162="","",IF(I162&gt;=2.5,3,IF(I162&gt;=2,2,IF(I162&gt;=1.5,1,0))))</f>
        <v/>
      </c>
    </row>
    <row r="163">
      <c r="I163">
        <f>IF(COUNTA(C163:H163)=0,"",C163*$L$2+D163*$L$3+E163*$L$4+F163*$L$5+G163*$L$6+H163*$L$7)</f>
        <v/>
      </c>
      <c r="J163">
        <f>IF(I163="","",IF(I163&gt;=2.5,3,IF(I163&gt;=2,2,IF(I163&gt;=1.5,1,0))))</f>
        <v/>
      </c>
    </row>
    <row r="164">
      <c r="I164">
        <f>IF(COUNTA(C164:H164)=0,"",C164*$L$2+D164*$L$3+E164*$L$4+F164*$L$5+G164*$L$6+H164*$L$7)</f>
        <v/>
      </c>
      <c r="J164">
        <f>IF(I164="","",IF(I164&gt;=2.5,3,IF(I164&gt;=2,2,IF(I164&gt;=1.5,1,0))))</f>
        <v/>
      </c>
    </row>
    <row r="165">
      <c r="I165">
        <f>IF(COUNTA(C165:H165)=0,"",C165*$L$2+D165*$L$3+E165*$L$4+F165*$L$5+G165*$L$6+H165*$L$7)</f>
        <v/>
      </c>
      <c r="J165">
        <f>IF(I165="","",IF(I165&gt;=2.5,3,IF(I165&gt;=2,2,IF(I165&gt;=1.5,1,0))))</f>
        <v/>
      </c>
    </row>
    <row r="166">
      <c r="I166">
        <f>IF(COUNTA(C166:H166)=0,"",C166*$L$2+D166*$L$3+E166*$L$4+F166*$L$5+G166*$L$6+H166*$L$7)</f>
        <v/>
      </c>
      <c r="J166">
        <f>IF(I166="","",IF(I166&gt;=2.5,3,IF(I166&gt;=2,2,IF(I166&gt;=1.5,1,0))))</f>
        <v/>
      </c>
    </row>
    <row r="167">
      <c r="I167">
        <f>IF(COUNTA(C167:H167)=0,"",C167*$L$2+D167*$L$3+E167*$L$4+F167*$L$5+G167*$L$6+H167*$L$7)</f>
        <v/>
      </c>
      <c r="J167">
        <f>IF(I167="","",IF(I167&gt;=2.5,3,IF(I167&gt;=2,2,IF(I167&gt;=1.5,1,0))))</f>
        <v/>
      </c>
    </row>
    <row r="168">
      <c r="I168">
        <f>IF(COUNTA(C168:H168)=0,"",C168*$L$2+D168*$L$3+E168*$L$4+F168*$L$5+G168*$L$6+H168*$L$7)</f>
        <v/>
      </c>
      <c r="J168">
        <f>IF(I168="","",IF(I168&gt;=2.5,3,IF(I168&gt;=2,2,IF(I168&gt;=1.5,1,0))))</f>
        <v/>
      </c>
    </row>
    <row r="169">
      <c r="I169">
        <f>IF(COUNTA(C169:H169)=0,"",C169*$L$2+D169*$L$3+E169*$L$4+F169*$L$5+G169*$L$6+H169*$L$7)</f>
        <v/>
      </c>
      <c r="J169">
        <f>IF(I169="","",IF(I169&gt;=2.5,3,IF(I169&gt;=2,2,IF(I169&gt;=1.5,1,0))))</f>
        <v/>
      </c>
    </row>
    <row r="170">
      <c r="I170">
        <f>IF(COUNTA(C170:H170)=0,"",C170*$L$2+D170*$L$3+E170*$L$4+F170*$L$5+G170*$L$6+H170*$L$7)</f>
        <v/>
      </c>
      <c r="J170">
        <f>IF(I170="","",IF(I170&gt;=2.5,3,IF(I170&gt;=2,2,IF(I170&gt;=1.5,1,0))))</f>
        <v/>
      </c>
    </row>
    <row r="171">
      <c r="I171">
        <f>IF(COUNTA(C171:H171)=0,"",C171*$L$2+D171*$L$3+E171*$L$4+F171*$L$5+G171*$L$6+H171*$L$7)</f>
        <v/>
      </c>
      <c r="J171">
        <f>IF(I171="","",IF(I171&gt;=2.5,3,IF(I171&gt;=2,2,IF(I171&gt;=1.5,1,0))))</f>
        <v/>
      </c>
    </row>
    <row r="172">
      <c r="I172">
        <f>IF(COUNTA(C172:H172)=0,"",C172*$L$2+D172*$L$3+E172*$L$4+F172*$L$5+G172*$L$6+H172*$L$7)</f>
        <v/>
      </c>
      <c r="J172">
        <f>IF(I172="","",IF(I172&gt;=2.5,3,IF(I172&gt;=2,2,IF(I172&gt;=1.5,1,0))))</f>
        <v/>
      </c>
    </row>
    <row r="173">
      <c r="I173">
        <f>IF(COUNTA(C173:H173)=0,"",C173*$L$2+D173*$L$3+E173*$L$4+F173*$L$5+G173*$L$6+H173*$L$7)</f>
        <v/>
      </c>
      <c r="J173">
        <f>IF(I173="","",IF(I173&gt;=2.5,3,IF(I173&gt;=2,2,IF(I173&gt;=1.5,1,0))))</f>
        <v/>
      </c>
    </row>
    <row r="174">
      <c r="I174">
        <f>IF(COUNTA(C174:H174)=0,"",C174*$L$2+D174*$L$3+E174*$L$4+F174*$L$5+G174*$L$6+H174*$L$7)</f>
        <v/>
      </c>
      <c r="J174">
        <f>IF(I174="","",IF(I174&gt;=2.5,3,IF(I174&gt;=2,2,IF(I174&gt;=1.5,1,0))))</f>
        <v/>
      </c>
    </row>
    <row r="175">
      <c r="I175">
        <f>IF(COUNTA(C175:H175)=0,"",C175*$L$2+D175*$L$3+E175*$L$4+F175*$L$5+G175*$L$6+H175*$L$7)</f>
        <v/>
      </c>
      <c r="J175">
        <f>IF(I175="","",IF(I175&gt;=2.5,3,IF(I175&gt;=2,2,IF(I175&gt;=1.5,1,0))))</f>
        <v/>
      </c>
    </row>
    <row r="176">
      <c r="I176">
        <f>IF(COUNTA(C176:H176)=0,"",C176*$L$2+D176*$L$3+E176*$L$4+F176*$L$5+G176*$L$6+H176*$L$7)</f>
        <v/>
      </c>
      <c r="J176">
        <f>IF(I176="","",IF(I176&gt;=2.5,3,IF(I176&gt;=2,2,IF(I176&gt;=1.5,1,0))))</f>
        <v/>
      </c>
    </row>
    <row r="177">
      <c r="I177">
        <f>IF(COUNTA(C177:H177)=0,"",C177*$L$2+D177*$L$3+E177*$L$4+F177*$L$5+G177*$L$6+H177*$L$7)</f>
        <v/>
      </c>
      <c r="J177">
        <f>IF(I177="","",IF(I177&gt;=2.5,3,IF(I177&gt;=2,2,IF(I177&gt;=1.5,1,0))))</f>
        <v/>
      </c>
    </row>
    <row r="178">
      <c r="I178">
        <f>IF(COUNTA(C178:H178)=0,"",C178*$L$2+D178*$L$3+E178*$L$4+F178*$L$5+G178*$L$6+H178*$L$7)</f>
        <v/>
      </c>
      <c r="J178">
        <f>IF(I178="","",IF(I178&gt;=2.5,3,IF(I178&gt;=2,2,IF(I178&gt;=1.5,1,0))))</f>
        <v/>
      </c>
    </row>
    <row r="179">
      <c r="I179">
        <f>IF(COUNTA(C179:H179)=0,"",C179*$L$2+D179*$L$3+E179*$L$4+F179*$L$5+G179*$L$6+H179*$L$7)</f>
        <v/>
      </c>
      <c r="J179">
        <f>IF(I179="","",IF(I179&gt;=2.5,3,IF(I179&gt;=2,2,IF(I179&gt;=1.5,1,0))))</f>
        <v/>
      </c>
    </row>
    <row r="180">
      <c r="I180">
        <f>IF(COUNTA(C180:H180)=0,"",C180*$L$2+D180*$L$3+E180*$L$4+F180*$L$5+G180*$L$6+H180*$L$7)</f>
        <v/>
      </c>
      <c r="J180">
        <f>IF(I180="","",IF(I180&gt;=2.5,3,IF(I180&gt;=2,2,IF(I180&gt;=1.5,1,0))))</f>
        <v/>
      </c>
    </row>
    <row r="181">
      <c r="I181">
        <f>IF(COUNTA(C181:H181)=0,"",C181*$L$2+D181*$L$3+E181*$L$4+F181*$L$5+G181*$L$6+H181*$L$7)</f>
        <v/>
      </c>
      <c r="J181">
        <f>IF(I181="","",IF(I181&gt;=2.5,3,IF(I181&gt;=2,2,IF(I181&gt;=1.5,1,0))))</f>
        <v/>
      </c>
    </row>
    <row r="182">
      <c r="I182">
        <f>IF(COUNTA(C182:H182)=0,"",C182*$L$2+D182*$L$3+E182*$L$4+F182*$L$5+G182*$L$6+H182*$L$7)</f>
        <v/>
      </c>
      <c r="J182">
        <f>IF(I182="","",IF(I182&gt;=2.5,3,IF(I182&gt;=2,2,IF(I182&gt;=1.5,1,0))))</f>
        <v/>
      </c>
    </row>
    <row r="183">
      <c r="I183">
        <f>IF(COUNTA(C183:H183)=0,"",C183*$L$2+D183*$L$3+E183*$L$4+F183*$L$5+G183*$L$6+H183*$L$7)</f>
        <v/>
      </c>
      <c r="J183">
        <f>IF(I183="","",IF(I183&gt;=2.5,3,IF(I183&gt;=2,2,IF(I183&gt;=1.5,1,0))))</f>
        <v/>
      </c>
    </row>
    <row r="184">
      <c r="I184">
        <f>IF(COUNTA(C184:H184)=0,"",C184*$L$2+D184*$L$3+E184*$L$4+F184*$L$5+G184*$L$6+H184*$L$7)</f>
        <v/>
      </c>
      <c r="J184">
        <f>IF(I184="","",IF(I184&gt;=2.5,3,IF(I184&gt;=2,2,IF(I184&gt;=1.5,1,0))))</f>
        <v/>
      </c>
    </row>
    <row r="185">
      <c r="I185">
        <f>IF(COUNTA(C185:H185)=0,"",C185*$L$2+D185*$L$3+E185*$L$4+F185*$L$5+G185*$L$6+H185*$L$7)</f>
        <v/>
      </c>
      <c r="J185">
        <f>IF(I185="","",IF(I185&gt;=2.5,3,IF(I185&gt;=2,2,IF(I185&gt;=1.5,1,0))))</f>
        <v/>
      </c>
    </row>
    <row r="186">
      <c r="I186">
        <f>IF(COUNTA(C186:H186)=0,"",C186*$L$2+D186*$L$3+E186*$L$4+F186*$L$5+G186*$L$6+H186*$L$7)</f>
        <v/>
      </c>
      <c r="J186">
        <f>IF(I186="","",IF(I186&gt;=2.5,3,IF(I186&gt;=2,2,IF(I186&gt;=1.5,1,0))))</f>
        <v/>
      </c>
    </row>
    <row r="187">
      <c r="I187">
        <f>IF(COUNTA(C187:H187)=0,"",C187*$L$2+D187*$L$3+E187*$L$4+F187*$L$5+G187*$L$6+H187*$L$7)</f>
        <v/>
      </c>
      <c r="J187">
        <f>IF(I187="","",IF(I187&gt;=2.5,3,IF(I187&gt;=2,2,IF(I187&gt;=1.5,1,0))))</f>
        <v/>
      </c>
    </row>
    <row r="188">
      <c r="I188">
        <f>IF(COUNTA(C188:H188)=0,"",C188*$L$2+D188*$L$3+E188*$L$4+F188*$L$5+G188*$L$6+H188*$L$7)</f>
        <v/>
      </c>
      <c r="J188">
        <f>IF(I188="","",IF(I188&gt;=2.5,3,IF(I188&gt;=2,2,IF(I188&gt;=1.5,1,0))))</f>
        <v/>
      </c>
    </row>
    <row r="189">
      <c r="I189">
        <f>IF(COUNTA(C189:H189)=0,"",C189*$L$2+D189*$L$3+E189*$L$4+F189*$L$5+G189*$L$6+H189*$L$7)</f>
        <v/>
      </c>
      <c r="J189">
        <f>IF(I189="","",IF(I189&gt;=2.5,3,IF(I189&gt;=2,2,IF(I189&gt;=1.5,1,0))))</f>
        <v/>
      </c>
    </row>
    <row r="190">
      <c r="I190">
        <f>IF(COUNTA(C190:H190)=0,"",C190*$L$2+D190*$L$3+E190*$L$4+F190*$L$5+G190*$L$6+H190*$L$7)</f>
        <v/>
      </c>
      <c r="J190">
        <f>IF(I190="","",IF(I190&gt;=2.5,3,IF(I190&gt;=2,2,IF(I190&gt;=1.5,1,0))))</f>
        <v/>
      </c>
    </row>
    <row r="191">
      <c r="I191">
        <f>IF(COUNTA(C191:H191)=0,"",C191*$L$2+D191*$L$3+E191*$L$4+F191*$L$5+G191*$L$6+H191*$L$7)</f>
        <v/>
      </c>
      <c r="J191">
        <f>IF(I191="","",IF(I191&gt;=2.5,3,IF(I191&gt;=2,2,IF(I191&gt;=1.5,1,0))))</f>
        <v/>
      </c>
    </row>
    <row r="192">
      <c r="I192">
        <f>IF(COUNTA(C192:H192)=0,"",C192*$L$2+D192*$L$3+E192*$L$4+F192*$L$5+G192*$L$6+H192*$L$7)</f>
        <v/>
      </c>
      <c r="J192">
        <f>IF(I192="","",IF(I192&gt;=2.5,3,IF(I192&gt;=2,2,IF(I192&gt;=1.5,1,0))))</f>
        <v/>
      </c>
    </row>
    <row r="193">
      <c r="I193">
        <f>IF(COUNTA(C193:H193)=0,"",C193*$L$2+D193*$L$3+E193*$L$4+F193*$L$5+G193*$L$6+H193*$L$7)</f>
        <v/>
      </c>
      <c r="J193">
        <f>IF(I193="","",IF(I193&gt;=2.5,3,IF(I193&gt;=2,2,IF(I193&gt;=1.5,1,0))))</f>
        <v/>
      </c>
    </row>
    <row r="194">
      <c r="I194">
        <f>IF(COUNTA(C194:H194)=0,"",C194*$L$2+D194*$L$3+E194*$L$4+F194*$L$5+G194*$L$6+H194*$L$7)</f>
        <v/>
      </c>
      <c r="J194">
        <f>IF(I194="","",IF(I194&gt;=2.5,3,IF(I194&gt;=2,2,IF(I194&gt;=1.5,1,0))))</f>
        <v/>
      </c>
    </row>
    <row r="195">
      <c r="I195">
        <f>IF(COUNTA(C195:H195)=0,"",C195*$L$2+D195*$L$3+E195*$L$4+F195*$L$5+G195*$L$6+H195*$L$7)</f>
        <v/>
      </c>
      <c r="J195">
        <f>IF(I195="","",IF(I195&gt;=2.5,3,IF(I195&gt;=2,2,IF(I195&gt;=1.5,1,0))))</f>
        <v/>
      </c>
    </row>
    <row r="196">
      <c r="I196">
        <f>IF(COUNTA(C196:H196)=0,"",C196*$L$2+D196*$L$3+E196*$L$4+F196*$L$5+G196*$L$6+H196*$L$7)</f>
        <v/>
      </c>
      <c r="J196">
        <f>IF(I196="","",IF(I196&gt;=2.5,3,IF(I196&gt;=2,2,IF(I196&gt;=1.5,1,0))))</f>
        <v/>
      </c>
    </row>
    <row r="197">
      <c r="I197">
        <f>IF(COUNTA(C197:H197)=0,"",C197*$L$2+D197*$L$3+E197*$L$4+F197*$L$5+G197*$L$6+H197*$L$7)</f>
        <v/>
      </c>
      <c r="J197">
        <f>IF(I197="","",IF(I197&gt;=2.5,3,IF(I197&gt;=2,2,IF(I197&gt;=1.5,1,0))))</f>
        <v/>
      </c>
    </row>
    <row r="198">
      <c r="I198">
        <f>IF(COUNTA(C198:H198)=0,"",C198*$L$2+D198*$L$3+E198*$L$4+F198*$L$5+G198*$L$6+H198*$L$7)</f>
        <v/>
      </c>
      <c r="J198">
        <f>IF(I198="","",IF(I198&gt;=2.5,3,IF(I198&gt;=2,2,IF(I198&gt;=1.5,1,0))))</f>
        <v/>
      </c>
    </row>
    <row r="199">
      <c r="I199">
        <f>IF(COUNTA(C199:H199)=0,"",C199*$L$2+D199*$L$3+E199*$L$4+F199*$L$5+G199*$L$6+H199*$L$7)</f>
        <v/>
      </c>
      <c r="J199">
        <f>IF(I199="","",IF(I199&gt;=2.5,3,IF(I199&gt;=2,2,IF(I199&gt;=1.5,1,0))))</f>
        <v/>
      </c>
    </row>
    <row r="200">
      <c r="I200">
        <f>IF(COUNTA(C200:H200)=0,"",C200*$L$2+D200*$L$3+E200*$L$4+F200*$L$5+G200*$L$6+H200*$L$7)</f>
        <v/>
      </c>
      <c r="J200">
        <f>IF(I200="","",IF(I200&gt;=2.5,3,IF(I200&gt;=2,2,IF(I200&gt;=1.5,1,0))))</f>
        <v/>
      </c>
    </row>
    <row r="201">
      <c r="I201">
        <f>IF(COUNTA(C201:H201)=0,"",C201*$L$2+D201*$L$3+E201*$L$4+F201*$L$5+G201*$L$6+H201*$L$7)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22" customWidth="1" min="8" max="8"/>
    <col width="10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CO2 (Planning)</t>
        </is>
      </c>
      <c r="D1" s="1" t="inlineStr">
        <is>
          <t>CO3 (Execution)</t>
        </is>
      </c>
      <c r="E1" s="1" t="inlineStr">
        <is>
          <t>CO4 (Output)</t>
        </is>
      </c>
      <c r="F1" s="1" t="inlineStr">
        <is>
          <t>CO6 (Viva)</t>
        </is>
      </c>
      <c r="G1" s="1" t="inlineStr">
        <is>
          <t>Total (Weighted)</t>
        </is>
      </c>
      <c r="H1" s="1" t="inlineStr">
        <is>
          <t>Attainment Level (0–3)</t>
        </is>
      </c>
      <c r="J1" s="2" t="inlineStr">
        <is>
          <t>Weights (edit; 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3</v>
      </c>
      <c r="F2" t="n">
        <v>3</v>
      </c>
      <c r="G2">
        <f>IF(COUNTA(C2:F2)=0,"",C2*$J$2+D2*$J$3+E2*$J$4+F2*$J$5)</f>
        <v/>
      </c>
      <c r="H2">
        <f>IF(G2="","",IF(G2&gt;=2.5,3,IF(G2&gt;=2,2,IF(G2&gt;=1.5,1,0))))</f>
        <v/>
      </c>
      <c r="I2" t="inlineStr">
        <is>
          <t>CO2</t>
        </is>
      </c>
      <c r="J2" t="n">
        <v>0.2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>
        <f>IF(COUNTA(C3:F3)=0,"",C3*$J$2+D3*$J$3+E3*$J$4+F3*$J$5)</f>
        <v/>
      </c>
      <c r="H3">
        <f>IF(G3="","",IF(G3&gt;=2.5,3,IF(G3&gt;=2,2,IF(G3&gt;=1.5,1,0))))</f>
        <v/>
      </c>
      <c r="I3" t="inlineStr">
        <is>
          <t>CO3</t>
        </is>
      </c>
      <c r="J3" t="n">
        <v>0.4</v>
      </c>
    </row>
    <row r="4">
      <c r="A4" t="inlineStr">
        <is>
          <t>103</t>
        </is>
      </c>
      <c r="B4" t="inlineStr">
        <is>
          <t>C. Rao</t>
        </is>
      </c>
      <c r="C4" t="n">
        <v>2</v>
      </c>
      <c r="D4" t="n">
        <v>3</v>
      </c>
      <c r="E4" t="n">
        <v>2</v>
      </c>
      <c r="F4" t="n">
        <v>2</v>
      </c>
      <c r="G4">
        <f>IF(COUNTA(C4:F4)=0,"",C4*$J$2+D4*$J$3+E4*$J$4+F4*$J$5)</f>
        <v/>
      </c>
      <c r="H4">
        <f>IF(G4="","",IF(G4&gt;=2.5,3,IF(G4&gt;=2,2,IF(G4&gt;=1.5,1,0))))</f>
        <v/>
      </c>
      <c r="I4" t="inlineStr">
        <is>
          <t>CO4</t>
        </is>
      </c>
      <c r="J4" t="n">
        <v>0.2</v>
      </c>
    </row>
    <row r="5">
      <c r="G5">
        <f>IF(COUNTA(C5:F5)=0,"",C5*$J$2+D5*$J$3+E5*$J$4+F5*$J$5)</f>
        <v/>
      </c>
      <c r="H5">
        <f>IF(G5="","",IF(G5&gt;=2.5,3,IF(G5&gt;=2,2,IF(G5&gt;=1.5,1,0))))</f>
        <v/>
      </c>
      <c r="I5" t="inlineStr">
        <is>
          <t>CO6</t>
        </is>
      </c>
      <c r="J5" t="n">
        <v>0.2</v>
      </c>
    </row>
    <row r="6">
      <c r="G6">
        <f>IF(COUNTA(C6:F6)=0,"",C6*$J$2+D6*$J$3+E6*$J$4+F6*$J$5)</f>
        <v/>
      </c>
      <c r="H6">
        <f>IF(G6="","",IF(G6&gt;=2.5,3,IF(G6&gt;=2,2,IF(G6&gt;=1.5,1,0))))</f>
        <v/>
      </c>
    </row>
    <row r="7">
      <c r="G7">
        <f>IF(COUNTA(C7:F7)=0,"",C7*$J$2+D7*$J$3+E7*$J$4+F7*$J$5)</f>
        <v/>
      </c>
      <c r="H7">
        <f>IF(G7="","",IF(G7&gt;=2.5,3,IF(G7&gt;=2,2,IF(G7&gt;=1.5,1,0))))</f>
        <v/>
      </c>
    </row>
    <row r="8">
      <c r="G8">
        <f>IF(COUNTA(C8:F8)=0,"",C8*$J$2+D8*$J$3+E8*$J$4+F8*$J$5)</f>
        <v/>
      </c>
      <c r="H8">
        <f>IF(G8="","",IF(G8&gt;=2.5,3,IF(G8&gt;=2,2,IF(G8&gt;=1.5,1,0))))</f>
        <v/>
      </c>
    </row>
    <row r="9">
      <c r="G9">
        <f>IF(COUNTA(C9:F9)=0,"",C9*$J$2+D9*$J$3+E9*$J$4+F9*$J$5)</f>
        <v/>
      </c>
      <c r="H9">
        <f>IF(G9="","",IF(G9&gt;=2.5,3,IF(G9&gt;=2,2,IF(G9&gt;=1.5,1,0))))</f>
        <v/>
      </c>
    </row>
    <row r="10">
      <c r="G10">
        <f>IF(COUNTA(C10:F10)=0,"",C10*$J$2+D10*$J$3+E10*$J$4+F10*$J$5)</f>
        <v/>
      </c>
      <c r="H10">
        <f>IF(G10="","",IF(G10&gt;=2.5,3,IF(G10&gt;=2,2,IF(G10&gt;=1.5,1,0))))</f>
        <v/>
      </c>
    </row>
    <row r="11">
      <c r="G11">
        <f>IF(COUNTA(C11:F11)=0,"",C11*$J$2+D11*$J$3+E11*$J$4+F11*$J$5)</f>
        <v/>
      </c>
      <c r="H11">
        <f>IF(G11="","",IF(G11&gt;=2.5,3,IF(G11&gt;=2,2,IF(G11&gt;=1.5,1,0))))</f>
        <v/>
      </c>
    </row>
    <row r="12">
      <c r="G12">
        <f>IF(COUNTA(C12:F12)=0,"",C12*$J$2+D12*$J$3+E12*$J$4+F12*$J$5)</f>
        <v/>
      </c>
      <c r="H12">
        <f>IF(G12="","",IF(G12&gt;=2.5,3,IF(G12&gt;=2,2,IF(G12&gt;=1.5,1,0))))</f>
        <v/>
      </c>
    </row>
    <row r="13">
      <c r="G13">
        <f>IF(COUNTA(C13:F13)=0,"",C13*$J$2+D13*$J$3+E13*$J$4+F13*$J$5)</f>
        <v/>
      </c>
      <c r="H13">
        <f>IF(G13="","",IF(G13&gt;=2.5,3,IF(G13&gt;=2,2,IF(G13&gt;=1.5,1,0))))</f>
        <v/>
      </c>
    </row>
    <row r="14">
      <c r="G14">
        <f>IF(COUNTA(C14:F14)=0,"",C14*$J$2+D14*$J$3+E14*$J$4+F14*$J$5)</f>
        <v/>
      </c>
      <c r="H14">
        <f>IF(G14="","",IF(G14&gt;=2.5,3,IF(G14&gt;=2,2,IF(G14&gt;=1.5,1,0))))</f>
        <v/>
      </c>
    </row>
    <row r="15">
      <c r="G15">
        <f>IF(COUNTA(C15:F15)=0,"",C15*$J$2+D15*$J$3+E15*$J$4+F15*$J$5)</f>
        <v/>
      </c>
      <c r="H15">
        <f>IF(G15="","",IF(G15&gt;=2.5,3,IF(G15&gt;=2,2,IF(G15&gt;=1.5,1,0))))</f>
        <v/>
      </c>
    </row>
    <row r="16">
      <c r="G16">
        <f>IF(COUNTA(C16:F16)=0,"",C16*$J$2+D16*$J$3+E16*$J$4+F16*$J$5)</f>
        <v/>
      </c>
      <c r="H16">
        <f>IF(G16="","",IF(G16&gt;=2.5,3,IF(G16&gt;=2,2,IF(G16&gt;=1.5,1,0))))</f>
        <v/>
      </c>
    </row>
    <row r="17">
      <c r="G17">
        <f>IF(COUNTA(C17:F17)=0,"",C17*$J$2+D17*$J$3+E17*$J$4+F17*$J$5)</f>
        <v/>
      </c>
      <c r="H17">
        <f>IF(G17="","",IF(G17&gt;=2.5,3,IF(G17&gt;=2,2,IF(G17&gt;=1.5,1,0))))</f>
        <v/>
      </c>
    </row>
    <row r="18">
      <c r="G18">
        <f>IF(COUNTA(C18:F18)=0,"",C18*$J$2+D18*$J$3+E18*$J$4+F18*$J$5)</f>
        <v/>
      </c>
      <c r="H18">
        <f>IF(G18="","",IF(G18&gt;=2.5,3,IF(G18&gt;=2,2,IF(G18&gt;=1.5,1,0))))</f>
        <v/>
      </c>
    </row>
    <row r="19">
      <c r="G19">
        <f>IF(COUNTA(C19:F19)=0,"",C19*$J$2+D19*$J$3+E19*$J$4+F19*$J$5)</f>
        <v/>
      </c>
      <c r="H19">
        <f>IF(G19="","",IF(G19&gt;=2.5,3,IF(G19&gt;=2,2,IF(G19&gt;=1.5,1,0))))</f>
        <v/>
      </c>
    </row>
    <row r="20">
      <c r="G20">
        <f>IF(COUNTA(C20:F20)=0,"",C20*$J$2+D20*$J$3+E20*$J$4+F20*$J$5)</f>
        <v/>
      </c>
      <c r="H20">
        <f>IF(G20="","",IF(G20&gt;=2.5,3,IF(G20&gt;=2,2,IF(G20&gt;=1.5,1,0))))</f>
        <v/>
      </c>
    </row>
    <row r="21">
      <c r="G21">
        <f>IF(COUNTA(C21:F21)=0,"",C21*$J$2+D21*$J$3+E21*$J$4+F21*$J$5)</f>
        <v/>
      </c>
      <c r="H21">
        <f>IF(G21="","",IF(G21&gt;=2.5,3,IF(G21&gt;=2,2,IF(G21&gt;=1.5,1,0))))</f>
        <v/>
      </c>
    </row>
    <row r="22">
      <c r="G22">
        <f>IF(COUNTA(C22:F22)=0,"",C22*$J$2+D22*$J$3+E22*$J$4+F22*$J$5)</f>
        <v/>
      </c>
      <c r="H22">
        <f>IF(G22="","",IF(G22&gt;=2.5,3,IF(G22&gt;=2,2,IF(G22&gt;=1.5,1,0))))</f>
        <v/>
      </c>
    </row>
    <row r="23">
      <c r="G23">
        <f>IF(COUNTA(C23:F23)=0,"",C23*$J$2+D23*$J$3+E23*$J$4+F23*$J$5)</f>
        <v/>
      </c>
      <c r="H23">
        <f>IF(G23="","",IF(G23&gt;=2.5,3,IF(G23&gt;=2,2,IF(G23&gt;=1.5,1,0))))</f>
        <v/>
      </c>
    </row>
    <row r="24">
      <c r="G24">
        <f>IF(COUNTA(C24:F24)=0,"",C24*$J$2+D24*$J$3+E24*$J$4+F24*$J$5)</f>
        <v/>
      </c>
      <c r="H24">
        <f>IF(G24="","",IF(G24&gt;=2.5,3,IF(G24&gt;=2,2,IF(G24&gt;=1.5,1,0))))</f>
        <v/>
      </c>
    </row>
    <row r="25">
      <c r="G25">
        <f>IF(COUNTA(C25:F25)=0,"",C25*$J$2+D25*$J$3+E25*$J$4+F25*$J$5)</f>
        <v/>
      </c>
      <c r="H25">
        <f>IF(G25="","",IF(G25&gt;=2.5,3,IF(G25&gt;=2,2,IF(G25&gt;=1.5,1,0))))</f>
        <v/>
      </c>
    </row>
    <row r="26">
      <c r="G26">
        <f>IF(COUNTA(C26:F26)=0,"",C26*$J$2+D26*$J$3+E26*$J$4+F26*$J$5)</f>
        <v/>
      </c>
      <c r="H26">
        <f>IF(G26="","",IF(G26&gt;=2.5,3,IF(G26&gt;=2,2,IF(G26&gt;=1.5,1,0))))</f>
        <v/>
      </c>
    </row>
    <row r="27">
      <c r="G27">
        <f>IF(COUNTA(C27:F27)=0,"",C27*$J$2+D27*$J$3+E27*$J$4+F27*$J$5)</f>
        <v/>
      </c>
      <c r="H27">
        <f>IF(G27="","",IF(G27&gt;=2.5,3,IF(G27&gt;=2,2,IF(G27&gt;=1.5,1,0))))</f>
        <v/>
      </c>
    </row>
    <row r="28">
      <c r="G28">
        <f>IF(COUNTA(C28:F28)=0,"",C28*$J$2+D28*$J$3+E28*$J$4+F28*$J$5)</f>
        <v/>
      </c>
      <c r="H28">
        <f>IF(G28="","",IF(G28&gt;=2.5,3,IF(G28&gt;=2,2,IF(G28&gt;=1.5,1,0))))</f>
        <v/>
      </c>
    </row>
    <row r="29">
      <c r="G29">
        <f>IF(COUNTA(C29:F29)=0,"",C29*$J$2+D29*$J$3+E29*$J$4+F29*$J$5)</f>
        <v/>
      </c>
      <c r="H29">
        <f>IF(G29="","",IF(G29&gt;=2.5,3,IF(G29&gt;=2,2,IF(G29&gt;=1.5,1,0))))</f>
        <v/>
      </c>
    </row>
    <row r="30">
      <c r="G30">
        <f>IF(COUNTA(C30:F30)=0,"",C30*$J$2+D30*$J$3+E30*$J$4+F30*$J$5)</f>
        <v/>
      </c>
      <c r="H30">
        <f>IF(G30="","",IF(G30&gt;=2.5,3,IF(G30&gt;=2,2,IF(G30&gt;=1.5,1,0))))</f>
        <v/>
      </c>
    </row>
    <row r="31">
      <c r="G31">
        <f>IF(COUNTA(C31:F31)=0,"",C31*$J$2+D31*$J$3+E31*$J$4+F31*$J$5)</f>
        <v/>
      </c>
      <c r="H31">
        <f>IF(G31="","",IF(G31&gt;=2.5,3,IF(G31&gt;=2,2,IF(G31&gt;=1.5,1,0))))</f>
        <v/>
      </c>
    </row>
    <row r="32">
      <c r="G32">
        <f>IF(COUNTA(C32:F32)=0,"",C32*$J$2+D32*$J$3+E32*$J$4+F32*$J$5)</f>
        <v/>
      </c>
      <c r="H32">
        <f>IF(G32="","",IF(G32&gt;=2.5,3,IF(G32&gt;=2,2,IF(G32&gt;=1.5,1,0))))</f>
        <v/>
      </c>
    </row>
    <row r="33">
      <c r="G33">
        <f>IF(COUNTA(C33:F33)=0,"",C33*$J$2+D33*$J$3+E33*$J$4+F33*$J$5)</f>
        <v/>
      </c>
      <c r="H33">
        <f>IF(G33="","",IF(G33&gt;=2.5,3,IF(G33&gt;=2,2,IF(G33&gt;=1.5,1,0))))</f>
        <v/>
      </c>
    </row>
    <row r="34">
      <c r="G34">
        <f>IF(COUNTA(C34:F34)=0,"",C34*$J$2+D34*$J$3+E34*$J$4+F34*$J$5)</f>
        <v/>
      </c>
      <c r="H34">
        <f>IF(G34="","",IF(G34&gt;=2.5,3,IF(G34&gt;=2,2,IF(G34&gt;=1.5,1,0))))</f>
        <v/>
      </c>
    </row>
    <row r="35">
      <c r="G35">
        <f>IF(COUNTA(C35:F35)=0,"",C35*$J$2+D35*$J$3+E35*$J$4+F35*$J$5)</f>
        <v/>
      </c>
      <c r="H35">
        <f>IF(G35="","",IF(G35&gt;=2.5,3,IF(G35&gt;=2,2,IF(G35&gt;=1.5,1,0))))</f>
        <v/>
      </c>
    </row>
    <row r="36">
      <c r="G36">
        <f>IF(COUNTA(C36:F36)=0,"",C36*$J$2+D36*$J$3+E36*$J$4+F36*$J$5)</f>
        <v/>
      </c>
      <c r="H36">
        <f>IF(G36="","",IF(G36&gt;=2.5,3,IF(G36&gt;=2,2,IF(G36&gt;=1.5,1,0))))</f>
        <v/>
      </c>
    </row>
    <row r="37">
      <c r="G37">
        <f>IF(COUNTA(C37:F37)=0,"",C37*$J$2+D37*$J$3+E37*$J$4+F37*$J$5)</f>
        <v/>
      </c>
      <c r="H37">
        <f>IF(G37="","",IF(G37&gt;=2.5,3,IF(G37&gt;=2,2,IF(G37&gt;=1.5,1,0))))</f>
        <v/>
      </c>
    </row>
    <row r="38">
      <c r="G38">
        <f>IF(COUNTA(C38:F38)=0,"",C38*$J$2+D38*$J$3+E38*$J$4+F38*$J$5)</f>
        <v/>
      </c>
      <c r="H38">
        <f>IF(G38="","",IF(G38&gt;=2.5,3,IF(G38&gt;=2,2,IF(G38&gt;=1.5,1,0))))</f>
        <v/>
      </c>
    </row>
    <row r="39">
      <c r="G39">
        <f>IF(COUNTA(C39:F39)=0,"",C39*$J$2+D39*$J$3+E39*$J$4+F39*$J$5)</f>
        <v/>
      </c>
      <c r="H39">
        <f>IF(G39="","",IF(G39&gt;=2.5,3,IF(G39&gt;=2,2,IF(G39&gt;=1.5,1,0))))</f>
        <v/>
      </c>
    </row>
    <row r="40">
      <c r="G40">
        <f>IF(COUNTA(C40:F40)=0,"",C40*$J$2+D40*$J$3+E40*$J$4+F40*$J$5)</f>
        <v/>
      </c>
      <c r="H40">
        <f>IF(G40="","",IF(G40&gt;=2.5,3,IF(G40&gt;=2,2,IF(G40&gt;=1.5,1,0))))</f>
        <v/>
      </c>
    </row>
    <row r="41">
      <c r="G41">
        <f>IF(COUNTA(C41:F41)=0,"",C41*$J$2+D41*$J$3+E41*$J$4+F41*$J$5)</f>
        <v/>
      </c>
      <c r="H41">
        <f>IF(G41="","",IF(G41&gt;=2.5,3,IF(G41&gt;=2,2,IF(G41&gt;=1.5,1,0))))</f>
        <v/>
      </c>
    </row>
    <row r="42">
      <c r="G42">
        <f>IF(COUNTA(C42:F42)=0,"",C42*$J$2+D42*$J$3+E42*$J$4+F42*$J$5)</f>
        <v/>
      </c>
      <c r="H42">
        <f>IF(G42="","",IF(G42&gt;=2.5,3,IF(G42&gt;=2,2,IF(G42&gt;=1.5,1,0))))</f>
        <v/>
      </c>
    </row>
    <row r="43">
      <c r="G43">
        <f>IF(COUNTA(C43:F43)=0,"",C43*$J$2+D43*$J$3+E43*$J$4+F43*$J$5)</f>
        <v/>
      </c>
      <c r="H43">
        <f>IF(G43="","",IF(G43&gt;=2.5,3,IF(G43&gt;=2,2,IF(G43&gt;=1.5,1,0))))</f>
        <v/>
      </c>
    </row>
    <row r="44">
      <c r="G44">
        <f>IF(COUNTA(C44:F44)=0,"",C44*$J$2+D44*$J$3+E44*$J$4+F44*$J$5)</f>
        <v/>
      </c>
      <c r="H44">
        <f>IF(G44="","",IF(G44&gt;=2.5,3,IF(G44&gt;=2,2,IF(G44&gt;=1.5,1,0))))</f>
        <v/>
      </c>
    </row>
    <row r="45">
      <c r="G45">
        <f>IF(COUNTA(C45:F45)=0,"",C45*$J$2+D45*$J$3+E45*$J$4+F45*$J$5)</f>
        <v/>
      </c>
      <c r="H45">
        <f>IF(G45="","",IF(G45&gt;=2.5,3,IF(G45&gt;=2,2,IF(G45&gt;=1.5,1,0))))</f>
        <v/>
      </c>
    </row>
    <row r="46">
      <c r="G46">
        <f>IF(COUNTA(C46:F46)=0,"",C46*$J$2+D46*$J$3+E46*$J$4+F46*$J$5)</f>
        <v/>
      </c>
      <c r="H46">
        <f>IF(G46="","",IF(G46&gt;=2.5,3,IF(G46&gt;=2,2,IF(G46&gt;=1.5,1,0))))</f>
        <v/>
      </c>
    </row>
    <row r="47">
      <c r="G47">
        <f>IF(COUNTA(C47:F47)=0,"",C47*$J$2+D47*$J$3+E47*$J$4+F47*$J$5)</f>
        <v/>
      </c>
      <c r="H47">
        <f>IF(G47="","",IF(G47&gt;=2.5,3,IF(G47&gt;=2,2,IF(G47&gt;=1.5,1,0))))</f>
        <v/>
      </c>
    </row>
    <row r="48">
      <c r="G48">
        <f>IF(COUNTA(C48:F48)=0,"",C48*$J$2+D48*$J$3+E48*$J$4+F48*$J$5)</f>
        <v/>
      </c>
      <c r="H48">
        <f>IF(G48="","",IF(G48&gt;=2.5,3,IF(G48&gt;=2,2,IF(G48&gt;=1.5,1,0))))</f>
        <v/>
      </c>
    </row>
    <row r="49">
      <c r="G49">
        <f>IF(COUNTA(C49:F49)=0,"",C49*$J$2+D49*$J$3+E49*$J$4+F49*$J$5)</f>
        <v/>
      </c>
      <c r="H49">
        <f>IF(G49="","",IF(G49&gt;=2.5,3,IF(G49&gt;=2,2,IF(G49&gt;=1.5,1,0))))</f>
        <v/>
      </c>
    </row>
    <row r="50">
      <c r="G50">
        <f>IF(COUNTA(C50:F50)=0,"",C50*$J$2+D50*$J$3+E50*$J$4+F50*$J$5)</f>
        <v/>
      </c>
      <c r="H50">
        <f>IF(G50="","",IF(G50&gt;=2.5,3,IF(G50&gt;=2,2,IF(G50&gt;=1.5,1,0))))</f>
        <v/>
      </c>
    </row>
    <row r="51">
      <c r="G51">
        <f>IF(COUNTA(C51:F51)=0,"",C51*$J$2+D51*$J$3+E51*$J$4+F51*$J$5)</f>
        <v/>
      </c>
      <c r="H51">
        <f>IF(G51="","",IF(G51&gt;=2.5,3,IF(G51&gt;=2,2,IF(G51&gt;=1.5,1,0))))</f>
        <v/>
      </c>
    </row>
    <row r="52">
      <c r="G52">
        <f>IF(COUNTA(C52:F52)=0,"",C52*$J$2+D52*$J$3+E52*$J$4+F52*$J$5)</f>
        <v/>
      </c>
      <c r="H52">
        <f>IF(G52="","",IF(G52&gt;=2.5,3,IF(G52&gt;=2,2,IF(G52&gt;=1.5,1,0))))</f>
        <v/>
      </c>
    </row>
    <row r="53">
      <c r="G53">
        <f>IF(COUNTA(C53:F53)=0,"",C53*$J$2+D53*$J$3+E53*$J$4+F53*$J$5)</f>
        <v/>
      </c>
      <c r="H53">
        <f>IF(G53="","",IF(G53&gt;=2.5,3,IF(G53&gt;=2,2,IF(G53&gt;=1.5,1,0))))</f>
        <v/>
      </c>
    </row>
    <row r="54">
      <c r="G54">
        <f>IF(COUNTA(C54:F54)=0,"",C54*$J$2+D54*$J$3+E54*$J$4+F54*$J$5)</f>
        <v/>
      </c>
      <c r="H54">
        <f>IF(G54="","",IF(G54&gt;=2.5,3,IF(G54&gt;=2,2,IF(G54&gt;=1.5,1,0))))</f>
        <v/>
      </c>
    </row>
    <row r="55">
      <c r="G55">
        <f>IF(COUNTA(C55:F55)=0,"",C55*$J$2+D55*$J$3+E55*$J$4+F55*$J$5)</f>
        <v/>
      </c>
      <c r="H55">
        <f>IF(G55="","",IF(G55&gt;=2.5,3,IF(G55&gt;=2,2,IF(G55&gt;=1.5,1,0))))</f>
        <v/>
      </c>
    </row>
    <row r="56">
      <c r="G56">
        <f>IF(COUNTA(C56:F56)=0,"",C56*$J$2+D56*$J$3+E56*$J$4+F56*$J$5)</f>
        <v/>
      </c>
      <c r="H56">
        <f>IF(G56="","",IF(G56&gt;=2.5,3,IF(G56&gt;=2,2,IF(G56&gt;=1.5,1,0))))</f>
        <v/>
      </c>
    </row>
    <row r="57">
      <c r="G57">
        <f>IF(COUNTA(C57:F57)=0,"",C57*$J$2+D57*$J$3+E57*$J$4+F57*$J$5)</f>
        <v/>
      </c>
      <c r="H57">
        <f>IF(G57="","",IF(G57&gt;=2.5,3,IF(G57&gt;=2,2,IF(G57&gt;=1.5,1,0))))</f>
        <v/>
      </c>
    </row>
    <row r="58">
      <c r="G58">
        <f>IF(COUNTA(C58:F58)=0,"",C58*$J$2+D58*$J$3+E58*$J$4+F58*$J$5)</f>
        <v/>
      </c>
      <c r="H58">
        <f>IF(G58="","",IF(G58&gt;=2.5,3,IF(G58&gt;=2,2,IF(G58&gt;=1.5,1,0))))</f>
        <v/>
      </c>
    </row>
    <row r="59">
      <c r="G59">
        <f>IF(COUNTA(C59:F59)=0,"",C59*$J$2+D59*$J$3+E59*$J$4+F59*$J$5)</f>
        <v/>
      </c>
      <c r="H59">
        <f>IF(G59="","",IF(G59&gt;=2.5,3,IF(G59&gt;=2,2,IF(G59&gt;=1.5,1,0))))</f>
        <v/>
      </c>
    </row>
    <row r="60">
      <c r="G60">
        <f>IF(COUNTA(C60:F60)=0,"",C60*$J$2+D60*$J$3+E60*$J$4+F60*$J$5)</f>
        <v/>
      </c>
      <c r="H60">
        <f>IF(G60="","",IF(G60&gt;=2.5,3,IF(G60&gt;=2,2,IF(G60&gt;=1.5,1,0))))</f>
        <v/>
      </c>
    </row>
    <row r="61">
      <c r="G61">
        <f>IF(COUNTA(C61:F61)=0,"",C61*$J$2+D61*$J$3+E61*$J$4+F61*$J$5)</f>
        <v/>
      </c>
      <c r="H61">
        <f>IF(G61="","",IF(G61&gt;=2.5,3,IF(G61&gt;=2,2,IF(G61&gt;=1.5,1,0))))</f>
        <v/>
      </c>
    </row>
    <row r="62">
      <c r="G62">
        <f>IF(COUNTA(C62:F62)=0,"",C62*$J$2+D62*$J$3+E62*$J$4+F62*$J$5)</f>
        <v/>
      </c>
      <c r="H62">
        <f>IF(G62="","",IF(G62&gt;=2.5,3,IF(G62&gt;=2,2,IF(G62&gt;=1.5,1,0))))</f>
        <v/>
      </c>
    </row>
    <row r="63">
      <c r="G63">
        <f>IF(COUNTA(C63:F63)=0,"",C63*$J$2+D63*$J$3+E63*$J$4+F63*$J$5)</f>
        <v/>
      </c>
      <c r="H63">
        <f>IF(G63="","",IF(G63&gt;=2.5,3,IF(G63&gt;=2,2,IF(G63&gt;=1.5,1,0))))</f>
        <v/>
      </c>
    </row>
    <row r="64">
      <c r="G64">
        <f>IF(COUNTA(C64:F64)=0,"",C64*$J$2+D64*$J$3+E64*$J$4+F64*$J$5)</f>
        <v/>
      </c>
      <c r="H64">
        <f>IF(G64="","",IF(G64&gt;=2.5,3,IF(G64&gt;=2,2,IF(G64&gt;=1.5,1,0))))</f>
        <v/>
      </c>
    </row>
    <row r="65">
      <c r="G65">
        <f>IF(COUNTA(C65:F65)=0,"",C65*$J$2+D65*$J$3+E65*$J$4+F65*$J$5)</f>
        <v/>
      </c>
      <c r="H65">
        <f>IF(G65="","",IF(G65&gt;=2.5,3,IF(G65&gt;=2,2,IF(G65&gt;=1.5,1,0))))</f>
        <v/>
      </c>
    </row>
    <row r="66">
      <c r="G66">
        <f>IF(COUNTA(C66:F66)=0,"",C66*$J$2+D66*$J$3+E66*$J$4+F66*$J$5)</f>
        <v/>
      </c>
      <c r="H66">
        <f>IF(G66="","",IF(G66&gt;=2.5,3,IF(G66&gt;=2,2,IF(G66&gt;=1.5,1,0))))</f>
        <v/>
      </c>
    </row>
    <row r="67">
      <c r="G67">
        <f>IF(COUNTA(C67:F67)=0,"",C67*$J$2+D67*$J$3+E67*$J$4+F67*$J$5)</f>
        <v/>
      </c>
      <c r="H67">
        <f>IF(G67="","",IF(G67&gt;=2.5,3,IF(G67&gt;=2,2,IF(G67&gt;=1.5,1,0))))</f>
        <v/>
      </c>
    </row>
    <row r="68">
      <c r="G68">
        <f>IF(COUNTA(C68:F68)=0,"",C68*$J$2+D68*$J$3+E68*$J$4+F68*$J$5)</f>
        <v/>
      </c>
      <c r="H68">
        <f>IF(G68="","",IF(G68&gt;=2.5,3,IF(G68&gt;=2,2,IF(G68&gt;=1.5,1,0))))</f>
        <v/>
      </c>
    </row>
    <row r="69">
      <c r="G69">
        <f>IF(COUNTA(C69:F69)=0,"",C69*$J$2+D69*$J$3+E69*$J$4+F69*$J$5)</f>
        <v/>
      </c>
      <c r="H69">
        <f>IF(G69="","",IF(G69&gt;=2.5,3,IF(G69&gt;=2,2,IF(G69&gt;=1.5,1,0))))</f>
        <v/>
      </c>
    </row>
    <row r="70">
      <c r="G70">
        <f>IF(COUNTA(C70:F70)=0,"",C70*$J$2+D70*$J$3+E70*$J$4+F70*$J$5)</f>
        <v/>
      </c>
      <c r="H70">
        <f>IF(G70="","",IF(G70&gt;=2.5,3,IF(G70&gt;=2,2,IF(G70&gt;=1.5,1,0))))</f>
        <v/>
      </c>
    </row>
    <row r="71">
      <c r="G71">
        <f>IF(COUNTA(C71:F71)=0,"",C71*$J$2+D71*$J$3+E71*$J$4+F71*$J$5)</f>
        <v/>
      </c>
      <c r="H71">
        <f>IF(G71="","",IF(G71&gt;=2.5,3,IF(G71&gt;=2,2,IF(G71&gt;=1.5,1,0))))</f>
        <v/>
      </c>
    </row>
    <row r="72">
      <c r="G72">
        <f>IF(COUNTA(C72:F72)=0,"",C72*$J$2+D72*$J$3+E72*$J$4+F72*$J$5)</f>
        <v/>
      </c>
      <c r="H72">
        <f>IF(G72="","",IF(G72&gt;=2.5,3,IF(G72&gt;=2,2,IF(G72&gt;=1.5,1,0))))</f>
        <v/>
      </c>
    </row>
    <row r="73">
      <c r="G73">
        <f>IF(COUNTA(C73:F73)=0,"",C73*$J$2+D73*$J$3+E73*$J$4+F73*$J$5)</f>
        <v/>
      </c>
      <c r="H73">
        <f>IF(G73="","",IF(G73&gt;=2.5,3,IF(G73&gt;=2,2,IF(G73&gt;=1.5,1,0))))</f>
        <v/>
      </c>
    </row>
    <row r="74">
      <c r="G74">
        <f>IF(COUNTA(C74:F74)=0,"",C74*$J$2+D74*$J$3+E74*$J$4+F74*$J$5)</f>
        <v/>
      </c>
      <c r="H74">
        <f>IF(G74="","",IF(G74&gt;=2.5,3,IF(G74&gt;=2,2,IF(G74&gt;=1.5,1,0))))</f>
        <v/>
      </c>
    </row>
    <row r="75">
      <c r="G75">
        <f>IF(COUNTA(C75:F75)=0,"",C75*$J$2+D75*$J$3+E75*$J$4+F75*$J$5)</f>
        <v/>
      </c>
      <c r="H75">
        <f>IF(G75="","",IF(G75&gt;=2.5,3,IF(G75&gt;=2,2,IF(G75&gt;=1.5,1,0))))</f>
        <v/>
      </c>
    </row>
    <row r="76">
      <c r="G76">
        <f>IF(COUNTA(C76:F76)=0,"",C76*$J$2+D76*$J$3+E76*$J$4+F76*$J$5)</f>
        <v/>
      </c>
      <c r="H76">
        <f>IF(G76="","",IF(G76&gt;=2.5,3,IF(G76&gt;=2,2,IF(G76&gt;=1.5,1,0))))</f>
        <v/>
      </c>
    </row>
    <row r="77">
      <c r="G77">
        <f>IF(COUNTA(C77:F77)=0,"",C77*$J$2+D77*$J$3+E77*$J$4+F77*$J$5)</f>
        <v/>
      </c>
      <c r="H77">
        <f>IF(G77="","",IF(G77&gt;=2.5,3,IF(G77&gt;=2,2,IF(G77&gt;=1.5,1,0))))</f>
        <v/>
      </c>
    </row>
    <row r="78">
      <c r="G78">
        <f>IF(COUNTA(C78:F78)=0,"",C78*$J$2+D78*$J$3+E78*$J$4+F78*$J$5)</f>
        <v/>
      </c>
      <c r="H78">
        <f>IF(G78="","",IF(G78&gt;=2.5,3,IF(G78&gt;=2,2,IF(G78&gt;=1.5,1,0))))</f>
        <v/>
      </c>
    </row>
    <row r="79">
      <c r="G79">
        <f>IF(COUNTA(C79:F79)=0,"",C79*$J$2+D79*$J$3+E79*$J$4+F79*$J$5)</f>
        <v/>
      </c>
      <c r="H79">
        <f>IF(G79="","",IF(G79&gt;=2.5,3,IF(G79&gt;=2,2,IF(G79&gt;=1.5,1,0))))</f>
        <v/>
      </c>
    </row>
    <row r="80">
      <c r="G80">
        <f>IF(COUNTA(C80:F80)=0,"",C80*$J$2+D80*$J$3+E80*$J$4+F80*$J$5)</f>
        <v/>
      </c>
      <c r="H80">
        <f>IF(G80="","",IF(G80&gt;=2.5,3,IF(G80&gt;=2,2,IF(G80&gt;=1.5,1,0))))</f>
        <v/>
      </c>
    </row>
    <row r="81">
      <c r="G81">
        <f>IF(COUNTA(C81:F81)=0,"",C81*$J$2+D81*$J$3+E81*$J$4+F81*$J$5)</f>
        <v/>
      </c>
      <c r="H81">
        <f>IF(G81="","",IF(G81&gt;=2.5,3,IF(G81&gt;=2,2,IF(G81&gt;=1.5,1,0))))</f>
        <v/>
      </c>
    </row>
    <row r="82">
      <c r="G82">
        <f>IF(COUNTA(C82:F82)=0,"",C82*$J$2+D82*$J$3+E82*$J$4+F82*$J$5)</f>
        <v/>
      </c>
      <c r="H82">
        <f>IF(G82="","",IF(G82&gt;=2.5,3,IF(G82&gt;=2,2,IF(G82&gt;=1.5,1,0))))</f>
        <v/>
      </c>
    </row>
    <row r="83">
      <c r="G83">
        <f>IF(COUNTA(C83:F83)=0,"",C83*$J$2+D83*$J$3+E83*$J$4+F83*$J$5)</f>
        <v/>
      </c>
      <c r="H83">
        <f>IF(G83="","",IF(G83&gt;=2.5,3,IF(G83&gt;=2,2,IF(G83&gt;=1.5,1,0))))</f>
        <v/>
      </c>
    </row>
    <row r="84">
      <c r="G84">
        <f>IF(COUNTA(C84:F84)=0,"",C84*$J$2+D84*$J$3+E84*$J$4+F84*$J$5)</f>
        <v/>
      </c>
      <c r="H84">
        <f>IF(G84="","",IF(G84&gt;=2.5,3,IF(G84&gt;=2,2,IF(G84&gt;=1.5,1,0))))</f>
        <v/>
      </c>
    </row>
    <row r="85">
      <c r="G85">
        <f>IF(COUNTA(C85:F85)=0,"",C85*$J$2+D85*$J$3+E85*$J$4+F85*$J$5)</f>
        <v/>
      </c>
      <c r="H85">
        <f>IF(G85="","",IF(G85&gt;=2.5,3,IF(G85&gt;=2,2,IF(G85&gt;=1.5,1,0))))</f>
        <v/>
      </c>
    </row>
    <row r="86">
      <c r="G86">
        <f>IF(COUNTA(C86:F86)=0,"",C86*$J$2+D86*$J$3+E86*$J$4+F86*$J$5)</f>
        <v/>
      </c>
      <c r="H86">
        <f>IF(G86="","",IF(G86&gt;=2.5,3,IF(G86&gt;=2,2,IF(G86&gt;=1.5,1,0))))</f>
        <v/>
      </c>
    </row>
    <row r="87">
      <c r="G87">
        <f>IF(COUNTA(C87:F87)=0,"",C87*$J$2+D87*$J$3+E87*$J$4+F87*$J$5)</f>
        <v/>
      </c>
      <c r="H87">
        <f>IF(G87="","",IF(G87&gt;=2.5,3,IF(G87&gt;=2,2,IF(G87&gt;=1.5,1,0))))</f>
        <v/>
      </c>
    </row>
    <row r="88">
      <c r="G88">
        <f>IF(COUNTA(C88:F88)=0,"",C88*$J$2+D88*$J$3+E88*$J$4+F88*$J$5)</f>
        <v/>
      </c>
      <c r="H88">
        <f>IF(G88="","",IF(G88&gt;=2.5,3,IF(G88&gt;=2,2,IF(G88&gt;=1.5,1,0))))</f>
        <v/>
      </c>
    </row>
    <row r="89">
      <c r="G89">
        <f>IF(COUNTA(C89:F89)=0,"",C89*$J$2+D89*$J$3+E89*$J$4+F89*$J$5)</f>
        <v/>
      </c>
      <c r="H89">
        <f>IF(G89="","",IF(G89&gt;=2.5,3,IF(G89&gt;=2,2,IF(G89&gt;=1.5,1,0))))</f>
        <v/>
      </c>
    </row>
    <row r="90">
      <c r="G90">
        <f>IF(COUNTA(C90:F90)=0,"",C90*$J$2+D90*$J$3+E90*$J$4+F90*$J$5)</f>
        <v/>
      </c>
      <c r="H90">
        <f>IF(G90="","",IF(G90&gt;=2.5,3,IF(G90&gt;=2,2,IF(G90&gt;=1.5,1,0))))</f>
        <v/>
      </c>
    </row>
    <row r="91">
      <c r="G91">
        <f>IF(COUNTA(C91:F91)=0,"",C91*$J$2+D91*$J$3+E91*$J$4+F91*$J$5)</f>
        <v/>
      </c>
      <c r="H91">
        <f>IF(G91="","",IF(G91&gt;=2.5,3,IF(G91&gt;=2,2,IF(G91&gt;=1.5,1,0))))</f>
        <v/>
      </c>
    </row>
    <row r="92">
      <c r="G92">
        <f>IF(COUNTA(C92:F92)=0,"",C92*$J$2+D92*$J$3+E92*$J$4+F92*$J$5)</f>
        <v/>
      </c>
      <c r="H92">
        <f>IF(G92="","",IF(G92&gt;=2.5,3,IF(G92&gt;=2,2,IF(G92&gt;=1.5,1,0))))</f>
        <v/>
      </c>
    </row>
    <row r="93">
      <c r="G93">
        <f>IF(COUNTA(C93:F93)=0,"",C93*$J$2+D93*$J$3+E93*$J$4+F93*$J$5)</f>
        <v/>
      </c>
      <c r="H93">
        <f>IF(G93="","",IF(G93&gt;=2.5,3,IF(G93&gt;=2,2,IF(G93&gt;=1.5,1,0))))</f>
        <v/>
      </c>
    </row>
    <row r="94">
      <c r="G94">
        <f>IF(COUNTA(C94:F94)=0,"",C94*$J$2+D94*$J$3+E94*$J$4+F94*$J$5)</f>
        <v/>
      </c>
      <c r="H94">
        <f>IF(G94="","",IF(G94&gt;=2.5,3,IF(G94&gt;=2,2,IF(G94&gt;=1.5,1,0))))</f>
        <v/>
      </c>
    </row>
    <row r="95">
      <c r="G95">
        <f>IF(COUNTA(C95:F95)=0,"",C95*$J$2+D95*$J$3+E95*$J$4+F95*$J$5)</f>
        <v/>
      </c>
      <c r="H95">
        <f>IF(G95="","",IF(G95&gt;=2.5,3,IF(G95&gt;=2,2,IF(G95&gt;=1.5,1,0))))</f>
        <v/>
      </c>
    </row>
    <row r="96">
      <c r="G96">
        <f>IF(COUNTA(C96:F96)=0,"",C96*$J$2+D96*$J$3+E96*$J$4+F96*$J$5)</f>
        <v/>
      </c>
      <c r="H96">
        <f>IF(G96="","",IF(G96&gt;=2.5,3,IF(G96&gt;=2,2,IF(G96&gt;=1.5,1,0))))</f>
        <v/>
      </c>
    </row>
    <row r="97">
      <c r="G97">
        <f>IF(COUNTA(C97:F97)=0,"",C97*$J$2+D97*$J$3+E97*$J$4+F97*$J$5)</f>
        <v/>
      </c>
      <c r="H97">
        <f>IF(G97="","",IF(G97&gt;=2.5,3,IF(G97&gt;=2,2,IF(G97&gt;=1.5,1,0))))</f>
        <v/>
      </c>
    </row>
    <row r="98">
      <c r="G98">
        <f>IF(COUNTA(C98:F98)=0,"",C98*$J$2+D98*$J$3+E98*$J$4+F98*$J$5)</f>
        <v/>
      </c>
      <c r="H98">
        <f>IF(G98="","",IF(G98&gt;=2.5,3,IF(G98&gt;=2,2,IF(G98&gt;=1.5,1,0))))</f>
        <v/>
      </c>
    </row>
    <row r="99">
      <c r="G99">
        <f>IF(COUNTA(C99:F99)=0,"",C99*$J$2+D99*$J$3+E99*$J$4+F99*$J$5)</f>
        <v/>
      </c>
      <c r="H99">
        <f>IF(G99="","",IF(G99&gt;=2.5,3,IF(G99&gt;=2,2,IF(G99&gt;=1.5,1,0))))</f>
        <v/>
      </c>
    </row>
    <row r="100">
      <c r="G100">
        <f>IF(COUNTA(C100:F100)=0,"",C100*$J$2+D100*$J$3+E100*$J$4+F100*$J$5)</f>
        <v/>
      </c>
      <c r="H100">
        <f>IF(G100="","",IF(G100&gt;=2.5,3,IF(G100&gt;=2,2,IF(G100&gt;=1.5,1,0))))</f>
        <v/>
      </c>
    </row>
    <row r="101">
      <c r="G101">
        <f>IF(COUNTA(C101:F101)=0,"",C101*$J$2+D101*$J$3+E101*$J$4+F101*$J$5)</f>
        <v/>
      </c>
      <c r="H101">
        <f>IF(G101="","",IF(G101&gt;=2.5,3,IF(G101&gt;=2,2,IF(G101&gt;=1.5,1,0))))</f>
        <v/>
      </c>
    </row>
    <row r="102">
      <c r="G102">
        <f>IF(COUNTA(C102:F102)=0,"",C102*$J$2+D102*$J$3+E102*$J$4+F102*$J$5)</f>
        <v/>
      </c>
      <c r="H102">
        <f>IF(G102="","",IF(G102&gt;=2.5,3,IF(G102&gt;=2,2,IF(G102&gt;=1.5,1,0))))</f>
        <v/>
      </c>
    </row>
    <row r="103">
      <c r="G103">
        <f>IF(COUNTA(C103:F103)=0,"",C103*$J$2+D103*$J$3+E103*$J$4+F103*$J$5)</f>
        <v/>
      </c>
      <c r="H103">
        <f>IF(G103="","",IF(G103&gt;=2.5,3,IF(G103&gt;=2,2,IF(G103&gt;=1.5,1,0))))</f>
        <v/>
      </c>
    </row>
    <row r="104">
      <c r="G104">
        <f>IF(COUNTA(C104:F104)=0,"",C104*$J$2+D104*$J$3+E104*$J$4+F104*$J$5)</f>
        <v/>
      </c>
      <c r="H104">
        <f>IF(G104="","",IF(G104&gt;=2.5,3,IF(G104&gt;=2,2,IF(G104&gt;=1.5,1,0))))</f>
        <v/>
      </c>
    </row>
    <row r="105">
      <c r="G105">
        <f>IF(COUNTA(C105:F105)=0,"",C105*$J$2+D105*$J$3+E105*$J$4+F105*$J$5)</f>
        <v/>
      </c>
      <c r="H105">
        <f>IF(G105="","",IF(G105&gt;=2.5,3,IF(G105&gt;=2,2,IF(G105&gt;=1.5,1,0))))</f>
        <v/>
      </c>
    </row>
    <row r="106">
      <c r="G106">
        <f>IF(COUNTA(C106:F106)=0,"",C106*$J$2+D106*$J$3+E106*$J$4+F106*$J$5)</f>
        <v/>
      </c>
      <c r="H106">
        <f>IF(G106="","",IF(G106&gt;=2.5,3,IF(G106&gt;=2,2,IF(G106&gt;=1.5,1,0))))</f>
        <v/>
      </c>
    </row>
    <row r="107">
      <c r="G107">
        <f>IF(COUNTA(C107:F107)=0,"",C107*$J$2+D107*$J$3+E107*$J$4+F107*$J$5)</f>
        <v/>
      </c>
      <c r="H107">
        <f>IF(G107="","",IF(G107&gt;=2.5,3,IF(G107&gt;=2,2,IF(G107&gt;=1.5,1,0))))</f>
        <v/>
      </c>
    </row>
    <row r="108">
      <c r="G108">
        <f>IF(COUNTA(C108:F108)=0,"",C108*$J$2+D108*$J$3+E108*$J$4+F108*$J$5)</f>
        <v/>
      </c>
      <c r="H108">
        <f>IF(G108="","",IF(G108&gt;=2.5,3,IF(G108&gt;=2,2,IF(G108&gt;=1.5,1,0))))</f>
        <v/>
      </c>
    </row>
    <row r="109">
      <c r="G109">
        <f>IF(COUNTA(C109:F109)=0,"",C109*$J$2+D109*$J$3+E109*$J$4+F109*$J$5)</f>
        <v/>
      </c>
      <c r="H109">
        <f>IF(G109="","",IF(G109&gt;=2.5,3,IF(G109&gt;=2,2,IF(G109&gt;=1.5,1,0))))</f>
        <v/>
      </c>
    </row>
    <row r="110">
      <c r="G110">
        <f>IF(COUNTA(C110:F110)=0,"",C110*$J$2+D110*$J$3+E110*$J$4+F110*$J$5)</f>
        <v/>
      </c>
      <c r="H110">
        <f>IF(G110="","",IF(G110&gt;=2.5,3,IF(G110&gt;=2,2,IF(G110&gt;=1.5,1,0))))</f>
        <v/>
      </c>
    </row>
    <row r="111">
      <c r="G111">
        <f>IF(COUNTA(C111:F111)=0,"",C111*$J$2+D111*$J$3+E111*$J$4+F111*$J$5)</f>
        <v/>
      </c>
      <c r="H111">
        <f>IF(G111="","",IF(G111&gt;=2.5,3,IF(G111&gt;=2,2,IF(G111&gt;=1.5,1,0))))</f>
        <v/>
      </c>
    </row>
    <row r="112">
      <c r="G112">
        <f>IF(COUNTA(C112:F112)=0,"",C112*$J$2+D112*$J$3+E112*$J$4+F112*$J$5)</f>
        <v/>
      </c>
      <c r="H112">
        <f>IF(G112="","",IF(G112&gt;=2.5,3,IF(G112&gt;=2,2,IF(G112&gt;=1.5,1,0))))</f>
        <v/>
      </c>
    </row>
    <row r="113">
      <c r="G113">
        <f>IF(COUNTA(C113:F113)=0,"",C113*$J$2+D113*$J$3+E113*$J$4+F113*$J$5)</f>
        <v/>
      </c>
      <c r="H113">
        <f>IF(G113="","",IF(G113&gt;=2.5,3,IF(G113&gt;=2,2,IF(G113&gt;=1.5,1,0))))</f>
        <v/>
      </c>
    </row>
    <row r="114">
      <c r="G114">
        <f>IF(COUNTA(C114:F114)=0,"",C114*$J$2+D114*$J$3+E114*$J$4+F114*$J$5)</f>
        <v/>
      </c>
      <c r="H114">
        <f>IF(G114="","",IF(G114&gt;=2.5,3,IF(G114&gt;=2,2,IF(G114&gt;=1.5,1,0))))</f>
        <v/>
      </c>
    </row>
    <row r="115">
      <c r="G115">
        <f>IF(COUNTA(C115:F115)=0,"",C115*$J$2+D115*$J$3+E115*$J$4+F115*$J$5)</f>
        <v/>
      </c>
      <c r="H115">
        <f>IF(G115="","",IF(G115&gt;=2.5,3,IF(G115&gt;=2,2,IF(G115&gt;=1.5,1,0))))</f>
        <v/>
      </c>
    </row>
    <row r="116">
      <c r="G116">
        <f>IF(COUNTA(C116:F116)=0,"",C116*$J$2+D116*$J$3+E116*$J$4+F116*$J$5)</f>
        <v/>
      </c>
      <c r="H116">
        <f>IF(G116="","",IF(G116&gt;=2.5,3,IF(G116&gt;=2,2,IF(G116&gt;=1.5,1,0))))</f>
        <v/>
      </c>
    </row>
    <row r="117">
      <c r="G117">
        <f>IF(COUNTA(C117:F117)=0,"",C117*$J$2+D117*$J$3+E117*$J$4+F117*$J$5)</f>
        <v/>
      </c>
      <c r="H117">
        <f>IF(G117="","",IF(G117&gt;=2.5,3,IF(G117&gt;=2,2,IF(G117&gt;=1.5,1,0))))</f>
        <v/>
      </c>
    </row>
    <row r="118">
      <c r="G118">
        <f>IF(COUNTA(C118:F118)=0,"",C118*$J$2+D118*$J$3+E118*$J$4+F118*$J$5)</f>
        <v/>
      </c>
      <c r="H118">
        <f>IF(G118="","",IF(G118&gt;=2.5,3,IF(G118&gt;=2,2,IF(G118&gt;=1.5,1,0))))</f>
        <v/>
      </c>
    </row>
    <row r="119">
      <c r="G119">
        <f>IF(COUNTA(C119:F119)=0,"",C119*$J$2+D119*$J$3+E119*$J$4+F119*$J$5)</f>
        <v/>
      </c>
      <c r="H119">
        <f>IF(G119="","",IF(G119&gt;=2.5,3,IF(G119&gt;=2,2,IF(G119&gt;=1.5,1,0))))</f>
        <v/>
      </c>
    </row>
    <row r="120">
      <c r="G120">
        <f>IF(COUNTA(C120:F120)=0,"",C120*$J$2+D120*$J$3+E120*$J$4+F120*$J$5)</f>
        <v/>
      </c>
      <c r="H120">
        <f>IF(G120="","",IF(G120&gt;=2.5,3,IF(G120&gt;=2,2,IF(G120&gt;=1.5,1,0))))</f>
        <v/>
      </c>
    </row>
    <row r="121">
      <c r="G121">
        <f>IF(COUNTA(C121:F121)=0,"",C121*$J$2+D121*$J$3+E121*$J$4+F121*$J$5)</f>
        <v/>
      </c>
      <c r="H121">
        <f>IF(G121="","",IF(G121&gt;=2.5,3,IF(G121&gt;=2,2,IF(G121&gt;=1.5,1,0))))</f>
        <v/>
      </c>
    </row>
    <row r="122">
      <c r="G122">
        <f>IF(COUNTA(C122:F122)=0,"",C122*$J$2+D122*$J$3+E122*$J$4+F122*$J$5)</f>
        <v/>
      </c>
      <c r="H122">
        <f>IF(G122="","",IF(G122&gt;=2.5,3,IF(G122&gt;=2,2,IF(G122&gt;=1.5,1,0))))</f>
        <v/>
      </c>
    </row>
    <row r="123">
      <c r="G123">
        <f>IF(COUNTA(C123:F123)=0,"",C123*$J$2+D123*$J$3+E123*$J$4+F123*$J$5)</f>
        <v/>
      </c>
      <c r="H123">
        <f>IF(G123="","",IF(G123&gt;=2.5,3,IF(G123&gt;=2,2,IF(G123&gt;=1.5,1,0))))</f>
        <v/>
      </c>
    </row>
    <row r="124">
      <c r="G124">
        <f>IF(COUNTA(C124:F124)=0,"",C124*$J$2+D124*$J$3+E124*$J$4+F124*$J$5)</f>
        <v/>
      </c>
      <c r="H124">
        <f>IF(G124="","",IF(G124&gt;=2.5,3,IF(G124&gt;=2,2,IF(G124&gt;=1.5,1,0))))</f>
        <v/>
      </c>
    </row>
    <row r="125">
      <c r="G125">
        <f>IF(COUNTA(C125:F125)=0,"",C125*$J$2+D125*$J$3+E125*$J$4+F125*$J$5)</f>
        <v/>
      </c>
      <c r="H125">
        <f>IF(G125="","",IF(G125&gt;=2.5,3,IF(G125&gt;=2,2,IF(G125&gt;=1.5,1,0))))</f>
        <v/>
      </c>
    </row>
    <row r="126">
      <c r="G126">
        <f>IF(COUNTA(C126:F126)=0,"",C126*$J$2+D126*$J$3+E126*$J$4+F126*$J$5)</f>
        <v/>
      </c>
      <c r="H126">
        <f>IF(G126="","",IF(G126&gt;=2.5,3,IF(G126&gt;=2,2,IF(G126&gt;=1.5,1,0))))</f>
        <v/>
      </c>
    </row>
    <row r="127">
      <c r="G127">
        <f>IF(COUNTA(C127:F127)=0,"",C127*$J$2+D127*$J$3+E127*$J$4+F127*$J$5)</f>
        <v/>
      </c>
      <c r="H127">
        <f>IF(G127="","",IF(G127&gt;=2.5,3,IF(G127&gt;=2,2,IF(G127&gt;=1.5,1,0))))</f>
        <v/>
      </c>
    </row>
    <row r="128">
      <c r="G128">
        <f>IF(COUNTA(C128:F128)=0,"",C128*$J$2+D128*$J$3+E128*$J$4+F128*$J$5)</f>
        <v/>
      </c>
      <c r="H128">
        <f>IF(G128="","",IF(G128&gt;=2.5,3,IF(G128&gt;=2,2,IF(G128&gt;=1.5,1,0))))</f>
        <v/>
      </c>
    </row>
    <row r="129">
      <c r="G129">
        <f>IF(COUNTA(C129:F129)=0,"",C129*$J$2+D129*$J$3+E129*$J$4+F129*$J$5)</f>
        <v/>
      </c>
      <c r="H129">
        <f>IF(G129="","",IF(G129&gt;=2.5,3,IF(G129&gt;=2,2,IF(G129&gt;=1.5,1,0))))</f>
        <v/>
      </c>
    </row>
    <row r="130">
      <c r="G130">
        <f>IF(COUNTA(C130:F130)=0,"",C130*$J$2+D130*$J$3+E130*$J$4+F130*$J$5)</f>
        <v/>
      </c>
      <c r="H130">
        <f>IF(G130="","",IF(G130&gt;=2.5,3,IF(G130&gt;=2,2,IF(G130&gt;=1.5,1,0))))</f>
        <v/>
      </c>
    </row>
    <row r="131">
      <c r="G131">
        <f>IF(COUNTA(C131:F131)=0,"",C131*$J$2+D131*$J$3+E131*$J$4+F131*$J$5)</f>
        <v/>
      </c>
      <c r="H131">
        <f>IF(G131="","",IF(G131&gt;=2.5,3,IF(G131&gt;=2,2,IF(G131&gt;=1.5,1,0))))</f>
        <v/>
      </c>
    </row>
    <row r="132">
      <c r="G132">
        <f>IF(COUNTA(C132:F132)=0,"",C132*$J$2+D132*$J$3+E132*$J$4+F132*$J$5)</f>
        <v/>
      </c>
      <c r="H132">
        <f>IF(G132="","",IF(G132&gt;=2.5,3,IF(G132&gt;=2,2,IF(G132&gt;=1.5,1,0))))</f>
        <v/>
      </c>
    </row>
    <row r="133">
      <c r="G133">
        <f>IF(COUNTA(C133:F133)=0,"",C133*$J$2+D133*$J$3+E133*$J$4+F133*$J$5)</f>
        <v/>
      </c>
      <c r="H133">
        <f>IF(G133="","",IF(G133&gt;=2.5,3,IF(G133&gt;=2,2,IF(G133&gt;=1.5,1,0))))</f>
        <v/>
      </c>
    </row>
    <row r="134">
      <c r="G134">
        <f>IF(COUNTA(C134:F134)=0,"",C134*$J$2+D134*$J$3+E134*$J$4+F134*$J$5)</f>
        <v/>
      </c>
      <c r="H134">
        <f>IF(G134="","",IF(G134&gt;=2.5,3,IF(G134&gt;=2,2,IF(G134&gt;=1.5,1,0))))</f>
        <v/>
      </c>
    </row>
    <row r="135">
      <c r="G135">
        <f>IF(COUNTA(C135:F135)=0,"",C135*$J$2+D135*$J$3+E135*$J$4+F135*$J$5)</f>
        <v/>
      </c>
      <c r="H135">
        <f>IF(G135="","",IF(G135&gt;=2.5,3,IF(G135&gt;=2,2,IF(G135&gt;=1.5,1,0))))</f>
        <v/>
      </c>
    </row>
    <row r="136">
      <c r="G136">
        <f>IF(COUNTA(C136:F136)=0,"",C136*$J$2+D136*$J$3+E136*$J$4+F136*$J$5)</f>
        <v/>
      </c>
      <c r="H136">
        <f>IF(G136="","",IF(G136&gt;=2.5,3,IF(G136&gt;=2,2,IF(G136&gt;=1.5,1,0))))</f>
        <v/>
      </c>
    </row>
    <row r="137">
      <c r="G137">
        <f>IF(COUNTA(C137:F137)=0,"",C137*$J$2+D137*$J$3+E137*$J$4+F137*$J$5)</f>
        <v/>
      </c>
      <c r="H137">
        <f>IF(G137="","",IF(G137&gt;=2.5,3,IF(G137&gt;=2,2,IF(G137&gt;=1.5,1,0))))</f>
        <v/>
      </c>
    </row>
    <row r="138">
      <c r="G138">
        <f>IF(COUNTA(C138:F138)=0,"",C138*$J$2+D138*$J$3+E138*$J$4+F138*$J$5)</f>
        <v/>
      </c>
      <c r="H138">
        <f>IF(G138="","",IF(G138&gt;=2.5,3,IF(G138&gt;=2,2,IF(G138&gt;=1.5,1,0))))</f>
        <v/>
      </c>
    </row>
    <row r="139">
      <c r="G139">
        <f>IF(COUNTA(C139:F139)=0,"",C139*$J$2+D139*$J$3+E139*$J$4+F139*$J$5)</f>
        <v/>
      </c>
      <c r="H139">
        <f>IF(G139="","",IF(G139&gt;=2.5,3,IF(G139&gt;=2,2,IF(G139&gt;=1.5,1,0))))</f>
        <v/>
      </c>
    </row>
    <row r="140">
      <c r="G140">
        <f>IF(COUNTA(C140:F140)=0,"",C140*$J$2+D140*$J$3+E140*$J$4+F140*$J$5)</f>
        <v/>
      </c>
      <c r="H140">
        <f>IF(G140="","",IF(G140&gt;=2.5,3,IF(G140&gt;=2,2,IF(G140&gt;=1.5,1,0))))</f>
        <v/>
      </c>
    </row>
    <row r="141">
      <c r="G141">
        <f>IF(COUNTA(C141:F141)=0,"",C141*$J$2+D141*$J$3+E141*$J$4+F141*$J$5)</f>
        <v/>
      </c>
      <c r="H141">
        <f>IF(G141="","",IF(G141&gt;=2.5,3,IF(G141&gt;=2,2,IF(G141&gt;=1.5,1,0))))</f>
        <v/>
      </c>
    </row>
    <row r="142">
      <c r="G142">
        <f>IF(COUNTA(C142:F142)=0,"",C142*$J$2+D142*$J$3+E142*$J$4+F142*$J$5)</f>
        <v/>
      </c>
      <c r="H142">
        <f>IF(G142="","",IF(G142&gt;=2.5,3,IF(G142&gt;=2,2,IF(G142&gt;=1.5,1,0))))</f>
        <v/>
      </c>
    </row>
    <row r="143">
      <c r="G143">
        <f>IF(COUNTA(C143:F143)=0,"",C143*$J$2+D143*$J$3+E143*$J$4+F143*$J$5)</f>
        <v/>
      </c>
      <c r="H143">
        <f>IF(G143="","",IF(G143&gt;=2.5,3,IF(G143&gt;=2,2,IF(G143&gt;=1.5,1,0))))</f>
        <v/>
      </c>
    </row>
    <row r="144">
      <c r="G144">
        <f>IF(COUNTA(C144:F144)=0,"",C144*$J$2+D144*$J$3+E144*$J$4+F144*$J$5)</f>
        <v/>
      </c>
      <c r="H144">
        <f>IF(G144="","",IF(G144&gt;=2.5,3,IF(G144&gt;=2,2,IF(G144&gt;=1.5,1,0))))</f>
        <v/>
      </c>
    </row>
    <row r="145">
      <c r="G145">
        <f>IF(COUNTA(C145:F145)=0,"",C145*$J$2+D145*$J$3+E145*$J$4+F145*$J$5)</f>
        <v/>
      </c>
      <c r="H145">
        <f>IF(G145="","",IF(G145&gt;=2.5,3,IF(G145&gt;=2,2,IF(G145&gt;=1.5,1,0))))</f>
        <v/>
      </c>
    </row>
    <row r="146">
      <c r="G146">
        <f>IF(COUNTA(C146:F146)=0,"",C146*$J$2+D146*$J$3+E146*$J$4+F146*$J$5)</f>
        <v/>
      </c>
      <c r="H146">
        <f>IF(G146="","",IF(G146&gt;=2.5,3,IF(G146&gt;=2,2,IF(G146&gt;=1.5,1,0))))</f>
        <v/>
      </c>
    </row>
    <row r="147">
      <c r="G147">
        <f>IF(COUNTA(C147:F147)=0,"",C147*$J$2+D147*$J$3+E147*$J$4+F147*$J$5)</f>
        <v/>
      </c>
      <c r="H147">
        <f>IF(G147="","",IF(G147&gt;=2.5,3,IF(G147&gt;=2,2,IF(G147&gt;=1.5,1,0))))</f>
        <v/>
      </c>
    </row>
    <row r="148">
      <c r="G148">
        <f>IF(COUNTA(C148:F148)=0,"",C148*$J$2+D148*$J$3+E148*$J$4+F148*$J$5)</f>
        <v/>
      </c>
      <c r="H148">
        <f>IF(G148="","",IF(G148&gt;=2.5,3,IF(G148&gt;=2,2,IF(G148&gt;=1.5,1,0))))</f>
        <v/>
      </c>
    </row>
    <row r="149">
      <c r="G149">
        <f>IF(COUNTA(C149:F149)=0,"",C149*$J$2+D149*$J$3+E149*$J$4+F149*$J$5)</f>
        <v/>
      </c>
      <c r="H149">
        <f>IF(G149="","",IF(G149&gt;=2.5,3,IF(G149&gt;=2,2,IF(G149&gt;=1.5,1,0))))</f>
        <v/>
      </c>
    </row>
    <row r="150">
      <c r="G150">
        <f>IF(COUNTA(C150:F150)=0,"",C150*$J$2+D150*$J$3+E150*$J$4+F150*$J$5)</f>
        <v/>
      </c>
      <c r="H150">
        <f>IF(G150="","",IF(G150&gt;=2.5,3,IF(G150&gt;=2,2,IF(G150&gt;=1.5,1,0))))</f>
        <v/>
      </c>
    </row>
    <row r="151">
      <c r="G151">
        <f>IF(COUNTA(C151:F151)=0,"",C151*$J$2+D151*$J$3+E151*$J$4+F151*$J$5)</f>
        <v/>
      </c>
      <c r="H151">
        <f>IF(G151="","",IF(G151&gt;=2.5,3,IF(G151&gt;=2,2,IF(G151&gt;=1.5,1,0))))</f>
        <v/>
      </c>
    </row>
    <row r="152">
      <c r="G152">
        <f>IF(COUNTA(C152:F152)=0,"",C152*$J$2+D152*$J$3+E152*$J$4+F152*$J$5)</f>
        <v/>
      </c>
      <c r="H152">
        <f>IF(G152="","",IF(G152&gt;=2.5,3,IF(G152&gt;=2,2,IF(G152&gt;=1.5,1,0))))</f>
        <v/>
      </c>
    </row>
    <row r="153">
      <c r="G153">
        <f>IF(COUNTA(C153:F153)=0,"",C153*$J$2+D153*$J$3+E153*$J$4+F153*$J$5)</f>
        <v/>
      </c>
      <c r="H153">
        <f>IF(G153="","",IF(G153&gt;=2.5,3,IF(G153&gt;=2,2,IF(G153&gt;=1.5,1,0))))</f>
        <v/>
      </c>
    </row>
    <row r="154">
      <c r="G154">
        <f>IF(COUNTA(C154:F154)=0,"",C154*$J$2+D154*$J$3+E154*$J$4+F154*$J$5)</f>
        <v/>
      </c>
      <c r="H154">
        <f>IF(G154="","",IF(G154&gt;=2.5,3,IF(G154&gt;=2,2,IF(G154&gt;=1.5,1,0))))</f>
        <v/>
      </c>
    </row>
    <row r="155">
      <c r="G155">
        <f>IF(COUNTA(C155:F155)=0,"",C155*$J$2+D155*$J$3+E155*$J$4+F155*$J$5)</f>
        <v/>
      </c>
      <c r="H155">
        <f>IF(G155="","",IF(G155&gt;=2.5,3,IF(G155&gt;=2,2,IF(G155&gt;=1.5,1,0))))</f>
        <v/>
      </c>
    </row>
    <row r="156">
      <c r="G156">
        <f>IF(COUNTA(C156:F156)=0,"",C156*$J$2+D156*$J$3+E156*$J$4+F156*$J$5)</f>
        <v/>
      </c>
      <c r="H156">
        <f>IF(G156="","",IF(G156&gt;=2.5,3,IF(G156&gt;=2,2,IF(G156&gt;=1.5,1,0))))</f>
        <v/>
      </c>
    </row>
    <row r="157">
      <c r="G157">
        <f>IF(COUNTA(C157:F157)=0,"",C157*$J$2+D157*$J$3+E157*$J$4+F157*$J$5)</f>
        <v/>
      </c>
      <c r="H157">
        <f>IF(G157="","",IF(G157&gt;=2.5,3,IF(G157&gt;=2,2,IF(G157&gt;=1.5,1,0))))</f>
        <v/>
      </c>
    </row>
    <row r="158">
      <c r="G158">
        <f>IF(COUNTA(C158:F158)=0,"",C158*$J$2+D158*$J$3+E158*$J$4+F158*$J$5)</f>
        <v/>
      </c>
      <c r="H158">
        <f>IF(G158="","",IF(G158&gt;=2.5,3,IF(G158&gt;=2,2,IF(G158&gt;=1.5,1,0))))</f>
        <v/>
      </c>
    </row>
    <row r="159">
      <c r="G159">
        <f>IF(COUNTA(C159:F159)=0,"",C159*$J$2+D159*$J$3+E159*$J$4+F159*$J$5)</f>
        <v/>
      </c>
      <c r="H159">
        <f>IF(G159="","",IF(G159&gt;=2.5,3,IF(G159&gt;=2,2,IF(G159&gt;=1.5,1,0))))</f>
        <v/>
      </c>
    </row>
    <row r="160">
      <c r="G160">
        <f>IF(COUNTA(C160:F160)=0,"",C160*$J$2+D160*$J$3+E160*$J$4+F160*$J$5)</f>
        <v/>
      </c>
      <c r="H160">
        <f>IF(G160="","",IF(G160&gt;=2.5,3,IF(G160&gt;=2,2,IF(G160&gt;=1.5,1,0))))</f>
        <v/>
      </c>
    </row>
    <row r="161">
      <c r="G161">
        <f>IF(COUNTA(C161:F161)=0,"",C161*$J$2+D161*$J$3+E161*$J$4+F161*$J$5)</f>
        <v/>
      </c>
      <c r="H161">
        <f>IF(G161="","",IF(G161&gt;=2.5,3,IF(G161&gt;=2,2,IF(G161&gt;=1.5,1,0))))</f>
        <v/>
      </c>
    </row>
    <row r="162">
      <c r="G162">
        <f>IF(COUNTA(C162:F162)=0,"",C162*$J$2+D162*$J$3+E162*$J$4+F162*$J$5)</f>
        <v/>
      </c>
      <c r="H162">
        <f>IF(G162="","",IF(G162&gt;=2.5,3,IF(G162&gt;=2,2,IF(G162&gt;=1.5,1,0))))</f>
        <v/>
      </c>
    </row>
    <row r="163">
      <c r="G163">
        <f>IF(COUNTA(C163:F163)=0,"",C163*$J$2+D163*$J$3+E163*$J$4+F163*$J$5)</f>
        <v/>
      </c>
      <c r="H163">
        <f>IF(G163="","",IF(G163&gt;=2.5,3,IF(G163&gt;=2,2,IF(G163&gt;=1.5,1,0))))</f>
        <v/>
      </c>
    </row>
    <row r="164">
      <c r="G164">
        <f>IF(COUNTA(C164:F164)=0,"",C164*$J$2+D164*$J$3+E164*$J$4+F164*$J$5)</f>
        <v/>
      </c>
      <c r="H164">
        <f>IF(G164="","",IF(G164&gt;=2.5,3,IF(G164&gt;=2,2,IF(G164&gt;=1.5,1,0))))</f>
        <v/>
      </c>
    </row>
    <row r="165">
      <c r="G165">
        <f>IF(COUNTA(C165:F165)=0,"",C165*$J$2+D165*$J$3+E165*$J$4+F165*$J$5)</f>
        <v/>
      </c>
      <c r="H165">
        <f>IF(G165="","",IF(G165&gt;=2.5,3,IF(G165&gt;=2,2,IF(G165&gt;=1.5,1,0))))</f>
        <v/>
      </c>
    </row>
    <row r="166">
      <c r="G166">
        <f>IF(COUNTA(C166:F166)=0,"",C166*$J$2+D166*$J$3+E166*$J$4+F166*$J$5)</f>
        <v/>
      </c>
      <c r="H166">
        <f>IF(G166="","",IF(G166&gt;=2.5,3,IF(G166&gt;=2,2,IF(G166&gt;=1.5,1,0))))</f>
        <v/>
      </c>
    </row>
    <row r="167">
      <c r="G167">
        <f>IF(COUNTA(C167:F167)=0,"",C167*$J$2+D167*$J$3+E167*$J$4+F167*$J$5)</f>
        <v/>
      </c>
      <c r="H167">
        <f>IF(G167="","",IF(G167&gt;=2.5,3,IF(G167&gt;=2,2,IF(G167&gt;=1.5,1,0))))</f>
        <v/>
      </c>
    </row>
    <row r="168">
      <c r="G168">
        <f>IF(COUNTA(C168:F168)=0,"",C168*$J$2+D168*$J$3+E168*$J$4+F168*$J$5)</f>
        <v/>
      </c>
      <c r="H168">
        <f>IF(G168="","",IF(G168&gt;=2.5,3,IF(G168&gt;=2,2,IF(G168&gt;=1.5,1,0))))</f>
        <v/>
      </c>
    </row>
    <row r="169">
      <c r="G169">
        <f>IF(COUNTA(C169:F169)=0,"",C169*$J$2+D169*$J$3+E169*$J$4+F169*$J$5)</f>
        <v/>
      </c>
      <c r="H169">
        <f>IF(G169="","",IF(G169&gt;=2.5,3,IF(G169&gt;=2,2,IF(G169&gt;=1.5,1,0))))</f>
        <v/>
      </c>
    </row>
    <row r="170">
      <c r="G170">
        <f>IF(COUNTA(C170:F170)=0,"",C170*$J$2+D170*$J$3+E170*$J$4+F170*$J$5)</f>
        <v/>
      </c>
      <c r="H170">
        <f>IF(G170="","",IF(G170&gt;=2.5,3,IF(G170&gt;=2,2,IF(G170&gt;=1.5,1,0))))</f>
        <v/>
      </c>
    </row>
    <row r="171">
      <c r="G171">
        <f>IF(COUNTA(C171:F171)=0,"",C171*$J$2+D171*$J$3+E171*$J$4+F171*$J$5)</f>
        <v/>
      </c>
      <c r="H171">
        <f>IF(G171="","",IF(G171&gt;=2.5,3,IF(G171&gt;=2,2,IF(G171&gt;=1.5,1,0))))</f>
        <v/>
      </c>
    </row>
    <row r="172">
      <c r="G172">
        <f>IF(COUNTA(C172:F172)=0,"",C172*$J$2+D172*$J$3+E172*$J$4+F172*$J$5)</f>
        <v/>
      </c>
      <c r="H172">
        <f>IF(G172="","",IF(G172&gt;=2.5,3,IF(G172&gt;=2,2,IF(G172&gt;=1.5,1,0))))</f>
        <v/>
      </c>
    </row>
    <row r="173">
      <c r="G173">
        <f>IF(COUNTA(C173:F173)=0,"",C173*$J$2+D173*$J$3+E173*$J$4+F173*$J$5)</f>
        <v/>
      </c>
      <c r="H173">
        <f>IF(G173="","",IF(G173&gt;=2.5,3,IF(G173&gt;=2,2,IF(G173&gt;=1.5,1,0))))</f>
        <v/>
      </c>
    </row>
    <row r="174">
      <c r="G174">
        <f>IF(COUNTA(C174:F174)=0,"",C174*$J$2+D174*$J$3+E174*$J$4+F174*$J$5)</f>
        <v/>
      </c>
      <c r="H174">
        <f>IF(G174="","",IF(G174&gt;=2.5,3,IF(G174&gt;=2,2,IF(G174&gt;=1.5,1,0))))</f>
        <v/>
      </c>
    </row>
    <row r="175">
      <c r="G175">
        <f>IF(COUNTA(C175:F175)=0,"",C175*$J$2+D175*$J$3+E175*$J$4+F175*$J$5)</f>
        <v/>
      </c>
      <c r="H175">
        <f>IF(G175="","",IF(G175&gt;=2.5,3,IF(G175&gt;=2,2,IF(G175&gt;=1.5,1,0))))</f>
        <v/>
      </c>
    </row>
    <row r="176">
      <c r="G176">
        <f>IF(COUNTA(C176:F176)=0,"",C176*$J$2+D176*$J$3+E176*$J$4+F176*$J$5)</f>
        <v/>
      </c>
      <c r="H176">
        <f>IF(G176="","",IF(G176&gt;=2.5,3,IF(G176&gt;=2,2,IF(G176&gt;=1.5,1,0))))</f>
        <v/>
      </c>
    </row>
    <row r="177">
      <c r="G177">
        <f>IF(COUNTA(C177:F177)=0,"",C177*$J$2+D177*$J$3+E177*$J$4+F177*$J$5)</f>
        <v/>
      </c>
      <c r="H177">
        <f>IF(G177="","",IF(G177&gt;=2.5,3,IF(G177&gt;=2,2,IF(G177&gt;=1.5,1,0))))</f>
        <v/>
      </c>
    </row>
    <row r="178">
      <c r="G178">
        <f>IF(COUNTA(C178:F178)=0,"",C178*$J$2+D178*$J$3+E178*$J$4+F178*$J$5)</f>
        <v/>
      </c>
      <c r="H178">
        <f>IF(G178="","",IF(G178&gt;=2.5,3,IF(G178&gt;=2,2,IF(G178&gt;=1.5,1,0))))</f>
        <v/>
      </c>
    </row>
    <row r="179">
      <c r="G179">
        <f>IF(COUNTA(C179:F179)=0,"",C179*$J$2+D179*$J$3+E179*$J$4+F179*$J$5)</f>
        <v/>
      </c>
      <c r="H179">
        <f>IF(G179="","",IF(G179&gt;=2.5,3,IF(G179&gt;=2,2,IF(G179&gt;=1.5,1,0))))</f>
        <v/>
      </c>
    </row>
    <row r="180">
      <c r="G180">
        <f>IF(COUNTA(C180:F180)=0,"",C180*$J$2+D180*$J$3+E180*$J$4+F180*$J$5)</f>
        <v/>
      </c>
      <c r="H180">
        <f>IF(G180="","",IF(G180&gt;=2.5,3,IF(G180&gt;=2,2,IF(G180&gt;=1.5,1,0))))</f>
        <v/>
      </c>
    </row>
    <row r="181">
      <c r="G181">
        <f>IF(COUNTA(C181:F181)=0,"",C181*$J$2+D181*$J$3+E181*$J$4+F181*$J$5)</f>
        <v/>
      </c>
      <c r="H181">
        <f>IF(G181="","",IF(G181&gt;=2.5,3,IF(G181&gt;=2,2,IF(G181&gt;=1.5,1,0))))</f>
        <v/>
      </c>
    </row>
    <row r="182">
      <c r="G182">
        <f>IF(COUNTA(C182:F182)=0,"",C182*$J$2+D182*$J$3+E182*$J$4+F182*$J$5)</f>
        <v/>
      </c>
      <c r="H182">
        <f>IF(G182="","",IF(G182&gt;=2.5,3,IF(G182&gt;=2,2,IF(G182&gt;=1.5,1,0))))</f>
        <v/>
      </c>
    </row>
    <row r="183">
      <c r="G183">
        <f>IF(COUNTA(C183:F183)=0,"",C183*$J$2+D183*$J$3+E183*$J$4+F183*$J$5)</f>
        <v/>
      </c>
      <c r="H183">
        <f>IF(G183="","",IF(G183&gt;=2.5,3,IF(G183&gt;=2,2,IF(G183&gt;=1.5,1,0))))</f>
        <v/>
      </c>
    </row>
    <row r="184">
      <c r="G184">
        <f>IF(COUNTA(C184:F184)=0,"",C184*$J$2+D184*$J$3+E184*$J$4+F184*$J$5)</f>
        <v/>
      </c>
      <c r="H184">
        <f>IF(G184="","",IF(G184&gt;=2.5,3,IF(G184&gt;=2,2,IF(G184&gt;=1.5,1,0))))</f>
        <v/>
      </c>
    </row>
    <row r="185">
      <c r="G185">
        <f>IF(COUNTA(C185:F185)=0,"",C185*$J$2+D185*$J$3+E185*$J$4+F185*$J$5)</f>
        <v/>
      </c>
      <c r="H185">
        <f>IF(G185="","",IF(G185&gt;=2.5,3,IF(G185&gt;=2,2,IF(G185&gt;=1.5,1,0))))</f>
        <v/>
      </c>
    </row>
    <row r="186">
      <c r="G186">
        <f>IF(COUNTA(C186:F186)=0,"",C186*$J$2+D186*$J$3+E186*$J$4+F186*$J$5)</f>
        <v/>
      </c>
      <c r="H186">
        <f>IF(G186="","",IF(G186&gt;=2.5,3,IF(G186&gt;=2,2,IF(G186&gt;=1.5,1,0))))</f>
        <v/>
      </c>
    </row>
    <row r="187">
      <c r="G187">
        <f>IF(COUNTA(C187:F187)=0,"",C187*$J$2+D187*$J$3+E187*$J$4+F187*$J$5)</f>
        <v/>
      </c>
      <c r="H187">
        <f>IF(G187="","",IF(G187&gt;=2.5,3,IF(G187&gt;=2,2,IF(G187&gt;=1.5,1,0))))</f>
        <v/>
      </c>
    </row>
    <row r="188">
      <c r="G188">
        <f>IF(COUNTA(C188:F188)=0,"",C188*$J$2+D188*$J$3+E188*$J$4+F188*$J$5)</f>
        <v/>
      </c>
      <c r="H188">
        <f>IF(G188="","",IF(G188&gt;=2.5,3,IF(G188&gt;=2,2,IF(G188&gt;=1.5,1,0))))</f>
        <v/>
      </c>
    </row>
    <row r="189">
      <c r="G189">
        <f>IF(COUNTA(C189:F189)=0,"",C189*$J$2+D189*$J$3+E189*$J$4+F189*$J$5)</f>
        <v/>
      </c>
      <c r="H189">
        <f>IF(G189="","",IF(G189&gt;=2.5,3,IF(G189&gt;=2,2,IF(G189&gt;=1.5,1,0))))</f>
        <v/>
      </c>
    </row>
    <row r="190">
      <c r="G190">
        <f>IF(COUNTA(C190:F190)=0,"",C190*$J$2+D190*$J$3+E190*$J$4+F190*$J$5)</f>
        <v/>
      </c>
      <c r="H190">
        <f>IF(G190="","",IF(G190&gt;=2.5,3,IF(G190&gt;=2,2,IF(G190&gt;=1.5,1,0))))</f>
        <v/>
      </c>
    </row>
    <row r="191">
      <c r="G191">
        <f>IF(COUNTA(C191:F191)=0,"",C191*$J$2+D191*$J$3+E191*$J$4+F191*$J$5)</f>
        <v/>
      </c>
      <c r="H191">
        <f>IF(G191="","",IF(G191&gt;=2.5,3,IF(G191&gt;=2,2,IF(G191&gt;=1.5,1,0))))</f>
        <v/>
      </c>
    </row>
    <row r="192">
      <c r="G192">
        <f>IF(COUNTA(C192:F192)=0,"",C192*$J$2+D192*$J$3+E192*$J$4+F192*$J$5)</f>
        <v/>
      </c>
      <c r="H192">
        <f>IF(G192="","",IF(G192&gt;=2.5,3,IF(G192&gt;=2,2,IF(G192&gt;=1.5,1,0))))</f>
        <v/>
      </c>
    </row>
    <row r="193">
      <c r="G193">
        <f>IF(COUNTA(C193:F193)=0,"",C193*$J$2+D193*$J$3+E193*$J$4+F193*$J$5)</f>
        <v/>
      </c>
      <c r="H193">
        <f>IF(G193="","",IF(G193&gt;=2.5,3,IF(G193&gt;=2,2,IF(G193&gt;=1.5,1,0))))</f>
        <v/>
      </c>
    </row>
    <row r="194">
      <c r="G194">
        <f>IF(COUNTA(C194:F194)=0,"",C194*$J$2+D194*$J$3+E194*$J$4+F194*$J$5)</f>
        <v/>
      </c>
      <c r="H194">
        <f>IF(G194="","",IF(G194&gt;=2.5,3,IF(G194&gt;=2,2,IF(G194&gt;=1.5,1,0))))</f>
        <v/>
      </c>
    </row>
    <row r="195">
      <c r="G195">
        <f>IF(COUNTA(C195:F195)=0,"",C195*$J$2+D195*$J$3+E195*$J$4+F195*$J$5)</f>
        <v/>
      </c>
      <c r="H195">
        <f>IF(G195="","",IF(G195&gt;=2.5,3,IF(G195&gt;=2,2,IF(G195&gt;=1.5,1,0))))</f>
        <v/>
      </c>
    </row>
    <row r="196">
      <c r="G196">
        <f>IF(COUNTA(C196:F196)=0,"",C196*$J$2+D196*$J$3+E196*$J$4+F196*$J$5)</f>
        <v/>
      </c>
      <c r="H196">
        <f>IF(G196="","",IF(G196&gt;=2.5,3,IF(G196&gt;=2,2,IF(G196&gt;=1.5,1,0))))</f>
        <v/>
      </c>
    </row>
    <row r="197">
      <c r="G197">
        <f>IF(COUNTA(C197:F197)=0,"",C197*$J$2+D197*$J$3+E197*$J$4+F197*$J$5)</f>
        <v/>
      </c>
      <c r="H197">
        <f>IF(G197="","",IF(G197&gt;=2.5,3,IF(G197&gt;=2,2,IF(G197&gt;=1.5,1,0))))</f>
        <v/>
      </c>
    </row>
    <row r="198">
      <c r="G198">
        <f>IF(COUNTA(C198:F198)=0,"",C198*$J$2+D198*$J$3+E198*$J$4+F198*$J$5)</f>
        <v/>
      </c>
      <c r="H198">
        <f>IF(G198="","",IF(G198&gt;=2.5,3,IF(G198&gt;=2,2,IF(G198&gt;=1.5,1,0))))</f>
        <v/>
      </c>
    </row>
    <row r="199">
      <c r="G199">
        <f>IF(COUNTA(C199:F199)=0,"",C199*$J$2+D199*$J$3+E199*$J$4+F199*$J$5)</f>
        <v/>
      </c>
      <c r="H199">
        <f>IF(G199="","",IF(G199&gt;=2.5,3,IF(G199&gt;=2,2,IF(G199&gt;=1.5,1,0))))</f>
        <v/>
      </c>
    </row>
    <row r="200">
      <c r="G200">
        <f>IF(COUNTA(C200:F200)=0,"",C200*$J$2+D200*$J$3+E200*$J$4+F200*$J$5)</f>
        <v/>
      </c>
      <c r="H200">
        <f>IF(G200="","",IF(G200&gt;=2.5,3,IF(G200&gt;=2,2,IF(G200&gt;=1.5,1,0))))</f>
        <v/>
      </c>
    </row>
    <row r="201">
      <c r="G201">
        <f>IF(COUNTA(C201:F201)=0,"",C201*$J$2+D201*$J$3+E201*$J$4+F201*$J$5)</f>
        <v/>
      </c>
      <c r="H201">
        <f>IF(G201="","",IF(G201&gt;=2.5,3,IF(G201&gt;=2,2,IF(G201&gt;=1.5,1,0))))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8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SEE Avg (0–3)</t>
        </is>
      </c>
      <c r="D1" s="1" t="inlineStr">
        <is>
          <t>Weighted Avg (60% Cont + 40% SEE)</t>
        </is>
      </c>
      <c r="E1" s="1" t="inlineStr">
        <is>
          <t>Final Attainment Level (0–3)</t>
        </is>
      </c>
      <c r="F1" s="1" t="inlineStr">
        <is>
          <t>PO(s) Mapped</t>
        </is>
      </c>
      <c r="G1" s="1" t="inlineStr">
        <is>
          <t>PSO(s) Mapped</t>
        </is>
      </c>
    </row>
    <row r="2">
      <c r="A2" t="inlineStr">
        <is>
          <t>CO1</t>
        </is>
      </c>
      <c r="B2">
        <f>IFERROR(AVERAGE('Continuous Assessment'!C2:C200),"")</f>
        <v/>
      </c>
      <c r="C2" t="inlineStr"/>
      <c r="D2">
        <f>IF(OR(B2="",C2=""),IF(B2="",C2,B2),0.6*B2+0.4*C2)</f>
        <v/>
      </c>
      <c r="E2">
        <f>IF(D2="","",IF(D2&gt;=2.5,3,IF(D2&gt;=2,2,IF(D2&gt;=1.5,1,0))))</f>
        <v/>
      </c>
      <c r="F2" t="inlineStr">
        <is>
          <t>PO1, PO2</t>
        </is>
      </c>
      <c r="G2" t="inlineStr">
        <is>
          <t>PSO1</t>
        </is>
      </c>
    </row>
    <row r="3">
      <c r="A3" t="inlineStr">
        <is>
          <t>CO2</t>
        </is>
      </c>
      <c r="B3">
        <f>IFERROR(AVERAGE('Continuous Assessment'!D2:D200),"")</f>
        <v/>
      </c>
      <c r="C3">
        <f>IFERROR(AVERAGE('SEE Practical Exam'!C2:C200),"")</f>
        <v/>
      </c>
      <c r="D3">
        <f>IF(OR(B3="",C3=""),IF(B3="",C3,B3),0.6*B3+0.4*C3)</f>
        <v/>
      </c>
      <c r="E3">
        <f>IF(D3="","",IF(D3&gt;=2.5,3,IF(D3&gt;=2,2,IF(D3&gt;=1.5,1,0))))</f>
        <v/>
      </c>
      <c r="F3" t="inlineStr">
        <is>
          <t>PO3, PO4</t>
        </is>
      </c>
      <c r="G3" t="inlineStr">
        <is>
          <t>PSO1</t>
        </is>
      </c>
    </row>
    <row r="4">
      <c r="A4" t="inlineStr">
        <is>
          <t>CO3</t>
        </is>
      </c>
      <c r="B4">
        <f>IFERROR(AVERAGE('Continuous Assessment'!E2:E200),"")</f>
        <v/>
      </c>
      <c r="C4">
        <f>IFERROR(AVERAGE('SEE Practical Exam'!D2:D200),"")</f>
        <v/>
      </c>
      <c r="D4">
        <f>IF(OR(B4="",C4=""),IF(B4="",C4,B4),0.6*B4+0.4*C4)</f>
        <v/>
      </c>
      <c r="E4">
        <f>IF(D4="","",IF(D4&gt;=2.5,3,IF(D4&gt;=2,2,IF(D4&gt;=1.5,1,0))))</f>
        <v/>
      </c>
      <c r="F4" t="inlineStr">
        <is>
          <t>PO4, PO5</t>
        </is>
      </c>
      <c r="G4" t="inlineStr">
        <is>
          <t>PSO2</t>
        </is>
      </c>
    </row>
    <row r="5">
      <c r="A5" t="inlineStr">
        <is>
          <t>CO4</t>
        </is>
      </c>
      <c r="B5">
        <f>IFERROR(AVERAGE('Continuous Assessment'!F2:F200),"")</f>
        <v/>
      </c>
      <c r="C5">
        <f>IFERROR(AVERAGE('SEE Practical Exam'!E2:E200),"")</f>
        <v/>
      </c>
      <c r="D5">
        <f>IF(OR(B5="",C5=""),IF(B5="",C5,B5),0.6*B5+0.4*C5)</f>
        <v/>
      </c>
      <c r="E5">
        <f>IF(D5="","",IF(D5&gt;=2.5,3,IF(D5&gt;=2,2,IF(D5&gt;=1.5,1,0))))</f>
        <v/>
      </c>
      <c r="F5" t="inlineStr">
        <is>
          <t>PO8</t>
        </is>
      </c>
      <c r="G5" t="inlineStr"/>
    </row>
    <row r="6">
      <c r="A6" t="inlineStr">
        <is>
          <t>CO5</t>
        </is>
      </c>
      <c r="B6">
        <f>IFERROR(AVERAGE('Continuous Assessment'!G2:G200),"")</f>
        <v/>
      </c>
      <c r="C6" t="inlineStr"/>
      <c r="D6">
        <f>IF(OR(B6="",C6=""),IF(B6="",C6,B6),0.6*B6+0.4*C6)</f>
        <v/>
      </c>
      <c r="E6">
        <f>IF(D6="","",IF(D6&gt;=2.5,3,IF(D6&gt;=2,2,IF(D6&gt;=1.5,1,0))))</f>
        <v/>
      </c>
      <c r="F6" t="inlineStr">
        <is>
          <t>PO5</t>
        </is>
      </c>
      <c r="G6" t="inlineStr">
        <is>
          <t>PSO2</t>
        </is>
      </c>
    </row>
    <row r="7">
      <c r="A7" t="inlineStr">
        <is>
          <t>CO6</t>
        </is>
      </c>
      <c r="B7">
        <f>IFERROR(AVERAGE('Continuous Assessment'!H2:H200),"")</f>
        <v/>
      </c>
      <c r="C7">
        <f>IFERROR(AVERAGE('SEE Practical Exam'!F2:F200),"")</f>
        <v/>
      </c>
      <c r="D7">
        <f>IF(OR(B7="",C7=""),IF(B7="",C7,B7),0.6*B7+0.4*C7)</f>
        <v/>
      </c>
      <c r="E7">
        <f>IF(D7="","",IF(D7&gt;=2.5,3,IF(D7&gt;=2,2,IF(D7&gt;=1.5,1,0))))</f>
        <v/>
      </c>
      <c r="F7" t="inlineStr">
        <is>
          <t>PO10, PO12</t>
        </is>
      </c>
      <c r="G7" t="inlineStr">
        <is>
          <t>PSO3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CO</t>
        </is>
      </c>
      <c r="B1" s="1" t="inlineStr">
        <is>
          <t>Criteria</t>
        </is>
      </c>
      <c r="C1" s="1" t="inlineStr">
        <is>
          <t>Weight (as decimal)</t>
        </is>
      </c>
      <c r="D1" s="1" t="inlineStr">
        <is>
          <t>Rubric Levels (0–3)</t>
        </is>
      </c>
      <c r="E1" s="1" t="inlineStr">
        <is>
          <t>PO(s) Mapped</t>
        </is>
      </c>
      <c r="F1" s="1" t="inlineStr">
        <is>
          <t>PSO(s) Mapped</t>
        </is>
      </c>
      <c r="G1" s="1" t="inlineStr">
        <is>
          <t>Notes/Evidence Link</t>
        </is>
      </c>
    </row>
    <row r="2">
      <c r="A2" t="inlineStr">
        <is>
          <t>CO1</t>
        </is>
      </c>
      <c r="B2" t="inlineStr">
        <is>
          <t>Preparation</t>
        </is>
      </c>
      <c r="C2" t="n">
        <v>0.1</v>
      </c>
      <c r="D2" t="inlineStr">
        <is>
          <t>0–Poor, 1–Fair, 2–Good, 3–Excellent</t>
        </is>
      </c>
      <c r="E2" t="inlineStr">
        <is>
          <t>PO1, PO2</t>
        </is>
      </c>
      <c r="F2" t="inlineStr">
        <is>
          <t>PSO1</t>
        </is>
      </c>
      <c r="G2" t="inlineStr"/>
    </row>
    <row r="3">
      <c r="A3" t="inlineStr">
        <is>
          <t>CO2</t>
        </is>
      </c>
      <c r="B3" t="inlineStr">
        <is>
          <t>Conduct of Experiment</t>
        </is>
      </c>
      <c r="C3" t="n">
        <v>0.2</v>
      </c>
      <c r="D3" t="inlineStr">
        <is>
          <t>0–3 scale</t>
        </is>
      </c>
      <c r="E3" t="inlineStr">
        <is>
          <t>PO3, PO4</t>
        </is>
      </c>
      <c r="F3" t="inlineStr">
        <is>
          <t>PSO1</t>
        </is>
      </c>
      <c r="G3" t="inlineStr"/>
    </row>
    <row r="4">
      <c r="A4" t="inlineStr">
        <is>
          <t>CO3</t>
        </is>
      </c>
      <c r="B4" t="inlineStr">
        <is>
          <t>Observation &amp; Results</t>
        </is>
      </c>
      <c r="C4" t="n">
        <v>0.2</v>
      </c>
      <c r="D4" t="inlineStr">
        <is>
          <t>0–3 scale</t>
        </is>
      </c>
      <c r="E4" t="inlineStr">
        <is>
          <t>PO4</t>
        </is>
      </c>
      <c r="F4" t="inlineStr">
        <is>
          <t>PSO2</t>
        </is>
      </c>
      <c r="G4" t="inlineStr"/>
    </row>
    <row r="5">
      <c r="A5" t="inlineStr">
        <is>
          <t>CO4</t>
        </is>
      </c>
      <c r="B5" t="inlineStr">
        <is>
          <t>Record / Journal</t>
        </is>
      </c>
      <c r="C5" t="n">
        <v>0.1</v>
      </c>
      <c r="D5" t="inlineStr">
        <is>
          <t>0–3 scale</t>
        </is>
      </c>
      <c r="E5" t="inlineStr">
        <is>
          <t>PO8</t>
        </is>
      </c>
      <c r="F5" t="inlineStr"/>
      <c r="G5" t="inlineStr"/>
    </row>
    <row r="6">
      <c r="A6" t="inlineStr">
        <is>
          <t>CO5</t>
        </is>
      </c>
      <c r="B6" t="inlineStr">
        <is>
          <t>Innovation / Design</t>
        </is>
      </c>
      <c r="C6" t="n">
        <v>0.1</v>
      </c>
      <c r="D6" t="inlineStr">
        <is>
          <t>0–3 scale</t>
        </is>
      </c>
      <c r="E6" t="inlineStr">
        <is>
          <t>PO5</t>
        </is>
      </c>
      <c r="F6" t="inlineStr">
        <is>
          <t>PSO2</t>
        </is>
      </c>
      <c r="G6" t="inlineStr"/>
    </row>
    <row r="7">
      <c r="A7" t="inlineStr">
        <is>
          <t>CO6</t>
        </is>
      </c>
      <c r="B7" t="inlineStr">
        <is>
          <t>Viva Voce</t>
        </is>
      </c>
      <c r="C7" t="n">
        <v>0.3</v>
      </c>
      <c r="D7" t="inlineStr">
        <is>
          <t>0–3 scale</t>
        </is>
      </c>
      <c r="E7" t="inlineStr">
        <is>
          <t>PO10, PO12</t>
        </is>
      </c>
      <c r="F7" t="inlineStr">
        <is>
          <t>PSO3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