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Y_Timetable" sheetId="1" state="visible" r:id="rId1"/>
    <sheet xmlns:r="http://schemas.openxmlformats.org/officeDocument/2006/relationships" name="CAYm1_Timetable" sheetId="2" state="visible" r:id="rId2"/>
    <sheet xmlns:r="http://schemas.openxmlformats.org/officeDocument/2006/relationships" name="CAYm2_Timetabl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6" customWidth="1" min="4" max="4"/>
    <col width="14" customWidth="1" min="5" max="5"/>
    <col width="20" customWidth="1" min="6" max="6"/>
    <col width="20" customWidth="1" min="7" max="7"/>
    <col width="18" customWidth="1" min="8" max="8"/>
    <col width="20" customWidth="1" min="9" max="9"/>
    <col width="24" customWidth="1" min="10" max="10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Code &amp; Title</t>
        </is>
      </c>
      <c r="D1" s="1" t="inlineStr">
        <is>
          <t>Class Type (L/T/P/W)</t>
        </is>
      </c>
      <c r="E1" s="1" t="inlineStr">
        <is>
          <t>Day</t>
        </is>
      </c>
      <c r="F1" s="1" t="inlineStr">
        <is>
          <t>Time Slot</t>
        </is>
      </c>
      <c r="G1" s="1" t="inlineStr">
        <is>
          <t>Venue</t>
        </is>
      </c>
      <c r="H1" s="1" t="inlineStr">
        <is>
          <t>Hours per Week</t>
        </is>
      </c>
      <c r="I1" s="1" t="inlineStr">
        <is>
          <t>Weeks in Semester</t>
        </is>
      </c>
      <c r="J1" s="1" t="inlineStr">
        <is>
          <t>Total Hours Delivered (Auto)</t>
        </is>
      </c>
    </row>
    <row r="2">
      <c r="A2" s="2" t="n">
        <v>1</v>
      </c>
      <c r="B2" s="2" t="inlineStr">
        <is>
          <t>Dr. A.B. Expert</t>
        </is>
      </c>
      <c r="C2" s="2" t="inlineStr">
        <is>
          <t>CS601 – Cyber Security</t>
        </is>
      </c>
      <c r="D2" s="2" t="inlineStr">
        <is>
          <t>Lecture</t>
        </is>
      </c>
      <c r="E2" s="2" t="inlineStr">
        <is>
          <t>Monday</t>
        </is>
      </c>
      <c r="F2" s="2" t="inlineStr">
        <is>
          <t>10:00–11:00</t>
        </is>
      </c>
      <c r="G2" s="2" t="inlineStr">
        <is>
          <t>Room 305</t>
        </is>
      </c>
      <c r="H2" s="2" t="n">
        <v>3</v>
      </c>
      <c r="I2" s="2" t="n">
        <v>16</v>
      </c>
      <c r="J2" s="2">
        <f>H2*I2</f>
        <v/>
      </c>
    </row>
    <row r="3">
      <c r="A3" s="2" t="n">
        <v>2</v>
      </c>
      <c r="B3" s="2" t="inlineStr">
        <is>
          <t>Prof. C.D. Mentor</t>
        </is>
      </c>
      <c r="C3" s="2" t="inlineStr">
        <is>
          <t>DS502 – Data Science Lab</t>
        </is>
      </c>
      <c r="D3" s="2" t="inlineStr">
        <is>
          <t>Practical</t>
        </is>
      </c>
      <c r="E3" s="2" t="inlineStr">
        <is>
          <t>Wed/Fri</t>
        </is>
      </c>
      <c r="F3" s="2" t="inlineStr">
        <is>
          <t>14:00–16:00</t>
        </is>
      </c>
      <c r="G3" s="2" t="inlineStr">
        <is>
          <t>Lab 2</t>
        </is>
      </c>
      <c r="H3" s="2" t="n">
        <v>4</v>
      </c>
      <c r="I3" s="2" t="n">
        <v>13</v>
      </c>
      <c r="J3" s="2">
        <f>H3*I3</f>
        <v/>
      </c>
    </row>
    <row r="4">
      <c r="A4" s="2" t="n">
        <v>3</v>
      </c>
      <c r="B4" s="2" t="inlineStr">
        <is>
          <t>Dr. E.F. Trainer</t>
        </is>
      </c>
      <c r="C4" s="2" t="inlineStr">
        <is>
          <t>Workshop – Ethical Hacking</t>
        </is>
      </c>
      <c r="D4" s="2" t="inlineStr">
        <is>
          <t>Workshop</t>
        </is>
      </c>
      <c r="E4" s="2" t="inlineStr">
        <is>
          <t>Saturday</t>
        </is>
      </c>
      <c r="F4" s="2" t="inlineStr">
        <is>
          <t>09:00–13:00</t>
        </is>
      </c>
      <c r="G4" s="2" t="inlineStr">
        <is>
          <t>Seminar Hall</t>
        </is>
      </c>
      <c r="H4" s="2" t="n">
        <v>4</v>
      </c>
      <c r="I4" s="2" t="n">
        <v>8</v>
      </c>
      <c r="J4" s="2">
        <f>H4*I4</f>
        <v/>
      </c>
    </row>
    <row r="5">
      <c r="A5" s="3" t="inlineStr">
        <is>
          <t>Total Hours: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>
        <f>SUM(J2:J4)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6" customWidth="1" min="4" max="4"/>
    <col width="14" customWidth="1" min="5" max="5"/>
    <col width="20" customWidth="1" min="6" max="6"/>
    <col width="20" customWidth="1" min="7" max="7"/>
    <col width="18" customWidth="1" min="8" max="8"/>
    <col width="20" customWidth="1" min="9" max="9"/>
    <col width="24" customWidth="1" min="10" max="10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Code &amp; Title</t>
        </is>
      </c>
      <c r="D1" s="1" t="inlineStr">
        <is>
          <t>Class Type (L/T/P/W)</t>
        </is>
      </c>
      <c r="E1" s="1" t="inlineStr">
        <is>
          <t>Day</t>
        </is>
      </c>
      <c r="F1" s="1" t="inlineStr">
        <is>
          <t>Time Slot</t>
        </is>
      </c>
      <c r="G1" s="1" t="inlineStr">
        <is>
          <t>Venue</t>
        </is>
      </c>
      <c r="H1" s="1" t="inlineStr">
        <is>
          <t>Hours per Week</t>
        </is>
      </c>
      <c r="I1" s="1" t="inlineStr">
        <is>
          <t>Weeks in Semester</t>
        </is>
      </c>
      <c r="J1" s="1" t="inlineStr">
        <is>
          <t>Total Hours Delivered (Auto)</t>
        </is>
      </c>
    </row>
    <row r="2">
      <c r="A2" s="2" t="n">
        <v>1</v>
      </c>
      <c r="B2" s="2" t="inlineStr">
        <is>
          <t>Dr. A.B. Expert</t>
        </is>
      </c>
      <c r="C2" s="2" t="inlineStr">
        <is>
          <t>CS601 – Cyber Security</t>
        </is>
      </c>
      <c r="D2" s="2" t="inlineStr">
        <is>
          <t>Lecture</t>
        </is>
      </c>
      <c r="E2" s="2" t="inlineStr">
        <is>
          <t>Monday</t>
        </is>
      </c>
      <c r="F2" s="2" t="inlineStr">
        <is>
          <t>10:00–11:00</t>
        </is>
      </c>
      <c r="G2" s="2" t="inlineStr">
        <is>
          <t>Room 305</t>
        </is>
      </c>
      <c r="H2" s="2" t="n">
        <v>3</v>
      </c>
      <c r="I2" s="2" t="n">
        <v>16</v>
      </c>
      <c r="J2" s="2">
        <f>H2*I2</f>
        <v/>
      </c>
    </row>
    <row r="3">
      <c r="A3" s="2" t="n">
        <v>2</v>
      </c>
      <c r="B3" s="2" t="inlineStr">
        <is>
          <t>Prof. C.D. Mentor</t>
        </is>
      </c>
      <c r="C3" s="2" t="inlineStr">
        <is>
          <t>DS502 – Data Science Lab</t>
        </is>
      </c>
      <c r="D3" s="2" t="inlineStr">
        <is>
          <t>Practical</t>
        </is>
      </c>
      <c r="E3" s="2" t="inlineStr">
        <is>
          <t>Wed/Fri</t>
        </is>
      </c>
      <c r="F3" s="2" t="inlineStr">
        <is>
          <t>14:00–16:00</t>
        </is>
      </c>
      <c r="G3" s="2" t="inlineStr">
        <is>
          <t>Lab 2</t>
        </is>
      </c>
      <c r="H3" s="2" t="n">
        <v>4</v>
      </c>
      <c r="I3" s="2" t="n">
        <v>13</v>
      </c>
      <c r="J3" s="2">
        <f>H3*I3</f>
        <v/>
      </c>
    </row>
    <row r="4">
      <c r="A4" s="2" t="n">
        <v>3</v>
      </c>
      <c r="B4" s="2" t="inlineStr">
        <is>
          <t>Dr. E.F. Trainer</t>
        </is>
      </c>
      <c r="C4" s="2" t="inlineStr">
        <is>
          <t>Workshop – Ethical Hacking</t>
        </is>
      </c>
      <c r="D4" s="2" t="inlineStr">
        <is>
          <t>Workshop</t>
        </is>
      </c>
      <c r="E4" s="2" t="inlineStr">
        <is>
          <t>Saturday</t>
        </is>
      </c>
      <c r="F4" s="2" t="inlineStr">
        <is>
          <t>09:00–13:00</t>
        </is>
      </c>
      <c r="G4" s="2" t="inlineStr">
        <is>
          <t>Seminar Hall</t>
        </is>
      </c>
      <c r="H4" s="2" t="n">
        <v>4</v>
      </c>
      <c r="I4" s="2" t="n">
        <v>8</v>
      </c>
      <c r="J4" s="2">
        <f>H4*I4</f>
        <v/>
      </c>
    </row>
    <row r="5">
      <c r="A5" s="3" t="inlineStr">
        <is>
          <t>Total Hours: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>
        <f>SUM(J2:J4)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6" customWidth="1" min="4" max="4"/>
    <col width="14" customWidth="1" min="5" max="5"/>
    <col width="20" customWidth="1" min="6" max="6"/>
    <col width="20" customWidth="1" min="7" max="7"/>
    <col width="18" customWidth="1" min="8" max="8"/>
    <col width="20" customWidth="1" min="9" max="9"/>
    <col width="24" customWidth="1" min="10" max="10"/>
  </cols>
  <sheetData>
    <row r="1">
      <c r="A1" s="1" t="inlineStr">
        <is>
          <t>S.N.</t>
        </is>
      </c>
      <c r="B1" s="1" t="inlineStr">
        <is>
          <t>Faculty Name</t>
        </is>
      </c>
      <c r="C1" s="1" t="inlineStr">
        <is>
          <t>Course Code &amp; Title</t>
        </is>
      </c>
      <c r="D1" s="1" t="inlineStr">
        <is>
          <t>Class Type (L/T/P/W)</t>
        </is>
      </c>
      <c r="E1" s="1" t="inlineStr">
        <is>
          <t>Day</t>
        </is>
      </c>
      <c r="F1" s="1" t="inlineStr">
        <is>
          <t>Time Slot</t>
        </is>
      </c>
      <c r="G1" s="1" t="inlineStr">
        <is>
          <t>Venue</t>
        </is>
      </c>
      <c r="H1" s="1" t="inlineStr">
        <is>
          <t>Hours per Week</t>
        </is>
      </c>
      <c r="I1" s="1" t="inlineStr">
        <is>
          <t>Weeks in Semester</t>
        </is>
      </c>
      <c r="J1" s="1" t="inlineStr">
        <is>
          <t>Total Hours Delivered (Auto)</t>
        </is>
      </c>
    </row>
    <row r="2">
      <c r="A2" s="2" t="n">
        <v>1</v>
      </c>
      <c r="B2" s="2" t="inlineStr">
        <is>
          <t>Dr. A.B. Expert</t>
        </is>
      </c>
      <c r="C2" s="2" t="inlineStr">
        <is>
          <t>CS601 – Cyber Security</t>
        </is>
      </c>
      <c r="D2" s="2" t="inlineStr">
        <is>
          <t>Lecture</t>
        </is>
      </c>
      <c r="E2" s="2" t="inlineStr">
        <is>
          <t>Monday</t>
        </is>
      </c>
      <c r="F2" s="2" t="inlineStr">
        <is>
          <t>10:00–11:00</t>
        </is>
      </c>
      <c r="G2" s="2" t="inlineStr">
        <is>
          <t>Room 305</t>
        </is>
      </c>
      <c r="H2" s="2" t="n">
        <v>3</v>
      </c>
      <c r="I2" s="2" t="n">
        <v>16</v>
      </c>
      <c r="J2" s="2">
        <f>H2*I2</f>
        <v/>
      </c>
    </row>
    <row r="3">
      <c r="A3" s="2" t="n">
        <v>2</v>
      </c>
      <c r="B3" s="2" t="inlineStr">
        <is>
          <t>Prof. C.D. Mentor</t>
        </is>
      </c>
      <c r="C3" s="2" t="inlineStr">
        <is>
          <t>DS502 – Data Science Lab</t>
        </is>
      </c>
      <c r="D3" s="2" t="inlineStr">
        <is>
          <t>Practical</t>
        </is>
      </c>
      <c r="E3" s="2" t="inlineStr">
        <is>
          <t>Wed/Fri</t>
        </is>
      </c>
      <c r="F3" s="2" t="inlineStr">
        <is>
          <t>14:00–16:00</t>
        </is>
      </c>
      <c r="G3" s="2" t="inlineStr">
        <is>
          <t>Lab 2</t>
        </is>
      </c>
      <c r="H3" s="2" t="n">
        <v>4</v>
      </c>
      <c r="I3" s="2" t="n">
        <v>13</v>
      </c>
      <c r="J3" s="2">
        <f>H3*I3</f>
        <v/>
      </c>
    </row>
    <row r="4">
      <c r="A4" s="2" t="n">
        <v>3</v>
      </c>
      <c r="B4" s="2" t="inlineStr">
        <is>
          <t>Dr. E.F. Trainer</t>
        </is>
      </c>
      <c r="C4" s="2" t="inlineStr">
        <is>
          <t>Workshop – Ethical Hacking</t>
        </is>
      </c>
      <c r="D4" s="2" t="inlineStr">
        <is>
          <t>Workshop</t>
        </is>
      </c>
      <c r="E4" s="2" t="inlineStr">
        <is>
          <t>Saturday</t>
        </is>
      </c>
      <c r="F4" s="2" t="inlineStr">
        <is>
          <t>09:00–13:00</t>
        </is>
      </c>
      <c r="G4" s="2" t="inlineStr">
        <is>
          <t>Seminar Hall</t>
        </is>
      </c>
      <c r="H4" s="2" t="n">
        <v>4</v>
      </c>
      <c r="I4" s="2" t="n">
        <v>8</v>
      </c>
      <c r="J4" s="2">
        <f>H4*I4</f>
        <v/>
      </c>
    </row>
    <row r="5">
      <c r="A5" s="3" t="inlineStr">
        <is>
          <t>Total Hours: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>
        <f>SUM(J2:J4)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Total Hours (Auto from Sheets)</t>
        </is>
      </c>
      <c r="C1" s="1" t="inlineStr">
        <is>
          <t>Meets ≥50 Hours? (Yes/No)</t>
        </is>
      </c>
      <c r="D1" s="1" t="inlineStr">
        <is>
          <t>Marks Awarded (Max 3 per year)</t>
        </is>
      </c>
    </row>
    <row r="2">
      <c r="A2" s="4" t="inlineStr">
        <is>
          <t>CAY</t>
        </is>
      </c>
      <c r="B2" s="4">
        <f>CAY_Timetable!J5</f>
        <v/>
      </c>
      <c r="C2" s="4">
        <f>IF(B2&gt;=50,"Yes","No")</f>
        <v/>
      </c>
      <c r="D2" s="4">
        <f>IF(B2&gt;=50,3,0)</f>
        <v/>
      </c>
    </row>
    <row r="3">
      <c r="A3" s="4" t="inlineStr">
        <is>
          <t>CAYm1</t>
        </is>
      </c>
      <c r="B3" s="4">
        <f>CAYm1_Timetable!J5</f>
        <v/>
      </c>
      <c r="C3" s="4">
        <f>IF(B3&gt;=50,"Yes","No")</f>
        <v/>
      </c>
      <c r="D3" s="4">
        <f>IF(B3&gt;=50,3,0)</f>
        <v/>
      </c>
    </row>
    <row r="4">
      <c r="A4" s="4" t="inlineStr">
        <is>
          <t>CAYm2</t>
        </is>
      </c>
      <c r="B4" s="4">
        <f>CAYm2_Timetable!J5</f>
        <v/>
      </c>
      <c r="C4" s="4">
        <f>IF(B4&gt;=50,"Yes","No")</f>
        <v/>
      </c>
      <c r="D4" s="4">
        <f>IF(B4&gt;=50,3,0)</f>
        <v/>
      </c>
    </row>
    <row r="5">
      <c r="A5" s="4" t="inlineStr">
        <is>
          <t>Provision of System (Y/N)</t>
        </is>
      </c>
      <c r="B5" s="4" t="inlineStr">
        <is>
          <t>Yes</t>
        </is>
      </c>
      <c r="C5" s="4" t="inlineStr">
        <is>
          <t>–</t>
        </is>
      </c>
      <c r="D5" s="4">
        <f>IF(B5="Yes",1,0)</f>
        <v/>
      </c>
    </row>
    <row r="6">
      <c r="A6" s="4" t="inlineStr">
        <is>
          <t>Total Marks</t>
        </is>
      </c>
      <c r="B6" s="4" t="inlineStr">
        <is>
          <t>–</t>
        </is>
      </c>
      <c r="C6" s="4" t="inlineStr">
        <is>
          <t>–</t>
        </is>
      </c>
      <c r="D6" s="4">
        <f>MIN(SUM(D2:D4)+D5,10)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Adjunct Faculty Timetable Tracker — Instructions</t>
        </is>
      </c>
    </row>
    <row r="3">
      <c r="A3" t="inlineStr">
        <is>
          <t>- Fill each semester sheet (CAY, CAYm1, CAYm2) with slots for adjunct/visiting/professors of practice.</t>
        </is>
      </c>
    </row>
    <row r="4">
      <c r="A4" t="inlineStr">
        <is>
          <t>- Enter Course, Class Type, Day, Time, Venue, Hours/week, Weeks in semester.</t>
        </is>
      </c>
    </row>
    <row r="5">
      <c r="A5" t="inlineStr">
        <is>
          <t>- Total Hours auto-calculates (Hours/week × Weeks).</t>
        </is>
      </c>
    </row>
    <row r="6">
      <c r="A6" t="inlineStr">
        <is>
          <t>- Each year must total ≥50 hours to award 3 marks.</t>
        </is>
      </c>
    </row>
    <row r="7">
      <c r="A7" t="inlineStr">
        <is>
          <t>- Provision of adjunct/visiting system itself earns 1 mark.</t>
        </is>
      </c>
    </row>
    <row r="8">
      <c r="A8" t="inlineStr">
        <is>
          <t>- Summary sheet auto-pulls hours and awards marks (max 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2025-08-29T04:28:58Z</dcterms:created>
  <dcterms:modified xmlns:dcterms="http://purl.org/dc/terms/" xmlns:xsi="http://www.w3.org/2001/XMLSchema-instance" xsi:type="dcterms:W3CDTF">2025-08-29T04:28:58Z</dcterms:modified>
</cp:coreProperties>
</file>