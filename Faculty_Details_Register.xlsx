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20" customWidth="1" min="10" max="10"/>
    <col width="20" customWidth="1" min="11" max="11"/>
    <col width="20" customWidth="1" min="12" max="12"/>
    <col width="22" customWidth="1" min="13" max="13"/>
    <col width="26" customWidth="1" min="14" max="14"/>
    <col width="28" customWidth="1" min="15" max="15"/>
    <col width="16" customWidth="1" min="16" max="16"/>
    <col width="18" customWidth="1" min="17" max="17"/>
    <col width="18" customWidth="1" min="18" max="18"/>
    <col width="36" customWidth="1" min="19" max="19"/>
  </cols>
  <sheetData>
    <row r="1">
      <c r="A1" s="1" t="inlineStr">
        <is>
          <t>S.N.</t>
        </is>
      </c>
      <c r="B1" s="1" t="inlineStr">
        <is>
          <t>Emp_ID</t>
        </is>
      </c>
      <c r="C1" s="2" t="inlineStr">
        <is>
          <t>Faculty_Name</t>
        </is>
      </c>
      <c r="D1" s="1" t="inlineStr">
        <is>
          <t>PAN_No</t>
        </is>
      </c>
      <c r="E1" s="1" t="inlineStr">
        <is>
          <t>APAAR_ID (if any)</t>
        </is>
      </c>
      <c r="F1" s="1" t="inlineStr">
        <is>
          <t>Highest_Degree</t>
        </is>
      </c>
      <c r="G1" s="1" t="inlineStr">
        <is>
          <t>University</t>
        </is>
      </c>
      <c r="H1" s="2" t="inlineStr">
        <is>
          <t>Area_of_Specialization</t>
        </is>
      </c>
      <c r="I1" s="1" t="inlineStr">
        <is>
          <t>Date_of_Joining</t>
        </is>
      </c>
      <c r="J1" s="1" t="inlineStr">
        <is>
          <t>Experience_Years_as_of_CAY (auto)</t>
        </is>
      </c>
      <c r="K1" s="1" t="inlineStr">
        <is>
          <t>Designation_at_Joining</t>
        </is>
      </c>
      <c r="L1" s="1" t="inlineStr">
        <is>
          <t>Present_Designation</t>
        </is>
      </c>
      <c r="M1" s="1" t="inlineStr">
        <is>
          <t>Date_of_Promotion (Assoc./Prof.)</t>
        </is>
      </c>
      <c r="N1" s="1" t="inlineStr">
        <is>
          <t>Nature_of_Association (Regular/Contract/Ad_hoc)</t>
        </is>
      </c>
      <c r="O1" s="1" t="inlineStr">
        <is>
          <t>Contract_Type (Full-time/Part-time/Hourly/NA)</t>
        </is>
      </c>
      <c r="P1" s="1" t="inlineStr">
        <is>
          <t>Currently_Associated (Y/N)</t>
        </is>
      </c>
      <c r="Q1" s="1" t="inlineStr">
        <is>
          <t>Date_of_Leaving (if any)</t>
        </is>
      </c>
      <c r="R1" s="1" t="inlineStr">
        <is>
          <t>Included_in_SFR? (auto)</t>
        </is>
      </c>
      <c r="S1" s="2" t="inlineStr">
        <is>
          <t>Remarks / Evidence</t>
        </is>
      </c>
    </row>
    <row r="2">
      <c r="A2" s="3" t="n">
        <v>1</v>
      </c>
      <c r="B2" s="3" t="inlineStr">
        <is>
          <t>EMP001</t>
        </is>
      </c>
      <c r="C2" s="4" t="inlineStr">
        <is>
          <t>Dr. A.B. Expert</t>
        </is>
      </c>
      <c r="D2" s="3" t="inlineStr">
        <is>
          <t>XXXXX1234X</t>
        </is>
      </c>
      <c r="E2" s="3" t="inlineStr">
        <is>
          <t>APAAR001</t>
        </is>
      </c>
      <c r="F2" s="3" t="inlineStr">
        <is>
          <t>Ph.D. (CSE)</t>
        </is>
      </c>
      <c r="G2" s="3" t="inlineStr">
        <is>
          <t>IIT Delhi</t>
        </is>
      </c>
      <c r="H2" s="4" t="inlineStr">
        <is>
          <t>Artificial Intelligence</t>
        </is>
      </c>
      <c r="I2" s="3" t="inlineStr">
        <is>
          <t>2018-07-01</t>
        </is>
      </c>
      <c r="J2" s="3">
        <f>IF(I2&lt;&gt;"",DATEDIF(I2,Summary!$B$2,"Y"),"")</f>
        <v/>
      </c>
      <c r="K2" s="3" t="inlineStr">
        <is>
          <t>Assistant Professor</t>
        </is>
      </c>
      <c r="L2" s="3" t="inlineStr">
        <is>
          <t>Associate Professor</t>
        </is>
      </c>
      <c r="M2" s="3" t="inlineStr">
        <is>
          <t>2022-01-01</t>
        </is>
      </c>
      <c r="N2" s="3" t="inlineStr">
        <is>
          <t>Regular</t>
        </is>
      </c>
      <c r="O2" s="3" t="inlineStr">
        <is>
          <t>NA</t>
        </is>
      </c>
      <c r="P2" s="3" t="inlineStr">
        <is>
          <t>Y</t>
        </is>
      </c>
      <c r="Q2" s="3" t="inlineStr"/>
      <c r="R2" s="3">
        <f>IF(AND(P2="Y", OR(N2="Regular", AND(N2="Contract", O2="Full-time"))),"Yes","No")</f>
        <v/>
      </c>
      <c r="S2" s="4" t="inlineStr">
        <is>
          <t>Appointment, Approval, Payroll</t>
        </is>
      </c>
    </row>
    <row r="3">
      <c r="A3" s="3" t="n">
        <v>2</v>
      </c>
      <c r="B3" s="3" t="inlineStr">
        <is>
          <t>EMP002</t>
        </is>
      </c>
      <c r="C3" s="4" t="inlineStr">
        <is>
          <t>Ms. C.D. Scholar</t>
        </is>
      </c>
      <c r="D3" s="3" t="inlineStr">
        <is>
          <t>YYYYY5678Y</t>
        </is>
      </c>
      <c r="E3" s="3" t="inlineStr">
        <is>
          <t>APAAR002</t>
        </is>
      </c>
      <c r="F3" s="3" t="inlineStr">
        <is>
          <t>M.Tech. (Data Science)</t>
        </is>
      </c>
      <c r="G3" s="3" t="inlineStr">
        <is>
          <t>Anna University</t>
        </is>
      </c>
      <c r="H3" s="4" t="inlineStr">
        <is>
          <t>Data Analytics</t>
        </is>
      </c>
      <c r="I3" s="3" t="inlineStr">
        <is>
          <t>2022-09-10</t>
        </is>
      </c>
      <c r="J3" s="3">
        <f>IF(I3&lt;&gt;"",DATEDIF(I3,Summary!$B$2,"Y"),"")</f>
        <v/>
      </c>
      <c r="K3" s="3" t="inlineStr">
        <is>
          <t>Assistant Professor</t>
        </is>
      </c>
      <c r="L3" s="3" t="inlineStr">
        <is>
          <t>Assistant Professor</t>
        </is>
      </c>
      <c r="M3" s="3" t="inlineStr"/>
      <c r="N3" s="3" t="inlineStr">
        <is>
          <t>Contract</t>
        </is>
      </c>
      <c r="O3" s="3" t="inlineStr">
        <is>
          <t>Full-time</t>
        </is>
      </c>
      <c r="P3" s="3" t="inlineStr">
        <is>
          <t>Y</t>
        </is>
      </c>
      <c r="Q3" s="3" t="inlineStr"/>
      <c r="R3" s="3">
        <f>IF(AND(P3="Y", OR(N3="Regular", AND(N3="Contract", O3="Full-time"))),"Yes","No")</f>
        <v/>
      </c>
      <c r="S3" s="4" t="inlineStr">
        <is>
          <t>Contract + Payroll</t>
        </is>
      </c>
    </row>
    <row r="4">
      <c r="A4" s="3" t="n">
        <v>3</v>
      </c>
      <c r="B4" s="3" t="inlineStr">
        <is>
          <t>EMP003</t>
        </is>
      </c>
      <c r="C4" s="4" t="inlineStr">
        <is>
          <t>Mr. E.F. Mentor</t>
        </is>
      </c>
      <c r="D4" s="3" t="inlineStr">
        <is>
          <t>ZZZZZ9876Z</t>
        </is>
      </c>
      <c r="E4" s="3" t="inlineStr">
        <is>
          <t>APAAR003</t>
        </is>
      </c>
      <c r="F4" s="3" t="inlineStr">
        <is>
          <t>Ph.D. (EEE)</t>
        </is>
      </c>
      <c r="G4" s="3" t="inlineStr">
        <is>
          <t>NIT Trichy</t>
        </is>
      </c>
      <c r="H4" s="4" t="inlineStr">
        <is>
          <t>Power Systems</t>
        </is>
      </c>
      <c r="I4" s="3" t="inlineStr">
        <is>
          <t>2019-08-12</t>
        </is>
      </c>
      <c r="J4" s="3">
        <f>IF(I4&lt;&gt;"",DATEDIF(I4,Summary!$B$2,"Y"),"")</f>
        <v/>
      </c>
      <c r="K4" s="3" t="inlineStr">
        <is>
          <t>Associate Professor</t>
        </is>
      </c>
      <c r="L4" s="3" t="inlineStr">
        <is>
          <t>Professor</t>
        </is>
      </c>
      <c r="M4" s="3" t="inlineStr">
        <is>
          <t>2023-03-15</t>
        </is>
      </c>
      <c r="N4" s="3" t="inlineStr">
        <is>
          <t>Regular</t>
        </is>
      </c>
      <c r="O4" s="3" t="inlineStr">
        <is>
          <t>NA</t>
        </is>
      </c>
      <c r="P4" s="3" t="inlineStr">
        <is>
          <t>Y</t>
        </is>
      </c>
      <c r="Q4" s="3" t="inlineStr"/>
      <c r="R4" s="3">
        <f>IF(AND(P4="Y", OR(N4="Regular", AND(N4="Contract", O4="Full-time"))),"Yes","No")</f>
        <v/>
      </c>
      <c r="S4" s="4" t="inlineStr">
        <is>
          <t>Promotion Order</t>
        </is>
      </c>
    </row>
    <row r="5">
      <c r="A5" s="3" t="n">
        <v>4</v>
      </c>
      <c r="B5" s="3" t="inlineStr">
        <is>
          <t>EMP004</t>
        </is>
      </c>
      <c r="C5" s="4" t="inlineStr">
        <is>
          <t>Dr. G.H. Senior</t>
        </is>
      </c>
      <c r="D5" s="3" t="inlineStr">
        <is>
          <t>PPPPP4321P</t>
        </is>
      </c>
      <c r="E5" s="3" t="inlineStr"/>
      <c r="F5" s="3" t="inlineStr">
        <is>
          <t>Ph.D. (ME)</t>
        </is>
      </c>
      <c r="G5" s="3" t="inlineStr">
        <is>
          <t>IISc Bangalore</t>
        </is>
      </c>
      <c r="H5" s="4" t="inlineStr">
        <is>
          <t>Thermal Engineering</t>
        </is>
      </c>
      <c r="I5" s="3" t="inlineStr">
        <is>
          <t>2020-07-20</t>
        </is>
      </c>
      <c r="J5" s="3">
        <f>IF(I5&lt;&gt;"",DATEDIF(I5,Summary!$B$2,"Y"),"")</f>
        <v/>
      </c>
      <c r="K5" s="3" t="inlineStr">
        <is>
          <t>Assistant Professor</t>
        </is>
      </c>
      <c r="L5" s="3" t="inlineStr">
        <is>
          <t>Assistant Professor</t>
        </is>
      </c>
      <c r="M5" s="3" t="inlineStr"/>
      <c r="N5" s="3" t="inlineStr">
        <is>
          <t>Regular</t>
        </is>
      </c>
      <c r="O5" s="3" t="inlineStr">
        <is>
          <t>NA</t>
        </is>
      </c>
      <c r="P5" s="3" t="inlineStr">
        <is>
          <t>N</t>
        </is>
      </c>
      <c r="Q5" s="3" t="inlineStr">
        <is>
          <t>2024-06-30</t>
        </is>
      </c>
      <c r="R5" s="3">
        <f>IF(AND(P5="Y", OR(N5="Regular", AND(N5="Contract", O5="Full-time"))),"Yes","No")</f>
        <v/>
      </c>
      <c r="S5" s="4" t="inlineStr">
        <is>
          <t>Relieving Order</t>
        </is>
      </c>
    </row>
  </sheetData>
  <dataValidations count="3">
    <dataValidation sqref="N2:N10000" showErrorMessage="1" showInputMessage="1" allowBlank="0" type="list">
      <formula1>"Regular,Contract,Ad_hoc"</formula1>
    </dataValidation>
    <dataValidation sqref="O2:O10000" showErrorMessage="1" showInputMessage="1" allowBlank="0" type="list">
      <formula1>"Full-time,Part-time,Hourly,NA"</formula1>
    </dataValidation>
    <dataValidation sqref="P2:P10000" showErrorMessage="1" showInputMessage="1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4" t="inlineStr">
        <is>
          <t>CAY End Date</t>
        </is>
      </c>
      <c r="B2" s="3" t="inlineStr">
        <is>
          <t>2025-06-30</t>
        </is>
      </c>
      <c r="C2" s="3" t="inlineStr">
        <is>
          <t>Edit to match your academic year end (usually 30-Jun-YYYY)</t>
        </is>
      </c>
    </row>
    <row r="3">
      <c r="A3" s="4" t="inlineStr">
        <is>
          <t>Total Faculty (rows)</t>
        </is>
      </c>
      <c r="B3" s="3">
        <f>COUNTA(Register!C2:C10000)</f>
        <v/>
      </c>
      <c r="C3" s="3" t="inlineStr">
        <is>
          <t>Headcount, incl. all types</t>
        </is>
      </c>
    </row>
    <row r="4">
      <c r="A4" s="4" t="inlineStr">
        <is>
          <t>Currently Associated (Y)</t>
        </is>
      </c>
      <c r="B4" s="3">
        <f>COUNTIF(Register!P2:P10000,"Y")</f>
        <v/>
      </c>
      <c r="C4" s="3" t="inlineStr">
        <is>
          <t>Active as of CAY end date</t>
        </is>
      </c>
    </row>
    <row r="5">
      <c r="A5" s="4" t="inlineStr">
        <is>
          <t>Included in SFR (auto Yes)</t>
        </is>
      </c>
      <c r="B5" s="3">
        <f>COUNTIF(Register!R2:R10000,"Yes")</f>
        <v/>
      </c>
      <c r="C5" s="3" t="inlineStr">
        <is>
          <t>Regular + Contract Full-time &amp; Active</t>
        </is>
      </c>
    </row>
    <row r="6">
      <c r="A6" s="4" t="inlineStr">
        <is>
          <t>Regular Faculty</t>
        </is>
      </c>
      <c r="B6" s="3">
        <f>COUNTIF(Register!N2:N10000,"Regular")</f>
        <v/>
      </c>
      <c r="C6" s="3" t="inlineStr"/>
    </row>
    <row r="7">
      <c r="A7" s="4" t="inlineStr">
        <is>
          <t>Contract Full-time</t>
        </is>
      </c>
      <c r="B7" s="3">
        <f>COUNTIFS(Register!N2:N10000,"Contract",Register!O2:O10000,"Full-time")</f>
        <v/>
      </c>
      <c r="C7" s="3" t="inlineStr"/>
    </row>
    <row r="8">
      <c r="A8" s="4" t="inlineStr">
        <is>
          <t>Contract Part-time/Hourly</t>
        </is>
      </c>
      <c r="B8" s="3">
        <f>COUNTIFS(Register!N2:N10000,"Contract",Register!O2:O10000,"&lt;&gt;Full-time")</f>
        <v/>
      </c>
      <c r="C8" s="3" t="inlineStr">
        <is>
          <t>Not counted for SFR</t>
        </is>
      </c>
    </row>
    <row r="9">
      <c r="A9" s="4" t="inlineStr">
        <is>
          <t>Avg Experience (yrs) of Included</t>
        </is>
      </c>
      <c r="B9" s="3">
        <f>IF(D4&gt;0,AVERAGEIF(Register!R2:R10000,"Yes",Register!J2:J10000),"")</f>
        <v/>
      </c>
      <c r="C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Faculty Details Register — How to Use (NBA Table 5A)</t>
        </is>
      </c>
    </row>
    <row r="3">
      <c r="A3" t="inlineStr">
        <is>
          <t>- Fill the Register for Department + Allied engineering programs only (exclude MCA/BCA/other non-engineering).</t>
        </is>
      </c>
    </row>
    <row r="4">
      <c r="A4" t="inlineStr">
        <is>
          <t>- Set Summary → CAY End Date (typically 30-Jun-YYYY). Experience uses DATEDIF(Date_of_Joining, CAY End Date, "Y").</t>
        </is>
      </c>
    </row>
    <row r="5">
      <c r="A5" t="inlineStr">
        <is>
          <t>- Nature_of_Association must be Regular/Contract/Ad_hoc; Contract_Type must specify Full-time/Part-time/Hourly.</t>
        </is>
      </c>
    </row>
    <row r="6">
      <c r="A6" t="inlineStr">
        <is>
          <t>- Included_in_SFR auto-Yes when: Currently_Associated = Y AND (Regular OR Contract Full-time).</t>
        </is>
      </c>
    </row>
    <row r="7">
      <c r="A7" t="inlineStr">
        <is>
          <t>- Contractual counted only if full-time and taught for 2 consecutive semesters in that academic year (keep evidence ready).</t>
        </is>
      </c>
    </row>
    <row r="8">
      <c r="A8" t="inlineStr">
        <is>
          <t>- Keep supporting documents: appointment/promotion/approval letters, joining &amp; relieving orders, payroll continuity, workload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2025-08-29T04:28:58Z</dcterms:created>
  <dcterms:modified xmlns:dcterms="http://purl.org/dc/terms/" xmlns:xsi="http://www.w3.org/2001/XMLSchema-instance" xsi:type="dcterms:W3CDTF">2025-08-29T04:28:58Z</dcterms:modified>
</cp:coreProperties>
</file>