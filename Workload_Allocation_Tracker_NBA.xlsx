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Faculty_Master" sheetId="2" state="visible" r:id="rId2"/>
    <sheet xmlns:r="http://schemas.openxmlformats.org/officeDocument/2006/relationships" name="Faculty_Load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Workload Allocation Tracker — Identify 100% First-Year Load (FF) for NBA SFR</t>
        </is>
      </c>
    </row>
    <row r="3">
      <c r="A3" t="inlineStr">
        <is>
          <t>- Use 'Faculty_Master' to list all faculty (Emp_ID, Name, Dept, Employment Type, Active).</t>
        </is>
      </c>
    </row>
    <row r="4">
      <c r="A4" t="inlineStr">
        <is>
          <t>- Enter teaching assignments in 'Faculty_Load' per course with weekly L/T/P hours and year label (CAY, CAYm1, CAYm2).</t>
        </is>
      </c>
    </row>
    <row r="5">
      <c r="A5" t="inlineStr">
        <is>
          <t>- The tracker auto-computes Total Hours per assignment and flags First-Year hours when Level='FY'.</t>
        </is>
      </c>
    </row>
    <row r="6">
      <c r="A6" t="inlineStr">
        <is>
          <t>- 'Summary' aggregates hours by faculty &amp; year; flags **FF** when 100% of a faculty's load is first-year.</t>
        </is>
      </c>
    </row>
    <row r="7">
      <c r="A7" t="inlineStr">
        <is>
          <t>- Use FF counts (FF1, FF2, FF3) directly in your SFR denominator: Effective Faculty = F − FF.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8" customWidth="1" min="4" max="4"/>
    <col width="14" customWidth="1" min="5" max="5"/>
    <col width="24" customWidth="1" min="6" max="6"/>
  </cols>
  <sheetData>
    <row r="1">
      <c r="A1" s="2" t="inlineStr">
        <is>
          <t>Emp_ID</t>
        </is>
      </c>
      <c r="B1" s="2" t="inlineStr">
        <is>
          <t>Faculty_Name</t>
        </is>
      </c>
      <c r="C1" s="2" t="inlineStr">
        <is>
          <t>Dept/Cluster</t>
        </is>
      </c>
      <c r="D1" s="2" t="inlineStr">
        <is>
          <t>Employment_Type (Regular/Contractual_FT)</t>
        </is>
      </c>
      <c r="E1" s="2" t="inlineStr">
        <is>
          <t>Active (Yes/No)</t>
        </is>
      </c>
      <c r="F1" s="2" t="inlineStr">
        <is>
          <t>Remarks</t>
        </is>
      </c>
    </row>
    <row r="2">
      <c r="A2" s="3" t="inlineStr">
        <is>
          <t>EMP001</t>
        </is>
      </c>
      <c r="B2" s="3" t="inlineStr">
        <is>
          <t>Dr. A.B. XYZ</t>
        </is>
      </c>
      <c r="C2" s="3" t="inlineStr">
        <is>
          <t>CSE</t>
        </is>
      </c>
      <c r="D2" s="3" t="inlineStr">
        <is>
          <t>Regular</t>
        </is>
      </c>
      <c r="E2" s="3" t="inlineStr">
        <is>
          <t>Yes</t>
        </is>
      </c>
      <c r="F2" s="3" t="inlineStr"/>
    </row>
    <row r="3">
      <c r="A3" s="3" t="inlineStr">
        <is>
          <t>EMP002</t>
        </is>
      </c>
      <c r="B3" s="3" t="inlineStr">
        <is>
          <t>Ms. C.D. PQR</t>
        </is>
      </c>
      <c r="C3" s="3" t="inlineStr">
        <is>
          <t>CSE-AI</t>
        </is>
      </c>
      <c r="D3" s="3" t="inlineStr">
        <is>
          <t>Regular</t>
        </is>
      </c>
      <c r="E3" s="3" t="inlineStr">
        <is>
          <t>Yes</t>
        </is>
      </c>
      <c r="F3" s="3" t="inlineStr"/>
    </row>
    <row r="4">
      <c r="A4" s="3" t="inlineStr">
        <is>
          <t>EMP003</t>
        </is>
      </c>
      <c r="B4" s="3" t="inlineStr">
        <is>
          <t>Mr. E.F. LMN</t>
        </is>
      </c>
      <c r="C4" s="3" t="inlineStr">
        <is>
          <t>IT (Allied)</t>
        </is>
      </c>
      <c r="D4" s="3" t="inlineStr">
        <is>
          <t>Contractual_FT</t>
        </is>
      </c>
      <c r="E4" s="3" t="inlineStr">
        <is>
          <t>Yes</t>
        </is>
      </c>
      <c r="F4" s="3" t="inlineStr"/>
    </row>
    <row r="5">
      <c r="A5" s="3" t="inlineStr">
        <is>
          <t>EMP004</t>
        </is>
      </c>
      <c r="B5" s="3" t="inlineStr">
        <is>
          <t>Ms. G.H. UVW</t>
        </is>
      </c>
      <c r="C5" s="3" t="inlineStr">
        <is>
          <t>Applied Science (First Year)</t>
        </is>
      </c>
      <c r="D5" s="3" t="inlineStr">
        <is>
          <t>Regular</t>
        </is>
      </c>
      <c r="E5" s="3" t="inlineStr">
        <is>
          <t>Yes</t>
        </is>
      </c>
      <c r="F5" s="3" t="inlineStr"/>
    </row>
  </sheetData>
  <dataValidations count="2">
    <dataValidation sqref="D2:D1000" showErrorMessage="1" showInputMessage="1" allowBlank="0" type="list">
      <formula1>"Regular,Contractual_FT"</formula1>
    </dataValidation>
    <dataValidation sqref="E2:E1000" showErrorMessage="1" showInputMessage="1" allowBlank="0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4" customWidth="1" min="3" max="3"/>
    <col width="22" customWidth="1" min="4" max="4"/>
    <col width="12" customWidth="1" min="5" max="5"/>
    <col width="28" customWidth="1" min="6" max="6"/>
    <col width="18" customWidth="1" min="7" max="7"/>
    <col width="12" customWidth="1" min="8" max="8"/>
    <col width="12" customWidth="1" min="9" max="9"/>
    <col width="12" customWidth="1" min="10" max="10"/>
    <col width="14" customWidth="1" min="11" max="11"/>
    <col width="16" customWidth="1" min="12" max="12"/>
    <col width="16" customWidth="1" min="13" max="13"/>
  </cols>
  <sheetData>
    <row r="1">
      <c r="A1" s="2" t="inlineStr">
        <is>
          <t>Year_Label (CAY/CAYm1/CAYm2)</t>
        </is>
      </c>
      <c r="B1" s="2" t="inlineStr">
        <is>
          <t>Emp_ID</t>
        </is>
      </c>
      <c r="C1" s="2" t="inlineStr">
        <is>
          <t>Faculty_Name</t>
        </is>
      </c>
      <c r="D1" s="2" t="inlineStr">
        <is>
          <t>Dept/Cluster</t>
        </is>
      </c>
      <c r="E1" s="2" t="inlineStr">
        <is>
          <t>Course_Code</t>
        </is>
      </c>
      <c r="F1" s="2" t="inlineStr">
        <is>
          <t>Course_Title</t>
        </is>
      </c>
      <c r="G1" s="2" t="inlineStr">
        <is>
          <t>Level (FY/UG2/UG3/UG4/PG1/PG2)</t>
        </is>
      </c>
      <c r="H1" s="2" t="inlineStr">
        <is>
          <t>L (hrs/wk)</t>
        </is>
      </c>
      <c r="I1" s="2" t="inlineStr">
        <is>
          <t>T (hrs/wk)</t>
        </is>
      </c>
      <c r="J1" s="2" t="inlineStr">
        <is>
          <t>P (hrs/wk)</t>
        </is>
      </c>
      <c r="K1" s="2" t="inlineStr">
        <is>
          <t>Total_Hours</t>
        </is>
      </c>
      <c r="L1" s="2" t="inlineStr">
        <is>
          <t>Is_FirstYear_Course</t>
        </is>
      </c>
      <c r="M1" s="2" t="inlineStr">
        <is>
          <t>FirstYear_Hours</t>
        </is>
      </c>
    </row>
    <row r="2">
      <c r="A2" s="3" t="inlineStr">
        <is>
          <t>CAY</t>
        </is>
      </c>
      <c r="B2" s="3" t="inlineStr">
        <is>
          <t>EMP001</t>
        </is>
      </c>
      <c r="C2" s="3" t="inlineStr">
        <is>
          <t>Dr. A.B. XYZ</t>
        </is>
      </c>
      <c r="D2" s="3" t="inlineStr">
        <is>
          <t>CSE</t>
        </is>
      </c>
      <c r="E2" s="3" t="inlineStr">
        <is>
          <t>CS201</t>
        </is>
      </c>
      <c r="F2" s="3" t="inlineStr">
        <is>
          <t>Data Structures</t>
        </is>
      </c>
      <c r="G2" s="3" t="inlineStr">
        <is>
          <t>UG2</t>
        </is>
      </c>
      <c r="H2" s="3" t="n">
        <v>3</v>
      </c>
      <c r="I2" s="3" t="n">
        <v>1</v>
      </c>
      <c r="J2" s="3" t="n">
        <v>2</v>
      </c>
      <c r="K2" s="3">
        <f>SUM(H2:J2)</f>
        <v/>
      </c>
      <c r="L2" s="3">
        <f>IF(G2="FY","Yes","No")</f>
        <v/>
      </c>
      <c r="M2" s="3">
        <f>IF(L2="Yes",K2,0)</f>
        <v/>
      </c>
    </row>
    <row r="3">
      <c r="A3" s="3" t="inlineStr">
        <is>
          <t>CAY</t>
        </is>
      </c>
      <c r="B3" s="3" t="inlineStr">
        <is>
          <t>EMP002</t>
        </is>
      </c>
      <c r="C3" s="3" t="inlineStr">
        <is>
          <t>Ms. C.D. PQR</t>
        </is>
      </c>
      <c r="D3" s="3" t="inlineStr">
        <is>
          <t>CSE-AI</t>
        </is>
      </c>
      <c r="E3" s="3" t="inlineStr">
        <is>
          <t>CS101</t>
        </is>
      </c>
      <c r="F3" s="3" t="inlineStr">
        <is>
          <t>Programming in C</t>
        </is>
      </c>
      <c r="G3" s="3" t="inlineStr">
        <is>
          <t>FY</t>
        </is>
      </c>
      <c r="H3" s="3" t="n">
        <v>4</v>
      </c>
      <c r="I3" s="3" t="n">
        <v>2</v>
      </c>
      <c r="J3" s="3" t="n">
        <v>0</v>
      </c>
      <c r="K3" s="3">
        <f>SUM(H3:J3)</f>
        <v/>
      </c>
      <c r="L3" s="3">
        <f>IF(G3="FY","Yes","No")</f>
        <v/>
      </c>
      <c r="M3" s="3">
        <f>IF(L3="Yes",K3,0)</f>
        <v/>
      </c>
    </row>
    <row r="4">
      <c r="A4" s="3" t="inlineStr">
        <is>
          <t>CAY</t>
        </is>
      </c>
      <c r="B4" s="3" t="inlineStr">
        <is>
          <t>EMP003</t>
        </is>
      </c>
      <c r="C4" s="3" t="inlineStr">
        <is>
          <t>Mr. E.F. LMN</t>
        </is>
      </c>
      <c r="D4" s="3" t="inlineStr">
        <is>
          <t>IT (Allied)</t>
        </is>
      </c>
      <c r="E4" s="3" t="inlineStr">
        <is>
          <t>CS305</t>
        </is>
      </c>
      <c r="F4" s="3" t="inlineStr">
        <is>
          <t>Operating Systems</t>
        </is>
      </c>
      <c r="G4" s="3" t="inlineStr">
        <is>
          <t>UG3</t>
        </is>
      </c>
      <c r="H4" s="3" t="n">
        <v>3</v>
      </c>
      <c r="I4" s="3" t="n">
        <v>1</v>
      </c>
      <c r="J4" s="3" t="n">
        <v>2</v>
      </c>
      <c r="K4" s="3">
        <f>SUM(H4:J4)</f>
        <v/>
      </c>
      <c r="L4" s="3">
        <f>IF(G4="FY","Yes","No")</f>
        <v/>
      </c>
      <c r="M4" s="3">
        <f>IF(L4="Yes",K4,0)</f>
        <v/>
      </c>
    </row>
    <row r="5">
      <c r="A5" s="3" t="inlineStr">
        <is>
          <t>CAY</t>
        </is>
      </c>
      <c r="B5" s="3" t="inlineStr">
        <is>
          <t>EMP004</t>
        </is>
      </c>
      <c r="C5" s="3" t="inlineStr">
        <is>
          <t>Ms. G.H. UVW</t>
        </is>
      </c>
      <c r="D5" s="3" t="inlineStr">
        <is>
          <t>Applied Science</t>
        </is>
      </c>
      <c r="E5" s="3" t="inlineStr">
        <is>
          <t>MA101</t>
        </is>
      </c>
      <c r="F5" s="3" t="inlineStr">
        <is>
          <t>Engineering Maths</t>
        </is>
      </c>
      <c r="G5" s="3" t="inlineStr">
        <is>
          <t>FY</t>
        </is>
      </c>
      <c r="H5" s="3" t="n">
        <v>4</v>
      </c>
      <c r="I5" s="3" t="n">
        <v>2</v>
      </c>
      <c r="J5" s="3" t="n">
        <v>0</v>
      </c>
      <c r="K5" s="3">
        <f>SUM(H5:J5)</f>
        <v/>
      </c>
      <c r="L5" s="3">
        <f>IF(G5="FY","Yes","No")</f>
        <v/>
      </c>
      <c r="M5" s="3">
        <f>IF(L5="Yes",K5,0)</f>
        <v/>
      </c>
    </row>
    <row r="6">
      <c r="A6" s="3" t="inlineStr">
        <is>
          <t>CAYm1</t>
        </is>
      </c>
      <c r="B6" s="3" t="inlineStr">
        <is>
          <t>EMP001</t>
        </is>
      </c>
      <c r="C6" s="3" t="inlineStr">
        <is>
          <t>Dr. A.B. XYZ</t>
        </is>
      </c>
      <c r="D6" s="3" t="inlineStr">
        <is>
          <t>CSE</t>
        </is>
      </c>
      <c r="E6" s="3" t="inlineStr">
        <is>
          <t>CS306</t>
        </is>
      </c>
      <c r="F6" s="3" t="inlineStr">
        <is>
          <t>DBMS</t>
        </is>
      </c>
      <c r="G6" s="3" t="inlineStr">
        <is>
          <t>UG3</t>
        </is>
      </c>
      <c r="H6" s="3" t="n">
        <v>3</v>
      </c>
      <c r="I6" s="3" t="n">
        <v>1</v>
      </c>
      <c r="J6" s="3" t="n">
        <v>2</v>
      </c>
      <c r="K6" s="3">
        <f>SUM(H6:J6)</f>
        <v/>
      </c>
      <c r="L6" s="3">
        <f>IF(G6="FY","Yes","No")</f>
        <v/>
      </c>
      <c r="M6" s="3">
        <f>IF(L6="Yes",K6,0)</f>
        <v/>
      </c>
    </row>
    <row r="7">
      <c r="A7" s="3" t="inlineStr">
        <is>
          <t>CAYm1</t>
        </is>
      </c>
      <c r="B7" s="3" t="inlineStr">
        <is>
          <t>EMP002</t>
        </is>
      </c>
      <c r="C7" s="3" t="inlineStr">
        <is>
          <t>Ms. C.D. PQR</t>
        </is>
      </c>
      <c r="D7" s="3" t="inlineStr">
        <is>
          <t>CSE-AI</t>
        </is>
      </c>
      <c r="E7" s="3" t="inlineStr">
        <is>
          <t>CS102</t>
        </is>
      </c>
      <c r="F7" s="3" t="inlineStr">
        <is>
          <t>Advanced C</t>
        </is>
      </c>
      <c r="G7" s="3" t="inlineStr">
        <is>
          <t>FY</t>
        </is>
      </c>
      <c r="H7" s="3" t="n">
        <v>4</v>
      </c>
      <c r="I7" s="3" t="n">
        <v>2</v>
      </c>
      <c r="J7" s="3" t="n">
        <v>0</v>
      </c>
      <c r="K7" s="3">
        <f>SUM(H7:J7)</f>
        <v/>
      </c>
      <c r="L7" s="3">
        <f>IF(G7="FY","Yes","No")</f>
        <v/>
      </c>
      <c r="M7" s="3">
        <f>IF(L7="Yes",K7,0)</f>
        <v/>
      </c>
    </row>
  </sheetData>
  <dataValidations count="2">
    <dataValidation sqref="A2:A10000" showErrorMessage="1" showInputMessage="1" allowBlank="0" type="list">
      <formula1>"CAY,CAYm1,CAYm2"</formula1>
    </dataValidation>
    <dataValidation sqref="G2:G10000" showErrorMessage="1" showInputMessage="1" allowBlank="0" type="list">
      <formula1>"FY,UG2,UG3,UG4,PG1,PG2"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4" customWidth="1" min="4" max="4"/>
    <col width="12" customWidth="1" min="5" max="5"/>
    <col width="12" customWidth="1" min="6" max="6"/>
    <col width="14" customWidth="1" min="7" max="7"/>
    <col width="14" customWidth="1" min="8" max="8"/>
    <col width="12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</cols>
  <sheetData>
    <row r="1">
      <c r="A1" s="2" t="inlineStr">
        <is>
          <t>Metric</t>
        </is>
      </c>
      <c r="B1" s="2" t="inlineStr">
        <is>
          <t>CAY</t>
        </is>
      </c>
      <c r="C1" s="2" t="inlineStr">
        <is>
          <t>CAYm1</t>
        </is>
      </c>
      <c r="D1" s="2" t="inlineStr">
        <is>
          <t>CAYm2</t>
        </is>
      </c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</row>
    <row r="2">
      <c r="A2" s="3" t="inlineStr">
        <is>
          <t>Total Faculty (Active in Master)</t>
        </is>
      </c>
      <c r="B2" s="3">
        <f>COUNTIF(Faculty_Master!E:E,"Yes")</f>
        <v/>
      </c>
      <c r="C2" s="3">
        <f>COUNTIF(Faculty_Master!E:E,"Yes")</f>
        <v/>
      </c>
      <c r="D2" s="3">
        <f>COUNTIF(Faculty_Master!E:E,"Yes")</f>
        <v/>
      </c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3" t="inlineStr">
        <is>
          <t>FF Count (100% First-Year Load)</t>
        </is>
      </c>
      <c r="B3" s="3">
        <f>COUNTIF(F5:F8,"FF")</f>
        <v/>
      </c>
      <c r="C3" s="3">
        <f>COUNTIF(J5:J8,"FF")</f>
        <v/>
      </c>
      <c r="D3" s="3">
        <f>COUNTIF(N5:N8,"FF")</f>
        <v/>
      </c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2" t="inlineStr">
        <is>
          <t>Emp_ID</t>
        </is>
      </c>
      <c r="B4" s="2" t="inlineStr">
        <is>
          <t>Faculty_Name</t>
        </is>
      </c>
      <c r="C4" s="2" t="inlineStr">
        <is>
          <t>Tot_Hrs_CAY</t>
        </is>
      </c>
      <c r="D4" s="2" t="inlineStr">
        <is>
          <t>FY_Hrs_CAY</t>
        </is>
      </c>
      <c r="E4" s="2" t="inlineStr">
        <is>
          <t>%FY_CAY</t>
        </is>
      </c>
      <c r="F4" s="2" t="inlineStr">
        <is>
          <t>FF_Flag_CAY</t>
        </is>
      </c>
      <c r="G4" s="2" t="inlineStr">
        <is>
          <t>Tot_Hrs_CAYm1</t>
        </is>
      </c>
      <c r="H4" s="2" t="inlineStr">
        <is>
          <t>FY_Hrs_CAYm1</t>
        </is>
      </c>
      <c r="I4" s="2" t="inlineStr">
        <is>
          <t>%FY_CAYm1</t>
        </is>
      </c>
      <c r="J4" s="2" t="inlineStr">
        <is>
          <t>FF_Flag_CAYm1</t>
        </is>
      </c>
      <c r="K4" s="2" t="inlineStr">
        <is>
          <t>Tot_Hrs_CAYm2</t>
        </is>
      </c>
      <c r="L4" s="2" t="inlineStr">
        <is>
          <t>FY_Hrs_CAYm2</t>
        </is>
      </c>
      <c r="M4" s="2" t="inlineStr">
        <is>
          <t>%FY_CAYm2</t>
        </is>
      </c>
      <c r="N4" s="2" t="inlineStr">
        <is>
          <t>FF_Flag_CAYm2</t>
        </is>
      </c>
    </row>
    <row r="5">
      <c r="A5" s="3" t="inlineStr">
        <is>
          <t>EMP001</t>
        </is>
      </c>
      <c r="B5" s="3" t="inlineStr">
        <is>
          <t>Dr. A.B. XYZ</t>
        </is>
      </c>
      <c r="C5" s="3">
        <f>SUMIFS(Faculty_Load!K:K, Faculty_Load!A:A,"CAY", Faculty_Load!B:B,$A5)</f>
        <v/>
      </c>
      <c r="D5" s="3">
        <f>SUMIFS(Faculty_Load!M:M, Faculty_Load!A:A,"CAY", Faculty_Load!B:B,$A5)</f>
        <v/>
      </c>
      <c r="E5" s="4">
        <f>IF(C5&gt;0, D5/C5, "")</f>
        <v/>
      </c>
      <c r="F5" s="3">
        <f>IF(C5&gt;0, IF(D5=C5, "FF", "Counted"), "")</f>
        <v/>
      </c>
      <c r="G5" s="3">
        <f>SUMIFS(Faculty_Load!K:K, Faculty_Load!A:A,"CAYm1", Faculty_Load!B:B,$A5)</f>
        <v/>
      </c>
      <c r="H5" s="3">
        <f>SUMIFS(Faculty_Load!M:M, Faculty_Load!A:A,"CAYm1", Faculty_Load!B:B,$A5)</f>
        <v/>
      </c>
      <c r="I5" s="4">
        <f>IF(G5&gt;0, H5/G5, "")</f>
        <v/>
      </c>
      <c r="J5" s="3">
        <f>IF(G5&gt;0, IF(H5=G5, "FF", "Counted"), "")</f>
        <v/>
      </c>
      <c r="K5" s="3">
        <f>SUMIFS(Faculty_Load!K:K, Faculty_Load!A:A,"CAYm2", Faculty_Load!B:B,$A5)</f>
        <v/>
      </c>
      <c r="L5" s="3">
        <f>SUMIFS(Faculty_Load!M:M, Faculty_Load!A:A,"CAYm2", Faculty_Load!B:B,$A5)</f>
        <v/>
      </c>
      <c r="M5" s="4">
        <f>IF(K5&gt;0, L5/K5, "")</f>
        <v/>
      </c>
      <c r="N5" s="3">
        <f>IF(K5&gt;0, IF(L5=K5, "FF", "Counted"), "")</f>
        <v/>
      </c>
    </row>
    <row r="6">
      <c r="A6" s="3" t="inlineStr">
        <is>
          <t>EMP002</t>
        </is>
      </c>
      <c r="B6" s="3" t="inlineStr">
        <is>
          <t>Ms. C.D. PQR</t>
        </is>
      </c>
      <c r="C6" s="3">
        <f>SUMIFS(Faculty_Load!K:K, Faculty_Load!A:A,"CAY", Faculty_Load!B:B,$A6)</f>
        <v/>
      </c>
      <c r="D6" s="3">
        <f>SUMIFS(Faculty_Load!M:M, Faculty_Load!A:A,"CAY", Faculty_Load!B:B,$A6)</f>
        <v/>
      </c>
      <c r="E6" s="4">
        <f>IF(C6&gt;0, D6/C6, "")</f>
        <v/>
      </c>
      <c r="F6" s="3">
        <f>IF(C6&gt;0, IF(D6=C6, "FF", "Counted"), "")</f>
        <v/>
      </c>
      <c r="G6" s="3">
        <f>SUMIFS(Faculty_Load!K:K, Faculty_Load!A:A,"CAYm1", Faculty_Load!B:B,$A6)</f>
        <v/>
      </c>
      <c r="H6" s="3">
        <f>SUMIFS(Faculty_Load!M:M, Faculty_Load!A:A,"CAYm1", Faculty_Load!B:B,$A6)</f>
        <v/>
      </c>
      <c r="I6" s="4">
        <f>IF(G6&gt;0, H6/G6, "")</f>
        <v/>
      </c>
      <c r="J6" s="3">
        <f>IF(G6&gt;0, IF(H6=G6, "FF", "Counted"), "")</f>
        <v/>
      </c>
      <c r="K6" s="3">
        <f>SUMIFS(Faculty_Load!K:K, Faculty_Load!A:A,"CAYm2", Faculty_Load!B:B,$A6)</f>
        <v/>
      </c>
      <c r="L6" s="3">
        <f>SUMIFS(Faculty_Load!M:M, Faculty_Load!A:A,"CAYm2", Faculty_Load!B:B,$A6)</f>
        <v/>
      </c>
      <c r="M6" s="4">
        <f>IF(K6&gt;0, L6/K6, "")</f>
        <v/>
      </c>
      <c r="N6" s="3">
        <f>IF(K6&gt;0, IF(L6=K6, "FF", "Counted"), "")</f>
        <v/>
      </c>
    </row>
    <row r="7">
      <c r="A7" s="3" t="inlineStr">
        <is>
          <t>EMP003</t>
        </is>
      </c>
      <c r="B7" s="3" t="inlineStr">
        <is>
          <t>Mr. E.F. LMN</t>
        </is>
      </c>
      <c r="C7" s="3">
        <f>SUMIFS(Faculty_Load!K:K, Faculty_Load!A:A,"CAY", Faculty_Load!B:B,$A7)</f>
        <v/>
      </c>
      <c r="D7" s="3">
        <f>SUMIFS(Faculty_Load!M:M, Faculty_Load!A:A,"CAY", Faculty_Load!B:B,$A7)</f>
        <v/>
      </c>
      <c r="E7" s="4">
        <f>IF(C7&gt;0, D7/C7, "")</f>
        <v/>
      </c>
      <c r="F7" s="3">
        <f>IF(C7&gt;0, IF(D7=C7, "FF", "Counted"), "")</f>
        <v/>
      </c>
      <c r="G7" s="3">
        <f>SUMIFS(Faculty_Load!K:K, Faculty_Load!A:A,"CAYm1", Faculty_Load!B:B,$A7)</f>
        <v/>
      </c>
      <c r="H7" s="3">
        <f>SUMIFS(Faculty_Load!M:M, Faculty_Load!A:A,"CAYm1", Faculty_Load!B:B,$A7)</f>
        <v/>
      </c>
      <c r="I7" s="4">
        <f>IF(G7&gt;0, H7/G7, "")</f>
        <v/>
      </c>
      <c r="J7" s="3">
        <f>IF(G7&gt;0, IF(H7=G7, "FF", "Counted"), "")</f>
        <v/>
      </c>
      <c r="K7" s="3">
        <f>SUMIFS(Faculty_Load!K:K, Faculty_Load!A:A,"CAYm2", Faculty_Load!B:B,$A7)</f>
        <v/>
      </c>
      <c r="L7" s="3">
        <f>SUMIFS(Faculty_Load!M:M, Faculty_Load!A:A,"CAYm2", Faculty_Load!B:B,$A7)</f>
        <v/>
      </c>
      <c r="M7" s="4">
        <f>IF(K7&gt;0, L7/K7, "")</f>
        <v/>
      </c>
      <c r="N7" s="3">
        <f>IF(K7&gt;0, IF(L7=K7, "FF", "Counted"), "")</f>
        <v/>
      </c>
    </row>
    <row r="8">
      <c r="A8" s="3" t="inlineStr">
        <is>
          <t>EMP004</t>
        </is>
      </c>
      <c r="B8" s="3" t="inlineStr">
        <is>
          <t>Ms. G.H. UVW</t>
        </is>
      </c>
      <c r="C8" s="3">
        <f>SUMIFS(Faculty_Load!K:K, Faculty_Load!A:A,"CAY", Faculty_Load!B:B,$A8)</f>
        <v/>
      </c>
      <c r="D8" s="3">
        <f>SUMIFS(Faculty_Load!M:M, Faculty_Load!A:A,"CAY", Faculty_Load!B:B,$A8)</f>
        <v/>
      </c>
      <c r="E8" s="4">
        <f>IF(C8&gt;0, D8/C8, "")</f>
        <v/>
      </c>
      <c r="F8" s="3">
        <f>IF(C8&gt;0, IF(D8=C8, "FF", "Counted"), "")</f>
        <v/>
      </c>
      <c r="G8" s="3">
        <f>SUMIFS(Faculty_Load!K:K, Faculty_Load!A:A,"CAYm1", Faculty_Load!B:B,$A8)</f>
        <v/>
      </c>
      <c r="H8" s="3">
        <f>SUMIFS(Faculty_Load!M:M, Faculty_Load!A:A,"CAYm1", Faculty_Load!B:B,$A8)</f>
        <v/>
      </c>
      <c r="I8" s="4">
        <f>IF(G8&gt;0, H8/G8, "")</f>
        <v/>
      </c>
      <c r="J8" s="3">
        <f>IF(G8&gt;0, IF(H8=G8, "FF", "Counted"), "")</f>
        <v/>
      </c>
      <c r="K8" s="3">
        <f>SUMIFS(Faculty_Load!K:K, Faculty_Load!A:A,"CAYm2", Faculty_Load!B:B,$A8)</f>
        <v/>
      </c>
      <c r="L8" s="3">
        <f>SUMIFS(Faculty_Load!M:M, Faculty_Load!A:A,"CAYm2", Faculty_Load!B:B,$A8)</f>
        <v/>
      </c>
      <c r="M8" s="4">
        <f>IF(K8&gt;0, L8/K8, "")</f>
        <v/>
      </c>
      <c r="N8" s="3">
        <f>IF(K8&gt;0, IF(L8=K8, "FF", "Counted"), 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2025-08-28T13:57:00Z</dcterms:created>
  <dcterms:modified xmlns:dcterms="http://purl.org/dc/terms/" xmlns:xsi="http://www.w3.org/2001/XMLSchema-instance" xsi:type="dcterms:W3CDTF">2025-08-28T13:57:00Z</dcterms:modified>
</cp:coreProperties>
</file>