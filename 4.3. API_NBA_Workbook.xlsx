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/>
  </bookViews>
  <sheets>
    <sheet name="API_Calculator" sheetId="1" r:id="rId1"/>
    <sheet name="Gazette_Extraction_Sheet" sheetId="2" r:id="rId2"/>
    <sheet name="Cross_Verification_Tracker" sheetId="3" r:id="rId3"/>
    <sheet name="Marks_Band_Interpretation" sheetId="4" r:id="rId4"/>
    <sheet name="API_Trend_Chart" sheetId="5" r:id="rId5"/>
    <sheet name="Documentation_Checkli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<sst xmlns="http://schemas.openxmlformats.org/spreadsheetml/2006/main" count="326" uniqueCount="201">
  <si>
    <t>NBA ACCREDITATION — ACADEMIC PERFORMANCE INDEX (API)</t>
  </si>
  <si>
    <t>Criterion 4 — Student Performance  |  Max Marks: 10 (per year group)  |  Formula: API = X × (Y / Z)   where  X = Mean GPA (or %/10) of successful students  |  Y = Successful students  |  Z = Students appeared</t>
  </si>
  <si>
    <t>SECTION A — VARIABLE DEFINITIONS</t>
  </si>
  <si>
    <t>Symbol</t>
  </si>
  <si>
    <t>Term</t>
  </si>
  <si>
    <t>Description</t>
  </si>
  <si>
    <t>Z</t>
  </si>
  <si>
    <t>Students Appeared</t>
  </si>
  <si>
    <t>All students who sat the 1st-year exam (present). Source: Exam Appearance List.</t>
  </si>
  <si>
    <t>Y</t>
  </si>
  <si>
    <t>Successful Students</t>
  </si>
  <si>
    <t>Students declared Pass and promoted to next year. Source: Pass / Promotion List.</t>
  </si>
  <si>
    <t>X</t>
  </si>
  <si>
    <t>Mean GPA / (% ÷ 10)</t>
  </si>
  <si>
    <t>Average GPA (10-pt scale) of successful students only. If % marks: divide by 10. Source: Result Gazette.</t>
  </si>
  <si>
    <t>API</t>
  </si>
  <si>
    <t>Academic Performance Index</t>
  </si>
  <si>
    <t>API = X × (Y / Z).  Combines quality (X) and quantity (Y/Z) of student achievement.</t>
  </si>
  <si>
    <t>SECTION B — FIRST-YEAR ACADEMIC PERFORMANCE  (Blue = editable inputs)</t>
  </si>
  <si>
    <t>#</t>
  </si>
  <si>
    <t>Cohort</t>
  </si>
  <si>
    <t>Z  — Students
Appeared</t>
  </si>
  <si>
    <t>Y  — Successful
(Promoted to Yr 2)</t>
  </si>
  <si>
    <t>X  — Mean GPA
(or Mean % ÷ 10)</t>
  </si>
  <si>
    <t>Y / Z
(Success Ratio)</t>
  </si>
  <si>
    <t>API = X × (Y/Z)</t>
  </si>
  <si>
    <t>NBA Score
(out of 10)</t>
  </si>
  <si>
    <t>CAY (2024–25)</t>
  </si>
  <si>
    <t>CAYm1 (2023–24)</t>
  </si>
  <si>
    <t>CAYm2 (2022–23)</t>
  </si>
  <si>
    <t>Average API (First Year)  =  (API₁ + API₂ + API₃) ÷ 3</t>
  </si>
  <si>
    <t>API Band (First Year)</t>
  </si>
  <si>
    <t>← FY Grade Band</t>
  </si>
  <si>
    <t>SECTION C — SECOND-YEAR ACADEMIC PERFORMANCE  (Blue = editable inputs)</t>
  </si>
  <si>
    <t>Y  — Successful
(Promoted to Yr 3)</t>
  </si>
  <si>
    <t>CAYm3 (2021–22)</t>
  </si>
  <si>
    <t>Average API (Second Year)  =  (API₁ + API₂ + API₃) ÷ 3</t>
  </si>
  <si>
    <t>API Band (Second Year)</t>
  </si>
  <si>
    <t>← SY Grade Band</t>
  </si>
  <si>
    <t>NOTES:  Blue cells (Z, Y, X) are editable inputs. All ratios, APIs, and averages auto-calculate.  X = Mean GPA on 10-pt scale; if % marks are used, enter (Mean %) ÷ 10.  Z = Students PRESENT for exam (exclude absent/detained).  Y = Students in official Pass / Promotion List only.</t>
  </si>
  <si>
    <t>RESULT GAZETTE EXTRACTION SHEET — STUDENT-WISE DATA</t>
  </si>
  <si>
    <t>For each cohort: enter student data from University Result Gazette to compute X, Y, Z automatically</t>
  </si>
  <si>
    <t>S.No</t>
  </si>
  <si>
    <t>Student Name</t>
  </si>
  <si>
    <t>Roll No / Reg No</t>
  </si>
  <si>
    <t>Appeared
(Y/N)</t>
  </si>
  <si>
    <t>GPA (10-pt)
OR Marks %</t>
  </si>
  <si>
    <t>GPA on
10-pt scale</t>
  </si>
  <si>
    <t>Pass / Fail</t>
  </si>
  <si>
    <t>Remarks</t>
  </si>
  <si>
    <t>Successful?</t>
  </si>
  <si>
    <t>Notes</t>
  </si>
  <si>
    <t>A. Kumar</t>
  </si>
  <si>
    <t>101</t>
  </si>
  <si>
    <t>Yes</t>
  </si>
  <si>
    <t>Pass</t>
  </si>
  <si>
    <t>Promoted</t>
  </si>
  <si>
    <t>B. Sharma</t>
  </si>
  <si>
    <t>102</t>
  </si>
  <si>
    <t>Fail</t>
  </si>
  <si>
    <t>Year-back</t>
  </si>
  <si>
    <t>C. Patel</t>
  </si>
  <si>
    <t>103</t>
  </si>
  <si>
    <t>D. Singh</t>
  </si>
  <si>
    <t>104</t>
  </si>
  <si>
    <t>E. Nair</t>
  </si>
  <si>
    <t>105</t>
  </si>
  <si>
    <t>F. Reddy</t>
  </si>
  <si>
    <t>106</t>
  </si>
  <si>
    <t>G. Menon</t>
  </si>
  <si>
    <t>107</t>
  </si>
  <si>
    <t>No</t>
  </si>
  <si>
    <t>Absent</t>
  </si>
  <si>
    <t>Exclude from Z</t>
  </si>
  <si>
    <t>H. Iyer</t>
  </si>
  <si>
    <t>108</t>
  </si>
  <si>
    <t>SUMMARY — Z, Y, X, API  (auto-calculated from table above)</t>
  </si>
  <si>
    <t>Z — Students Appeared</t>
  </si>
  <si>
    <t>Source: Exam Appearance List</t>
  </si>
  <si>
    <t>Y — Successful (Pass)</t>
  </si>
  <si>
    <t>Source: Pass List</t>
  </si>
  <si>
    <t>X — Mean GPA of Successful (10-pt)</t>
  </si>
  <si>
    <t>Source: Result Gazette</t>
  </si>
  <si>
    <t>Y / Z  — Success Ratio</t>
  </si>
  <si>
    <t>API  =  X × (Y / Z)</t>
  </si>
  <si>
    <t>CROSS-VERIFICATION TRACKER — Gazette vs. Pass List vs. API Inputs</t>
  </si>
  <si>
    <t>Map Roll No → Gazette Marks → Pass List Status → API Contribution  |  Ensures Y from Pass List matches successful count from Gazette</t>
  </si>
  <si>
    <t>Roll No</t>
  </si>
  <si>
    <t>Gazette:
Appeared?</t>
  </si>
  <si>
    <t>Gazette:
GPA/(%÷10)</t>
  </si>
  <si>
    <t>Gazette:
Pass/Fail</t>
  </si>
  <si>
    <t>Pass List:
Included?</t>
  </si>
  <si>
    <t>Consistent?</t>
  </si>
  <si>
    <t>API
Contribution</t>
  </si>
  <si>
    <t>CROSS-VERIFICATION SUMMARY</t>
  </si>
  <si>
    <t>Z (Appeared in Gazette)</t>
  </si>
  <si>
    <t>Y (Pass in Gazette)</t>
  </si>
  <si>
    <t>Y (Included in Pass List)</t>
  </si>
  <si>
    <t>Mismatches detected</t>
  </si>
  <si>
    <t>Y used for API (= Pass List Y)</t>
  </si>
  <si>
    <t>X — Mean GPA of Y</t>
  </si>
  <si>
    <t>API — MARKS BAND AND INTERPRETATION GUIDE  (Max: 10 per year group)</t>
  </si>
  <si>
    <t>API Score (out of 10) directly becomes the NBA marks. No separate conversion needed.</t>
  </si>
  <si>
    <t>Band</t>
  </si>
  <si>
    <t>API Score Range</t>
  </si>
  <si>
    <t>Performance
Level</t>
  </si>
  <si>
    <t>% of Max</t>
  </si>
  <si>
    <t>Typical
Pass Rate</t>
  </si>
  <si>
    <t>NBA Interpretation</t>
  </si>
  <si>
    <t>Recommended Action</t>
  </si>
  <si>
    <t>A+</t>
  </si>
  <si>
    <t>≥ 9.0 / 10</t>
  </si>
  <si>
    <t>Exceptional</t>
  </si>
  <si>
    <t>≥90%</t>
  </si>
  <si>
    <t>≥95%</t>
  </si>
  <si>
    <t>Near-perfect quality + progression; best-in-class teaching-learning</t>
  </si>
  <si>
    <t>Maintain interventions; document as best practice</t>
  </si>
  <si>
    <t>A</t>
  </si>
  <si>
    <t>≥ 8.0 and &lt; 9.0</t>
  </si>
  <si>
    <t>Excellent</t>
  </si>
  <si>
    <t>≥80%</t>
  </si>
  <si>
    <t>High performance; strong academic foundation</t>
  </si>
  <si>
    <t>Sustain; minor tuning of weak CO areas</t>
  </si>
  <si>
    <t>B+</t>
  </si>
  <si>
    <t>≥ 7.0 and &lt; 8.0</t>
  </si>
  <si>
    <t>Very Good</t>
  </si>
  <si>
    <t>≥70%</t>
  </si>
  <si>
    <t>≥85%</t>
  </si>
  <si>
    <t>Good progression; occasional bottlenecks in specific subjects</t>
  </si>
  <si>
    <t>Target weak subjects with extra tutorials</t>
  </si>
  <si>
    <t>B</t>
  </si>
  <si>
    <t>≥ 6.0 and &lt; 7.0</t>
  </si>
  <si>
    <t>Good</t>
  </si>
  <si>
    <t>≥60%</t>
  </si>
  <si>
    <t>Acceptable; scope for remedial programmes</t>
  </si>
  <si>
    <t>Introduce peer tutoring and SLI tracking</t>
  </si>
  <si>
    <t>C+</t>
  </si>
  <si>
    <t>≥ 5.0 and &lt; 6.0</t>
  </si>
  <si>
    <t>Average</t>
  </si>
  <si>
    <t>≥50%</t>
  </si>
  <si>
    <t>≥75%</t>
  </si>
  <si>
    <t>NBA may probe teaching quality and student support</t>
  </si>
  <si>
    <t>Root-cause analysis; bridge course recommended</t>
  </si>
  <si>
    <t>C</t>
  </si>
  <si>
    <t>≥ 4.0 and &lt; 5.0</t>
  </si>
  <si>
    <t>Below Avg</t>
  </si>
  <si>
    <t>≥40%</t>
  </si>
  <si>
    <t>≥65%</t>
  </si>
  <si>
    <t>Concerns on intake quality and 1st-year curriculum delivery</t>
  </si>
  <si>
    <t>Immediate academic support plan; counselling</t>
  </si>
  <si>
    <t>D</t>
  </si>
  <si>
    <t>&lt; 4.0 / 10</t>
  </si>
  <si>
    <t>Poor</t>
  </si>
  <si>
    <t>&lt;40%</t>
  </si>
  <si>
    <t>&lt;65%</t>
  </si>
  <si>
    <t>Serious concerns; NBA assessors will flag programme quality</t>
  </si>
  <si>
    <t>Urgent corrective action; management review</t>
  </si>
  <si>
    <t>FORMULA QUICK REFERENCE:   API = X × (Y/Z)   |   X = Mean GPA (10-pt) of successful students   |   Y = Successful (Pass List)   |   Z = Appeared (Exam Attendance)   |   If % marks: X = Mean% ÷ 10   |   Average API = (API₁+API₂+API₃) ÷ 3</t>
  </si>
  <si>
    <t>API — 3-COHORT TREND: FIRST YEAR vs. SECOND YEAR  (with chart)</t>
  </si>
  <si>
    <t>FIRST YEAR — Cohort-wise API</t>
  </si>
  <si>
    <t>Z (Appeared)</t>
  </si>
  <si>
    <t>Y (Successful)</t>
  </si>
  <si>
    <t>X (Mean GPA)</t>
  </si>
  <si>
    <t>Y/Z Ratio</t>
  </si>
  <si>
    <t>Score/10</t>
  </si>
  <si>
    <t>Average API — First Year</t>
  </si>
  <si>
    <t>SECOND YEAR — Cohort-wise API</t>
  </si>
  <si>
    <t>Average API — Second Year</t>
  </si>
  <si>
    <t>API SUPPORTING DOCUMENTS CHECKLIST — 3 COHORTS × 2 YEAR GROUPS</t>
  </si>
  <si>
    <t>Tick status for each cohort. All must be available for NBA peer-team verification.</t>
  </si>
  <si>
    <t>Document / Evidence Required</t>
  </si>
  <si>
    <t>CAYm3/LYGm2
(oldest)</t>
  </si>
  <si>
    <t>CAYm2/LYGm1</t>
  </si>
  <si>
    <t>CAYm1/LYG
(most recent)</t>
  </si>
  <si>
    <t>Notes / Source</t>
  </si>
  <si>
    <t>1st Year Result Gazette (student-wise GPA/marks)</t>
  </si>
  <si>
    <t>☐ Available</t>
  </si>
  <si>
    <t>Primary source for X (Mean GPA) and Z (appeared). Must be university-issued.</t>
  </si>
  <si>
    <t>2nd Year Result Gazette (student-wise GPA/marks)</t>
  </si>
  <si>
    <t>Same as above for 2nd-year API computation.</t>
  </si>
  <si>
    <t>Exam Appearance List (1st Year)</t>
  </si>
  <si>
    <t>Official hall-ticket / nominal roll showing Present/Absent status → Z.</t>
  </si>
  <si>
    <t>Exam Appearance List (2nd Year)</t>
  </si>
  <si>
    <t>Same for 2nd-year → Z.</t>
  </si>
  <si>
    <t>Pass / Promotion List — 1st Year to 2nd Year</t>
  </si>
  <si>
    <t>University-issued official list of promoted students → Y.</t>
  </si>
  <si>
    <t>Pass / Promotion List — 2nd Year to 3rd Year</t>
  </si>
  <si>
    <t>Same for 2nd-year → Y.</t>
  </si>
  <si>
    <t>Admission Register (1st Year)</t>
  </si>
  <si>
    <t>To confirm total intake and cross-check Z.</t>
  </si>
  <si>
    <t>Gazette Extraction Sheet (this workbook — Sheet 2)</t>
  </si>
  <si>
    <t>Shows student-wise data extraction and X, Y, Z computation.</t>
  </si>
  <si>
    <t>Cross-Verification Tracker (this workbook — Sheet 3)</t>
  </si>
  <si>
    <t>Gazette ↔ Pass List reconciliation; mismatch log.</t>
  </si>
  <si>
    <t>Exception / Backlog Register</t>
  </si>
  <si>
    <t>Notes on detained, absent, promoted-with-backlog students.</t>
  </si>
  <si>
    <t>API Computation Summary (this workbook — Sheet 1)</t>
  </si>
  <si>
    <t>Tabulated Z, Y, X, API, Average API with formula trail.</t>
  </si>
  <si>
    <t>IQAC/Academic Council Meeting Minutes</t>
  </si>
  <si>
    <t>Shows that API was reviewed and interventions discussed.</t>
  </si>
  <si>
    <t>KEY REMINDERS:  (1) Z = students PRESENT for exam (exclude absent/detained).  (2) Y = count from official Pass List ONLY (not inferred from marks).  (3) X = Mean GPA of successful (Y) students only — not all appeared.  (4) If % marks used: enter Mean% ÷ 10 as X in the calculator.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</si>
</sst>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000"/>
  </numFmts>
  <fonts count="42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555555"/>
      <name val="Arial"/>
      <charset val="1"/>
    </font>
    <font>
      <i/>
      <sz val="9"/>
      <color rgb="FF000000"/>
      <name val="Arial"/>
      <charset val="1"/>
    </font>
    <font>
      <i/>
      <sz val="9"/>
      <color rgb="FF1F3864"/>
      <name val="Arial"/>
      <charset val="1"/>
    </font>
    <font>
      <b/>
      <sz val="10"/>
      <color rgb="FF0000FF"/>
      <name val="Arial"/>
      <charset val="1"/>
    </font>
    <font>
      <b/>
      <sz val="10"/>
      <color rgb="FF375623"/>
      <name val="Arial"/>
      <charset val="1"/>
    </font>
    <font>
      <b/>
      <sz val="12"/>
      <color rgb="FFC9A227"/>
      <name val="Arial"/>
      <charset val="1"/>
    </font>
    <font>
      <i/>
      <sz val="10"/>
      <color rgb="FF000000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9"/>
      <color rgb="FF000000"/>
      <name val="Arial"/>
      <charset val="1"/>
    </font>
    <font>
      <sz val="10"/>
      <color rgb="FF375623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b/>
      <sz val="14"/>
      <color rgb="FFFFFFFF"/>
      <name val="Arial"/>
      <charset val="1"/>
    </font>
    <font>
      <i/>
      <sz val="10"/>
      <color rgb="FF1F3864"/>
      <name val="Arial"/>
      <charset val="1"/>
    </font>
    <font>
      <i/>
      <sz val="10"/>
      <color rgb="FF375623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375623"/>
        <bgColor rgb="FF555555"/>
      </patternFill>
    </fill>
    <fill>
      <patternFill patternType="solid">
        <fgColor rgb="FFC9A227"/>
        <bgColor rgb="FF99CC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2E4057"/>
        <bgColor rgb="FF1F3864"/>
      </patternFill>
    </fill>
    <fill>
      <patternFill patternType="solid">
        <fgColor rgb="FFD6E4F0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Border="0" applyAlignment="0" applyProtection="0"/>
    <xf numFmtId="177" fontId="21" fillId="0" borderId="0" applyBorder="0" applyAlignment="0" applyProtection="0"/>
    <xf numFmtId="9" fontId="21" fillId="0" borderId="0" applyBorder="0" applyAlignment="0" applyProtection="0"/>
    <xf numFmtId="178" fontId="21" fillId="0" borderId="0" applyBorder="0" applyAlignment="0" applyProtection="0"/>
    <xf numFmtId="179" fontId="21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4" borderId="8" applyNumberFormat="0" applyAlignment="0" applyProtection="0">
      <alignment vertical="center"/>
    </xf>
    <xf numFmtId="0" fontId="32" fillId="15" borderId="9" applyNumberFormat="0" applyAlignment="0" applyProtection="0">
      <alignment vertical="center"/>
    </xf>
    <xf numFmtId="0" fontId="33" fillId="15" borderId="8" applyNumberFormat="0" applyAlignment="0" applyProtection="0">
      <alignment vertical="center"/>
    </xf>
    <xf numFmtId="0" fontId="34" fillId="16" borderId="10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3" fontId="8" fillId="6" borderId="3" xfId="0" applyNumberFormat="1" applyFont="1" applyFill="1" applyBorder="1" applyAlignment="1">
      <alignment horizontal="center" vertical="center"/>
    </xf>
    <xf numFmtId="2" fontId="8" fillId="6" borderId="3" xfId="0" applyNumberFormat="1" applyFont="1" applyFill="1" applyBorder="1" applyAlignment="1">
      <alignment horizontal="center" vertical="center"/>
    </xf>
    <xf numFmtId="180" fontId="4" fillId="7" borderId="3" xfId="0" applyNumberFormat="1" applyFont="1" applyFill="1" applyBorder="1" applyAlignment="1">
      <alignment horizontal="center" vertical="center"/>
    </xf>
    <xf numFmtId="2" fontId="9" fillId="8" borderId="2" xfId="0" applyNumberFormat="1" applyFont="1" applyFill="1" applyBorder="1" applyAlignment="1">
      <alignment horizontal="center" vertical="center"/>
    </xf>
    <xf numFmtId="2" fontId="9" fillId="8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180" fontId="4" fillId="5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10" fillId="2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180" fontId="4" fillId="10" borderId="3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2" fontId="10" fillId="9" borderId="2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3" fillId="1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2" fontId="13" fillId="7" borderId="3" xfId="0" applyNumberFormat="1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2" fontId="15" fillId="7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2" fontId="15" fillId="5" borderId="3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3" fontId="16" fillId="6" borderId="2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3" fontId="16" fillId="12" borderId="2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center" vertical="center"/>
    </xf>
    <xf numFmtId="2" fontId="16" fillId="6" borderId="2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2" fontId="4" fillId="5" borderId="3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2" fontId="16" fillId="10" borderId="2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2" fontId="16" fillId="8" borderId="2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2" fontId="16" fillId="7" borderId="2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80" fontId="16" fillId="11" borderId="2" xfId="0" applyNumberFormat="1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 wrapText="1"/>
    </xf>
    <xf numFmtId="2" fontId="3" fillId="8" borderId="2" xfId="0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9F9F9"/>
      <rgbColor rgb="00878787"/>
      <rgbColor rgb="009999FF"/>
      <rgbColor rgb="00993366"/>
      <rgbColor rgb="00FFF2CC"/>
      <rgbColor rgb="00DEEA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2F2F2"/>
      <rgbColor rgb="0099CCFF"/>
      <rgbColor rgb="00FF99CC"/>
      <rgbColor rgb="00CC99FF"/>
      <rgbColor rgb="00FCE4D6"/>
      <rgbColor rgb="003366FF"/>
      <rgbColor rgb="0033CCCC"/>
      <rgbColor rgb="0099CC00"/>
      <rgbColor rgb="00FFCC00"/>
      <rgbColor rgb="00C9A227"/>
      <rgbColor rgb="00FF6600"/>
      <rgbColor rgb="00555555"/>
      <rgbColor rgb="00AAAAAA"/>
      <rgbColor rgb="001F3864"/>
      <rgbColor rgb="00339966"/>
      <rgbColor rgb="00003300"/>
      <rgbColor rgb="00375623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API Trend — First Year vs. Second Year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API_Trend_Chart!$G$3</c:f>
              <c:strCache>
                <c:ptCount val="1"/>
                <c:pt idx="0">
                  <c:v>API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API_Trend_Chart!$B$4:$B$6</c:f>
              <c:strCache>
                <c:ptCount val="3"/>
                <c:pt idx="0">
                  <c:v>CAY (2024–25)</c:v>
                </c:pt>
                <c:pt idx="1">
                  <c:v>CAYm1 (2023–24)</c:v>
                </c:pt>
                <c:pt idx="2">
                  <c:v>CAYm2 (2022–23)</c:v>
                </c:pt>
              </c:strCache>
            </c:strRef>
          </c:cat>
          <c:val>
            <c:numRef>
              <c:f>API_Trend_Chart!$G$4:$G$6</c:f>
              <c:numCache>
                <c:formatCode>0.00</c:formatCode>
                <c:ptCount val="3"/>
                <c:pt idx="0">
                  <c:v>5.66666666666667</c:v>
                </c:pt>
                <c:pt idx="1">
                  <c:v>6.40677966101695</c:v>
                </c:pt>
                <c:pt idx="2">
                  <c:v>5.7</c:v>
                </c:pt>
              </c:numCache>
            </c:numRef>
          </c:val>
        </c:ser>
        <c:ser>
          <c:idx val="1"/>
          <c:order val="1"/>
          <c:tx>
            <c:strRef>
              <c:f>API_Trend_Chart!$G$10</c:f>
              <c:strCache>
                <c:ptCount val="1"/>
                <c:pt idx="0">
                  <c:v>API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API_Trend_Chart!$B$4:$B$6</c:f>
              <c:strCache>
                <c:ptCount val="3"/>
                <c:pt idx="0">
                  <c:v>CAY (2024–25)</c:v>
                </c:pt>
                <c:pt idx="1">
                  <c:v>CAYm1 (2023–24)</c:v>
                </c:pt>
                <c:pt idx="2">
                  <c:v>CAYm2 (2022–23)</c:v>
                </c:pt>
              </c:strCache>
            </c:strRef>
          </c:cat>
          <c:val>
            <c:numRef>
              <c:f>API_Trend_Chart!$G$11:$G$13</c:f>
              <c:numCache>
                <c:formatCode>0.00</c:formatCode>
                <c:ptCount val="3"/>
                <c:pt idx="0">
                  <c:v>6.41454545454545</c:v>
                </c:pt>
                <c:pt idx="1">
                  <c:v>5.79259259259259</c:v>
                </c:pt>
                <c:pt idx="2">
                  <c:v>5.9375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8972436"/>
        <c:axId val="22614896"/>
      </c:barChart>
      <c:catAx>
        <c:axId val="489724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Cohort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2614896"/>
        <c:crosses val="autoZero"/>
        <c:auto val="1"/>
        <c:lblAlgn val="ctr"/>
        <c:lblOffset val="100"/>
        <c:noMultiLvlLbl val="0"/>
      </c:catAx>
      <c:valAx>
        <c:axId val="22614896"/>
        <c:scaling>
          <c:orientation val="minMax"/>
          <c:max val="1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API (out of 10)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8972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7e4d92-8c5e-49cb-abd4-a1e2f8724f0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7</xdr:col>
      <xdr:colOff>503640</xdr:colOff>
      <xdr:row>38</xdr:row>
      <xdr:rowOff>128520</xdr:rowOff>
    </xdr:to>
    <xdr:graphicFrame>
      <xdr:nvGraphicFramePr>
        <xdr:cNvPr id="2" name="Chart 1"/>
        <xdr:cNvGraphicFramePr/>
      </xdr:nvGraphicFramePr>
      <xdr:xfrm>
        <a:off x="0" y="4749165"/>
        <a:ext cx="7018655" cy="4151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showGridLines="0" tabSelected="1" workbookViewId="0">
      <pane ySplit="7" topLeftCell="A19" activePane="bottomLeft" state="frozen"/>
      <selection/>
      <selection pane="bottomLeft" activeCell="L11" sqref="L11"/>
    </sheetView>
  </sheetViews>
  <sheetFormatPr defaultColWidth="8.67592592592593" defaultRowHeight="14.4" outlineLevelCol="7"/>
  <cols>
    <col min="1" max="1" width="3" customWidth="1"/>
    <col min="2" max="2" width="34" customWidth="1"/>
    <col min="3" max="3" width="29.4444444444444" customWidth="1"/>
    <col min="4" max="8" width="16" customWidth="1"/>
  </cols>
  <sheetData>
    <row r="1" ht="33.75" customHeight="1" spans="1:8">
      <c r="A1" s="79" t="s">
        <v>0</v>
      </c>
      <c r="B1" s="79"/>
      <c r="C1" s="79"/>
      <c r="D1" s="79"/>
      <c r="E1" s="79"/>
      <c r="F1" s="79"/>
      <c r="G1" s="79"/>
      <c r="H1" s="79"/>
    </row>
    <row r="2" ht="21.75" customHeight="1" spans="1:8">
      <c r="A2" s="80" t="s">
        <v>1</v>
      </c>
      <c r="B2" s="80"/>
      <c r="C2" s="80"/>
      <c r="D2" s="80"/>
      <c r="E2" s="80"/>
      <c r="F2" s="80"/>
      <c r="G2" s="80"/>
      <c r="H2" s="80"/>
    </row>
    <row r="3" ht="24" customHeight="1" spans="1:8">
      <c r="A3" s="2" t="s">
        <v>2</v>
      </c>
      <c r="B3" s="2"/>
      <c r="C3" s="2"/>
      <c r="D3" s="2"/>
      <c r="E3" s="2"/>
      <c r="F3" s="2"/>
      <c r="G3" s="2"/>
      <c r="H3" s="2"/>
    </row>
    <row r="4" ht="21.75" customHeight="1" spans="1:8">
      <c r="B4" s="81" t="s">
        <v>3</v>
      </c>
      <c r="C4" s="81" t="s">
        <v>4</v>
      </c>
      <c r="D4" s="82" t="s">
        <v>5</v>
      </c>
      <c r="E4" s="82"/>
      <c r="F4" s="82"/>
      <c r="G4" s="82"/>
      <c r="H4" s="82"/>
    </row>
    <row r="5" ht="19.5" customHeight="1" spans="1:8">
      <c r="B5" s="83" t="s">
        <v>6</v>
      </c>
      <c r="C5" s="20" t="s">
        <v>7</v>
      </c>
      <c r="D5" s="84" t="s">
        <v>8</v>
      </c>
      <c r="E5" s="84"/>
      <c r="F5" s="84"/>
      <c r="G5" s="84"/>
      <c r="H5" s="84"/>
    </row>
    <row r="6" ht="19.5" customHeight="1" spans="1:8">
      <c r="B6" s="85" t="s">
        <v>9</v>
      </c>
      <c r="C6" s="86" t="s">
        <v>10</v>
      </c>
      <c r="D6" s="87" t="s">
        <v>11</v>
      </c>
      <c r="E6" s="87"/>
      <c r="F6" s="87"/>
      <c r="G6" s="87"/>
      <c r="H6" s="87"/>
    </row>
    <row r="7" ht="19.5" customHeight="1" spans="1:8">
      <c r="B7" s="83" t="s">
        <v>12</v>
      </c>
      <c r="C7" s="20" t="s">
        <v>13</v>
      </c>
      <c r="D7" s="84" t="s">
        <v>14</v>
      </c>
      <c r="E7" s="84"/>
      <c r="F7" s="84"/>
      <c r="G7" s="84"/>
      <c r="H7" s="84"/>
    </row>
    <row r="8" ht="19.5" customHeight="1" spans="1:8">
      <c r="B8" s="85" t="s">
        <v>15</v>
      </c>
      <c r="C8" s="86" t="s">
        <v>16</v>
      </c>
      <c r="D8" s="87" t="s">
        <v>17</v>
      </c>
      <c r="E8" s="87"/>
      <c r="F8" s="87"/>
      <c r="G8" s="87"/>
      <c r="H8" s="87"/>
    </row>
    <row r="9" ht="15.15"/>
    <row r="10" ht="24" customHeight="1" spans="1:8">
      <c r="A10" s="2" t="s">
        <v>18</v>
      </c>
      <c r="B10" s="2"/>
      <c r="C10" s="2"/>
      <c r="D10" s="2"/>
      <c r="E10" s="2"/>
      <c r="F10" s="2"/>
      <c r="G10" s="2"/>
      <c r="H10" s="2"/>
    </row>
    <row r="11" ht="42" customHeight="1" spans="1:8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26</v>
      </c>
    </row>
    <row r="12" ht="21.75" customHeight="1" spans="1:8">
      <c r="A12" s="4">
        <v>1</v>
      </c>
      <c r="B12" s="20" t="s">
        <v>27</v>
      </c>
      <c r="C12" s="15">
        <v>120</v>
      </c>
      <c r="D12" s="15">
        <v>100</v>
      </c>
      <c r="E12" s="16">
        <v>6.8</v>
      </c>
      <c r="F12" s="21">
        <f>D12/C12</f>
        <v>0.833333333333333</v>
      </c>
      <c r="G12" s="88">
        <f>E12*F12</f>
        <v>5.66666666666667</v>
      </c>
      <c r="H12" s="19">
        <f>G12</f>
        <v>5.66666666666667</v>
      </c>
    </row>
    <row r="13" ht="21.75" customHeight="1" spans="1:8">
      <c r="A13" s="13">
        <v>2</v>
      </c>
      <c r="B13" s="14" t="s">
        <v>28</v>
      </c>
      <c r="C13" s="15">
        <v>118</v>
      </c>
      <c r="D13" s="15">
        <v>105</v>
      </c>
      <c r="E13" s="16">
        <v>7.2</v>
      </c>
      <c r="F13" s="17">
        <f>D13/C13</f>
        <v>0.889830508474576</v>
      </c>
      <c r="G13" s="88">
        <f>E13*F13</f>
        <v>6.40677966101695</v>
      </c>
      <c r="H13" s="19">
        <f>G13</f>
        <v>6.40677966101695</v>
      </c>
    </row>
    <row r="14" ht="21.75" customHeight="1" spans="1:8">
      <c r="A14" s="4">
        <v>3</v>
      </c>
      <c r="B14" s="20" t="s">
        <v>29</v>
      </c>
      <c r="C14" s="15">
        <v>115</v>
      </c>
      <c r="D14" s="15">
        <v>95</v>
      </c>
      <c r="E14" s="16">
        <v>6.9</v>
      </c>
      <c r="F14" s="21">
        <f>D14/C14</f>
        <v>0.826086956521739</v>
      </c>
      <c r="G14" s="88">
        <f>E14*F14</f>
        <v>5.7</v>
      </c>
      <c r="H14" s="19">
        <f>G14</f>
        <v>5.7</v>
      </c>
    </row>
    <row r="15" ht="27.75" customHeight="1" spans="1:8">
      <c r="A15" s="22" t="s">
        <v>30</v>
      </c>
      <c r="B15" s="22"/>
      <c r="C15" s="22"/>
      <c r="D15" s="22"/>
      <c r="E15" s="22"/>
      <c r="F15" s="22"/>
      <c r="G15" s="23">
        <f>AVERAGE(G12:G14)</f>
        <v>5.92448210922787</v>
      </c>
      <c r="H15" s="23">
        <f>G15</f>
        <v>5.92448210922787</v>
      </c>
    </row>
    <row r="16" ht="21.75" customHeight="1" spans="1:8">
      <c r="A16" s="89" t="s">
        <v>31</v>
      </c>
      <c r="B16" s="89"/>
      <c r="C16" s="89"/>
      <c r="D16" s="89"/>
      <c r="E16" s="89"/>
      <c r="F16" s="89"/>
      <c r="G16" s="90" t="str">
        <f>IF(G15&gt;=9,"≥9.0 — Excellent",IF(G15&gt;=8,"≥8.0 — Very Good",IF(G15&gt;=7,"≥7.0 — Good",IF(G15&gt;=5,"≥5.0 — Average","&lt;5.0 — Needs Improvement"))))</f>
        <v>≥5.0 — Average</v>
      </c>
      <c r="H16" s="91" t="s">
        <v>32</v>
      </c>
    </row>
    <row r="17" ht="15.15"/>
    <row r="18" ht="24" customHeight="1" spans="1:8">
      <c r="A18" s="2" t="s">
        <v>33</v>
      </c>
      <c r="B18" s="2"/>
      <c r="C18" s="2"/>
      <c r="D18" s="2"/>
      <c r="E18" s="2"/>
      <c r="F18" s="2"/>
      <c r="G18" s="2"/>
      <c r="H18" s="2"/>
    </row>
    <row r="19" ht="42" customHeight="1" spans="1:8">
      <c r="A19" s="24" t="s">
        <v>19</v>
      </c>
      <c r="B19" s="24" t="s">
        <v>20</v>
      </c>
      <c r="C19" s="24" t="s">
        <v>21</v>
      </c>
      <c r="D19" s="24" t="s">
        <v>34</v>
      </c>
      <c r="E19" s="24" t="s">
        <v>23</v>
      </c>
      <c r="F19" s="24" t="s">
        <v>24</v>
      </c>
      <c r="G19" s="24" t="s">
        <v>25</v>
      </c>
      <c r="H19" s="24" t="s">
        <v>26</v>
      </c>
    </row>
    <row r="20" ht="21.75" customHeight="1" spans="1:8">
      <c r="A20" s="4">
        <v>1</v>
      </c>
      <c r="B20" s="20" t="s">
        <v>28</v>
      </c>
      <c r="C20" s="15">
        <v>110</v>
      </c>
      <c r="D20" s="15">
        <v>98</v>
      </c>
      <c r="E20" s="16">
        <v>7.2</v>
      </c>
      <c r="F20" s="21">
        <f>D20/C20</f>
        <v>0.890909090909091</v>
      </c>
      <c r="G20" s="88">
        <f>E20*F20</f>
        <v>6.41454545454545</v>
      </c>
      <c r="H20" s="19">
        <f>G20</f>
        <v>6.41454545454545</v>
      </c>
    </row>
    <row r="21" ht="21.75" customHeight="1" spans="1:8">
      <c r="A21" s="25">
        <v>2</v>
      </c>
      <c r="B21" s="26" t="s">
        <v>29</v>
      </c>
      <c r="C21" s="15">
        <v>108</v>
      </c>
      <c r="D21" s="15">
        <v>92</v>
      </c>
      <c r="E21" s="16">
        <v>6.8</v>
      </c>
      <c r="F21" s="27">
        <f>D21/C21</f>
        <v>0.851851851851852</v>
      </c>
      <c r="G21" s="88">
        <f>E21*F21</f>
        <v>5.79259259259259</v>
      </c>
      <c r="H21" s="19">
        <f>G21</f>
        <v>5.79259259259259</v>
      </c>
    </row>
    <row r="22" ht="21.75" customHeight="1" spans="1:8">
      <c r="A22" s="4">
        <v>3</v>
      </c>
      <c r="B22" s="20" t="s">
        <v>35</v>
      </c>
      <c r="C22" s="15">
        <v>112</v>
      </c>
      <c r="D22" s="15">
        <v>95</v>
      </c>
      <c r="E22" s="16">
        <v>7</v>
      </c>
      <c r="F22" s="21">
        <f>D22/C22</f>
        <v>0.848214285714286</v>
      </c>
      <c r="G22" s="88">
        <f>E22*F22</f>
        <v>5.9375</v>
      </c>
      <c r="H22" s="19">
        <f>G22</f>
        <v>5.9375</v>
      </c>
    </row>
    <row r="23" ht="27.75" customHeight="1" spans="1:8">
      <c r="A23" s="28" t="s">
        <v>36</v>
      </c>
      <c r="B23" s="28"/>
      <c r="C23" s="28"/>
      <c r="D23" s="28"/>
      <c r="E23" s="28"/>
      <c r="F23" s="28"/>
      <c r="G23" s="29">
        <f>AVERAGE(G20:G22)</f>
        <v>6.04821268237935</v>
      </c>
      <c r="H23" s="29">
        <f>G23</f>
        <v>6.04821268237935</v>
      </c>
    </row>
    <row r="24" ht="21.75" customHeight="1" spans="1:8">
      <c r="A24" s="89" t="s">
        <v>37</v>
      </c>
      <c r="B24" s="89"/>
      <c r="C24" s="89"/>
      <c r="D24" s="89"/>
      <c r="E24" s="89"/>
      <c r="F24" s="89"/>
      <c r="G24" s="90" t="str">
        <f>IF(G23&gt;=9,"≥9.0 — Excellent",IF(G23&gt;=8,"≥8.0 — Very Good",IF(G23&gt;=7,"≥7.0 — Good",IF(G23&gt;=5,"≥5.0 — Average","&lt;5.0 — Needs Improvement"))))</f>
        <v>≥5.0 — Average</v>
      </c>
      <c r="H24" s="91" t="s">
        <v>38</v>
      </c>
    </row>
    <row r="26" ht="27.75" customHeight="1" spans="1:8">
      <c r="A26" s="92" t="s">
        <v>39</v>
      </c>
      <c r="B26" s="92"/>
      <c r="C26" s="92"/>
      <c r="D26" s="92"/>
      <c r="E26" s="92"/>
      <c r="F26" s="92"/>
      <c r="G26" s="92"/>
      <c r="H26" s="92"/>
    </row>
  </sheetData>
  <mergeCells count="15">
    <mergeCell ref="A1:H1"/>
    <mergeCell ref="A2:H2"/>
    <mergeCell ref="A3:H3"/>
    <mergeCell ref="D4:H4"/>
    <mergeCell ref="D5:H5"/>
    <mergeCell ref="D6:H6"/>
    <mergeCell ref="D7:H7"/>
    <mergeCell ref="D8:H8"/>
    <mergeCell ref="A10:H10"/>
    <mergeCell ref="A15:F15"/>
    <mergeCell ref="A16:F16"/>
    <mergeCell ref="A18:H18"/>
    <mergeCell ref="A23:F23"/>
    <mergeCell ref="A24:F24"/>
    <mergeCell ref="A26:H2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showGridLines="0" topLeftCell="A2" workbookViewId="0">
      <selection activeCell="M18" sqref="M18"/>
    </sheetView>
  </sheetViews>
  <sheetFormatPr defaultColWidth="8.67592592592593" defaultRowHeight="14.4"/>
  <cols>
    <col min="1" max="1" width="5" customWidth="1"/>
    <col min="2" max="2" width="22" customWidth="1"/>
    <col min="3" max="3" width="20" customWidth="1"/>
    <col min="4" max="5" width="14" customWidth="1"/>
    <col min="6" max="7" width="12" customWidth="1"/>
    <col min="8" max="9" width="14" customWidth="1"/>
    <col min="10" max="10" width="16" customWidth="1"/>
  </cols>
  <sheetData>
    <row r="1" ht="24" customHeight="1" spans="1:10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 spans="1:10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</row>
    <row r="4" ht="21.75" customHeight="1" spans="1:10">
      <c r="A4" s="13">
        <v>1</v>
      </c>
      <c r="B4" s="61" t="s">
        <v>52</v>
      </c>
      <c r="C4" s="13" t="s">
        <v>53</v>
      </c>
      <c r="D4" s="62" t="s">
        <v>54</v>
      </c>
      <c r="E4" s="16">
        <v>7.2</v>
      </c>
      <c r="F4" s="63">
        <f t="shared" ref="F4:F11" si="0">IF(E4="","",IF(E4&gt;10,E4/10,E4))</f>
        <v>7.2</v>
      </c>
      <c r="G4" s="62" t="s">
        <v>55</v>
      </c>
      <c r="H4" s="64" t="s">
        <v>56</v>
      </c>
      <c r="I4" s="30" t="str">
        <f t="shared" ref="I4:I11" si="1">IF(AND(D4="Yes",G4="Pass"),"YES","NO")</f>
        <v>YES</v>
      </c>
      <c r="J4" s="13"/>
    </row>
    <row r="5" ht="21.75" customHeight="1" spans="1:10">
      <c r="A5" s="4">
        <v>2</v>
      </c>
      <c r="B5" s="65" t="s">
        <v>57</v>
      </c>
      <c r="C5" s="4" t="s">
        <v>58</v>
      </c>
      <c r="D5" s="62" t="s">
        <v>54</v>
      </c>
      <c r="E5" s="16">
        <v>3.5</v>
      </c>
      <c r="F5" s="66">
        <f t="shared" si="0"/>
        <v>3.5</v>
      </c>
      <c r="G5" s="62" t="s">
        <v>59</v>
      </c>
      <c r="H5" s="67" t="s">
        <v>60</v>
      </c>
      <c r="I5" s="41" t="str">
        <f t="shared" si="1"/>
        <v>NO</v>
      </c>
      <c r="J5" s="4"/>
    </row>
    <row r="6" ht="21.75" customHeight="1" spans="1:10">
      <c r="A6" s="13">
        <v>3</v>
      </c>
      <c r="B6" s="61" t="s">
        <v>61</v>
      </c>
      <c r="C6" s="13" t="s">
        <v>62</v>
      </c>
      <c r="D6" s="62" t="s">
        <v>54</v>
      </c>
      <c r="E6" s="16">
        <v>6.8</v>
      </c>
      <c r="F6" s="63">
        <f t="shared" si="0"/>
        <v>6.8</v>
      </c>
      <c r="G6" s="62" t="s">
        <v>55</v>
      </c>
      <c r="H6" s="64" t="s">
        <v>56</v>
      </c>
      <c r="I6" s="30" t="str">
        <f t="shared" si="1"/>
        <v>YES</v>
      </c>
      <c r="J6" s="13"/>
    </row>
    <row r="7" ht="21.75" customHeight="1" spans="1:10">
      <c r="A7" s="4">
        <v>4</v>
      </c>
      <c r="B7" s="65" t="s">
        <v>63</v>
      </c>
      <c r="C7" s="4" t="s">
        <v>64</v>
      </c>
      <c r="D7" s="62" t="s">
        <v>54</v>
      </c>
      <c r="E7" s="16">
        <v>7</v>
      </c>
      <c r="F7" s="66">
        <f t="shared" si="0"/>
        <v>7</v>
      </c>
      <c r="G7" s="62" t="s">
        <v>55</v>
      </c>
      <c r="H7" s="67" t="s">
        <v>56</v>
      </c>
      <c r="I7" s="30" t="str">
        <f t="shared" si="1"/>
        <v>YES</v>
      </c>
      <c r="J7" s="4"/>
    </row>
    <row r="8" ht="21.75" customHeight="1" spans="1:10">
      <c r="A8" s="13">
        <v>5</v>
      </c>
      <c r="B8" s="61" t="s">
        <v>65</v>
      </c>
      <c r="C8" s="13" t="s">
        <v>66</v>
      </c>
      <c r="D8" s="62" t="s">
        <v>54</v>
      </c>
      <c r="E8" s="16">
        <v>5.5</v>
      </c>
      <c r="F8" s="63">
        <f t="shared" si="0"/>
        <v>5.5</v>
      </c>
      <c r="G8" s="62" t="s">
        <v>55</v>
      </c>
      <c r="H8" s="64" t="s">
        <v>56</v>
      </c>
      <c r="I8" s="30" t="str">
        <f t="shared" si="1"/>
        <v>YES</v>
      </c>
      <c r="J8" s="13"/>
    </row>
    <row r="9" ht="21.75" customHeight="1" spans="1:10">
      <c r="A9" s="4">
        <v>6</v>
      </c>
      <c r="B9" s="65" t="s">
        <v>67</v>
      </c>
      <c r="C9" s="4" t="s">
        <v>68</v>
      </c>
      <c r="D9" s="62" t="s">
        <v>54</v>
      </c>
      <c r="E9" s="16">
        <v>4.2</v>
      </c>
      <c r="F9" s="66">
        <f t="shared" si="0"/>
        <v>4.2</v>
      </c>
      <c r="G9" s="62" t="s">
        <v>59</v>
      </c>
      <c r="H9" s="67" t="s">
        <v>60</v>
      </c>
      <c r="I9" s="41" t="str">
        <f t="shared" si="1"/>
        <v>NO</v>
      </c>
      <c r="J9" s="4"/>
    </row>
    <row r="10" ht="21.75" customHeight="1" spans="1:10">
      <c r="A10" s="13">
        <v>7</v>
      </c>
      <c r="B10" s="61" t="s">
        <v>69</v>
      </c>
      <c r="C10" s="13" t="s">
        <v>70</v>
      </c>
      <c r="D10" s="62" t="s">
        <v>71</v>
      </c>
      <c r="E10" s="16"/>
      <c r="F10" s="63" t="str">
        <f t="shared" si="0"/>
        <v/>
      </c>
      <c r="G10" s="62" t="s">
        <v>72</v>
      </c>
      <c r="H10" s="64" t="s">
        <v>73</v>
      </c>
      <c r="I10" s="41" t="str">
        <f t="shared" si="1"/>
        <v>NO</v>
      </c>
      <c r="J10" s="13"/>
    </row>
    <row r="11" ht="21.75" customHeight="1" spans="1:10">
      <c r="A11" s="4">
        <v>8</v>
      </c>
      <c r="B11" s="65" t="s">
        <v>74</v>
      </c>
      <c r="C11" s="4" t="s">
        <v>75</v>
      </c>
      <c r="D11" s="62" t="s">
        <v>54</v>
      </c>
      <c r="E11" s="16">
        <v>8.1</v>
      </c>
      <c r="F11" s="66">
        <f t="shared" si="0"/>
        <v>8.1</v>
      </c>
      <c r="G11" s="62" t="s">
        <v>55</v>
      </c>
      <c r="H11" s="67" t="s">
        <v>56</v>
      </c>
      <c r="I11" s="30" t="str">
        <f t="shared" si="1"/>
        <v>YES</v>
      </c>
      <c r="J11" s="4"/>
    </row>
    <row r="12" ht="15.15"/>
    <row r="13" ht="24" customHeight="1" spans="1:10">
      <c r="A13" s="2" t="s">
        <v>76</v>
      </c>
      <c r="B13" s="2"/>
      <c r="C13" s="2"/>
      <c r="D13" s="2"/>
      <c r="E13" s="2"/>
      <c r="F13" s="2"/>
      <c r="G13" s="2"/>
      <c r="H13" s="2"/>
      <c r="I13" s="2"/>
      <c r="J13" s="2"/>
    </row>
    <row r="14" ht="24" customHeight="1" spans="1:10">
      <c r="A14" s="68" t="s">
        <v>77</v>
      </c>
      <c r="B14" s="68"/>
      <c r="C14" s="68"/>
      <c r="D14" s="68"/>
      <c r="E14" s="68"/>
      <c r="F14" s="68"/>
      <c r="G14" s="68"/>
      <c r="H14" s="69">
        <f>COUNTIF(D4:D11,"Yes")</f>
        <v>7</v>
      </c>
      <c r="I14" s="70" t="s">
        <v>78</v>
      </c>
      <c r="J14" s="70"/>
    </row>
    <row r="15" ht="24" customHeight="1" spans="1:10">
      <c r="A15" s="58" t="s">
        <v>79</v>
      </c>
      <c r="B15" s="58"/>
      <c r="C15" s="58"/>
      <c r="D15" s="58"/>
      <c r="E15" s="58"/>
      <c r="F15" s="58"/>
      <c r="G15" s="58"/>
      <c r="H15" s="71">
        <f>COUNTIF(I4:I11,"YES")</f>
        <v>5</v>
      </c>
      <c r="I15" s="72" t="s">
        <v>80</v>
      </c>
      <c r="J15" s="72"/>
    </row>
    <row r="16" ht="24" customHeight="1" spans="1:10">
      <c r="A16" s="73" t="s">
        <v>81</v>
      </c>
      <c r="B16" s="73"/>
      <c r="C16" s="73"/>
      <c r="D16" s="73"/>
      <c r="E16" s="73"/>
      <c r="F16" s="73"/>
      <c r="G16" s="73"/>
      <c r="H16" s="74">
        <f>IFERROR(AVERAGEIF(I4:I11,"YES",F4:F11),0)</f>
        <v>6.92</v>
      </c>
      <c r="I16" s="75" t="s">
        <v>82</v>
      </c>
      <c r="J16" s="75"/>
    </row>
    <row r="17" ht="24" customHeight="1" spans="1:10">
      <c r="A17" s="76" t="s">
        <v>83</v>
      </c>
      <c r="B17" s="76"/>
      <c r="C17" s="76"/>
      <c r="D17" s="76"/>
      <c r="E17" s="76"/>
      <c r="F17" s="76"/>
      <c r="G17" s="76"/>
      <c r="H17" s="77">
        <f>IFERROR(H15/H14,0)</f>
        <v>0.714285714285714</v>
      </c>
      <c r="I17" s="78" t="s">
        <v>80</v>
      </c>
      <c r="J17" s="78"/>
    </row>
    <row r="18" ht="24" customHeight="1" spans="1:10">
      <c r="A18" s="58" t="s">
        <v>84</v>
      </c>
      <c r="B18" s="58"/>
      <c r="C18" s="58"/>
      <c r="D18" s="58"/>
      <c r="E18" s="58"/>
      <c r="F18" s="58"/>
      <c r="G18" s="58"/>
      <c r="H18" s="23">
        <f>H16*H17</f>
        <v>4.94285714285714</v>
      </c>
      <c r="I18" s="72"/>
      <c r="J18" s="72"/>
    </row>
  </sheetData>
  <mergeCells count="13">
    <mergeCell ref="A1:J1"/>
    <mergeCell ref="A2:J2"/>
    <mergeCell ref="A13:J13"/>
    <mergeCell ref="A14:G14"/>
    <mergeCell ref="I14:J14"/>
    <mergeCell ref="A15:G15"/>
    <mergeCell ref="I15:J15"/>
    <mergeCell ref="A16:G16"/>
    <mergeCell ref="I16:J16"/>
    <mergeCell ref="A17:G17"/>
    <mergeCell ref="I17:J17"/>
    <mergeCell ref="A18:G18"/>
    <mergeCell ref="I18:J1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showGridLines="0" topLeftCell="A5" workbookViewId="0">
      <selection activeCell="N13" sqref="N13"/>
    </sheetView>
  </sheetViews>
  <sheetFormatPr defaultColWidth="8.67592592592593" defaultRowHeight="14.4"/>
  <cols>
    <col min="1" max="1" width="5" customWidth="1"/>
    <col min="2" max="2" width="22" customWidth="1"/>
    <col min="3" max="3" width="16" customWidth="1"/>
    <col min="4" max="4" width="14" customWidth="1"/>
    <col min="5" max="7" width="12" customWidth="1"/>
    <col min="8" max="8" width="14" customWidth="1"/>
    <col min="9" max="9" width="12" customWidth="1"/>
    <col min="10" max="10" width="16" customWidth="1"/>
  </cols>
  <sheetData>
    <row r="1" ht="24" customHeight="1" spans="1:10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 spans="1:10">
      <c r="A3" s="3" t="s">
        <v>42</v>
      </c>
      <c r="B3" s="3" t="s">
        <v>87</v>
      </c>
      <c r="C3" s="3" t="s">
        <v>43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3" t="s">
        <v>93</v>
      </c>
      <c r="J3" s="3" t="s">
        <v>51</v>
      </c>
    </row>
    <row r="4" ht="21.75" customHeight="1" spans="1:10">
      <c r="A4" s="13">
        <v>1</v>
      </c>
      <c r="B4" s="34" t="s">
        <v>53</v>
      </c>
      <c r="C4" s="14" t="s">
        <v>52</v>
      </c>
      <c r="D4" s="13" t="s">
        <v>54</v>
      </c>
      <c r="E4" s="46">
        <v>7.2</v>
      </c>
      <c r="F4" s="31" t="s">
        <v>55</v>
      </c>
      <c r="G4" s="31" t="s">
        <v>54</v>
      </c>
      <c r="H4" s="47" t="str">
        <f t="shared" ref="H4:H11" si="0">IF(AND(F4="Pass",G4="Yes"),"YES ✔",IF(AND(F4="Fail",G4="No"),"YES ✔",IF(AND(F4="Absent",G4="No"),"YES ✔","MISMATCH ✖")))</f>
        <v>YES ✔</v>
      </c>
      <c r="I4" s="48">
        <f t="shared" ref="I4:I11" si="1">IF(AND(F4="Pass",G4="Yes"),E4,"—")</f>
        <v>7.2</v>
      </c>
      <c r="J4" s="13"/>
    </row>
    <row r="5" ht="21.75" customHeight="1" spans="1:10">
      <c r="A5" s="4">
        <v>2</v>
      </c>
      <c r="B5" s="49" t="s">
        <v>58</v>
      </c>
      <c r="C5" s="20" t="s">
        <v>57</v>
      </c>
      <c r="D5" s="4" t="s">
        <v>54</v>
      </c>
      <c r="E5" s="50">
        <v>3.5</v>
      </c>
      <c r="F5" s="42" t="s">
        <v>59</v>
      </c>
      <c r="G5" s="42" t="s">
        <v>71</v>
      </c>
      <c r="H5" s="47" t="str">
        <f t="shared" si="0"/>
        <v>YES ✔</v>
      </c>
      <c r="I5" s="51" t="str">
        <f t="shared" si="1"/>
        <v>—</v>
      </c>
      <c r="J5" s="4"/>
    </row>
    <row r="6" ht="21.75" customHeight="1" spans="1:10">
      <c r="A6" s="13">
        <v>3</v>
      </c>
      <c r="B6" s="34" t="s">
        <v>62</v>
      </c>
      <c r="C6" s="14" t="s">
        <v>61</v>
      </c>
      <c r="D6" s="13" t="s">
        <v>54</v>
      </c>
      <c r="E6" s="46">
        <v>6.8</v>
      </c>
      <c r="F6" s="31" t="s">
        <v>55</v>
      </c>
      <c r="G6" s="31" t="s">
        <v>54</v>
      </c>
      <c r="H6" s="47" t="str">
        <f t="shared" si="0"/>
        <v>YES ✔</v>
      </c>
      <c r="I6" s="48">
        <f t="shared" si="1"/>
        <v>6.8</v>
      </c>
      <c r="J6" s="13"/>
    </row>
    <row r="7" ht="21.75" customHeight="1" spans="1:10">
      <c r="A7" s="4">
        <v>4</v>
      </c>
      <c r="B7" s="49" t="s">
        <v>64</v>
      </c>
      <c r="C7" s="20" t="s">
        <v>63</v>
      </c>
      <c r="D7" s="4" t="s">
        <v>54</v>
      </c>
      <c r="E7" s="50">
        <v>7</v>
      </c>
      <c r="F7" s="31" t="s">
        <v>55</v>
      </c>
      <c r="G7" s="31" t="s">
        <v>54</v>
      </c>
      <c r="H7" s="47" t="str">
        <f t="shared" si="0"/>
        <v>YES ✔</v>
      </c>
      <c r="I7" s="51">
        <f t="shared" si="1"/>
        <v>7</v>
      </c>
      <c r="J7" s="4"/>
    </row>
    <row r="8" ht="21.75" customHeight="1" spans="1:10">
      <c r="A8" s="13">
        <v>5</v>
      </c>
      <c r="B8" s="34" t="s">
        <v>66</v>
      </c>
      <c r="C8" s="14" t="s">
        <v>65</v>
      </c>
      <c r="D8" s="13" t="s">
        <v>54</v>
      </c>
      <c r="E8" s="46">
        <v>5.5</v>
      </c>
      <c r="F8" s="31" t="s">
        <v>55</v>
      </c>
      <c r="G8" s="31" t="s">
        <v>54</v>
      </c>
      <c r="H8" s="47" t="str">
        <f t="shared" si="0"/>
        <v>YES ✔</v>
      </c>
      <c r="I8" s="48">
        <f t="shared" si="1"/>
        <v>5.5</v>
      </c>
      <c r="J8" s="13"/>
    </row>
    <row r="9" ht="21.75" customHeight="1" spans="1:10">
      <c r="A9" s="4">
        <v>6</v>
      </c>
      <c r="B9" s="49" t="s">
        <v>68</v>
      </c>
      <c r="C9" s="20" t="s">
        <v>67</v>
      </c>
      <c r="D9" s="4" t="s">
        <v>54</v>
      </c>
      <c r="E9" s="50">
        <v>4.2</v>
      </c>
      <c r="F9" s="42" t="s">
        <v>59</v>
      </c>
      <c r="G9" s="42" t="s">
        <v>71</v>
      </c>
      <c r="H9" s="47" t="str">
        <f t="shared" si="0"/>
        <v>YES ✔</v>
      </c>
      <c r="I9" s="51" t="str">
        <f t="shared" si="1"/>
        <v>—</v>
      </c>
      <c r="J9" s="4"/>
    </row>
    <row r="10" ht="21.75" customHeight="1" spans="1:10">
      <c r="A10" s="13">
        <v>7</v>
      </c>
      <c r="B10" s="34" t="s">
        <v>70</v>
      </c>
      <c r="C10" s="14" t="s">
        <v>69</v>
      </c>
      <c r="D10" s="13" t="s">
        <v>71</v>
      </c>
      <c r="E10" s="46"/>
      <c r="F10" s="38" t="s">
        <v>72</v>
      </c>
      <c r="G10" s="42" t="s">
        <v>71</v>
      </c>
      <c r="H10" s="47" t="str">
        <f t="shared" si="0"/>
        <v>YES ✔</v>
      </c>
      <c r="I10" s="48" t="str">
        <f t="shared" si="1"/>
        <v>—</v>
      </c>
      <c r="J10" s="13"/>
    </row>
    <row r="11" ht="21.75" customHeight="1" spans="1:10">
      <c r="A11" s="4">
        <v>8</v>
      </c>
      <c r="B11" s="49" t="s">
        <v>75</v>
      </c>
      <c r="C11" s="20" t="s">
        <v>74</v>
      </c>
      <c r="D11" s="4" t="s">
        <v>54</v>
      </c>
      <c r="E11" s="50">
        <v>8.1</v>
      </c>
      <c r="F11" s="31" t="s">
        <v>55</v>
      </c>
      <c r="G11" s="31" t="s">
        <v>54</v>
      </c>
      <c r="H11" s="47" t="str">
        <f t="shared" si="0"/>
        <v>YES ✔</v>
      </c>
      <c r="I11" s="51">
        <f t="shared" si="1"/>
        <v>8.1</v>
      </c>
      <c r="J11" s="4"/>
    </row>
    <row r="12" ht="15.15"/>
    <row r="13" ht="24" customHeight="1" spans="1:10">
      <c r="A13" s="2" t="s">
        <v>94</v>
      </c>
      <c r="B13" s="2"/>
      <c r="C13" s="2"/>
      <c r="D13" s="2"/>
      <c r="E13" s="2"/>
      <c r="F13" s="2"/>
      <c r="G13" s="2"/>
      <c r="H13" s="2"/>
      <c r="I13" s="2"/>
      <c r="J13" s="2"/>
    </row>
    <row r="14" ht="24" customHeight="1" spans="1:10">
      <c r="A14" s="52" t="s">
        <v>95</v>
      </c>
      <c r="B14" s="52"/>
      <c r="C14" s="52"/>
      <c r="D14" s="52"/>
      <c r="E14" s="52"/>
      <c r="F14" s="52"/>
      <c r="G14" s="52"/>
      <c r="H14" s="53">
        <f>COUNTIF(D4:D12,"Yes")</f>
        <v>7</v>
      </c>
      <c r="I14" s="54"/>
      <c r="J14" s="54"/>
    </row>
    <row r="15" ht="24" customHeight="1" spans="1:10">
      <c r="A15" s="52" t="s">
        <v>96</v>
      </c>
      <c r="B15" s="52"/>
      <c r="C15" s="52"/>
      <c r="D15" s="52"/>
      <c r="E15" s="52"/>
      <c r="F15" s="52"/>
      <c r="G15" s="52"/>
      <c r="H15" s="53">
        <f>COUNTIF(F4:F12,"Pass")</f>
        <v>5</v>
      </c>
      <c r="I15" s="54"/>
      <c r="J15" s="54"/>
    </row>
    <row r="16" ht="24" customHeight="1" spans="1:10">
      <c r="A16" s="52" t="s">
        <v>97</v>
      </c>
      <c r="B16" s="52"/>
      <c r="C16" s="52"/>
      <c r="D16" s="52"/>
      <c r="E16" s="52"/>
      <c r="F16" s="52"/>
      <c r="G16" s="52"/>
      <c r="H16" s="53">
        <f>COUNTIF(G4:G12,"Yes")</f>
        <v>5</v>
      </c>
      <c r="I16" s="54"/>
      <c r="J16" s="54"/>
    </row>
    <row r="17" ht="24" customHeight="1" spans="1:10">
      <c r="A17" s="55" t="s">
        <v>98</v>
      </c>
      <c r="B17" s="55"/>
      <c r="C17" s="55"/>
      <c r="D17" s="55"/>
      <c r="E17" s="55"/>
      <c r="F17" s="55"/>
      <c r="G17" s="55"/>
      <c r="H17" s="56">
        <f>COUNTIF(H4:H12,"MISMATCH ✖")</f>
        <v>0</v>
      </c>
      <c r="I17" s="57"/>
      <c r="J17" s="57"/>
    </row>
    <row r="18" ht="24" customHeight="1" spans="1:10">
      <c r="A18" s="58" t="s">
        <v>99</v>
      </c>
      <c r="B18" s="58"/>
      <c r="C18" s="58"/>
      <c r="D18" s="58"/>
      <c r="E18" s="58"/>
      <c r="F18" s="58"/>
      <c r="G18" s="58"/>
      <c r="H18" s="23">
        <f>COUNTIF(G4:G12,"Yes")</f>
        <v>5</v>
      </c>
      <c r="I18" s="59"/>
      <c r="J18" s="59"/>
    </row>
    <row r="19" ht="24" customHeight="1" spans="1:10">
      <c r="A19" s="52" t="s">
        <v>100</v>
      </c>
      <c r="B19" s="52"/>
      <c r="C19" s="52"/>
      <c r="D19" s="52"/>
      <c r="E19" s="52"/>
      <c r="F19" s="52"/>
      <c r="G19" s="52"/>
      <c r="H19" s="60">
        <f>IFERROR(AVERAGEIF(G4:G12,"Yes",E4:E12),0)</f>
        <v>6.92</v>
      </c>
      <c r="I19" s="54"/>
      <c r="J19" s="54"/>
    </row>
    <row r="20" ht="24" customHeight="1" spans="1:10">
      <c r="A20" s="58" t="s">
        <v>25</v>
      </c>
      <c r="B20" s="58"/>
      <c r="C20" s="58"/>
      <c r="D20" s="58"/>
      <c r="E20" s="58"/>
      <c r="F20" s="58"/>
      <c r="G20" s="58"/>
      <c r="H20" s="23">
        <f>IFERROR(H19*(H18/H14),0)</f>
        <v>4.94285714285714</v>
      </c>
      <c r="I20" s="59"/>
      <c r="J20" s="59"/>
    </row>
  </sheetData>
  <mergeCells count="17">
    <mergeCell ref="A1:J1"/>
    <mergeCell ref="A2:J2"/>
    <mergeCell ref="A13:J13"/>
    <mergeCell ref="A14:G14"/>
    <mergeCell ref="I14:J14"/>
    <mergeCell ref="A15:G15"/>
    <mergeCell ref="I15:J15"/>
    <mergeCell ref="A16:G16"/>
    <mergeCell ref="I16:J16"/>
    <mergeCell ref="A17:G17"/>
    <mergeCell ref="I17:J17"/>
    <mergeCell ref="A18:G18"/>
    <mergeCell ref="I18:J18"/>
    <mergeCell ref="A19:G19"/>
    <mergeCell ref="I19:J19"/>
    <mergeCell ref="A20:G20"/>
    <mergeCell ref="I20:J2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workbookViewId="0">
      <selection activeCell="J8" sqref="J8"/>
    </sheetView>
  </sheetViews>
  <sheetFormatPr defaultColWidth="8.67592592592593" defaultRowHeight="14.4" outlineLevelCol="6"/>
  <cols>
    <col min="1" max="1" width="4" customWidth="1"/>
    <col min="2" max="2" width="18" customWidth="1"/>
    <col min="3" max="3" width="14" customWidth="1"/>
    <col min="4" max="4" width="12" customWidth="1"/>
    <col min="5" max="5" width="20" customWidth="1"/>
    <col min="6" max="6" width="30" customWidth="1"/>
    <col min="7" max="7" width="24" customWidth="1"/>
  </cols>
  <sheetData>
    <row r="1" ht="24" customHeight="1" spans="1:7">
      <c r="A1" s="1" t="s">
        <v>101</v>
      </c>
      <c r="B1" s="1"/>
      <c r="C1" s="1"/>
      <c r="D1" s="1"/>
      <c r="E1" s="1"/>
      <c r="F1" s="1"/>
      <c r="G1" s="1"/>
    </row>
    <row r="2" ht="24" customHeight="1" spans="1:7">
      <c r="A2" s="2" t="s">
        <v>102</v>
      </c>
      <c r="B2" s="2"/>
      <c r="C2" s="2"/>
      <c r="D2" s="2"/>
      <c r="E2" s="2"/>
      <c r="F2" s="2"/>
      <c r="G2" s="2"/>
    </row>
    <row r="3" ht="36" customHeight="1" spans="1:7">
      <c r="A3" s="3" t="s">
        <v>103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108</v>
      </c>
      <c r="G3" s="3" t="s">
        <v>109</v>
      </c>
    </row>
    <row r="4" ht="31.5" customHeight="1" spans="1:7">
      <c r="A4" s="30" t="s">
        <v>110</v>
      </c>
      <c r="B4" s="30" t="s">
        <v>111</v>
      </c>
      <c r="C4" s="30" t="s">
        <v>112</v>
      </c>
      <c r="D4" s="31" t="s">
        <v>113</v>
      </c>
      <c r="E4" s="31" t="s">
        <v>114</v>
      </c>
      <c r="F4" s="32" t="s">
        <v>115</v>
      </c>
      <c r="G4" s="33" t="s">
        <v>116</v>
      </c>
    </row>
    <row r="5" ht="31.5" customHeight="1" spans="1:7">
      <c r="A5" s="30" t="s">
        <v>117</v>
      </c>
      <c r="B5" s="30" t="s">
        <v>118</v>
      </c>
      <c r="C5" s="30" t="s">
        <v>119</v>
      </c>
      <c r="D5" s="31" t="s">
        <v>120</v>
      </c>
      <c r="E5" s="31" t="s">
        <v>113</v>
      </c>
      <c r="F5" s="32" t="s">
        <v>121</v>
      </c>
      <c r="G5" s="33" t="s">
        <v>122</v>
      </c>
    </row>
    <row r="6" ht="31.5" customHeight="1" spans="1:7">
      <c r="A6" s="34" t="s">
        <v>123</v>
      </c>
      <c r="B6" s="34" t="s">
        <v>124</v>
      </c>
      <c r="C6" s="34" t="s">
        <v>125</v>
      </c>
      <c r="D6" s="13" t="s">
        <v>126</v>
      </c>
      <c r="E6" s="13" t="s">
        <v>127</v>
      </c>
      <c r="F6" s="35" t="s">
        <v>128</v>
      </c>
      <c r="G6" s="36" t="s">
        <v>129</v>
      </c>
    </row>
    <row r="7" ht="31.5" customHeight="1" spans="1:7">
      <c r="A7" s="34" t="s">
        <v>130</v>
      </c>
      <c r="B7" s="34" t="s">
        <v>131</v>
      </c>
      <c r="C7" s="34" t="s">
        <v>132</v>
      </c>
      <c r="D7" s="13" t="s">
        <v>133</v>
      </c>
      <c r="E7" s="13" t="s">
        <v>120</v>
      </c>
      <c r="F7" s="35" t="s">
        <v>134</v>
      </c>
      <c r="G7" s="36" t="s">
        <v>135</v>
      </c>
    </row>
    <row r="8" ht="31.5" customHeight="1" spans="1:7">
      <c r="A8" s="37" t="s">
        <v>136</v>
      </c>
      <c r="B8" s="37" t="s">
        <v>137</v>
      </c>
      <c r="C8" s="37" t="s">
        <v>138</v>
      </c>
      <c r="D8" s="38" t="s">
        <v>139</v>
      </c>
      <c r="E8" s="38" t="s">
        <v>140</v>
      </c>
      <c r="F8" s="39" t="s">
        <v>141</v>
      </c>
      <c r="G8" s="40" t="s">
        <v>142</v>
      </c>
    </row>
    <row r="9" ht="31.5" customHeight="1" spans="1:7">
      <c r="A9" s="37" t="s">
        <v>143</v>
      </c>
      <c r="B9" s="37" t="s">
        <v>144</v>
      </c>
      <c r="C9" s="37" t="s">
        <v>145</v>
      </c>
      <c r="D9" s="38" t="s">
        <v>146</v>
      </c>
      <c r="E9" s="38" t="s">
        <v>147</v>
      </c>
      <c r="F9" s="39" t="s">
        <v>148</v>
      </c>
      <c r="G9" s="40" t="s">
        <v>149</v>
      </c>
    </row>
    <row r="10" ht="31.5" customHeight="1" spans="1:7">
      <c r="A10" s="41" t="s">
        <v>150</v>
      </c>
      <c r="B10" s="41" t="s">
        <v>151</v>
      </c>
      <c r="C10" s="41" t="s">
        <v>152</v>
      </c>
      <c r="D10" s="42" t="s">
        <v>153</v>
      </c>
      <c r="E10" s="42" t="s">
        <v>154</v>
      </c>
      <c r="F10" s="43" t="s">
        <v>155</v>
      </c>
      <c r="G10" s="44" t="s">
        <v>156</v>
      </c>
    </row>
    <row r="11" ht="15.15"/>
    <row r="12" ht="27.75" customHeight="1" spans="1:7">
      <c r="A12" s="45" t="s">
        <v>157</v>
      </c>
      <c r="B12" s="45"/>
      <c r="C12" s="45"/>
      <c r="D12" s="45"/>
      <c r="E12" s="45"/>
      <c r="F12" s="45"/>
      <c r="G12" s="45"/>
    </row>
  </sheetData>
  <mergeCells count="3">
    <mergeCell ref="A1:G1"/>
    <mergeCell ref="A2:G2"/>
    <mergeCell ref="A12:G1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selection activeCell="A1" sqref="A1:H1"/>
    </sheetView>
  </sheetViews>
  <sheetFormatPr defaultColWidth="8.67592592592593" defaultRowHeight="14.4" outlineLevelCol="7"/>
  <cols>
    <col min="1" max="1" width="3" customWidth="1"/>
    <col min="2" max="2" width="20" customWidth="1"/>
    <col min="3" max="5" width="14" customWidth="1"/>
    <col min="6" max="6" width="16" customWidth="1"/>
    <col min="7" max="7" width="14" customWidth="1"/>
    <col min="8" max="8" width="16" customWidth="1"/>
  </cols>
  <sheetData>
    <row r="1" ht="24" customHeight="1" spans="1:8">
      <c r="A1" s="1" t="s">
        <v>158</v>
      </c>
      <c r="B1" s="1"/>
      <c r="C1" s="1"/>
      <c r="D1" s="1"/>
      <c r="E1" s="1"/>
      <c r="F1" s="1"/>
      <c r="G1" s="1"/>
      <c r="H1" s="1"/>
    </row>
    <row r="2" ht="24" customHeight="1" spans="1:8">
      <c r="A2" s="2" t="s">
        <v>159</v>
      </c>
      <c r="B2" s="2"/>
      <c r="C2" s="2"/>
      <c r="D2" s="2"/>
      <c r="E2" s="2"/>
      <c r="F2" s="2"/>
      <c r="G2" s="2"/>
      <c r="H2" s="2"/>
    </row>
    <row r="3" ht="36" customHeight="1" spans="1:8">
      <c r="A3" s="3" t="s">
        <v>19</v>
      </c>
      <c r="B3" s="3" t="s">
        <v>20</v>
      </c>
      <c r="C3" s="3" t="s">
        <v>160</v>
      </c>
      <c r="D3" s="3" t="s">
        <v>161</v>
      </c>
      <c r="E3" s="3" t="s">
        <v>162</v>
      </c>
      <c r="F3" s="3" t="s">
        <v>163</v>
      </c>
      <c r="G3" s="3" t="s">
        <v>15</v>
      </c>
      <c r="H3" s="3" t="s">
        <v>164</v>
      </c>
    </row>
    <row r="4" ht="21.75" customHeight="1" spans="1:8">
      <c r="A4" s="13">
        <v>1</v>
      </c>
      <c r="B4" s="14" t="s">
        <v>27</v>
      </c>
      <c r="C4" s="15">
        <v>120</v>
      </c>
      <c r="D4" s="15">
        <v>100</v>
      </c>
      <c r="E4" s="16">
        <v>6.8</v>
      </c>
      <c r="F4" s="17">
        <f>D4/C4</f>
        <v>0.833333333333333</v>
      </c>
      <c r="G4" s="18">
        <f>E4*F4</f>
        <v>5.66666666666667</v>
      </c>
      <c r="H4" s="19">
        <f>G4</f>
        <v>5.66666666666667</v>
      </c>
    </row>
    <row r="5" ht="21.75" customHeight="1" spans="1:8">
      <c r="A5" s="4">
        <v>2</v>
      </c>
      <c r="B5" s="20" t="s">
        <v>28</v>
      </c>
      <c r="C5" s="15">
        <v>118</v>
      </c>
      <c r="D5" s="15">
        <v>105</v>
      </c>
      <c r="E5" s="16">
        <v>7.2</v>
      </c>
      <c r="F5" s="21">
        <f>D5/C5</f>
        <v>0.889830508474576</v>
      </c>
      <c r="G5" s="18">
        <f>E5*F5</f>
        <v>6.40677966101695</v>
      </c>
      <c r="H5" s="19">
        <f>G5</f>
        <v>6.40677966101695</v>
      </c>
    </row>
    <row r="6" ht="21.75" customHeight="1" spans="1:8">
      <c r="A6" s="13">
        <v>3</v>
      </c>
      <c r="B6" s="14" t="s">
        <v>29</v>
      </c>
      <c r="C6" s="15">
        <v>115</v>
      </c>
      <c r="D6" s="15">
        <v>95</v>
      </c>
      <c r="E6" s="16">
        <v>6.9</v>
      </c>
      <c r="F6" s="17">
        <f>D6/C6</f>
        <v>0.826086956521739</v>
      </c>
      <c r="G6" s="18">
        <f>E6*F6</f>
        <v>5.7</v>
      </c>
      <c r="H6" s="19">
        <f>G6</f>
        <v>5.7</v>
      </c>
    </row>
    <row r="7" ht="27.75" customHeight="1" spans="1:8">
      <c r="A7" s="22" t="s">
        <v>165</v>
      </c>
      <c r="B7" s="22"/>
      <c r="C7" s="22"/>
      <c r="D7" s="22"/>
      <c r="E7" s="22"/>
      <c r="F7" s="22"/>
      <c r="G7" s="23">
        <f>AVERAGE(G4:G6)</f>
        <v>5.92448210922787</v>
      </c>
      <c r="H7" s="23">
        <f>G7</f>
        <v>5.92448210922787</v>
      </c>
    </row>
    <row r="8" ht="15.15"/>
    <row r="9" ht="24" customHeight="1" spans="1:8">
      <c r="A9" s="2" t="s">
        <v>166</v>
      </c>
      <c r="B9" s="2"/>
      <c r="C9" s="2"/>
      <c r="D9" s="2"/>
      <c r="E9" s="2"/>
      <c r="F9" s="2"/>
      <c r="G9" s="2"/>
      <c r="H9" s="2"/>
    </row>
    <row r="10" ht="36" customHeight="1" spans="1:8">
      <c r="A10" s="24" t="s">
        <v>19</v>
      </c>
      <c r="B10" s="24" t="s">
        <v>20</v>
      </c>
      <c r="C10" s="24" t="s">
        <v>160</v>
      </c>
      <c r="D10" s="24" t="s">
        <v>161</v>
      </c>
      <c r="E10" s="24" t="s">
        <v>162</v>
      </c>
      <c r="F10" s="24" t="s">
        <v>163</v>
      </c>
      <c r="G10" s="24" t="s">
        <v>15</v>
      </c>
      <c r="H10" s="24" t="s">
        <v>164</v>
      </c>
    </row>
    <row r="11" ht="21.75" customHeight="1" spans="1:8">
      <c r="A11" s="4">
        <v>1</v>
      </c>
      <c r="B11" s="20" t="s">
        <v>28</v>
      </c>
      <c r="C11" s="15">
        <v>110</v>
      </c>
      <c r="D11" s="15">
        <v>98</v>
      </c>
      <c r="E11" s="16">
        <v>7.2</v>
      </c>
      <c r="F11" s="21">
        <f>D11/C11</f>
        <v>0.890909090909091</v>
      </c>
      <c r="G11" s="18">
        <f>E11*F11</f>
        <v>6.41454545454545</v>
      </c>
      <c r="H11" s="19">
        <f>G11</f>
        <v>6.41454545454545</v>
      </c>
    </row>
    <row r="12" ht="21.75" customHeight="1" spans="1:8">
      <c r="A12" s="25">
        <v>2</v>
      </c>
      <c r="B12" s="26" t="s">
        <v>29</v>
      </c>
      <c r="C12" s="15">
        <v>108</v>
      </c>
      <c r="D12" s="15">
        <v>92</v>
      </c>
      <c r="E12" s="16">
        <v>6.8</v>
      </c>
      <c r="F12" s="27">
        <f>D12/C12</f>
        <v>0.851851851851852</v>
      </c>
      <c r="G12" s="18">
        <f>E12*F12</f>
        <v>5.79259259259259</v>
      </c>
      <c r="H12" s="19">
        <f>G12</f>
        <v>5.79259259259259</v>
      </c>
    </row>
    <row r="13" ht="21.75" customHeight="1" spans="1:8">
      <c r="A13" s="4">
        <v>3</v>
      </c>
      <c r="B13" s="20" t="s">
        <v>35</v>
      </c>
      <c r="C13" s="15">
        <v>112</v>
      </c>
      <c r="D13" s="15">
        <v>95</v>
      </c>
      <c r="E13" s="16">
        <v>7</v>
      </c>
      <c r="F13" s="21">
        <f>D13/C13</f>
        <v>0.848214285714286</v>
      </c>
      <c r="G13" s="18">
        <f>E13*F13</f>
        <v>5.9375</v>
      </c>
      <c r="H13" s="19">
        <f>G13</f>
        <v>5.9375</v>
      </c>
    </row>
    <row r="14" ht="27.75" customHeight="1" spans="1:8">
      <c r="A14" s="28" t="s">
        <v>167</v>
      </c>
      <c r="B14" s="28"/>
      <c r="C14" s="28"/>
      <c r="D14" s="28"/>
      <c r="E14" s="28"/>
      <c r="F14" s="28"/>
      <c r="G14" s="29">
        <f>AVERAGE(G11:G13)</f>
        <v>6.04821268237935</v>
      </c>
      <c r="H14" s="29">
        <f>G14</f>
        <v>6.04821268237935</v>
      </c>
    </row>
  </sheetData>
  <mergeCells count="5">
    <mergeCell ref="A1:H1"/>
    <mergeCell ref="A2:H2"/>
    <mergeCell ref="A7:F7"/>
    <mergeCell ref="A9:H9"/>
    <mergeCell ref="A14:F14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showGridLines="0" workbookViewId="0">
      <selection activeCell="A1" sqref="A1:F1"/>
    </sheetView>
  </sheetViews>
  <sheetFormatPr defaultColWidth="8.67592592592593" defaultRowHeight="14.4" outlineLevelCol="5"/>
  <cols>
    <col min="1" max="1" width="4" customWidth="1"/>
    <col min="2" max="2" width="40" customWidth="1"/>
    <col min="3" max="5" width="16" customWidth="1"/>
    <col min="6" max="6" width="20" customWidth="1"/>
  </cols>
  <sheetData>
    <row r="1" ht="24" customHeight="1" spans="1:6">
      <c r="A1" s="1" t="s">
        <v>168</v>
      </c>
      <c r="B1" s="1"/>
      <c r="C1" s="1"/>
      <c r="D1" s="1"/>
      <c r="E1" s="1"/>
      <c r="F1" s="1"/>
    </row>
    <row r="2" ht="24" customHeight="1" spans="1:6">
      <c r="A2" s="2" t="s">
        <v>169</v>
      </c>
      <c r="B2" s="2"/>
      <c r="C2" s="2"/>
      <c r="D2" s="2"/>
      <c r="E2" s="2"/>
      <c r="F2" s="2"/>
    </row>
    <row r="3" ht="36" customHeight="1" spans="1:6">
      <c r="A3" s="3" t="s">
        <v>19</v>
      </c>
      <c r="B3" s="3" t="s">
        <v>170</v>
      </c>
      <c r="C3" s="3" t="s">
        <v>171</v>
      </c>
      <c r="D3" s="3" t="s">
        <v>172</v>
      </c>
      <c r="E3" s="3" t="s">
        <v>173</v>
      </c>
      <c r="F3" s="3" t="s">
        <v>174</v>
      </c>
    </row>
    <row r="4" ht="27.75" customHeight="1" spans="1:6">
      <c r="A4" s="4">
        <v>1</v>
      </c>
      <c r="B4" s="5" t="s">
        <v>175</v>
      </c>
      <c r="C4" s="6" t="s">
        <v>176</v>
      </c>
      <c r="D4" s="6" t="s">
        <v>176</v>
      </c>
      <c r="E4" s="6" t="s">
        <v>176</v>
      </c>
      <c r="F4" s="7" t="s">
        <v>177</v>
      </c>
    </row>
    <row r="5" ht="27.75" customHeight="1" spans="1:6">
      <c r="A5" s="8">
        <v>2</v>
      </c>
      <c r="B5" s="9" t="s">
        <v>178</v>
      </c>
      <c r="C5" s="10" t="s">
        <v>176</v>
      </c>
      <c r="D5" s="10" t="s">
        <v>176</v>
      </c>
      <c r="E5" s="10" t="s">
        <v>176</v>
      </c>
      <c r="F5" s="11" t="s">
        <v>179</v>
      </c>
    </row>
    <row r="6" ht="27.75" customHeight="1" spans="1:6">
      <c r="A6" s="4">
        <v>3</v>
      </c>
      <c r="B6" s="5" t="s">
        <v>180</v>
      </c>
      <c r="C6" s="6" t="s">
        <v>176</v>
      </c>
      <c r="D6" s="6" t="s">
        <v>176</v>
      </c>
      <c r="E6" s="6" t="s">
        <v>176</v>
      </c>
      <c r="F6" s="7" t="s">
        <v>181</v>
      </c>
    </row>
    <row r="7" ht="27.75" customHeight="1" spans="1:6">
      <c r="A7" s="8">
        <v>4</v>
      </c>
      <c r="B7" s="9" t="s">
        <v>182</v>
      </c>
      <c r="C7" s="10" t="s">
        <v>176</v>
      </c>
      <c r="D7" s="10" t="s">
        <v>176</v>
      </c>
      <c r="E7" s="10" t="s">
        <v>176</v>
      </c>
      <c r="F7" s="11" t="s">
        <v>183</v>
      </c>
    </row>
    <row r="8" ht="27.75" customHeight="1" spans="1:6">
      <c r="A8" s="4">
        <v>5</v>
      </c>
      <c r="B8" s="5" t="s">
        <v>184</v>
      </c>
      <c r="C8" s="6" t="s">
        <v>176</v>
      </c>
      <c r="D8" s="6" t="s">
        <v>176</v>
      </c>
      <c r="E8" s="6" t="s">
        <v>176</v>
      </c>
      <c r="F8" s="7" t="s">
        <v>185</v>
      </c>
    </row>
    <row r="9" ht="27.75" customHeight="1" spans="1:6">
      <c r="A9" s="8">
        <v>6</v>
      </c>
      <c r="B9" s="9" t="s">
        <v>186</v>
      </c>
      <c r="C9" s="10" t="s">
        <v>176</v>
      </c>
      <c r="D9" s="10" t="s">
        <v>176</v>
      </c>
      <c r="E9" s="10" t="s">
        <v>176</v>
      </c>
      <c r="F9" s="11" t="s">
        <v>187</v>
      </c>
    </row>
    <row r="10" ht="27.75" customHeight="1" spans="1:6">
      <c r="A10" s="4">
        <v>7</v>
      </c>
      <c r="B10" s="5" t="s">
        <v>188</v>
      </c>
      <c r="C10" s="6" t="s">
        <v>176</v>
      </c>
      <c r="D10" s="6" t="s">
        <v>176</v>
      </c>
      <c r="E10" s="6" t="s">
        <v>176</v>
      </c>
      <c r="F10" s="7" t="s">
        <v>189</v>
      </c>
    </row>
    <row r="11" ht="27.75" customHeight="1" spans="1:6">
      <c r="A11" s="8">
        <v>8</v>
      </c>
      <c r="B11" s="9" t="s">
        <v>190</v>
      </c>
      <c r="C11" s="10" t="s">
        <v>176</v>
      </c>
      <c r="D11" s="10" t="s">
        <v>176</v>
      </c>
      <c r="E11" s="10" t="s">
        <v>176</v>
      </c>
      <c r="F11" s="11" t="s">
        <v>191</v>
      </c>
    </row>
    <row r="12" ht="27.75" customHeight="1" spans="1:6">
      <c r="A12" s="4">
        <v>9</v>
      </c>
      <c r="B12" s="5" t="s">
        <v>192</v>
      </c>
      <c r="C12" s="6" t="s">
        <v>176</v>
      </c>
      <c r="D12" s="6" t="s">
        <v>176</v>
      </c>
      <c r="E12" s="6" t="s">
        <v>176</v>
      </c>
      <c r="F12" s="7" t="s">
        <v>193</v>
      </c>
    </row>
    <row r="13" ht="27.75" customHeight="1" spans="1:6">
      <c r="A13" s="8">
        <v>10</v>
      </c>
      <c r="B13" s="9" t="s">
        <v>194</v>
      </c>
      <c r="C13" s="10" t="s">
        <v>176</v>
      </c>
      <c r="D13" s="10" t="s">
        <v>176</v>
      </c>
      <c r="E13" s="10" t="s">
        <v>176</v>
      </c>
      <c r="F13" s="11" t="s">
        <v>195</v>
      </c>
    </row>
    <row r="14" ht="27.75" customHeight="1" spans="1:6">
      <c r="A14" s="4">
        <v>11</v>
      </c>
      <c r="B14" s="5" t="s">
        <v>196</v>
      </c>
      <c r="C14" s="6" t="s">
        <v>176</v>
      </c>
      <c r="D14" s="6" t="s">
        <v>176</v>
      </c>
      <c r="E14" s="6" t="s">
        <v>176</v>
      </c>
      <c r="F14" s="7" t="s">
        <v>197</v>
      </c>
    </row>
    <row r="15" ht="27.75" customHeight="1" spans="1:6">
      <c r="A15" s="8">
        <v>12</v>
      </c>
      <c r="B15" s="9" t="s">
        <v>198</v>
      </c>
      <c r="C15" s="10" t="s">
        <v>176</v>
      </c>
      <c r="D15" s="10" t="s">
        <v>176</v>
      </c>
      <c r="E15" s="10" t="s">
        <v>176</v>
      </c>
      <c r="F15" s="11" t="s">
        <v>199</v>
      </c>
    </row>
    <row r="16" ht="15.15"/>
    <row r="17" ht="36" customHeight="1" spans="1:6">
      <c r="A17" s="12" t="s">
        <v>200</v>
      </c>
      <c r="B17" s="12"/>
      <c r="C17" s="12"/>
      <c r="D17" s="12"/>
      <c r="E17" s="12"/>
      <c r="F17" s="12"/>
    </row>
  </sheetData>
  <mergeCells count="3">
    <mergeCell ref="A1:F1"/>
    <mergeCell ref="A2:F2"/>
    <mergeCell ref="A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API_Calculator</vt:lpstr>
      <vt:lpstr>Gazette_Extraction_Sheet</vt:lpstr>
      <vt:lpstr>Cross_Verification_Tracker</vt:lpstr>
      <vt:lpstr>Marks_Band_Interpretation</vt:lpstr>
      <vt:lpstr>API_Trend_Chart</vt:lpstr>
      <vt:lpstr>Documentation_Checklist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1</cp:revision>
  <dcterms:created xsi:type="dcterms:W3CDTF">2026-06-29T05:58:00Z</dcterms:created>
  <dcterms:modified xsi:type="dcterms:W3CDTF">2026-07-20T11:59:45Z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983138E475484B1C8C7A92B214214455_12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