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Consultancy_Tracker"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Sanctioned Amount (₹ Lakhs)</t>
        </is>
      </c>
      <c r="H1" s="2" t="inlineStr">
        <is>
          <t>Duration</t>
        </is>
      </c>
      <c r="I1" s="2" t="inlineStr">
        <is>
          <t>Sanctioned Year</t>
        </is>
      </c>
      <c r="J1" s="2" t="inlineStr">
        <is>
          <t>CAY (CAYm1/CAYm2/CAYm3)</t>
        </is>
      </c>
      <c r="K1" s="2" t="inlineStr">
        <is>
          <t>Amount Received (₹)</t>
        </is>
      </c>
    </row>
    <row r="2">
      <c r="A2" t="n">
        <v>1</v>
      </c>
      <c r="B2" t="inlineStr">
        <is>
          <t>Prof. A</t>
        </is>
      </c>
      <c r="C2" t="inlineStr">
        <is>
          <t>Dr. B</t>
        </is>
      </c>
      <c r="D2" t="inlineStr">
        <is>
          <t>Civil</t>
        </is>
      </c>
      <c r="E2" t="inlineStr">
        <is>
          <t>Structural Analysis for XYZ</t>
        </is>
      </c>
      <c r="F2" t="inlineStr">
        <is>
          <t>XYZ Constructions Pvt. Ltd.</t>
        </is>
      </c>
      <c r="G2" t="n">
        <v>5</v>
      </c>
      <c r="H2" t="inlineStr">
        <is>
          <t>1 year</t>
        </is>
      </c>
      <c r="I2" t="n">
        <v>2023</v>
      </c>
      <c r="J2" t="inlineStr">
        <is>
          <t>CAYm1</t>
        </is>
      </c>
      <c r="K2" t="n">
        <v>500000</v>
      </c>
    </row>
    <row r="3">
      <c r="A3" t="n">
        <v>2</v>
      </c>
      <c r="B3" t="inlineStr">
        <is>
          <t>Dr. C</t>
        </is>
      </c>
      <c r="C3" t="inlineStr"/>
      <c r="D3" t="inlineStr">
        <is>
          <t>Mechanical</t>
        </is>
      </c>
      <c r="E3" t="inlineStr">
        <is>
          <t>Material Testing for ABC</t>
        </is>
      </c>
      <c r="F3" t="inlineStr">
        <is>
          <t>ABC Industries</t>
        </is>
      </c>
      <c r="G3" t="n">
        <v>3.5</v>
      </c>
      <c r="H3" t="inlineStr">
        <is>
          <t>6 months</t>
        </is>
      </c>
      <c r="I3" t="n">
        <v>2022</v>
      </c>
      <c r="J3" t="inlineStr">
        <is>
          <t>CAYm2</t>
        </is>
      </c>
      <c r="K3" t="n">
        <v>350000</v>
      </c>
    </row>
    <row r="4">
      <c r="A4" t="n">
        <v>3</v>
      </c>
      <c r="B4" t="inlineStr">
        <is>
          <t>Prof. D</t>
        </is>
      </c>
      <c r="C4" t="inlineStr">
        <is>
          <t>Dr. E</t>
        </is>
      </c>
      <c r="D4" t="inlineStr">
        <is>
          <t>IT</t>
        </is>
      </c>
      <c r="E4" t="inlineStr">
        <is>
          <t>Software Audit for PQR Ltd.</t>
        </is>
      </c>
      <c r="F4" t="inlineStr">
        <is>
          <t>PQR Ltd.</t>
        </is>
      </c>
      <c r="G4" t="n">
        <v>12</v>
      </c>
      <c r="H4" t="inlineStr">
        <is>
          <t>1.5 years</t>
        </is>
      </c>
      <c r="I4" t="n">
        <v>2021</v>
      </c>
      <c r="J4" t="inlineStr">
        <is>
          <t>CAYm3</t>
        </is>
      </c>
      <c r="K4" t="n">
        <v>1200000</v>
      </c>
    </row>
    <row r="5">
      <c r="A5" t="inlineStr">
        <is>
          <t>Summary (Consultancy Revenue)</t>
        </is>
      </c>
    </row>
    <row r="6">
      <c r="A6" s="2" t="inlineStr">
        <is>
          <t>Academic Year</t>
        </is>
      </c>
      <c r="B6" s="2" t="inlineStr">
        <is>
          <t>Total Consultancy Revenue (₹)</t>
        </is>
      </c>
      <c r="C6" s="2" t="inlineStr">
        <is>
          <t>NBA Marks (Auto)</t>
        </is>
      </c>
    </row>
    <row r="7">
      <c r="A7" t="inlineStr">
        <is>
          <t>CAYm1</t>
        </is>
      </c>
      <c r="B7">
        <f>SUMIF(J2:J500,"CAYm1",K2:K500)</f>
        <v/>
      </c>
      <c r="C7">
        <f>IF(B7&gt;2000000,15,
IF(B7&gt;1600000,12,
IF(B7&gt;1200000,9,
IF(B7&gt;800000,6,
IF(B7&gt;400000,3,
IF(B7&gt;100000,1,0))))))</f>
        <v/>
      </c>
    </row>
    <row r="8">
      <c r="A8" t="inlineStr">
        <is>
          <t>CAYm2</t>
        </is>
      </c>
      <c r="B8">
        <f>SUMIF(J2:J500,"CAYm2",K2:K500)</f>
        <v/>
      </c>
      <c r="C8">
        <f>IF(B8&gt;2000000,15,
IF(B8&gt;1600000,12,
IF(B8&gt;1200000,9,
IF(B8&gt;800000,6,
IF(B8&gt;400000,3,
IF(B8&gt;100000,1,0))))))</f>
        <v/>
      </c>
    </row>
    <row r="9">
      <c r="A9" t="inlineStr">
        <is>
          <t>CAYm3</t>
        </is>
      </c>
      <c r="B9">
        <f>SUMIF(J2:J500,"CAYm3",K2:K500)</f>
        <v/>
      </c>
      <c r="C9">
        <f>IF(B9&gt;2000000,15,
IF(B9&gt;1600000,12,
IF(B9&gt;1200000,9,
IF(B9&gt;800000,6,
IF(B9&gt;400000,3,
IF(B9&gt;100000,1,0))))))</f>
        <v/>
      </c>
    </row>
    <row r="10">
      <c r="A10" t="inlineStr">
        <is>
          <t>Cumulative</t>
        </is>
      </c>
      <c r="B10">
        <f>SUM(B7:B9)</f>
        <v/>
      </c>
      <c r="C10">
        <f>IF(B10&gt;2000000,15,
IF(B10&gt;1600000,12,
IF(B10&gt;1200000,9,
IF(B10&gt;800000,6,
IF(B10&gt;400000,3,
IF(B10&gt;100000,1,0))))))</f>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