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1.1 Memberships" sheetId="1" state="visible" r:id="rId1"/>
    <sheet xmlns:r="http://schemas.openxmlformats.org/officeDocument/2006/relationships" name="6.1.2.1 Resource" sheetId="2" state="visible" r:id="rId2"/>
    <sheet xmlns:r="http://schemas.openxmlformats.org/officeDocument/2006/relationships" name="6.1.2.2 FDP Partic." sheetId="3" state="visible" r:id="rId3"/>
    <sheet xmlns:r="http://schemas.openxmlformats.org/officeDocument/2006/relationships" name="6.1.3 MOOC Content" sheetId="4" state="visible" r:id="rId4"/>
    <sheet xmlns:r="http://schemas.openxmlformats.org/officeDocument/2006/relationships" name="6.1.4 MOOC Certs" sheetId="5" state="visible" r:id="rId5"/>
    <sheet xmlns:r="http://schemas.openxmlformats.org/officeDocument/2006/relationships" name="6.1.5 Organised" sheetId="6" state="visible" r:id="rId6"/>
    <sheet xmlns:r="http://schemas.openxmlformats.org/officeDocument/2006/relationships" name="6.1.6 Innov Support" sheetId="7" state="visible" r:id="rId7"/>
    <sheet xmlns:r="http://schemas.openxmlformats.org/officeDocument/2006/relationships" name="6.1.7 Industry Engg.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22" customWidth="1" min="4" max="4"/>
    <col width="24" customWidth="1" min="5" max="5"/>
    <col width="20" customWidth="1" min="6" max="6"/>
    <col width="20" customWidth="1" min="7" max="7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Society (IEEE/ACM/ISTE/CSI/IET/etc.)</t>
        </is>
      </c>
      <c r="D1" s="1" t="inlineStr">
        <is>
          <t>Membership Type (Life/Annual)</t>
        </is>
      </c>
      <c r="E1" s="1" t="inlineStr">
        <is>
          <t>Membership ID</t>
        </is>
      </c>
      <c r="F1" s="1" t="inlineStr">
        <is>
          <t>Valid Upto (YYYY-MM-DD)</t>
        </is>
      </c>
      <c r="G1" s="1" t="inlineStr">
        <is>
          <t>Year (CAY/CAYm1/CAYm2/CAYm3)</t>
        </is>
      </c>
    </row>
  </sheetData>
  <dataValidations count="2">
    <dataValidation sqref="D2:D1000" showErrorMessage="1" showInputMessage="1" allowBlank="1" type="list">
      <formula1>"Life,Annual"</formula1>
    </dataValidation>
    <dataValidation sqref="G2:G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28" customWidth="1" min="4" max="4"/>
    <col width="20" customWidth="1" min="5" max="5"/>
    <col width="28" customWidth="1" min="6" max="6"/>
    <col width="18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Event Title</t>
        </is>
      </c>
      <c r="D1" s="1" t="inlineStr">
        <is>
          <t>Organizer (Host)</t>
        </is>
      </c>
      <c r="E1" s="1" t="inlineStr">
        <is>
          <t>Mode (Online/Offline/Hybrid)</t>
        </is>
      </c>
      <c r="F1" s="1" t="inlineStr">
        <is>
          <t>Role (Keynote/Session/Workshop)</t>
        </is>
      </c>
      <c r="G1" s="1" t="inlineStr">
        <is>
          <t>Date (YYYY-MM-DD)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3">
    <dataValidation sqref="E2:E1000" showErrorMessage="1" showInputMessage="1" allowBlank="1" type="list">
      <formula1>"Online,Offline,Hybrid"</formula1>
    </dataValidation>
    <dataValidation sqref="F2:F1000" showErrorMessage="1" showInputMessage="1" allowBlank="1" type="list">
      <formula1>"Keynote,Session,Workshop,Panel,Other"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30" customWidth="1" min="4" max="4"/>
    <col width="1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FDP/STTP Title</t>
        </is>
      </c>
      <c r="D1" s="1" t="inlineStr">
        <is>
          <t>Organizer (Host)</t>
        </is>
      </c>
      <c r="E1" s="1" t="inlineStr">
        <is>
          <t>Duration (Days)</t>
        </is>
      </c>
      <c r="F1" s="1" t="inlineStr">
        <is>
          <t>Certification No./ID</t>
        </is>
      </c>
      <c r="G1" s="1" t="inlineStr">
        <is>
          <t>Date (End)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1"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0" customWidth="1" min="4" max="4"/>
    <col width="42" customWidth="1" min="5" max="5"/>
    <col width="18" customWidth="1" min="6" max="6"/>
    <col width="26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Platform (SWAYAM/NPTEL/etc.)</t>
        </is>
      </c>
      <c r="D1" s="1" t="inlineStr">
        <is>
          <t>Course/Module Title</t>
        </is>
      </c>
      <c r="E1" s="1" t="inlineStr">
        <is>
          <t>URL</t>
        </is>
      </c>
      <c r="F1" s="1" t="inlineStr">
        <is>
          <t>Launch Date</t>
        </is>
      </c>
      <c r="G1" s="1" t="inlineStr">
        <is>
          <t>Type (Full Course/Module/E-Content)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2">
    <dataValidation sqref="G2:G1000" showErrorMessage="1" showInputMessage="1" allowBlank="1" type="list">
      <formula1>"Full Course,Module,E-Content"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42" customWidth="1" min="4" max="4"/>
    <col width="16" customWidth="1" min="5" max="5"/>
    <col width="24" customWidth="1" min="6" max="6"/>
    <col width="18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Platform (SWAYAM/NPTEL/Coursera/etc.)</t>
        </is>
      </c>
      <c r="D1" s="1" t="inlineStr">
        <is>
          <t>Course Title</t>
        </is>
      </c>
      <c r="E1" s="1" t="inlineStr">
        <is>
          <t>Score/Grade</t>
        </is>
      </c>
      <c r="F1" s="1" t="inlineStr">
        <is>
          <t>Certificate ID</t>
        </is>
      </c>
      <c r="G1" s="1" t="inlineStr">
        <is>
          <t>Completion Date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1"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24" customWidth="1" min="4" max="4"/>
    <col width="18" customWidth="1" min="5" max="5"/>
    <col width="40" customWidth="1" min="6" max="6"/>
    <col width="22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Program Type (FDP/STTP)</t>
        </is>
      </c>
      <c r="C1" s="1" t="inlineStr">
        <is>
          <t>Program Title</t>
        </is>
      </c>
      <c r="D1" s="1" t="inlineStr">
        <is>
          <t>Dates (From-To)</t>
        </is>
      </c>
      <c r="E1" s="1" t="inlineStr">
        <is>
          <t>Duration (Days)</t>
        </is>
      </c>
      <c r="F1" s="1" t="inlineStr">
        <is>
          <t>Chief Guest/Resource Persons</t>
        </is>
      </c>
      <c r="G1" s="1" t="inlineStr">
        <is>
          <t>No. of Participants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2">
    <dataValidation sqref="B2:B1000" showErrorMessage="1" showInputMessage="1" allowBlank="1" type="list">
      <formula1>"FDP,STTP"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40" customWidth="1" min="4" max="4"/>
    <col width="34" customWidth="1" min="5" max="5"/>
    <col width="18" customWidth="1" min="6" max="6"/>
    <col width="42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Event Category (Hackathon/Ideathon/Research)</t>
        </is>
      </c>
      <c r="D1" s="1" t="inlineStr">
        <is>
          <t>Event/Project Name</t>
        </is>
      </c>
      <c r="E1" s="1" t="inlineStr">
        <is>
          <t>Role (Mentor/Facilitator/Supervisor)</t>
        </is>
      </c>
      <c r="F1" s="1" t="inlineStr">
        <is>
          <t>No. of Students</t>
        </is>
      </c>
      <c r="G1" s="1" t="inlineStr">
        <is>
          <t>Outcome (Award/Patent/Startup/Publication/Prototype)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4">
    <dataValidation sqref="C2:C1000" showErrorMessage="1" showInputMessage="1" allowBlank="1" type="list">
      <formula1>"Hackathon,Ideathon,Research Presentation,Codeathon,Other"</formula1>
    </dataValidation>
    <dataValidation sqref="E2:E1000" showErrorMessage="1" showInputMessage="1" allowBlank="1" type="list">
      <formula1>"Mentor,Facilitator,Supervisor"</formula1>
    </dataValidation>
    <dataValidation sqref="G2:G1000" showErrorMessage="1" showInputMessage="1" allowBlank="1" type="list">
      <formula1>"Award,Patent,Startup,Publication,Prototype"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36" customWidth="1" min="4" max="4"/>
    <col width="18" customWidth="1" min="5" max="5"/>
    <col width="44" customWidth="1" min="6" max="6"/>
    <col width="42" customWidth="1" min="7" max="7"/>
    <col width="42" customWidth="1" min="8" max="8"/>
    <col width="12" customWidth="1" min="9" max="9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Type (Internship/Training/Collaboration)</t>
        </is>
      </c>
      <c r="D1" s="1" t="inlineStr">
        <is>
          <t>Industry/Organization</t>
        </is>
      </c>
      <c r="E1" s="1" t="inlineStr">
        <is>
          <t>Duration</t>
        </is>
      </c>
      <c r="F1" s="1" t="inlineStr">
        <is>
          <t>Activity Description</t>
        </is>
      </c>
      <c r="G1" s="1" t="inlineStr">
        <is>
          <t>Outcomes (Publication/Prototype/Startup/Funded Project)</t>
        </is>
      </c>
      <c r="H1" s="1" t="inlineStr">
        <is>
          <t>Evidence Link</t>
        </is>
      </c>
      <c r="I1" s="1" t="inlineStr">
        <is>
          <t>Year</t>
        </is>
      </c>
    </row>
  </sheetData>
  <dataValidations count="3">
    <dataValidation sqref="C2:C1000" showErrorMessage="1" showInputMessage="1" allowBlank="1" type="list">
      <formula1>"Internship,Training,Collaboration"</formula1>
    </dataValidation>
    <dataValidation sqref="G2:G1000" showErrorMessage="1" showInputMessage="1" allowBlank="1" type="list">
      <formula1>"Publication,Prototype,Startup,Funded Project"</formula1>
    </dataValidation>
    <dataValidation sqref="I2:I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NBA Professional Development Activities — Master Dashboard (6.1.1 to 6.1.7)</t>
        </is>
      </c>
    </row>
    <row r="2">
      <c r="A2" s="1" t="inlineStr">
        <is>
          <t>Sub-Criterion</t>
        </is>
      </c>
      <c r="B2" s="1" t="inlineStr">
        <is>
          <t>Metric</t>
        </is>
      </c>
      <c r="C2" s="1" t="inlineStr">
        <is>
          <t>Formula/Definition</t>
        </is>
      </c>
      <c r="D2" s="1" t="inlineStr">
        <is>
          <t>CAY Total</t>
        </is>
      </c>
      <c r="E2" s="1" t="inlineStr">
        <is>
          <t>CAYm1 Total</t>
        </is>
      </c>
      <c r="F2" s="1" t="inlineStr">
        <is>
          <t>CAYm2 Total</t>
        </is>
      </c>
    </row>
    <row r="3">
      <c r="A3" s="3" t="inlineStr">
        <is>
          <t>6.1.1 Memberships</t>
        </is>
      </c>
      <c r="B3" s="3" t="inlineStr">
        <is>
          <t>Total memberships logged</t>
        </is>
      </c>
      <c r="C3" s="3" t="inlineStr">
        <is>
          <t>Count of rows per year</t>
        </is>
      </c>
      <c r="D3" s="3">
        <f>COUNTIF('6.1.1 Memberships'!G2:G1000,"CAY")</f>
        <v/>
      </c>
      <c r="E3" s="3">
        <f>COUNTIF('6.1.1 Memberships'!G2:G1000,"CAYm1")</f>
        <v/>
      </c>
      <c r="F3" s="3">
        <f>COUNTIF('6.1.1 Memberships'!G2:G1000,"CAYm2")</f>
        <v/>
      </c>
    </row>
    <row r="4">
      <c r="A4" s="3" t="inlineStr">
        <is>
          <t>6.1.2.1 Resource</t>
        </is>
      </c>
      <c r="B4" s="3" t="inlineStr">
        <is>
          <t>Total resource-person appearances</t>
        </is>
      </c>
      <c r="C4" s="3" t="inlineStr">
        <is>
          <t>Count of rows per year</t>
        </is>
      </c>
      <c r="D4" s="3">
        <f>COUNTIF('6.1.2.1 Resource'!I2:I1000,"CAY")</f>
        <v/>
      </c>
      <c r="E4" s="3">
        <f>COUNTIF('6.1.2.1 Resource'!I2:I1000,"CAYm1")</f>
        <v/>
      </c>
      <c r="F4" s="3">
        <f>COUNTIF('6.1.2.1 Resource'!I2:I1000,"CAYm2")</f>
        <v/>
      </c>
    </row>
    <row r="5">
      <c r="A5" s="3" t="inlineStr">
        <is>
          <t>6.1.2.2 FDP Partic.</t>
        </is>
      </c>
      <c r="B5" s="3" t="inlineStr">
        <is>
          <t>Total FDP/STTP participations</t>
        </is>
      </c>
      <c r="C5" s="3" t="inlineStr">
        <is>
          <t>Count of rows per year</t>
        </is>
      </c>
      <c r="D5" s="3">
        <f>COUNTIF('6.1.2.2 FDP Partic.'!I2:I1000,"CAY")</f>
        <v/>
      </c>
      <c r="E5" s="3">
        <f>COUNTIF('6.1.2.2 FDP Partic.'!I2:I1000,"CAYm1")</f>
        <v/>
      </c>
      <c r="F5" s="3">
        <f>COUNTIF('6.1.2.2 FDP Partic.'!I2:I1000,"CAYm2")</f>
        <v/>
      </c>
    </row>
    <row r="6">
      <c r="A6" s="3" t="inlineStr">
        <is>
          <t>6.1.3 MOOC Content</t>
        </is>
      </c>
      <c r="B6" s="3" t="inlineStr">
        <is>
          <t>Total MOOC/e-content developed</t>
        </is>
      </c>
      <c r="C6" s="3" t="inlineStr">
        <is>
          <t>Count of rows per year</t>
        </is>
      </c>
      <c r="D6" s="3">
        <f>COUNTIF('6.1.3 MOOC Content'!I2:I1000,"CAY")</f>
        <v/>
      </c>
      <c r="E6" s="3">
        <f>COUNTIF('6.1.3 MOOC Content'!I2:I1000,"CAYm1")</f>
        <v/>
      </c>
      <c r="F6" s="3">
        <f>COUNTIF('6.1.3 MOOC Content'!I2:I1000,"CAYm2")</f>
        <v/>
      </c>
    </row>
    <row r="7">
      <c r="A7" s="3" t="inlineStr">
        <is>
          <t>6.1.4 MOOC Certs</t>
        </is>
      </c>
      <c r="B7" s="3" t="inlineStr">
        <is>
          <t>Total MOOC certifications</t>
        </is>
      </c>
      <c r="C7" s="3" t="inlineStr">
        <is>
          <t>Count of rows per year</t>
        </is>
      </c>
      <c r="D7" s="3">
        <f>COUNTIF('6.1.4 MOOC Certs'!I2:I1000,"CAY")</f>
        <v/>
      </c>
      <c r="E7" s="3">
        <f>COUNTIF('6.1.4 MOOC Certs'!I2:I1000,"CAYm1")</f>
        <v/>
      </c>
      <c r="F7" s="3">
        <f>COUNTIF('6.1.4 MOOC Certs'!I2:I1000,"CAYm2")</f>
        <v/>
      </c>
    </row>
    <row r="8">
      <c r="A8" s="3" t="inlineStr">
        <is>
          <t>6.1.5 Organised</t>
        </is>
      </c>
      <c r="B8" s="3" t="inlineStr">
        <is>
          <t>Programs organized</t>
        </is>
      </c>
      <c r="C8" s="3" t="inlineStr">
        <is>
          <t>Count of rows per year</t>
        </is>
      </c>
      <c r="D8" s="3">
        <f>COUNTIF('6.1.5 Organised'!I2:I1000,"CAY")</f>
        <v/>
      </c>
      <c r="E8" s="3">
        <f>COUNTIF('6.1.5 Organised'!I2:I1000,"CAYm1")</f>
        <v/>
      </c>
      <c r="F8" s="3">
        <f>COUNTIF('6.1.5 Organised'!I2:I1000,"CAYm2")</f>
        <v/>
      </c>
    </row>
    <row r="9">
      <c r="A9" s="3" t="inlineStr">
        <is>
          <t>6.1.6 Innov Support</t>
        </is>
      </c>
      <c r="B9" s="3" t="inlineStr">
        <is>
          <t>Total innovation-support records</t>
        </is>
      </c>
      <c r="C9" s="3" t="inlineStr">
        <is>
          <t>Count of rows per year</t>
        </is>
      </c>
      <c r="D9" s="3">
        <f>COUNTIF('6.1.6 Innov Support'!I2:I1000,"CAY")</f>
        <v/>
      </c>
      <c r="E9" s="3">
        <f>COUNTIF('6.1.6 Innov Support'!I2:I1000,"CAYm1")</f>
        <v/>
      </c>
      <c r="F9" s="3">
        <f>COUNTIF('6.1.6 Innov Support'!I2:I1000,"CAYm2")</f>
        <v/>
      </c>
    </row>
    <row r="10">
      <c r="A10" s="3" t="inlineStr">
        <is>
          <t>6.1.6 Innov Support</t>
        </is>
      </c>
      <c r="B10" s="3" t="inlineStr">
        <is>
          <t>Awards achieved</t>
        </is>
      </c>
      <c r="C10" s="3" t="inlineStr">
        <is>
          <t>Count where Outcome = "Award"</t>
        </is>
      </c>
      <c r="D10" s="3">
        <f>COUNTIFS('6.1.6 Innov Support'!I2:I1000,"CAY",'6.1.6 Innov Support'!G2:G1000,"Award")</f>
        <v/>
      </c>
      <c r="E10" s="3">
        <f>COUNTIFS('6.1.6 Innov Support'!I2:I1000,"CAYm1",'6.1.6 Innov Support'!G2:G1000,"Award")</f>
        <v/>
      </c>
      <c r="F10" s="3">
        <f>COUNTIFS('6.1.6 Innov Support'!I2:I1000,"CAYm2",'6.1.6 Innov Support'!G2:G1000,"Award")</f>
        <v/>
      </c>
    </row>
    <row r="11">
      <c r="A11" s="3" t="inlineStr">
        <is>
          <t>6.1.6 Innov Support</t>
        </is>
      </c>
      <c r="B11" s="3" t="inlineStr">
        <is>
          <t>Patents achieved</t>
        </is>
      </c>
      <c r="C11" s="3" t="inlineStr">
        <is>
          <t>Count where Outcome = "Patent"</t>
        </is>
      </c>
      <c r="D11" s="3">
        <f>COUNTIFS('6.1.6 Innov Support'!I2:I1000,"CAY",'6.1.6 Innov Support'!G2:G1000,"Patent")</f>
        <v/>
      </c>
      <c r="E11" s="3">
        <f>COUNTIFS('6.1.6 Innov Support'!I2:I1000,"CAYm1",'6.1.6 Innov Support'!G2:G1000,"Patent")</f>
        <v/>
      </c>
      <c r="F11" s="3">
        <f>COUNTIFS('6.1.6 Innov Support'!I2:I1000,"CAYm2",'6.1.6 Innov Support'!G2:G1000,"Patent")</f>
        <v/>
      </c>
    </row>
    <row r="12">
      <c r="A12" s="3" t="inlineStr">
        <is>
          <t>6.1.6 Innov Support</t>
        </is>
      </c>
      <c r="B12" s="3" t="inlineStr">
        <is>
          <t>Startups achieved</t>
        </is>
      </c>
      <c r="C12" s="3" t="inlineStr">
        <is>
          <t>Count where Outcome = "Startup"</t>
        </is>
      </c>
      <c r="D12" s="3">
        <f>COUNTIFS('6.1.6 Innov Support'!I2:I1000,"CAY",'6.1.6 Innov Support'!G2:G1000,"Startup")</f>
        <v/>
      </c>
      <c r="E12" s="3">
        <f>COUNTIFS('6.1.6 Innov Support'!I2:I1000,"CAYm1",'6.1.6 Innov Support'!G2:G1000,"Startup")</f>
        <v/>
      </c>
      <c r="F12" s="3">
        <f>COUNTIFS('6.1.6 Innov Support'!I2:I1000,"CAYm2",'6.1.6 Innov Support'!G2:G1000,"Startup")</f>
        <v/>
      </c>
    </row>
    <row r="13">
      <c r="A13" s="3" t="inlineStr">
        <is>
          <t>6.1.6 Innov Support</t>
        </is>
      </c>
      <c r="B13" s="3" t="inlineStr">
        <is>
          <t>Publications achieved</t>
        </is>
      </c>
      <c r="C13" s="3" t="inlineStr">
        <is>
          <t>Count where Outcome = "Publication"</t>
        </is>
      </c>
      <c r="D13" s="3">
        <f>COUNTIFS('6.1.6 Innov Support'!I2:I1000,"CAY",'6.1.6 Innov Support'!G2:G1000,"Publication")</f>
        <v/>
      </c>
      <c r="E13" s="3">
        <f>COUNTIFS('6.1.6 Innov Support'!I2:I1000,"CAYm1",'6.1.6 Innov Support'!G2:G1000,"Publication")</f>
        <v/>
      </c>
      <c r="F13" s="3">
        <f>COUNTIFS('6.1.6 Innov Support'!I2:I1000,"CAYm2",'6.1.6 Innov Support'!G2:G1000,"Publication")</f>
        <v/>
      </c>
    </row>
    <row r="14">
      <c r="A14" s="3" t="inlineStr">
        <is>
          <t>6.1.6 Innov Support</t>
        </is>
      </c>
      <c r="B14" s="3" t="inlineStr">
        <is>
          <t>Prototypes achieved</t>
        </is>
      </c>
      <c r="C14" s="3" t="inlineStr">
        <is>
          <t>Count where Outcome = "Prototype"</t>
        </is>
      </c>
      <c r="D14" s="3">
        <f>COUNTIFS('6.1.6 Innov Support'!I2:I1000,"CAY",'6.1.6 Innov Support'!G2:G1000,"Prototype")</f>
        <v/>
      </c>
      <c r="E14" s="3">
        <f>COUNTIFS('6.1.6 Innov Support'!I2:I1000,"CAYm1",'6.1.6 Innov Support'!G2:G1000,"Prototype")</f>
        <v/>
      </c>
      <c r="F14" s="3">
        <f>COUNTIFS('6.1.6 Innov Support'!I2:I1000,"CAYm2",'6.1.6 Innov Support'!G2:G1000,"Prototype")</f>
        <v/>
      </c>
    </row>
    <row r="15">
      <c r="A15" s="3" t="inlineStr">
        <is>
          <t>6.1.7 Industry Engg.</t>
        </is>
      </c>
      <c r="B15" s="3" t="inlineStr">
        <is>
          <t>Total industry-engagement records</t>
        </is>
      </c>
      <c r="C15" s="3" t="inlineStr">
        <is>
          <t>Count of rows per year</t>
        </is>
      </c>
      <c r="D15" s="3">
        <f>COUNTIF('6.1.7 Industry Engg.'!I2:I1000,"CAY")</f>
        <v/>
      </c>
      <c r="E15" s="3">
        <f>COUNTIF('6.1.7 Industry Engg.'!I2:I1000,"CAYm1")</f>
        <v/>
      </c>
      <c r="F15" s="3">
        <f>COUNTIF('6.1.7 Industry Engg.'!I2:I1000,"CAYm2")</f>
        <v/>
      </c>
    </row>
    <row r="16">
      <c r="A16" s="3" t="inlineStr">
        <is>
          <t>6.1.7 Industry Engg.</t>
        </is>
      </c>
      <c r="B16" s="3" t="inlineStr">
        <is>
          <t>Publications (industry-linked)</t>
        </is>
      </c>
      <c r="C16" s="3" t="inlineStr">
        <is>
          <t>Count where Outcomes = "Publication"</t>
        </is>
      </c>
      <c r="D16" s="3">
        <f>COUNTIFS('6.1.7 Industry Engg.'!I2:I1000,"CAY",'6.1.7 Industry Engg.'!G2:G1000,"Publication")</f>
        <v/>
      </c>
      <c r="E16" s="3">
        <f>COUNTIFS('6.1.7 Industry Engg.'!I2:I1000,"CAYm1",'6.1.7 Industry Engg.'!G2:G1000,"Publication")</f>
        <v/>
      </c>
      <c r="F16" s="3">
        <f>COUNTIFS('6.1.7 Industry Engg.'!I2:I1000,"CAYm2",'6.1.7 Industry Engg.'!G2:G1000,"Publication")</f>
        <v/>
      </c>
    </row>
    <row r="17">
      <c r="A17" s="3" t="inlineStr">
        <is>
          <t>6.1.7 Industry Engg.</t>
        </is>
      </c>
      <c r="B17" s="3" t="inlineStr">
        <is>
          <t>Prototypes (industry-linked)</t>
        </is>
      </c>
      <c r="C17" s="3" t="inlineStr">
        <is>
          <t>Count where Outcomes = "Prototype"</t>
        </is>
      </c>
      <c r="D17" s="3">
        <f>COUNTIFS('6.1.7 Industry Engg.'!I2:I1000,"CAY",'6.1.7 Industry Engg.'!G2:G1000,"Prototype")</f>
        <v/>
      </c>
      <c r="E17" s="3">
        <f>COUNTIFS('6.1.7 Industry Engg.'!I2:I1000,"CAYm1",'6.1.7 Industry Engg.'!G2:G1000,"Prototype")</f>
        <v/>
      </c>
      <c r="F17" s="3">
        <f>COUNTIFS('6.1.7 Industry Engg.'!I2:I1000,"CAYm2",'6.1.7 Industry Engg.'!G2:G1000,"Prototype")</f>
        <v/>
      </c>
    </row>
    <row r="18">
      <c r="A18" s="3" t="inlineStr">
        <is>
          <t>6.1.7 Industry Engg.</t>
        </is>
      </c>
      <c r="B18" s="3" t="inlineStr">
        <is>
          <t>Startups (industry-linked)</t>
        </is>
      </c>
      <c r="C18" s="3" t="inlineStr">
        <is>
          <t>Count where Outcomes = "Startup"</t>
        </is>
      </c>
      <c r="D18" s="3">
        <f>COUNTIFS('6.1.7 Industry Engg.'!I2:I1000,"CAY",'6.1.7 Industry Engg.'!G2:G1000,"Startup")</f>
        <v/>
      </c>
      <c r="E18" s="3">
        <f>COUNTIFS('6.1.7 Industry Engg.'!I2:I1000,"CAYm1",'6.1.7 Industry Engg.'!G2:G1000,"Startup")</f>
        <v/>
      </c>
      <c r="F18" s="3">
        <f>COUNTIFS('6.1.7 Industry Engg.'!I2:I1000,"CAYm2",'6.1.7 Industry Engg.'!G2:G1000,"Startup")</f>
        <v/>
      </c>
    </row>
    <row r="19">
      <c r="A19" s="3" t="inlineStr">
        <is>
          <t>6.1.7 Industry Engg.</t>
        </is>
      </c>
      <c r="B19" s="3" t="inlineStr">
        <is>
          <t>Funded Projects (industry-linked)</t>
        </is>
      </c>
      <c r="C19" s="3" t="inlineStr">
        <is>
          <t>Count where Outcomes = "Funded Project"</t>
        </is>
      </c>
      <c r="D19" s="3">
        <f>COUNTIFS('6.1.7 Industry Engg.'!I2:I1000,"CAY",'6.1.7 Industry Engg.'!G2:G1000,"Funded Project")</f>
        <v/>
      </c>
      <c r="E19" s="3">
        <f>COUNTIFS('6.1.7 Industry Engg.'!I2:I1000,"CAYm1",'6.1.7 Industry Engg.'!G2:G1000,"Funded Project")</f>
        <v/>
      </c>
      <c r="F19" s="3">
        <f>COUNTIFS('6.1.7 Industry Engg.'!I2:I1000,"CAYm2",'6.1.7 Industry Engg.'!G2:G1000,"Funded Project")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