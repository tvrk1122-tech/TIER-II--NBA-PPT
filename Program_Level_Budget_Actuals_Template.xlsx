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rogram_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<sst xmlns="http://schemas.openxmlformats.org/spreadsheetml/2006/main" count="77" uniqueCount="22">
  <si>
    <t>Items</t>
  </si>
  <si>
    <t>Budgeted in CFY</t>
  </si>
  <si>
    <t>Actual expenses in CFY (till …)</t>
  </si>
  <si>
    <t>Budgeted in CFYm1</t>
  </si>
  <si>
    <t>Actual Expenses in CFYm1</t>
  </si>
  <si>
    <t>Budgeted in CFYm2</t>
  </si>
  <si>
    <t>Actual Expenses in CFYm2</t>
  </si>
  <si>
    <t>Budgeted in CFYm3</t>
  </si>
  <si>
    <t>Actual Expenses in CFYm3</t>
  </si>
  <si>
    <t>Total Budgeted (CFY+CFYm1+CFYm2+CFYm3)</t>
  </si>
  <si>
    <t>Total Actual (CFY+CFYm1+CFYm2+CFYm3)</t>
  </si>
  <si>
    <t>Variance (Actual - Budgeted)</t>
  </si>
  <si>
    <t>Variance %</t>
  </si>
  <si>
    <t>Laboratory equipment</t>
  </si>
  <si>
    <t/>
  </si>
  <si>
    <t>Software</t>
  </si>
  <si>
    <t>SDGs</t>
  </si>
  <si>
    <t>Support for faculty development</t>
  </si>
  <si>
    <t>R &amp; D</t>
  </si>
  <si>
    <t>Industrial Training / Industry Expert Talks / Internships</t>
  </si>
  <si>
    <t>Miscellaneous expenses *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</si>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</sst>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A1" sqref="A1"/>
    </sheetView>
  </sheetViews>
  <sheetFormatPr defaultColWidth="9" defaultRowHeight="14.4"/>
  <cols>
    <col min="1" max="1" width="49.5555555555556" customWidth="1"/>
    <col min="2" max="2" width="15.8888888888889" customWidth="1"/>
    <col min="3" max="3" width="28.2222222222222" customWidth="1"/>
    <col min="4" max="4" width="18.8888888888889" customWidth="1"/>
    <col min="5" max="5" width="24.8888888888889" customWidth="1"/>
    <col min="6" max="6" width="18.8888888888889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2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e">
        <f t="shared" ref="J2:J8" si="0">B2+D2+F2+H2</f>
        <v>#VALUE!</v>
      </c>
      <c r="K2" t="e">
        <f t="shared" ref="K2:K8" si="1">C2+E2+G2+I2</f>
        <v>#VALUE!</v>
      </c>
      <c r="L2" t="e">
        <f t="shared" ref="L2:L9" si="2">K2-J2</f>
        <v>#VALUE!</v>
      </c>
    </row>
    <row r="3" spans="1:12">
      <c r="A3" t="s">
        <v>15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e">
        <f t="shared" si="0"/>
        <v>#VALUE!</v>
      </c>
      <c r="K3" t="e">
        <f t="shared" si="1"/>
        <v>#VALUE!</v>
      </c>
      <c r="L3" t="e">
        <f t="shared" si="2"/>
        <v>#VALUE!</v>
      </c>
    </row>
    <row r="4" spans="1:12">
      <c r="A4" t="s">
        <v>16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e">
        <f t="shared" si="0"/>
        <v>#VALUE!</v>
      </c>
      <c r="K4" t="e">
        <f t="shared" si="1"/>
        <v>#VALUE!</v>
      </c>
      <c r="L4" t="e">
        <f t="shared" si="2"/>
        <v>#VALUE!</v>
      </c>
    </row>
    <row r="5" spans="1:12">
      <c r="A5" t="s">
        <v>17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e">
        <f t="shared" si="0"/>
        <v>#VALUE!</v>
      </c>
      <c r="K5" t="e">
        <f t="shared" si="1"/>
        <v>#VALUE!</v>
      </c>
      <c r="L5" t="e">
        <f t="shared" si="2"/>
        <v>#VALUE!</v>
      </c>
    </row>
    <row r="6" spans="1:12">
      <c r="A6" t="s">
        <v>18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e">
        <f t="shared" si="0"/>
        <v>#VALUE!</v>
      </c>
      <c r="K6" t="e">
        <f t="shared" si="1"/>
        <v>#VALUE!</v>
      </c>
      <c r="L6" t="e">
        <f t="shared" si="2"/>
        <v>#VALUE!</v>
      </c>
    </row>
    <row r="7" spans="1:12">
      <c r="A7" t="s">
        <v>19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e">
        <f t="shared" si="0"/>
        <v>#VALUE!</v>
      </c>
      <c r="K7" t="e">
        <f t="shared" si="1"/>
        <v>#VALUE!</v>
      </c>
      <c r="L7" t="e">
        <f t="shared" si="2"/>
        <v>#VALUE!</v>
      </c>
    </row>
    <row r="8" spans="1:12">
      <c r="A8" t="s">
        <v>20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e">
        <f t="shared" si="0"/>
        <v>#VALUE!</v>
      </c>
      <c r="K8" t="e">
        <f t="shared" si="1"/>
        <v>#VALUE!</v>
      </c>
      <c r="L8" t="e">
        <f t="shared" si="2"/>
        <v>#VALUE!</v>
      </c>
    </row>
    <row r="9" spans="1:13">
      <c r="A9" t="s">
        <v>21</v>
      </c>
      <c r="B9">
        <f t="shared" ref="B9:K9" si="3">SUM(B2:B8)</f>
        <v>0</v>
      </c>
      <c r="C9">
        <f t="shared" si="3"/>
        <v>0</v>
      </c>
      <c r="D9">
        <f t="shared" si="3"/>
        <v>0</v>
      </c>
      <c r="E9">
        <f t="shared" si="3"/>
        <v>0</v>
      </c>
      <c r="F9">
        <f t="shared" si="3"/>
        <v>0</v>
      </c>
      <c r="G9">
        <f t="shared" si="3"/>
        <v>0</v>
      </c>
      <c r="H9">
        <f t="shared" si="3"/>
        <v>0</v>
      </c>
      <c r="I9">
        <f t="shared" si="3"/>
        <v>0</v>
      </c>
      <c r="J9" t="e">
        <f t="shared" si="3"/>
        <v>#VALUE!</v>
      </c>
      <c r="K9" t="e">
        <f t="shared" si="3"/>
        <v>#VALUE!</v>
      </c>
      <c r="L9" t="e">
        <f t="shared" si="2"/>
        <v>#VALUE!</v>
      </c>
      <c r="M9" t="str">
        <f>IFERROR((K9-J9)/J9,"")</f>
        <v/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Program_Budget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totte</cp:lastModifiedBy>
  <dcterms:created xsi:type="dcterms:W3CDTF">2025-08-28T04:22:00Z</dcterms:created>
  <dcterms:modified xsi:type="dcterms:W3CDTF">2026-02-28T15:37:28Z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202A055378BB496B946D45CC317C6658_12</vt:lpwstr>
  </property>
  <property fmtid="{D5CDD505-2E9C-101B-9397-08002B2CF9AE}" pid="3" name="KSOProductBuildVer">
    <vt:lpwstr>1033-12.2.0.23196</vt:lpwstr>
  </property>
</Properties>
</file>