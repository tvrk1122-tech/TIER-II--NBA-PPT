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dmission_Register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9CB9C"/>
        <bgColor rgb="00F9C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Admission Register + Summary Tracker — NBA SFR Evidence</t>
        </is>
      </c>
    </row>
    <row r="3">
      <c r="A3" t="inlineStr">
        <is>
          <t>- Enter student-level admission data in 'Admission_Register'.</t>
        </is>
      </c>
    </row>
    <row r="4">
      <c r="A4" t="inlineStr">
        <is>
          <t>- Mark Admission Type (Regular/Lateral/SNQ/EWS/TFWS) from dropdowns.</t>
        </is>
      </c>
    </row>
    <row r="5">
      <c r="A5" t="inlineStr">
        <is>
          <t>- 'Count_for_SFR' column auto-marks Yes for Regular/Lateral (≤10% cap) and No for SNQ/EWS/TFWS.</t>
        </is>
      </c>
    </row>
    <row r="6">
      <c r="A6" t="inlineStr">
        <is>
          <t>- 'Summary' sheet auto-computes Program-wise totals: SA, Admitted, Lateral, SNQ/EWS, Effective_ST (capped at 110% SA).</t>
        </is>
      </c>
    </row>
    <row r="7">
      <c r="A7" t="inlineStr">
        <is>
          <t>- Ensure Effective_ST matches SFR table (Table 5.1.2).</t>
        </is>
      </c>
    </row>
    <row r="8">
      <c r="A8" t="inlineStr">
        <is>
          <t>- Keep signed hard copies of admission registers &amp; approvals as supporting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22" customWidth="1" min="4" max="4"/>
    <col width="20" customWidth="1" min="5" max="5"/>
    <col width="16" customWidth="1" min="6" max="6"/>
    <col width="16" customWidth="1" min="7" max="7"/>
    <col width="26" customWidth="1" min="8" max="8"/>
    <col width="18" customWidth="1" min="9" max="9"/>
    <col width="20" customWidth="1" min="10" max="10"/>
    <col width="24" customWidth="1" min="11" max="11"/>
  </cols>
  <sheetData>
    <row r="1">
      <c r="A1" s="2" t="inlineStr">
        <is>
          <t>Sl_No</t>
        </is>
      </c>
      <c r="B1" s="2" t="inlineStr">
        <is>
          <t>Student_Name</t>
        </is>
      </c>
      <c r="C1" s="2" t="inlineStr">
        <is>
          <t>Roll_No</t>
        </is>
      </c>
      <c r="D1" s="2" t="inlineStr">
        <is>
          <t>Program</t>
        </is>
      </c>
      <c r="E1" s="2" t="inlineStr">
        <is>
          <t>Dept/Cluster</t>
        </is>
      </c>
      <c r="F1" s="2" t="inlineStr">
        <is>
          <t>Year (CAY/CAYm1/CAYm2)</t>
        </is>
      </c>
      <c r="G1" s="2" t="inlineStr">
        <is>
          <t>Admission_Year (1st/2nd)</t>
        </is>
      </c>
      <c r="H1" s="2" t="inlineStr">
        <is>
          <t>Admission_Type (Regular/Lateral/SNQ/EWS/TFWS)</t>
        </is>
      </c>
      <c r="I1" s="2" t="inlineStr">
        <is>
          <t>Allotted_Quota</t>
        </is>
      </c>
      <c r="J1" s="2" t="inlineStr">
        <is>
          <t>Count_for_SFR (Yes/No)</t>
        </is>
      </c>
      <c r="K1" s="2" t="inlineStr">
        <is>
          <t>Remarks</t>
        </is>
      </c>
    </row>
    <row r="2">
      <c r="A2" s="3" t="n">
        <v>1</v>
      </c>
      <c r="B2" s="3" t="inlineStr">
        <is>
          <t>A.B. Student</t>
        </is>
      </c>
      <c r="C2" s="3" t="inlineStr">
        <is>
          <t>CSE2025-001</t>
        </is>
      </c>
      <c r="D2" s="3" t="inlineStr">
        <is>
          <t>B.Tech CSE</t>
        </is>
      </c>
      <c r="E2" s="3" t="inlineStr">
        <is>
          <t>CSE</t>
        </is>
      </c>
      <c r="F2" s="3" t="inlineStr">
        <is>
          <t>CAY</t>
        </is>
      </c>
      <c r="G2" s="3" t="inlineStr">
        <is>
          <t>1st</t>
        </is>
      </c>
      <c r="H2" s="3" t="inlineStr">
        <is>
          <t>Regular</t>
        </is>
      </c>
      <c r="I2" s="3" t="inlineStr">
        <is>
          <t>General</t>
        </is>
      </c>
      <c r="J2" s="3" t="inlineStr">
        <is>
          <t>Yes</t>
        </is>
      </c>
      <c r="K2" s="3" t="inlineStr"/>
    </row>
    <row r="3">
      <c r="A3" s="3" t="n">
        <v>2</v>
      </c>
      <c r="B3" s="3" t="inlineStr">
        <is>
          <t>C.D. Student</t>
        </is>
      </c>
      <c r="C3" s="3" t="inlineStr">
        <is>
          <t>CSE2025-045</t>
        </is>
      </c>
      <c r="D3" s="3" t="inlineStr">
        <is>
          <t>B.Tech CSE</t>
        </is>
      </c>
      <c r="E3" s="3" t="inlineStr">
        <is>
          <t>CSE</t>
        </is>
      </c>
      <c r="F3" s="3" t="inlineStr">
        <is>
          <t>CAY</t>
        </is>
      </c>
      <c r="G3" s="3" t="inlineStr">
        <is>
          <t>2nd</t>
        </is>
      </c>
      <c r="H3" s="3" t="inlineStr">
        <is>
          <t>Lateral</t>
        </is>
      </c>
      <c r="I3" s="3" t="inlineStr">
        <is>
          <t>Diploma</t>
        </is>
      </c>
      <c r="J3" s="3" t="inlineStr">
        <is>
          <t>Yes</t>
        </is>
      </c>
      <c r="K3" s="3" t="inlineStr">
        <is>
          <t>&lt;=10% cap</t>
        </is>
      </c>
    </row>
    <row r="4">
      <c r="A4" s="3" t="n">
        <v>3</v>
      </c>
      <c r="B4" s="3" t="inlineStr">
        <is>
          <t>E.F. Student</t>
        </is>
      </c>
      <c r="C4" s="3" t="inlineStr">
        <is>
          <t>CSE2025-050</t>
        </is>
      </c>
      <c r="D4" s="3" t="inlineStr">
        <is>
          <t>B.Tech CSE</t>
        </is>
      </c>
      <c r="E4" s="3" t="inlineStr">
        <is>
          <t>CSE</t>
        </is>
      </c>
      <c r="F4" s="3" t="inlineStr">
        <is>
          <t>CAY</t>
        </is>
      </c>
      <c r="G4" s="3" t="inlineStr">
        <is>
          <t>1st</t>
        </is>
      </c>
      <c r="H4" s="3" t="inlineStr">
        <is>
          <t>SNQ</t>
        </is>
      </c>
      <c r="I4" s="3" t="inlineStr">
        <is>
          <t>SNQ</t>
        </is>
      </c>
      <c r="J4" s="3" t="inlineStr">
        <is>
          <t>No</t>
        </is>
      </c>
      <c r="K4" s="3" t="inlineStr">
        <is>
          <t>Excluded from SFR</t>
        </is>
      </c>
    </row>
  </sheetData>
  <dataValidations count="4">
    <dataValidation sqref="F2:F10000" showErrorMessage="1" showInputMessage="1" allowBlank="0" type="list">
      <formula1>"CAY,CAYm1,CAYm2"</formula1>
    </dataValidation>
    <dataValidation sqref="G2:G10000" showErrorMessage="1" showInputMessage="1" allowBlank="0" type="list">
      <formula1>"1st,2nd"</formula1>
    </dataValidation>
    <dataValidation sqref="H2:H10000" showErrorMessage="1" showInputMessage="1" allowBlank="0" type="list">
      <formula1>"Regular,Lateral,SNQ,EWS,TFWS"</formula1>
    </dataValidation>
    <dataValidation sqref="J2:J10000" showErrorMessage="1" showInputMessage="1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8" customWidth="1" min="4" max="4"/>
    <col width="22" customWidth="1" min="5" max="5"/>
    <col width="22" customWidth="1" min="6" max="6"/>
    <col width="22" customWidth="1" min="7" max="7"/>
    <col width="34" customWidth="1" min="8" max="8"/>
  </cols>
  <sheetData>
    <row r="1">
      <c r="A1" s="2" t="inlineStr">
        <is>
          <t>Program</t>
        </is>
      </c>
      <c r="B1" s="2" t="inlineStr">
        <is>
          <t>Dept/Cluster</t>
        </is>
      </c>
      <c r="C1" s="2" t="inlineStr">
        <is>
          <t>Year</t>
        </is>
      </c>
      <c r="D1" s="2" t="inlineStr">
        <is>
          <t>SA (AICTE/Univ)</t>
        </is>
      </c>
      <c r="E1" s="2" t="inlineStr">
        <is>
          <t>Admitted_1st_Year</t>
        </is>
      </c>
      <c r="F1" s="2" t="inlineStr">
        <is>
          <t>Lateral_Entry (L)</t>
        </is>
      </c>
      <c r="G1" s="2" t="inlineStr">
        <is>
          <t>SNQ/EWS/TFWS</t>
        </is>
      </c>
      <c r="H1" s="2" t="inlineStr">
        <is>
          <t>Effective_ST_for_SFR (SA+L, capped 110% of SA)</t>
        </is>
      </c>
    </row>
    <row r="2">
      <c r="A2" s="3" t="inlineStr">
        <is>
          <t>B.Tech CSE</t>
        </is>
      </c>
      <c r="B2" s="3" t="inlineStr">
        <is>
          <t>CSE</t>
        </is>
      </c>
      <c r="C2" s="3" t="inlineStr">
        <is>
          <t>CAY</t>
        </is>
      </c>
      <c r="D2" s="3" t="n">
        <v>120</v>
      </c>
      <c r="E2" s="3" t="n">
        <v>118</v>
      </c>
      <c r="F2" s="3" t="n">
        <v>10</v>
      </c>
      <c r="G2" s="3" t="n">
        <v>6</v>
      </c>
      <c r="H2" s="3">
        <f>MIN(D2*1.1,D2+E2)</f>
        <v/>
      </c>
    </row>
    <row r="3">
      <c r="A3" s="3" t="inlineStr">
        <is>
          <t>B.Tech CSE</t>
        </is>
      </c>
      <c r="B3" s="3" t="inlineStr">
        <is>
          <t>CSE</t>
        </is>
      </c>
      <c r="C3" s="3" t="inlineStr">
        <is>
          <t>CAYm1</t>
        </is>
      </c>
      <c r="D3" s="3" t="n">
        <v>120</v>
      </c>
      <c r="E3" s="3" t="n">
        <v>115</v>
      </c>
      <c r="F3" s="3" t="n">
        <v>8</v>
      </c>
      <c r="G3" s="3" t="n">
        <v>4</v>
      </c>
      <c r="H3" s="3">
        <f>MIN(D3*1.1,D3+E3)</f>
        <v/>
      </c>
    </row>
    <row r="4">
      <c r="A4" s="3" t="inlineStr">
        <is>
          <t>B.Tech IT</t>
        </is>
      </c>
      <c r="B4" s="3" t="inlineStr">
        <is>
          <t>IT (Allied)</t>
        </is>
      </c>
      <c r="C4" s="3" t="inlineStr">
        <is>
          <t>CAYm2</t>
        </is>
      </c>
      <c r="D4" s="3" t="n">
        <v>60</v>
      </c>
      <c r="E4" s="3" t="n">
        <v>58</v>
      </c>
      <c r="F4" s="3" t="n">
        <v>5</v>
      </c>
      <c r="G4" s="3" t="n">
        <v>3</v>
      </c>
      <c r="H4" s="3">
        <f>MIN(D4*1.1,D4+E4)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2025-08-28T13:57:00Z</dcterms:created>
  <dcterms:modified xmlns:dcterms="http://purl.org/dc/terms/" xmlns:xsi="http://www.w3.org/2001/XMLSchema-instance" xsi:type="dcterms:W3CDTF">2025-08-28T13:57:00Z</dcterms:modified>
</cp:coreProperties>
</file>