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Results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<sst xmlns="http://schemas.openxmlformats.org/spreadsheetml/2006/main" count="70" uniqueCount="38">
  <si>
    <t>Year of Entry (Label)</t>
  </si>
  <si>
    <t>Academic Year (e.g., 2020-21)</t>
  </si>
  <si>
    <t>Roll No</t>
  </si>
  <si>
    <t>Student Name</t>
  </si>
  <si>
    <t>Result Status (PASS / PASS WITH BACKLOG / FAIL)</t>
  </si>
  <si>
    <t>Remarks</t>
  </si>
  <si>
    <t>Total Students Appeared</t>
  </si>
  <si>
    <t>Graduated WITHOUT Backlogs</t>
  </si>
  <si>
    <t>Graduated WITH Backlogs</t>
  </si>
  <si>
    <t>Failed/Not Graduated</t>
  </si>
  <si>
    <t>Total Graduated (Auto)</t>
  </si>
  <si>
    <t>Graduation Efficiency % (Auto)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</si>
  <si>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</si>
  <si>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</si>
  <si>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</si>
  <si>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</si>
  <si>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</si>
  <si>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</si>
  <si>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</si>
  <si>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(Result Gazette / Passing Board Report)</t>
  </si>
  <si>
    <t>File Path or Link</t>
  </si>
  <si>
    <t>Verified By</t>
  </si>
  <si>
    <t>Verification Date (YYYY-MM-DD)</t>
  </si>
  <si>
    <t>Instructions</t>
  </si>
  <si>
    <t>Gazette Mapping Sheet – NBA Criterion 4 (Graduation Performance)</t>
  </si>
  <si>
    <t>Purpose: To map University Result Gazette data (student-wise) into year-wise graduation summaries.</t>
  </si>
  <si>
    <t>How to use:</t>
  </si>
  <si>
    <t>1) Paste student-wise results into 'Student_Results': Roll No, Name, and Result Status.</t>
  </si>
  <si>
    <t xml:space="preserve">   - Valid values for Result Status: PASS / PASS WITH BACKLOG / FAIL.</t>
  </si>
  <si>
    <t>2) 'Yearly_Summary' auto-computes totals for each Year of Entry (CAY..CAYm6).</t>
  </si>
  <si>
    <t xml:space="preserve">   - Total Students Appeared = count of students per batch.</t>
  </si>
  <si>
    <t xml:space="preserve">   - Graduated WITHOUT Backlogs = count of PASS.</t>
  </si>
  <si>
    <t xml:space="preserve">   - Graduated WITH Backlogs = count of PASS WITH BACKLOG.</t>
  </si>
  <si>
    <t xml:space="preserve">   - Failed/Not Graduated = count of FAIL.</t>
  </si>
  <si>
    <t xml:space="preserve">   - Total Graduated = sum of PASS + PASS WITH BACKLOG.</t>
  </si>
  <si>
    <t xml:space="preserve">   - Graduation Efficiency % = Total Graduated / Total Students.</t>
  </si>
  <si>
    <t>3) Attach Gazette/Passing Board Report scans in 'Docs_Log'.</t>
  </si>
  <si>
    <t>Tip: Use consistent Year of Entry labels (CAY..CAYm6) to align with other NBA Registers.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</si>
</sst>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4" width="25.7109375" customWidth="1"/>
    <col min="5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8" width="28.7109375" customWidth="1"/>
  </cols>
  <sheetData>
    <row r="1" spans="1:8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t="s">
        <v>12</v>
      </c>
      <c r="C2" s="2">
        <f>COUNTIF(Student_Results!$A$2:$A$201,"CAY")</f>
        <v>0</v>
      </c>
      <c r="D2" s="2">
        <f>COUNTIFS(Student_Results!$A$2:$A$201,"CAY",Student_Results!$E$2:$E$201,"PASS")</f>
        <v>0</v>
      </c>
      <c r="E2" s="2">
        <f>COUNTIFS(Student_Results!$A$2:$A$201,"CAY",Student_Results!$E$2:$E$201,"PASS WITH BACKLOG")</f>
        <v>0</v>
      </c>
      <c r="F2" s="2">
        <f>COUNTIFS(Student_Results!$A$2:$A$201,"CAY",Student_Results!$E$2:$E$201,"FAIL")</f>
        <v>0</v>
      </c>
      <c r="G2" s="2">
        <f>SUM(D2,E2)</f>
        <v>0</v>
      </c>
      <c r="H2" s="3">
        <f>IFERROR(F2/C2,"")</f>
        <v>0</v>
      </c>
    </row>
    <row r="3" spans="1:8">
      <c r="A3" t="s">
        <v>13</v>
      </c>
      <c r="C3" s="2">
        <f>COUNTIF(Student_Results!$A$2:$A$201,"CAYm1")</f>
        <v>0</v>
      </c>
      <c r="D3" s="2">
        <f>COUNTIFS(Student_Results!$A$2:$A$201,"CAYm1",Student_Results!$E$2:$E$201,"PASS")</f>
        <v>0</v>
      </c>
      <c r="E3" s="2">
        <f>COUNTIFS(Student_Results!$A$2:$A$201,"CAYm1",Student_Results!$E$2:$E$201,"PASS WITH BACKLOG")</f>
        <v>0</v>
      </c>
      <c r="F3" s="2">
        <f>COUNTIFS(Student_Results!$A$2:$A$201,"CAYm1",Student_Results!$E$2:$E$201,"FAIL")</f>
        <v>0</v>
      </c>
      <c r="G3" s="2">
        <f>SUM(D3,E3)</f>
        <v>0</v>
      </c>
      <c r="H3" s="3">
        <f>IFERROR(F3/C3,"")</f>
        <v>0</v>
      </c>
    </row>
    <row r="4" spans="1:8">
      <c r="A4" t="s">
        <v>14</v>
      </c>
      <c r="C4" s="2">
        <f>COUNTIF(Student_Results!$A$2:$A$201,"CAYm2")</f>
        <v>0</v>
      </c>
      <c r="D4" s="2">
        <f>COUNTIFS(Student_Results!$A$2:$A$201,"CAYm2",Student_Results!$E$2:$E$201,"PASS")</f>
        <v>0</v>
      </c>
      <c r="E4" s="2">
        <f>COUNTIFS(Student_Results!$A$2:$A$201,"CAYm2",Student_Results!$E$2:$E$201,"PASS WITH BACKLOG")</f>
        <v>0</v>
      </c>
      <c r="F4" s="2">
        <f>COUNTIFS(Student_Results!$A$2:$A$201,"CAYm2",Student_Results!$E$2:$E$201,"FAIL")</f>
        <v>0</v>
      </c>
      <c r="G4" s="2">
        <f>SUM(D4,E4)</f>
        <v>0</v>
      </c>
      <c r="H4" s="3">
        <f>IFERROR(F4/C4,"")</f>
        <v>0</v>
      </c>
    </row>
    <row r="5" spans="1:8">
      <c r="A5" t="s">
        <v>15</v>
      </c>
      <c r="C5" s="2">
        <f>COUNTIF(Student_Results!$A$2:$A$201,"CAYm3")</f>
        <v>0</v>
      </c>
      <c r="D5" s="2">
        <f>COUNTIFS(Student_Results!$A$2:$A$201,"CAYm3",Student_Results!$E$2:$E$201,"PASS")</f>
        <v>0</v>
      </c>
      <c r="E5" s="2">
        <f>COUNTIFS(Student_Results!$A$2:$A$201,"CAYm3",Student_Results!$E$2:$E$201,"PASS WITH BACKLOG")</f>
        <v>0</v>
      </c>
      <c r="F5" s="2">
        <f>COUNTIFS(Student_Results!$A$2:$A$201,"CAYm3",Student_Results!$E$2:$E$201,"FAIL")</f>
        <v>0</v>
      </c>
      <c r="G5" s="2">
        <f>SUM(D5,E5)</f>
        <v>0</v>
      </c>
      <c r="H5" s="3">
        <f>IFERROR(F5/C5,"")</f>
        <v>0</v>
      </c>
    </row>
    <row r="6" spans="1:8">
      <c r="A6" t="s">
        <v>16</v>
      </c>
      <c r="C6" s="2">
        <f>COUNTIF(Student_Results!$A$2:$A$201,"CAYm4 (LYG)")</f>
        <v>0</v>
      </c>
      <c r="D6" s="2">
        <f>COUNTIFS(Student_Results!$A$2:$A$201,"CAYm4 (LYG)",Student_Results!$E$2:$E$201,"PASS")</f>
        <v>0</v>
      </c>
      <c r="E6" s="2">
        <f>COUNTIFS(Student_Results!$A$2:$A$201,"CAYm4 (LYG)",Student_Results!$E$2:$E$201,"PASS WITH BACKLOG")</f>
        <v>0</v>
      </c>
      <c r="F6" s="2">
        <f>COUNTIFS(Student_Results!$A$2:$A$201,"CAYm4 (LYG)",Student_Results!$E$2:$E$201,"FAIL")</f>
        <v>0</v>
      </c>
      <c r="G6" s="2">
        <f>SUM(D6,E6)</f>
        <v>0</v>
      </c>
      <c r="H6" s="3">
        <f>IFERROR(F6/C6,"")</f>
        <v>0</v>
      </c>
    </row>
    <row r="7" spans="1:8">
      <c r="A7" t="s">
        <v>17</v>
      </c>
      <c r="C7" s="2">
        <f>COUNTIF(Student_Results!$A$2:$A$201,"CAYm5 (LYGm1)")</f>
        <v>0</v>
      </c>
      <c r="D7" s="2">
        <f>COUNTIFS(Student_Results!$A$2:$A$201,"CAYm5 (LYGm1)",Student_Results!$E$2:$E$201,"PASS")</f>
        <v>0</v>
      </c>
      <c r="E7" s="2">
        <f>COUNTIFS(Student_Results!$A$2:$A$201,"CAYm5 (LYGm1)",Student_Results!$E$2:$E$201,"PASS WITH BACKLOG")</f>
        <v>0</v>
      </c>
      <c r="F7" s="2">
        <f>COUNTIFS(Student_Results!$A$2:$A$201,"CAYm5 (LYGm1)",Student_Results!$E$2:$E$201,"FAIL")</f>
        <v>0</v>
      </c>
      <c r="G7" s="2">
        <f>SUM(D7,E7)</f>
        <v>0</v>
      </c>
      <c r="H7" s="3">
        <f>IFERROR(F7/C7,"")</f>
        <v>0</v>
      </c>
    </row>
    <row r="8" spans="1:8">
      <c r="A8" t="s">
        <v>18</v>
      </c>
      <c r="C8" s="2">
        <f>COUNTIF(Student_Results!$A$2:$A$201,"CAYm6 (LYGm2)")</f>
        <v>0</v>
      </c>
      <c r="D8" s="2">
        <f>COUNTIFS(Student_Results!$A$2:$A$201,"CAYm6 (LYGm2)",Student_Results!$E$2:$E$201,"PASS")</f>
        <v>0</v>
      </c>
      <c r="E8" s="2">
        <f>COUNTIFS(Student_Results!$A$2:$A$201,"CAYm6 (LYGm2)",Student_Results!$E$2:$E$201,"PASS WITH BACKLOG")</f>
        <v>0</v>
      </c>
      <c r="F8" s="2">
        <f>COUNTIFS(Student_Results!$A$2:$A$201,"CAYm6 (LYGm2)",Student_Results!$E$2:$E$201,"FAIL")</f>
        <v>0</v>
      </c>
      <c r="G8" s="2">
        <f>SUM(D8,E8)</f>
        <v>0</v>
      </c>
      <c r="H8" s="3">
        <f>IFERROR(F8/C8,"")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5</v>
      </c>
    </row>
    <row r="2" spans="1:6">
      <c r="A2" t="s">
        <v>12</v>
      </c>
    </row>
    <row r="3" spans="1:6">
      <c r="A3" t="s">
        <v>13</v>
      </c>
    </row>
    <row r="4" spans="1:6">
      <c r="A4" t="s">
        <v>14</v>
      </c>
    </row>
    <row r="5" spans="1:6">
      <c r="A5" t="s">
        <v>15</v>
      </c>
    </row>
    <row r="6" spans="1:6">
      <c r="A6" t="s">
        <v>16</v>
      </c>
    </row>
    <row r="7" spans="1:6">
      <c r="A7" t="s">
        <v>17</v>
      </c>
    </row>
    <row r="8" spans="1:6">
      <c r="A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23</v>
      </c>
    </row>
    <row r="2" spans="1:1">
      <c r="A2" t="s">
        <v>24</v>
      </c>
    </row>
    <row r="4" spans="1:1">
      <c r="A4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8" spans="1:1">
      <c r="A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Student_Results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2025-08-26T05:09:07Z</dcterms:created>
  <dcterms:modified xsi:type="dcterms:W3CDTF">2025-08-26T05:09:07Z</dcterms:modified>
</cp:coreProperties>
</file>