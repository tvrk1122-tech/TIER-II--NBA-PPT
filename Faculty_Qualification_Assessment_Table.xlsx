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8" customWidth="1" min="4" max="4"/>
    <col width="12" customWidth="1" min="5" max="5"/>
    <col width="18" customWidth="1" min="6" max="6"/>
    <col width="24" customWidth="1" min="7" max="7"/>
    <col width="16" customWidth="1" min="8" max="8"/>
  </cols>
  <sheetData>
    <row r="1">
      <c r="A1" s="1" t="inlineStr">
        <is>
          <t>Year</t>
        </is>
      </c>
      <c r="B1" s="1" t="inlineStr">
        <is>
          <t>X (Ph.D.)</t>
        </is>
      </c>
      <c r="C1" s="1" t="inlineStr">
        <is>
          <t>Y (M.Tech/ME)</t>
        </is>
      </c>
      <c r="D1" s="1" t="inlineStr">
        <is>
          <t>S (Total Students: Dept+Allied)</t>
        </is>
      </c>
      <c r="E1" s="1" t="inlineStr">
        <is>
          <t>RF (=S/20)</t>
        </is>
      </c>
      <c r="F1" s="1" t="inlineStr">
        <is>
          <t>Weighted (10X+4Y)</t>
        </is>
      </c>
      <c r="G1" s="1" t="inlineStr">
        <is>
          <t>FQI_raw = 2.5*(Weighted/RF)</t>
        </is>
      </c>
      <c r="H1" s="1" t="inlineStr">
        <is>
          <t>FQI_capped_25</t>
        </is>
      </c>
    </row>
    <row r="2">
      <c r="A2" s="2" t="inlineStr">
        <is>
          <t>CAY</t>
        </is>
      </c>
      <c r="B2" s="2" t="inlineStr"/>
      <c r="C2" s="2" t="inlineStr"/>
      <c r="D2" s="2" t="inlineStr"/>
      <c r="E2" s="3">
        <f>IF(D2&gt;0,D2/20,"")</f>
        <v/>
      </c>
      <c r="F2" s="4">
        <f>IF(AND(B2&gt;0,C2&gt;-1),10*B2+4*C2,"")</f>
        <v/>
      </c>
      <c r="G2" s="3">
        <f>IF(E2&gt;0,2.5*(F2/E2),"")</f>
        <v/>
      </c>
      <c r="H2" s="3">
        <f>IF(G2&lt;&gt;"",MIN(G2,25),"")</f>
        <v/>
      </c>
    </row>
    <row r="3">
      <c r="A3" s="2" t="inlineStr">
        <is>
          <t>CAYm1</t>
        </is>
      </c>
      <c r="B3" s="2" t="inlineStr"/>
      <c r="C3" s="2" t="inlineStr"/>
      <c r="D3" s="2" t="inlineStr"/>
      <c r="E3" s="3">
        <f>IF(D3&gt;0,D3/20,"")</f>
        <v/>
      </c>
      <c r="F3" s="4">
        <f>IF(AND(B3&gt;0,C3&gt;-1),10*B3+4*C3,"")</f>
        <v/>
      </c>
      <c r="G3" s="3">
        <f>IF(E3&gt;0,2.5*(F3/E3),"")</f>
        <v/>
      </c>
      <c r="H3" s="3">
        <f>IF(G3&lt;&gt;"",MIN(G3,25),"")</f>
        <v/>
      </c>
    </row>
    <row r="4">
      <c r="A4" s="2" t="inlineStr">
        <is>
          <t>CAYm2</t>
        </is>
      </c>
      <c r="B4" s="2" t="inlineStr"/>
      <c r="C4" s="2" t="inlineStr"/>
      <c r="D4" s="2" t="inlineStr"/>
      <c r="E4" s="3">
        <f>IF(D4&gt;0,D4/20,"")</f>
        <v/>
      </c>
      <c r="F4" s="4">
        <f>IF(AND(B4&gt;0,C4&gt;-1),10*B4+4*C4,"")</f>
        <v/>
      </c>
      <c r="G4" s="3">
        <f>IF(E4&gt;0,2.5*(F4/E4),"")</f>
        <v/>
      </c>
      <c r="H4" s="3">
        <f>IF(G4&lt;&gt;"",MIN(G4,25),"")</f>
        <v/>
      </c>
    </row>
    <row r="5">
      <c r="A5" s="2" t="inlineStr">
        <is>
          <t>Average Assessment</t>
        </is>
      </c>
      <c r="B5" s="2" t="inlineStr"/>
      <c r="C5" s="2" t="inlineStr"/>
      <c r="D5" s="2" t="inlineStr"/>
      <c r="E5" s="3" t="inlineStr"/>
      <c r="F5" s="4" t="inlineStr"/>
      <c r="G5" s="3" t="inlineStr"/>
      <c r="H5" s="3">
        <f>IF(COUNTA(H2:H4)=3,AVERAGE(H2:H4),"")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to use the Faculty Qualification Assessment Table</t>
        </is>
      </c>
    </row>
    <row r="3">
      <c r="A3" t="inlineStr">
        <is>
          <t>- Enter X (Ph.D. count) and Y (M.Tech/ME count) as full-time, approved faculty ONLY (exclude visiting/adjunct/part-time &amp; 100% first-year-only).</t>
        </is>
      </c>
    </row>
    <row r="4">
      <c r="A4" t="inlineStr">
        <is>
          <t>- Enter S (Total Students) per year from Criterion 5.1: include ALL engineering students in Department + Allied (apply SA+L rules; exclude SNQ/EWS/TFWS).</t>
        </is>
      </c>
    </row>
    <row r="5">
      <c r="A5" t="inlineStr">
        <is>
          <t>- RF auto-computes as S/20 (NBA’s 20:1 rule).</t>
        </is>
      </c>
    </row>
    <row r="6">
      <c r="A6" t="inlineStr">
        <is>
          <t>- Weighted = 10*X + 4*Y; FQI_raw = 2.5*(Weighted/RF); FQI_capped_25 enforces the 25-mark maximum.</t>
        </is>
      </c>
    </row>
    <row r="7">
      <c r="A7" t="inlineStr">
        <is>
          <t>- Average Assessment auto-calculates the mean of the three years’ capped FQI values.</t>
        </is>
      </c>
    </row>
    <row r="8">
      <c r="A8" t="inlineStr">
        <is>
          <t>- Exclude non-engineering programs (MCA/BCA etc.) from X, Y, and S/RF as per Table 5.2.1 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