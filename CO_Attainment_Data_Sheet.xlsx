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 Attain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S.No</t>
        </is>
      </c>
      <c r="B1" s="1" t="inlineStr">
        <is>
          <t>Student Roll No</t>
        </is>
      </c>
      <c r="C1" s="1" t="inlineStr">
        <is>
          <t>Student Name</t>
        </is>
      </c>
      <c r="D1" s="1" t="inlineStr">
        <is>
          <t>Assessment Tool</t>
        </is>
      </c>
      <c r="E1" s="1" t="inlineStr">
        <is>
          <t>Question No</t>
        </is>
      </c>
      <c r="F1" s="1" t="inlineStr">
        <is>
          <t>Mapped CO</t>
        </is>
      </c>
      <c r="G1" s="1" t="inlineStr">
        <is>
          <t>Bloom’s Level</t>
        </is>
      </c>
      <c r="H1" s="1" t="inlineStr">
        <is>
          <t>Max Marks</t>
        </is>
      </c>
      <c r="I1" s="1" t="inlineStr">
        <is>
          <t>Marks Obtained</t>
        </is>
      </c>
      <c r="J1" s="1" t="inlineStr">
        <is>
          <t>CO Attainment (%)</t>
        </is>
      </c>
      <c r="K1" s="1" t="inlineStr">
        <is>
          <t>Target (%)</t>
        </is>
      </c>
      <c r="L1" s="1" t="inlineStr">
        <is>
          <t>Attained (Y/N)</t>
        </is>
      </c>
    </row>
    <row r="2">
      <c r="A2" t="n">
        <v>1</v>
      </c>
      <c r="B2" t="inlineStr">
        <is>
          <t>20AI001</t>
        </is>
      </c>
      <c r="C2" t="inlineStr">
        <is>
          <t>Rahul Sharma</t>
        </is>
      </c>
      <c r="D2" t="inlineStr">
        <is>
          <t>Mid-Sem Test</t>
        </is>
      </c>
      <c r="E2" t="inlineStr">
        <is>
          <t>Q1</t>
        </is>
      </c>
      <c r="F2" t="inlineStr">
        <is>
          <t>CO1</t>
        </is>
      </c>
      <c r="G2" t="inlineStr">
        <is>
          <t>Understand</t>
        </is>
      </c>
      <c r="H2" t="n">
        <v>10</v>
      </c>
      <c r="I2" t="n">
        <v>7</v>
      </c>
      <c r="J2">
        <f>I2/H2*100</f>
        <v/>
      </c>
      <c r="K2" t="n">
        <v>40</v>
      </c>
      <c r="L2">
        <f>IF(J2&gt;=K2,"Y","N")</f>
        <v/>
      </c>
    </row>
    <row r="3">
      <c r="A3" t="n">
        <v>2</v>
      </c>
      <c r="B3" t="inlineStr">
        <is>
          <t>20AI002</t>
        </is>
      </c>
      <c r="C3" t="inlineStr">
        <is>
          <t>Priya Singh</t>
        </is>
      </c>
      <c r="D3" t="inlineStr">
        <is>
          <t>Mid-Sem Test</t>
        </is>
      </c>
      <c r="E3" t="inlineStr">
        <is>
          <t>Q1</t>
        </is>
      </c>
      <c r="F3" t="inlineStr">
        <is>
          <t>CO1</t>
        </is>
      </c>
      <c r="G3" t="inlineStr">
        <is>
          <t>Understand</t>
        </is>
      </c>
      <c r="H3" t="n">
        <v>10</v>
      </c>
      <c r="I3" t="n">
        <v>5</v>
      </c>
      <c r="J3">
        <f>I3/H3*100</f>
        <v/>
      </c>
      <c r="K3" t="n">
        <v>40</v>
      </c>
      <c r="L3">
        <f>IF(J3&gt;=K3,"Y","N")</f>
        <v/>
      </c>
    </row>
    <row r="4">
      <c r="A4" t="n">
        <v>3</v>
      </c>
      <c r="B4" t="inlineStr">
        <is>
          <t>20AI001</t>
        </is>
      </c>
      <c r="C4" t="inlineStr">
        <is>
          <t>Rahul Sharma</t>
        </is>
      </c>
      <c r="D4" t="inlineStr">
        <is>
          <t>Lab Exam</t>
        </is>
      </c>
      <c r="E4" t="inlineStr">
        <is>
          <t>Exp3</t>
        </is>
      </c>
      <c r="F4" t="inlineStr">
        <is>
          <t>CO2</t>
        </is>
      </c>
      <c r="G4" t="inlineStr">
        <is>
          <t>Apply</t>
        </is>
      </c>
      <c r="H4" t="n">
        <v>20</v>
      </c>
      <c r="I4" t="n">
        <v>15</v>
      </c>
      <c r="J4">
        <f>I4/H4*100</f>
        <v/>
      </c>
      <c r="K4" t="n">
        <v>50</v>
      </c>
      <c r="L4">
        <f>IF(J4&gt;=K4,"Y","N")</f>
        <v/>
      </c>
    </row>
    <row r="5">
      <c r="A5" t="n">
        <v>4</v>
      </c>
      <c r="B5" t="inlineStr">
        <is>
          <t>20AI002</t>
        </is>
      </c>
      <c r="C5" t="inlineStr">
        <is>
          <t>Priya Singh</t>
        </is>
      </c>
      <c r="D5" t="inlineStr">
        <is>
          <t>Lab Exam</t>
        </is>
      </c>
      <c r="E5" t="inlineStr">
        <is>
          <t>Exp3</t>
        </is>
      </c>
      <c r="F5" t="inlineStr">
        <is>
          <t>CO2</t>
        </is>
      </c>
      <c r="G5" t="inlineStr">
        <is>
          <t>Apply</t>
        </is>
      </c>
      <c r="H5" t="n">
        <v>20</v>
      </c>
      <c r="I5" t="n">
        <v>12</v>
      </c>
      <c r="J5">
        <f>I5/H5*100</f>
        <v/>
      </c>
      <c r="K5" t="n">
        <v>50</v>
      </c>
      <c r="L5">
        <f>IF(J5&gt;=K5,"Y","N")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