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D Recor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22" customWidth="1" min="4" max="4"/>
    <col width="18" customWidth="1" min="5" max="5"/>
    <col width="26" customWidth="1" min="6" max="6"/>
    <col width="18" customWidth="1" min="7" max="7"/>
    <col width="28" customWidth="1" min="8" max="8"/>
    <col width="28" customWidth="1" min="9" max="9"/>
    <col width="26" customWidth="1" min="10" max="10"/>
    <col width="26" customWidth="1" min="11" max="11"/>
    <col width="46" customWidth="1" min="12" max="12"/>
  </cols>
  <sheetData>
    <row r="1">
      <c r="A1" s="1" t="inlineStr">
        <is>
          <t>S.N.</t>
        </is>
      </c>
      <c r="B1" s="1" t="inlineStr">
        <is>
          <t>Scholar Name</t>
        </is>
      </c>
      <c r="C1" s="1" t="inlineStr">
        <is>
          <t>Mode (Full-time/Part-time)</t>
        </is>
      </c>
      <c r="D1" s="1" t="inlineStr">
        <is>
          <t>Status (Enrolled/Graduated)</t>
        </is>
      </c>
      <c r="E1" s="1" t="inlineStr">
        <is>
          <t>Year of Enrollment</t>
        </is>
      </c>
      <c r="F1" s="1" t="inlineStr">
        <is>
          <t>Enrollment Year Tag (CAY/CAYm1/CAYm2/CAYm3)</t>
        </is>
      </c>
      <c r="G1" s="1" t="inlineStr">
        <is>
          <t>Year of Graduation</t>
        </is>
      </c>
      <c r="H1" s="1" t="inlineStr">
        <is>
          <t>Graduation Year Tag (CAY/CAYm1/CAYm2/CAYm3)</t>
        </is>
      </c>
      <c r="I1" s="1" t="inlineStr">
        <is>
          <t>Research Area</t>
        </is>
      </c>
      <c r="J1" s="1" t="inlineStr">
        <is>
          <t>Supervisor Name</t>
        </is>
      </c>
      <c r="K1" s="1" t="inlineStr">
        <is>
          <t>Affiliated University</t>
        </is>
      </c>
      <c r="L1" s="1" t="inlineStr">
        <is>
          <t>Evidence Link (Admission/Convocation/Thesis)</t>
        </is>
      </c>
    </row>
  </sheetData>
  <dataValidations count="4">
    <dataValidation sqref="C2:C1000" showErrorMessage="1" showInputMessage="1" allowBlank="1" type="list">
      <formula1>"Full-time,Part-time"</formula1>
    </dataValidation>
    <dataValidation sqref="D2:D1000" showErrorMessage="1" showInputMessage="1" allowBlank="1" type="list">
      <formula1>"Enrolled,Graduated"</formula1>
    </dataValidation>
    <dataValidation sqref="F2:F1000 H2:H1000" showErrorMessage="1" showInputMessage="1" allowBlank="1" type="list">
      <formula1>"CAY,CAYm1,CAYm2,CAYm3"</formula1>
    </dataValidation>
    <dataValidation sqref="F2:F1000 H2:H1000" showErrorMessage="1" showInputMessage="1" allowBlank="1" type="list">
      <formula1>"CAY,CAYm1,CAYm2,CAYm3"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CAY</t>
        </is>
      </c>
      <c r="D1" s="1" t="inlineStr">
        <is>
          <t>CAYm1</t>
        </is>
      </c>
      <c r="E1" s="1" t="inlineStr">
        <is>
          <t>CAYm2</t>
        </is>
      </c>
      <c r="F1" s="1" t="inlineStr">
        <is>
          <t>CAYm3</t>
        </is>
      </c>
    </row>
    <row r="2">
      <c r="A2" s="2" t="inlineStr">
        <is>
          <t>Total Enrollments</t>
        </is>
      </c>
      <c r="B2" s="2" t="inlineStr">
        <is>
          <t>Count of Ph.D. enrollments per year (Status=Enrolled; uses Enrollment Year Tag)</t>
        </is>
      </c>
      <c r="C2" s="2">
        <f>COUNTIFS('PhD Records'!D2:D1000,"Enrolled",'PhD Records'!F2:F1000,"CAY")</f>
        <v/>
      </c>
      <c r="D2" s="2">
        <f>COUNTIFS('PhD Records'!D2:D1000,"Enrolled",'PhD Records'!F2:F1000,"CAYm1")</f>
        <v/>
      </c>
      <c r="E2" s="2">
        <f>COUNTIFS('PhD Records'!D2:D1000,"Enrolled",'PhD Records'!F2:F1000,"CAYm2")</f>
        <v/>
      </c>
      <c r="F2" s="2">
        <f>COUNTIFS('PhD Records'!D2:D1000,"Enrolled",'PhD Records'!F2:F1000,"CAYm3")</f>
        <v/>
      </c>
    </row>
    <row r="3">
      <c r="A3" s="2" t="inlineStr">
        <is>
          <t>Total Graduations</t>
        </is>
      </c>
      <c r="B3" s="2" t="inlineStr">
        <is>
          <t>Count of Ph.D. graduations per year (Status=Graduated; uses Graduation Year Tag)</t>
        </is>
      </c>
      <c r="C3" s="2">
        <f>COUNTIFS('PhD Records'!D2:D1000,"Graduated",'PhD Records'!H2:H1000,"CAY")</f>
        <v/>
      </c>
      <c r="D3" s="2">
        <f>COUNTIFS('PhD Records'!D2:D1000,"Graduated",'PhD Records'!H2:H1000,"CAYm1")</f>
        <v/>
      </c>
      <c r="E3" s="2">
        <f>COUNTIFS('PhD Records'!D2:D1000,"Graduated",'PhD Records'!H2:H1000,"CAYm2")</f>
        <v/>
      </c>
      <c r="F3" s="2">
        <f>COUNTIFS('PhD Records'!D2:D1000,"Graduated",'PhD Records'!H2:H1000,"CAYm3")</f>
        <v/>
      </c>
    </row>
    <row r="4">
      <c r="A4" s="2" t="inlineStr">
        <is>
          <t>Enrollments (Full-time)</t>
        </is>
      </c>
      <c r="B4" s="2" t="inlineStr">
        <is>
          <t>Enrollments with Mode="Full-time" (by Enrollment Year Tag)</t>
        </is>
      </c>
      <c r="C4" s="2">
        <f>COUNTIFS('PhD Records'!C2:C1000,"Full-time",'PhD Records'!D2:D1000,"Enrolled",'PhD Records'!F2:F1000,"CAY")</f>
        <v/>
      </c>
      <c r="D4" s="2">
        <f>COUNTIFS('PhD Records'!C2:C1000,"Full-time",'PhD Records'!D2:D1000,"Enrolled",'PhD Records'!F2:F1000,"CAYm1")</f>
        <v/>
      </c>
      <c r="E4" s="2">
        <f>COUNTIFS('PhD Records'!C2:C1000,"Full-time",'PhD Records'!D2:D1000,"Enrolled",'PhD Records'!F2:F1000,"CAYm2")</f>
        <v/>
      </c>
      <c r="F4" s="2">
        <f>COUNTIFS('PhD Records'!C2:C1000,"Full-time",'PhD Records'!D2:D1000,"Enrolled",'PhD Records'!F2:F1000,"CAYm3")</f>
        <v/>
      </c>
    </row>
    <row r="5">
      <c r="A5" s="2" t="inlineStr">
        <is>
          <t>Enrollments (Part-time)</t>
        </is>
      </c>
      <c r="B5" s="2" t="inlineStr">
        <is>
          <t>Enrollments with Mode="Part-time" (by Enrollment Year Tag)</t>
        </is>
      </c>
      <c r="C5" s="2">
        <f>COUNTIFS('PhD Records'!C2:C1000,"Part-time",'PhD Records'!D2:D1000,"Enrolled",'PhD Records'!F2:F1000,"CAY")</f>
        <v/>
      </c>
      <c r="D5" s="2">
        <f>COUNTIFS('PhD Records'!C2:C1000,"Part-time",'PhD Records'!D2:D1000,"Enrolled",'PhD Records'!F2:F1000,"CAYm1")</f>
        <v/>
      </c>
      <c r="E5" s="2">
        <f>COUNTIFS('PhD Records'!C2:C1000,"Part-time",'PhD Records'!D2:D1000,"Enrolled",'PhD Records'!F2:F1000,"CAYm2")</f>
        <v/>
      </c>
      <c r="F5" s="2">
        <f>COUNTIFS('PhD Records'!C2:C1000,"Part-time",'PhD Records'!D2:D1000,"Enrolled",'PhD Records'!F2:F1000,"CAYm3")</f>
        <v/>
      </c>
    </row>
    <row r="6">
      <c r="A6" s="2" t="inlineStr">
        <is>
          <t>Graduations (Full-time)</t>
        </is>
      </c>
      <c r="B6" s="2" t="inlineStr">
        <is>
          <t>Graduations with Mode="Full-time" (by Graduation Year Tag)</t>
        </is>
      </c>
      <c r="C6" s="2">
        <f>COUNTIFS('PhD Records'!C2:C1000,"Full-time",'PhD Records'!D2:D1000,"Graduated",'PhD Records'!H2:H1000,"CAY")</f>
        <v/>
      </c>
      <c r="D6" s="2">
        <f>COUNTIFS('PhD Records'!C2:C1000,"Full-time",'PhD Records'!D2:D1000,"Graduated",'PhD Records'!H2:H1000,"CAYm1")</f>
        <v/>
      </c>
      <c r="E6" s="2">
        <f>COUNTIFS('PhD Records'!C2:C1000,"Full-time",'PhD Records'!D2:D1000,"Graduated",'PhD Records'!H2:H1000,"CAYm2")</f>
        <v/>
      </c>
      <c r="F6" s="2">
        <f>COUNTIFS('PhD Records'!C2:C1000,"Full-time",'PhD Records'!D2:D1000,"Graduated",'PhD Records'!H2:H1000,"CAYm3")</f>
        <v/>
      </c>
    </row>
    <row r="7">
      <c r="A7" s="2" t="inlineStr">
        <is>
          <t>Graduations (Part-time)</t>
        </is>
      </c>
      <c r="B7" s="2" t="inlineStr">
        <is>
          <t>Graduations with Mode="Part-time" (by Graduation Year Tag)</t>
        </is>
      </c>
      <c r="C7" s="2">
        <f>COUNTIFS('PhD Records'!C2:C1000,"Part-time",'PhD Records'!D2:D1000,"Graduated",'PhD Records'!H2:H1000,"CAY")</f>
        <v/>
      </c>
      <c r="D7" s="2">
        <f>COUNTIFS('PhD Records'!C2:C1000,"Part-time",'PhD Records'!D2:D1000,"Graduated",'PhD Records'!H2:H1000,"CAYm1")</f>
        <v/>
      </c>
      <c r="E7" s="2">
        <f>COUNTIFS('PhD Records'!C2:C1000,"Part-time",'PhD Records'!D2:D1000,"Graduated",'PhD Records'!H2:H1000,"CAYm2")</f>
        <v/>
      </c>
      <c r="F7" s="2">
        <f>COUNTIFS('PhD Records'!C2:C1000,"Part-time",'PhD Records'!D2:D1000,"Graduated",'PhD Records'!H2:H1000,"CAYm3")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