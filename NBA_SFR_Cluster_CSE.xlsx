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grams" sheetId="2" state="visible" r:id="rId2"/>
    <sheet xmlns:r="http://schemas.openxmlformats.org/officeDocument/2006/relationships" name="Facult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Cluster-based SFR Calculator (CSE Department &amp; Allied Clusters)</t>
        </is>
      </c>
    </row>
    <row r="3">
      <c r="A3" t="inlineStr">
        <is>
          <t>- Enter program-wise student counts AFTER applying NBA caps (SA + L with L≤10%*SA, capped at 1.1*SA) and excluding SNQ.</t>
        </is>
      </c>
    </row>
    <row r="4">
      <c r="A4" t="inlineStr">
        <is>
          <t>- UG1..UG5 are CSE programs under the Department; UG6 (IT) is Allied; PG1 is Department.</t>
        </is>
      </c>
    </row>
    <row r="5">
      <c r="A5" t="inlineStr">
        <is>
          <t>- Faculty sheet: enter DF (dept faculty), AF (allied faculty) and FF (100% first-year only) for CAY, CAYm1, CAYm2.</t>
        </is>
      </c>
    </row>
    <row r="6">
      <c r="A6" t="inlineStr">
        <is>
          <t>- Summary auto-computes DS, AS, S1..S3, F1..F3, Effective Faculty, SFR1..3, Average SFR, and Marks (out of 30).</t>
        </is>
      </c>
    </row>
    <row r="7">
      <c r="A7" t="inlineStr">
        <is>
          <t>- Marks rule: &lt;15→30; 15–25→linear down (30 - 2*(SFR-15)); &gt;25→0.</t>
        </is>
      </c>
    </row>
    <row r="8">
      <c r="A8" t="inlineStr">
        <is>
          <t>- Exclude MCA/BCA or non-engineering programs entirely from this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Item</t>
        </is>
      </c>
      <c r="B1" s="3" t="inlineStr">
        <is>
          <t>CAY</t>
        </is>
      </c>
      <c r="C1" s="3" t="inlineStr">
        <is>
          <t>CAYm1</t>
        </is>
      </c>
      <c r="D1" s="3" t="inlineStr">
        <is>
          <t>CAYm2</t>
        </is>
      </c>
    </row>
    <row r="2">
      <c r="A2" s="4" t="inlineStr">
        <is>
          <t>UG Programs in Department (CSE cluster)</t>
        </is>
      </c>
      <c r="B2" s="5" t="n"/>
      <c r="C2" s="5" t="n"/>
      <c r="D2" s="5" t="n"/>
    </row>
    <row r="3">
      <c r="A3" s="6" t="inlineStr">
        <is>
          <t>UG1.B (CSE, 2nd Year)</t>
        </is>
      </c>
      <c r="B3" s="7" t="n"/>
      <c r="C3" s="7" t="n"/>
      <c r="D3" s="7" t="n"/>
    </row>
    <row r="4">
      <c r="A4" s="6" t="inlineStr">
        <is>
          <t>UG1.C (CSE, 3rd Year)</t>
        </is>
      </c>
      <c r="B4" s="7" t="n"/>
      <c r="C4" s="7" t="n"/>
      <c r="D4" s="7" t="n"/>
    </row>
    <row r="5">
      <c r="A5" s="6" t="inlineStr">
        <is>
          <t>UG1.D (CSE, 4th Year)</t>
        </is>
      </c>
      <c r="B5" s="7" t="n"/>
      <c r="C5" s="7" t="n"/>
      <c r="D5" s="7" t="n"/>
    </row>
    <row r="6">
      <c r="A6" s="6" t="inlineStr">
        <is>
          <t>UG1 = B + C + D</t>
        </is>
      </c>
      <c r="B6" s="7">
        <f>B3+B4+B5</f>
        <v/>
      </c>
      <c r="C6" s="7">
        <f>C3+C4+C5</f>
        <v/>
      </c>
      <c r="D6" s="7">
        <f>D3+D4+D5</f>
        <v/>
      </c>
    </row>
    <row r="7">
      <c r="A7" s="6" t="inlineStr">
        <is>
          <t>UG2.B (CSE-AI, 2nd Year)</t>
        </is>
      </c>
      <c r="B7" s="7" t="n"/>
      <c r="C7" s="7" t="n"/>
      <c r="D7" s="7" t="n"/>
    </row>
    <row r="8">
      <c r="A8" s="6" t="inlineStr">
        <is>
          <t>UG2.C (CSE-AI, 3rd Year)</t>
        </is>
      </c>
      <c r="B8" s="7" t="n"/>
      <c r="C8" s="7" t="n"/>
      <c r="D8" s="7" t="n"/>
    </row>
    <row r="9">
      <c r="A9" s="6" t="inlineStr">
        <is>
          <t>UG2.D (CSE-AI, 4th Year)</t>
        </is>
      </c>
      <c r="B9" s="7" t="n"/>
      <c r="C9" s="7" t="n"/>
      <c r="D9" s="7" t="n"/>
    </row>
    <row r="10">
      <c r="A10" s="6" t="inlineStr">
        <is>
          <t>UG2 = B + C + D</t>
        </is>
      </c>
      <c r="B10" s="7">
        <f>B7+B8+B9</f>
        <v/>
      </c>
      <c r="C10" s="7">
        <f>C7+C8+C9</f>
        <v/>
      </c>
      <c r="D10" s="7">
        <f>D7+D8+D9</f>
        <v/>
      </c>
    </row>
    <row r="11">
      <c r="A11" s="6" t="inlineStr">
        <is>
          <t>UG3.B (CSE-AIML, 2nd Year)</t>
        </is>
      </c>
      <c r="B11" s="7" t="n"/>
      <c r="C11" s="7" t="n"/>
      <c r="D11" s="7" t="n"/>
    </row>
    <row r="12">
      <c r="A12" s="6" t="inlineStr">
        <is>
          <t>UG3.C (CSE-AIML, 3rd Year)</t>
        </is>
      </c>
      <c r="B12" s="7" t="n"/>
      <c r="C12" s="7" t="n"/>
      <c r="D12" s="7" t="n"/>
    </row>
    <row r="13">
      <c r="A13" s="6" t="inlineStr">
        <is>
          <t>UG3.D (CSE-AIML, 4th Year)</t>
        </is>
      </c>
      <c r="B13" s="7" t="n"/>
      <c r="C13" s="7" t="n"/>
      <c r="D13" s="7" t="n"/>
    </row>
    <row r="14">
      <c r="A14" s="6" t="inlineStr">
        <is>
          <t>UG3 = B + C + D</t>
        </is>
      </c>
      <c r="B14" s="7">
        <f>B11+B12+B13</f>
        <v/>
      </c>
      <c r="C14" s="7">
        <f>C11+C12+C13</f>
        <v/>
      </c>
      <c r="D14" s="7">
        <f>D11+D12+D13</f>
        <v/>
      </c>
    </row>
    <row r="15">
      <c r="A15" s="6" t="inlineStr">
        <is>
          <t>UG4.B (CSE-CyberSec, 2nd Year)</t>
        </is>
      </c>
      <c r="B15" s="7" t="n"/>
      <c r="C15" s="7" t="n"/>
      <c r="D15" s="7" t="n"/>
    </row>
    <row r="16">
      <c r="A16" s="6" t="inlineStr">
        <is>
          <t>UG4.C (CSE-CyberSec, 3rd Year)</t>
        </is>
      </c>
      <c r="B16" s="7" t="n"/>
      <c r="C16" s="7" t="n"/>
      <c r="D16" s="7" t="n"/>
    </row>
    <row r="17">
      <c r="A17" s="6" t="inlineStr">
        <is>
          <t>UG4.D (CSE-CyberSec, 4th Year)</t>
        </is>
      </c>
      <c r="B17" s="7" t="n"/>
      <c r="C17" s="7" t="n"/>
      <c r="D17" s="7" t="n"/>
    </row>
    <row r="18">
      <c r="A18" s="6" t="inlineStr">
        <is>
          <t>UG4 = B + C + D</t>
        </is>
      </c>
      <c r="B18" s="7">
        <f>B15+B16+B17</f>
        <v/>
      </c>
      <c r="C18" s="7">
        <f>C15+C16+C17</f>
        <v/>
      </c>
      <c r="D18" s="7">
        <f>D15+D16+D17</f>
        <v/>
      </c>
    </row>
    <row r="19">
      <c r="A19" s="6" t="inlineStr">
        <is>
          <t>UG5.B (CSE-DataSci, 2nd Year)</t>
        </is>
      </c>
      <c r="B19" s="7" t="n"/>
      <c r="C19" s="7" t="n"/>
      <c r="D19" s="7" t="n"/>
    </row>
    <row r="20">
      <c r="A20" s="6" t="inlineStr">
        <is>
          <t>UG5.C (CSE-DataSci, 3rd Year)</t>
        </is>
      </c>
      <c r="B20" s="7" t="n"/>
      <c r="C20" s="7" t="n"/>
      <c r="D20" s="7" t="n"/>
    </row>
    <row r="21">
      <c r="A21" s="6" t="inlineStr">
        <is>
          <t>UG5.D (CSE-DataSci, 4th Year)</t>
        </is>
      </c>
      <c r="B21" s="7" t="n"/>
      <c r="C21" s="7" t="n"/>
      <c r="D21" s="7" t="n"/>
    </row>
    <row r="22">
      <c r="A22" s="6" t="inlineStr">
        <is>
          <t>UG5 = B + C + D</t>
        </is>
      </c>
      <c r="B22" s="7">
        <f>B19+B20+B21</f>
        <v/>
      </c>
      <c r="C22" s="7">
        <f>C19+C20+C21</f>
        <v/>
      </c>
      <c r="D22" s="7">
        <f>D19+D20+D21</f>
        <v/>
      </c>
    </row>
    <row r="23">
      <c r="A23" s="4" t="inlineStr">
        <is>
          <t>Allied UG Programs (e.g., Information Technology)</t>
        </is>
      </c>
      <c r="B23" s="5" t="n"/>
      <c r="C23" s="5" t="n"/>
      <c r="D23" s="5" t="n"/>
    </row>
    <row r="24">
      <c r="A24" s="6" t="inlineStr">
        <is>
          <t>UG6.B (IT, 2nd Year)</t>
        </is>
      </c>
      <c r="B24" s="7" t="n"/>
      <c r="C24" s="7" t="n"/>
      <c r="D24" s="7" t="n"/>
    </row>
    <row r="25">
      <c r="A25" s="6" t="inlineStr">
        <is>
          <t>UG6.C (IT, 3rd Year)</t>
        </is>
      </c>
      <c r="B25" s="7" t="n"/>
      <c r="C25" s="7" t="n"/>
      <c r="D25" s="7" t="n"/>
    </row>
    <row r="26">
      <c r="A26" s="6" t="inlineStr">
        <is>
          <t>UG6.D (IT, 4th Year)</t>
        </is>
      </c>
      <c r="B26" s="7" t="n"/>
      <c r="C26" s="7" t="n"/>
      <c r="D26" s="7" t="n"/>
    </row>
    <row r="27">
      <c r="A27" s="6" t="inlineStr">
        <is>
          <t>UG6 = B + C + D</t>
        </is>
      </c>
      <c r="B27" s="7">
        <f>B24+B25+B26</f>
        <v/>
      </c>
      <c r="C27" s="7">
        <f>C24+C25+C26</f>
        <v/>
      </c>
      <c r="D27" s="7">
        <f>D24+D25+D26</f>
        <v/>
      </c>
    </row>
    <row r="28">
      <c r="A28" s="4" t="inlineStr">
        <is>
          <t>PG Programs in Department</t>
        </is>
      </c>
      <c r="B28" s="5" t="n"/>
      <c r="C28" s="5" t="n"/>
      <c r="D28" s="5" t="n"/>
    </row>
    <row r="29">
      <c r="A29" s="6" t="inlineStr">
        <is>
          <t>PG1.A (CSE, 1st Year)</t>
        </is>
      </c>
      <c r="B29" s="7" t="n"/>
      <c r="C29" s="7" t="n"/>
      <c r="D29" s="7" t="n"/>
    </row>
    <row r="30">
      <c r="A30" s="6" t="inlineStr">
        <is>
          <t>PG1.B (CSE, 2nd Year)</t>
        </is>
      </c>
      <c r="B30" s="7" t="n"/>
      <c r="C30" s="7" t="n"/>
      <c r="D30" s="7" t="n"/>
    </row>
    <row r="31">
      <c r="A31" s="6" t="inlineStr">
        <is>
          <t>PG1 = A + B</t>
        </is>
      </c>
      <c r="B31" s="7">
        <f>B29+B30</f>
        <v/>
      </c>
      <c r="C31" s="7">
        <f>C29+C30</f>
        <v/>
      </c>
      <c r="D31" s="7">
        <f>D29+D30</f>
        <v/>
      </c>
    </row>
    <row r="32">
      <c r="A32" s="4" t="inlineStr">
        <is>
          <t>DS = Total students in Dept (UG1..UG5 + PG1)</t>
        </is>
      </c>
      <c r="B32" s="5">
        <f>SUM(B6,B10,B14,B18,B22,B31)</f>
        <v/>
      </c>
      <c r="C32" s="5">
        <f>SUM(C6,C10,C14,C18,C22,C31)</f>
        <v/>
      </c>
      <c r="D32" s="5">
        <f>SUM(D6,D10,D14,D18,D22,D31)</f>
        <v/>
      </c>
    </row>
    <row r="33">
      <c r="A33" s="4" t="inlineStr">
        <is>
          <t>AS = Total students in Allied (UG6)</t>
        </is>
      </c>
      <c r="B33" s="5">
        <f>B27</f>
        <v/>
      </c>
      <c r="C33" s="5">
        <f>C27</f>
        <v/>
      </c>
      <c r="D33" s="5">
        <f>D27</f>
        <v/>
      </c>
    </row>
    <row r="34">
      <c r="A34" s="4" t="inlineStr">
        <is>
          <t>S = DS + AS (Total Students)</t>
        </is>
      </c>
      <c r="B34" s="5">
        <f>B32+B33</f>
        <v/>
      </c>
      <c r="C34" s="5">
        <f>C32+C33</f>
        <v/>
      </c>
      <c r="D34" s="5">
        <f>D32+D33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Item</t>
        </is>
      </c>
      <c r="B1" s="3" t="inlineStr">
        <is>
          <t>CAY</t>
        </is>
      </c>
      <c r="C1" s="3" t="inlineStr">
        <is>
          <t>CAYm1</t>
        </is>
      </c>
      <c r="D1" s="3" t="inlineStr">
        <is>
          <t>CAYm2</t>
        </is>
      </c>
    </row>
    <row r="2">
      <c r="A2" s="6" t="inlineStr">
        <is>
          <t>DF = Dept Faculty (Full-time; exclude 1st-year-only)</t>
        </is>
      </c>
      <c r="B2" s="7" t="n"/>
      <c r="C2" s="7" t="n"/>
      <c r="D2" s="7" t="n"/>
    </row>
    <row r="3">
      <c r="A3" s="6" t="inlineStr">
        <is>
          <t>AF = Allied Faculty (Full-time)</t>
        </is>
      </c>
      <c r="B3" s="7" t="n"/>
      <c r="C3" s="7" t="n"/>
      <c r="D3" s="7" t="n"/>
    </row>
    <row r="4">
      <c r="A4" s="6" t="inlineStr">
        <is>
          <t>F = DF + AF</t>
        </is>
      </c>
      <c r="B4" s="7">
        <f>B2+B3</f>
        <v/>
      </c>
      <c r="C4" s="7">
        <f>C2+C3</f>
        <v/>
      </c>
      <c r="D4" s="7">
        <f>D2+D3</f>
        <v/>
      </c>
    </row>
    <row r="5">
      <c r="A5" s="6" t="inlineStr">
        <is>
          <t>FF = 100% First-Year-only Faculty (to exclude)</t>
        </is>
      </c>
      <c r="B5" s="7" t="n"/>
      <c r="C5" s="7" t="n"/>
      <c r="D5" s="7" t="n"/>
    </row>
    <row r="6">
      <c r="A6" s="6" t="inlineStr">
        <is>
          <t>Effective Faculty = F − FF</t>
        </is>
      </c>
      <c r="B6" s="7">
        <f>B4-B5</f>
        <v/>
      </c>
      <c r="C6" s="7">
        <f>C4-C5</f>
        <v/>
      </c>
      <c r="D6" s="7">
        <f>D4-D5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Metric</t>
        </is>
      </c>
      <c r="B1" s="3" t="inlineStr">
        <is>
          <t>CAY</t>
        </is>
      </c>
      <c r="C1" s="3" t="inlineStr">
        <is>
          <t>CAYm1</t>
        </is>
      </c>
      <c r="D1" s="3" t="inlineStr">
        <is>
          <t>CAYm2</t>
        </is>
      </c>
    </row>
    <row r="2">
      <c r="A2" s="6" t="inlineStr">
        <is>
          <t>S = Total Students (linked from Programs)</t>
        </is>
      </c>
      <c r="B2" s="7">
        <f>'Programs'!B34</f>
        <v/>
      </c>
      <c r="C2" s="7">
        <f>'Programs'!C34</f>
        <v/>
      </c>
      <c r="D2" s="7">
        <f>'Programs'!D34</f>
        <v/>
      </c>
    </row>
    <row r="3">
      <c r="A3" s="6" t="inlineStr">
        <is>
          <t>F = Total Faculty (linked from Faculty)</t>
        </is>
      </c>
      <c r="B3" s="7">
        <f>'Faculty'!B4</f>
        <v/>
      </c>
      <c r="C3" s="7">
        <f>'Faculty'!C4</f>
        <v/>
      </c>
      <c r="D3" s="7">
        <f>'Faculty'!D4</f>
        <v/>
      </c>
    </row>
    <row r="4">
      <c r="A4" s="6" t="inlineStr">
        <is>
          <t>FF = First-Year-only Faculty (linked from Faculty)</t>
        </is>
      </c>
      <c r="B4" s="7">
        <f>'Faculty'!B5</f>
        <v/>
      </c>
      <c r="C4" s="7">
        <f>'Faculty'!C5</f>
        <v/>
      </c>
      <c r="D4" s="7">
        <f>'Faculty'!D5</f>
        <v/>
      </c>
    </row>
    <row r="5">
      <c r="A5" s="6" t="inlineStr">
        <is>
          <t>Effective Faculty = F − FF</t>
        </is>
      </c>
      <c r="B5" s="7">
        <f>'Faculty'!B6</f>
        <v/>
      </c>
      <c r="C5" s="7">
        <f>'Faculty'!C6</f>
        <v/>
      </c>
      <c r="D5" s="7">
        <f>'Faculty'!D6</f>
        <v/>
      </c>
    </row>
    <row r="6">
      <c r="A6" s="6" t="inlineStr">
        <is>
          <t>SFR = S / (Effective Faculty)</t>
        </is>
      </c>
      <c r="B6" s="7">
        <f>IF(B5&gt;0, B2/B5, "")</f>
        <v/>
      </c>
      <c r="C6" s="7">
        <f>IF(C5&gt;0, C2/C5, "")</f>
        <v/>
      </c>
      <c r="D6" s="7">
        <f>IF(D5&gt;0, D2/D5, "")</f>
        <v/>
      </c>
    </row>
    <row r="7">
      <c r="A7" s="6" t="inlineStr">
        <is>
          <t>Average SFR (3-year)</t>
        </is>
      </c>
      <c r="B7" s="7">
        <f>AVERAGE(B6,C6,D6)</f>
        <v/>
      </c>
      <c r="C7" s="7" t="n"/>
      <c r="D7" s="7" t="n"/>
    </row>
    <row r="8">
      <c r="A8" s="6" t="inlineStr">
        <is>
          <t>Marks (out of 30) — &lt;15→30; 15–25 linear; &gt;25→0</t>
        </is>
      </c>
      <c r="B8" s="7">
        <f>IF(B7="", "", IF(B7&lt;15, 30, IF(B7&lt;=25, 30 - 2*(B7-15), 0)))</f>
        <v/>
      </c>
      <c r="C8" s="7" t="n"/>
      <c r="D8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2025-08-28T13:57:00Z</dcterms:created>
  <dcterms:modified xmlns:dcterms="http://purl.org/dc/terms/" xmlns:xsi="http://www.w3.org/2001/XMLSchema-instance" xsi:type="dcterms:W3CDTF">2025-08-28T13:57:00Z</dcterms:modified>
</cp:coreProperties>
</file>