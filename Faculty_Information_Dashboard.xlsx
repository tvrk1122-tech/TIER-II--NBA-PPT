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.1 SFR" sheetId="2" state="visible" r:id="rId2"/>
    <sheet xmlns:r="http://schemas.openxmlformats.org/officeDocument/2006/relationships" name="5.2 FQI" sheetId="3" state="visible" r:id="rId3"/>
    <sheet xmlns:r="http://schemas.openxmlformats.org/officeDocument/2006/relationships" name="5.3 Cadre" sheetId="4" state="visible" r:id="rId4"/>
    <sheet xmlns:r="http://schemas.openxmlformats.org/officeDocument/2006/relationships" name="5.4 Adjunct" sheetId="5" state="visible" r:id="rId5"/>
    <sheet xmlns:r="http://schemas.openxmlformats.org/officeDocument/2006/relationships" name="5.5 Retention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50" customWidth="1" min="3" max="3"/>
  </cols>
  <sheetData>
    <row r="1">
      <c r="A1" s="1" t="inlineStr">
        <is>
          <t>Metric (Criterion 5)</t>
        </is>
      </c>
      <c r="B1" s="1" t="inlineStr">
        <is>
          <t>Marks</t>
        </is>
      </c>
      <c r="C1" s="1" t="inlineStr">
        <is>
          <t>Notes</t>
        </is>
      </c>
    </row>
    <row r="2">
      <c r="A2" s="2" t="inlineStr">
        <is>
          <t>5.1 Student–Faculty Ratio (max 30)</t>
        </is>
      </c>
      <c r="B2" s="3">
        <f>ROUND('5.1 SFR'!H6,2)</f>
        <v/>
      </c>
      <c r="C2" s="3" t="inlineStr">
        <is>
          <t>Average SFR based score</t>
        </is>
      </c>
    </row>
    <row r="3">
      <c r="A3" s="2" t="inlineStr">
        <is>
          <t>5.2 Faculty Qualification (max 25)</t>
        </is>
      </c>
      <c r="B3" s="3">
        <f>ROUND('5.2 FQI'!H6,2)</f>
        <v/>
      </c>
      <c r="C3" s="3" t="inlineStr">
        <is>
          <t>Average FQI (capped at 25)</t>
        </is>
      </c>
    </row>
    <row r="4">
      <c r="A4" s="2" t="inlineStr">
        <is>
          <t>5.3 Faculty Cadre Proportion (max 25)</t>
        </is>
      </c>
      <c r="B4" s="3">
        <f>ROUND('5.3 Cadre'!M6,2)</f>
        <v/>
      </c>
      <c r="C4" s="3" t="inlineStr">
        <is>
          <t>Average of 3 years (capped at 25)</t>
        </is>
      </c>
    </row>
    <row r="5">
      <c r="A5" s="2" t="inlineStr">
        <is>
          <t>5.4 Visiting/Adjunct/Professor of Practice (max 10)</t>
        </is>
      </c>
      <c r="B5" s="3">
        <f>ROUND('5.4 Adjunct'!D7,2)</f>
        <v/>
      </c>
      <c r="C5" s="3" t="inlineStr">
        <is>
          <t>Provision + ≥50 hours/year marks (cap 10)</t>
        </is>
      </c>
    </row>
    <row r="6">
      <c r="A6" s="2" t="inlineStr">
        <is>
          <t>5.5 Faculty Retention (max 10)</t>
        </is>
      </c>
      <c r="B6" s="3">
        <f>ROUND('5.5 Retention'!B16,2)</f>
        <v/>
      </c>
      <c r="C6" s="3" t="inlineStr">
        <is>
          <t>MAX of Retention% method vs FR method (cap 10)</t>
        </is>
      </c>
    </row>
    <row r="7">
      <c r="A7" s="2" t="inlineStr">
        <is>
          <t>Total (out of 100)</t>
        </is>
      </c>
      <c r="B7" s="3">
        <f>SUM(B2:B6)</f>
        <v/>
      </c>
      <c r="C7" s="3" t="inlineStr">
        <is>
          <t>Auto total of 5.1–5.5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6" customWidth="1" min="4" max="4"/>
    <col width="20" customWidth="1" min="5" max="5"/>
    <col width="16" customWidth="1" min="6" max="6"/>
    <col width="4" customWidth="1" min="7" max="7"/>
    <col width="16" customWidth="1" min="8" max="8"/>
    <col width="28" customWidth="1" min="9" max="9"/>
  </cols>
  <sheetData>
    <row r="1">
      <c r="A1" s="1" t="inlineStr">
        <is>
          <t>Year</t>
        </is>
      </c>
      <c r="B1" s="1" t="inlineStr">
        <is>
          <t>S (Students: Dept+Allied)</t>
        </is>
      </c>
      <c r="C1" s="1" t="inlineStr">
        <is>
          <t>F (Full-time Faculty)</t>
        </is>
      </c>
      <c r="D1" s="1" t="inlineStr">
        <is>
          <t>FF (100% First-Year Faculty)</t>
        </is>
      </c>
      <c r="E1" s="1" t="inlineStr">
        <is>
          <t>Net Faculty (F-FF)</t>
        </is>
      </c>
      <c r="F1" s="1" t="inlineStr">
        <is>
          <t>SFR = S/NetF</t>
        </is>
      </c>
      <c r="G1" s="1" t="inlineStr">
        <is>
          <t>—</t>
        </is>
      </c>
      <c r="H1" s="1" t="inlineStr">
        <is>
          <t>Average SFR</t>
        </is>
      </c>
      <c r="I1" s="1" t="inlineStr">
        <is>
          <t>Marks (30/26/22/18/14/10/0)</t>
        </is>
      </c>
    </row>
    <row r="2">
      <c r="A2" s="3" t="inlineStr">
        <is>
          <t>CAY</t>
        </is>
      </c>
      <c r="B2" s="3" t="inlineStr"/>
      <c r="C2" s="3" t="inlineStr"/>
      <c r="D2" s="3" t="inlineStr"/>
      <c r="E2" s="3">
        <f>IF(AND(C2&gt;0,D2&gt;=0),C2-D2,"")</f>
        <v/>
      </c>
      <c r="F2" s="3">
        <f>IF(E2&gt;0,B2/E2,"")</f>
        <v/>
      </c>
      <c r="G2" s="3" t="inlineStr"/>
      <c r="H2" s="3" t="inlineStr"/>
      <c r="I2" s="3" t="inlineStr"/>
    </row>
    <row r="3">
      <c r="A3" s="3" t="inlineStr">
        <is>
          <t>CAYm1</t>
        </is>
      </c>
      <c r="B3" s="3" t="inlineStr"/>
      <c r="C3" s="3" t="inlineStr"/>
      <c r="D3" s="3" t="inlineStr"/>
      <c r="E3" s="3">
        <f>IF(AND(C3&gt;0,D3&gt;=0),C3-D3,"")</f>
        <v/>
      </c>
      <c r="F3" s="3">
        <f>IF(E3&gt;0,B3/E3,"")</f>
        <v/>
      </c>
      <c r="G3" s="3" t="inlineStr"/>
      <c r="H3" s="3" t="inlineStr"/>
      <c r="I3" s="3" t="inlineStr"/>
    </row>
    <row r="4">
      <c r="A4" s="3" t="inlineStr">
        <is>
          <t>CAYm2</t>
        </is>
      </c>
      <c r="B4" s="3" t="inlineStr"/>
      <c r="C4" s="3" t="inlineStr"/>
      <c r="D4" s="3" t="inlineStr"/>
      <c r="E4" s="3">
        <f>IF(AND(C4&gt;0,D4&gt;=0),C4-D4,"")</f>
        <v/>
      </c>
      <c r="F4" s="3">
        <f>IF(E4&gt;0,B4/E4,"")</f>
        <v/>
      </c>
      <c r="G4" s="3" t="inlineStr"/>
      <c r="H4" s="3" t="inlineStr"/>
      <c r="I4" s="3" t="inlineStr"/>
    </row>
    <row r="5">
      <c r="A5" s="3" t="inlineStr">
        <is>
          <t>—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3" t="inlineStr">
        <is>
          <t>AVERAGE</t>
        </is>
      </c>
      <c r="B6" s="3" t="inlineStr"/>
      <c r="C6" s="3" t="inlineStr"/>
      <c r="D6" s="3" t="inlineStr"/>
      <c r="E6" s="3" t="inlineStr"/>
      <c r="F6" s="3" t="inlineStr"/>
      <c r="G6" s="3" t="inlineStr"/>
      <c r="H6" s="3">
        <f>IF(COUNTA(F2:F4)=3,AVERAGE(F2:F4),"")</f>
        <v/>
      </c>
      <c r="I6" s="3">
        <f>IF(H6="","",IF(H6&lt;15,30,IF(H6&lt;17,26,IF(H6&lt;19,22,IF(H6&lt;21,18,IF(H6&lt;23,14,IF(H6&lt;25,10,0)))))))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12" customWidth="1" min="5" max="5"/>
    <col width="18" customWidth="1" min="6" max="6"/>
    <col width="24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X (Ph.D.)</t>
        </is>
      </c>
      <c r="C1" s="1" t="inlineStr">
        <is>
          <t>Y (M.Tech/ME)</t>
        </is>
      </c>
      <c r="D1" s="1" t="inlineStr">
        <is>
          <t>S (Students: Dept+Allied)</t>
        </is>
      </c>
      <c r="E1" s="1" t="inlineStr">
        <is>
          <t>RF (=S/20)</t>
        </is>
      </c>
      <c r="F1" s="1" t="inlineStr">
        <is>
          <t>Weighted (10X+4Y)</t>
        </is>
      </c>
      <c r="G1" s="1" t="inlineStr">
        <is>
          <t>FQI_raw = 2.5*(Weighted/RF)</t>
        </is>
      </c>
      <c r="H1" s="1" t="inlineStr">
        <is>
          <t>FQI_capped_25</t>
        </is>
      </c>
    </row>
    <row r="2">
      <c r="A2" s="3" t="inlineStr">
        <is>
          <t>CAY</t>
        </is>
      </c>
      <c r="B2" s="3" t="inlineStr"/>
      <c r="C2" s="3" t="inlineStr"/>
      <c r="D2" s="3" t="inlineStr"/>
      <c r="E2" s="3">
        <f>IF(D2&gt;0,D2/20,"")</f>
        <v/>
      </c>
      <c r="F2" s="3">
        <f>IF(AND(B2&gt;-1,C2&gt;-1),10*B2+4*C2,"")</f>
        <v/>
      </c>
      <c r="G2" s="3">
        <f>IF(E2&gt;0,2.5*(F2/E2),"")</f>
        <v/>
      </c>
      <c r="H2" s="3">
        <f>IF(G2&lt;&gt;"",MIN(G2,25),"")</f>
        <v/>
      </c>
    </row>
    <row r="3">
      <c r="A3" s="3" t="inlineStr">
        <is>
          <t>CAYm1</t>
        </is>
      </c>
      <c r="B3" s="3" t="inlineStr"/>
      <c r="C3" s="3" t="inlineStr"/>
      <c r="D3" s="3" t="inlineStr"/>
      <c r="E3" s="3">
        <f>IF(D3&gt;0,D3/20,"")</f>
        <v/>
      </c>
      <c r="F3" s="3">
        <f>IF(AND(B3&gt;-1,C3&gt;-1),10*B3+4*C3,"")</f>
        <v/>
      </c>
      <c r="G3" s="3">
        <f>IF(E3&gt;0,2.5*(F3/E3),"")</f>
        <v/>
      </c>
      <c r="H3" s="3">
        <f>IF(G3&lt;&gt;"",MIN(G3,25),"")</f>
        <v/>
      </c>
    </row>
    <row r="4">
      <c r="A4" s="3" t="inlineStr">
        <is>
          <t>CAYm2</t>
        </is>
      </c>
      <c r="B4" s="3" t="inlineStr"/>
      <c r="C4" s="3" t="inlineStr"/>
      <c r="D4" s="3" t="inlineStr"/>
      <c r="E4" s="3">
        <f>IF(D4&gt;0,D4/20,"")</f>
        <v/>
      </c>
      <c r="F4" s="3">
        <f>IF(AND(B4&gt;-1,C4&gt;-1),10*B4+4*C4,"")</f>
        <v/>
      </c>
      <c r="G4" s="3">
        <f>IF(E4&gt;0,2.5*(F4/E4),"")</f>
        <v/>
      </c>
      <c r="H4" s="3">
        <f>IF(G4&lt;&gt;"",MIN(G4,25),"")</f>
        <v/>
      </c>
    </row>
    <row r="5">
      <c r="A5" s="3" t="inlineStr">
        <is>
          <t>AVERAGE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n"/>
      <c r="B6" s="3" t="n"/>
      <c r="C6" s="3" t="n"/>
      <c r="D6" s="3" t="n"/>
      <c r="E6" s="3" t="n"/>
      <c r="F6" s="3" t="n"/>
      <c r="G6" s="3" t="n"/>
      <c r="H6" s="3">
        <f>IF(COUNTA(H2:H4)=3,AVERAGE(H2:H4),"")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6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10" customWidth="1" min="10" max="10"/>
    <col width="10" customWidth="1" min="11" max="11"/>
    <col width="10" customWidth="1" min="12" max="12"/>
    <col width="36" customWidth="1" min="13" max="13"/>
  </cols>
  <sheetData>
    <row r="1">
      <c r="A1" s="1" t="inlineStr">
        <is>
          <t>Year</t>
        </is>
      </c>
      <c r="B1" s="1" t="inlineStr">
        <is>
          <t>S (Students)</t>
        </is>
      </c>
      <c r="C1" s="1" t="inlineStr">
        <is>
          <t>RF = S/20</t>
        </is>
      </c>
      <c r="D1" s="1" t="inlineStr">
        <is>
          <t>RF1 Prof (RF/9)</t>
        </is>
      </c>
      <c r="E1" s="1" t="inlineStr">
        <is>
          <t>AF1 Prof</t>
        </is>
      </c>
      <c r="F1" s="1" t="inlineStr">
        <is>
          <t>RF2 Assoc (2*RF/9)</t>
        </is>
      </c>
      <c r="G1" s="1" t="inlineStr">
        <is>
          <t>AF2 Assoc</t>
        </is>
      </c>
      <c r="H1" s="1" t="inlineStr">
        <is>
          <t>RF3 Asst (6*RF/9)</t>
        </is>
      </c>
      <c r="I1" s="1" t="inlineStr">
        <is>
          <t>AF3 Asst</t>
        </is>
      </c>
      <c r="J1" s="1" t="inlineStr">
        <is>
          <t>AF1/RF1</t>
        </is>
      </c>
      <c r="K1" s="1" t="inlineStr">
        <is>
          <t>AF2/RF2</t>
        </is>
      </c>
      <c r="L1" s="1" t="inlineStr">
        <is>
          <t>AF3/RF3</t>
        </is>
      </c>
      <c r="M1" s="1" t="inlineStr">
        <is>
          <t>Marks per year (cap 25; AF1&amp;AF2=0 → 0)</t>
        </is>
      </c>
    </row>
    <row r="2">
      <c r="A2" s="3" t="inlineStr">
        <is>
          <t>CAY</t>
        </is>
      </c>
      <c r="B2" s="3" t="inlineStr"/>
      <c r="C2" s="3">
        <f>IF(B2&gt;0,B2/20,"")</f>
        <v/>
      </c>
      <c r="D2" s="3">
        <f>IF(C2&gt;0,C2/9,"")</f>
        <v/>
      </c>
      <c r="E2" s="3" t="inlineStr"/>
      <c r="F2" s="3">
        <f>IF(C2&gt;0,2*C2/9,"")</f>
        <v/>
      </c>
      <c r="G2" s="3" t="inlineStr"/>
      <c r="H2" s="3">
        <f>IF(C2&gt;0,6*C2/9,"")</f>
        <v/>
      </c>
      <c r="I2" s="3" t="inlineStr"/>
      <c r="J2" s="3">
        <f>IF(D2&gt;0,E2/D2,"")</f>
        <v/>
      </c>
      <c r="K2" s="3">
        <f>IF(F2&gt;0,G2/F2,"")</f>
        <v/>
      </c>
      <c r="L2" s="3">
        <f>IF(H2&gt;0,I2/H2,"")</f>
        <v/>
      </c>
      <c r="M2" s="3">
        <f>IF(AND(E2=0,G2=0),0,MIN((J2+0.6*K2+0.4*L2)*12.5,25))</f>
        <v/>
      </c>
    </row>
    <row r="3">
      <c r="A3" s="3" t="inlineStr">
        <is>
          <t>CAYm1</t>
        </is>
      </c>
      <c r="B3" s="3" t="inlineStr"/>
      <c r="C3" s="3">
        <f>IF(B3&gt;0,B3/20,"")</f>
        <v/>
      </c>
      <c r="D3" s="3">
        <f>IF(C3&gt;0,C3/9,"")</f>
        <v/>
      </c>
      <c r="E3" s="3" t="inlineStr"/>
      <c r="F3" s="3">
        <f>IF(C3&gt;0,2*C3/9,"")</f>
        <v/>
      </c>
      <c r="G3" s="3" t="inlineStr"/>
      <c r="H3" s="3">
        <f>IF(C3&gt;0,6*C3/9,"")</f>
        <v/>
      </c>
      <c r="I3" s="3" t="inlineStr"/>
      <c r="J3" s="3">
        <f>IF(D3&gt;0,E3/D3,"")</f>
        <v/>
      </c>
      <c r="K3" s="3">
        <f>IF(F3&gt;0,G3/F3,"")</f>
        <v/>
      </c>
      <c r="L3" s="3">
        <f>IF(H3&gt;0,I3/H3,"")</f>
        <v/>
      </c>
      <c r="M3" s="3">
        <f>IF(AND(E3=0,G3=0),0,MIN((J3+0.6*K3+0.4*L3)*12.5,25))</f>
        <v/>
      </c>
    </row>
    <row r="4">
      <c r="A4" s="3" t="inlineStr">
        <is>
          <t>CAYm2</t>
        </is>
      </c>
      <c r="B4" s="3" t="inlineStr"/>
      <c r="C4" s="3">
        <f>IF(B4&gt;0,B4/20,"")</f>
        <v/>
      </c>
      <c r="D4" s="3">
        <f>IF(C4&gt;0,C4/9,"")</f>
        <v/>
      </c>
      <c r="E4" s="3" t="inlineStr"/>
      <c r="F4" s="3">
        <f>IF(C4&gt;0,2*C4/9,"")</f>
        <v/>
      </c>
      <c r="G4" s="3" t="inlineStr"/>
      <c r="H4" s="3">
        <f>IF(C4&gt;0,6*C4/9,"")</f>
        <v/>
      </c>
      <c r="I4" s="3" t="inlineStr"/>
      <c r="J4" s="3">
        <f>IF(D4&gt;0,E4/D4,"")</f>
        <v/>
      </c>
      <c r="K4" s="3">
        <f>IF(F4&gt;0,G4/F4,"")</f>
        <v/>
      </c>
      <c r="L4" s="3">
        <f>IF(H4&gt;0,I4/H4,"")</f>
        <v/>
      </c>
      <c r="M4" s="3">
        <f>IF(AND(E4=0,G4=0),0,MIN((J4+0.6*K4+0.4*L4)*12.5,25))</f>
        <v/>
      </c>
    </row>
    <row r="5">
      <c r="A5" s="3" t="inlineStr">
        <is>
          <t>AVERAGE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>
        <f>IF(COUNTA(M2:M4)=3,AVERAGE(M2:M4),"")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Year</t>
        </is>
      </c>
      <c r="B1" s="1" t="inlineStr">
        <is>
          <t>Total Hours (per year)</t>
        </is>
      </c>
      <c r="C1" s="1" t="inlineStr">
        <is>
          <t>≥50 Hours? (Yes/No)</t>
        </is>
      </c>
      <c r="D1" s="1" t="inlineStr">
        <is>
          <t>Marks (3 per year)</t>
        </is>
      </c>
    </row>
    <row r="2">
      <c r="A2" s="3" t="inlineStr">
        <is>
          <t>CAY</t>
        </is>
      </c>
      <c r="B2" s="3" t="inlineStr"/>
      <c r="C2" s="3">
        <f>IF(B2&gt;=50,"Yes","No")</f>
        <v/>
      </c>
      <c r="D2" s="3">
        <f>IF(B2&gt;=50,3,0)</f>
        <v/>
      </c>
    </row>
    <row r="3">
      <c r="A3" s="3" t="inlineStr">
        <is>
          <t>CAYm1</t>
        </is>
      </c>
      <c r="B3" s="3" t="inlineStr"/>
      <c r="C3" s="3">
        <f>IF(B3&gt;=50,"Yes","No")</f>
        <v/>
      </c>
      <c r="D3" s="3">
        <f>IF(B3&gt;=50,3,0)</f>
        <v/>
      </c>
    </row>
    <row r="4">
      <c r="A4" s="3" t="inlineStr">
        <is>
          <t>CAYm2</t>
        </is>
      </c>
      <c r="B4" s="3" t="inlineStr"/>
      <c r="C4" s="3">
        <f>IF(B4&gt;=50,"Yes","No")</f>
        <v/>
      </c>
      <c r="D4" s="3">
        <f>IF(B4&gt;=50,3,0)</f>
        <v/>
      </c>
    </row>
    <row r="5">
      <c r="A5" s="3" t="inlineStr">
        <is>
          <t>Provision of System (Y/N)</t>
        </is>
      </c>
      <c r="B5" s="3" t="inlineStr">
        <is>
          <t>Yes</t>
        </is>
      </c>
      <c r="C5" s="3" t="inlineStr">
        <is>
          <t>—</t>
        </is>
      </c>
      <c r="D5" s="3">
        <f>IF(B5="Yes",1,0)</f>
        <v/>
      </c>
    </row>
    <row r="6">
      <c r="A6" s="3" t="inlineStr">
        <is>
          <t>Total Marks (cap 10)</t>
        </is>
      </c>
      <c r="B6" s="3" t="inlineStr">
        <is>
          <t>—</t>
        </is>
      </c>
      <c r="C6" s="3" t="inlineStr">
        <is>
          <t>—</t>
        </is>
      </c>
      <c r="D6" s="3">
        <f>MIN(SUM(D2:D4)+D5,10)</f>
        <v/>
      </c>
    </row>
  </sheetData>
  <dataValidations count="1">
    <dataValidation sqref="B5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>
      <c r="A1" s="4" t="inlineStr">
        <is>
          <t>Retention % Method</t>
        </is>
      </c>
    </row>
    <row r="2">
      <c r="A2" s="1" t="inlineStr">
        <is>
          <t>Year</t>
        </is>
      </c>
      <c r="B2" s="1" t="inlineStr">
        <is>
          <t>S (Students)</t>
        </is>
      </c>
      <c r="C2" s="1" t="inlineStr">
        <is>
          <t>RF = S/20</t>
        </is>
      </c>
      <c r="D2" s="1" t="inlineStr">
        <is>
          <t>Retained ≥3 years (count)</t>
        </is>
      </c>
      <c r="E2" s="5" t="inlineStr">
        <is>
          <t>Retention %</t>
        </is>
      </c>
      <c r="F2" s="5" t="inlineStr">
        <is>
          <t>Marks (bands)</t>
        </is>
      </c>
      <c r="G2" s="6" t="n"/>
      <c r="H2" s="6" t="n"/>
      <c r="I2" s="6" t="n"/>
      <c r="J2" s="6" t="n"/>
      <c r="K2" s="6" t="n"/>
      <c r="L2" s="6" t="n"/>
    </row>
    <row r="3">
      <c r="A3" s="6" t="inlineStr">
        <is>
          <t>CAY</t>
        </is>
      </c>
      <c r="B3" s="6" t="inlineStr"/>
      <c r="C3" s="6">
        <f>IF(B3&gt;0,B3/20,"")</f>
        <v/>
      </c>
      <c r="D3" s="6" t="inlineStr"/>
      <c r="E3" s="7">
        <f>IF(C3&gt;0,D3/C3,"")</f>
        <v/>
      </c>
      <c r="F3" s="6">
        <f>IF(E3&gt;=0.9,10,IF(E3&gt;=0.75,8,IF(E3&gt;=0.6,6,IF(E3&gt;=0.5,4,0))))</f>
        <v/>
      </c>
      <c r="G3" s="6" t="n"/>
      <c r="H3" s="6" t="n"/>
      <c r="I3" s="6" t="n"/>
      <c r="J3" s="6" t="n"/>
      <c r="K3" s="6" t="n"/>
      <c r="L3" s="6" t="n"/>
    </row>
    <row r="4">
      <c r="A4" s="6" t="inlineStr">
        <is>
          <t>CAYm1</t>
        </is>
      </c>
      <c r="B4" s="6" t="inlineStr"/>
      <c r="C4" s="6">
        <f>IF(B4&gt;0,B4/20,"")</f>
        <v/>
      </c>
      <c r="D4" s="6" t="inlineStr"/>
      <c r="E4" s="7">
        <f>IF(C4&gt;0,D4/C4,"")</f>
        <v/>
      </c>
      <c r="F4" s="6">
        <f>IF(E4&gt;=0.9,10,IF(E4&gt;=0.75,8,IF(E4&gt;=0.6,6,IF(E4&gt;=0.5,4,0))))</f>
        <v/>
      </c>
      <c r="G4" s="6" t="n"/>
      <c r="H4" s="6" t="n"/>
      <c r="I4" s="6" t="n"/>
      <c r="J4" s="6" t="n"/>
      <c r="K4" s="6" t="n"/>
      <c r="L4" s="6" t="n"/>
    </row>
    <row r="5">
      <c r="A5" s="6" t="inlineStr">
        <is>
          <t>CAYm2</t>
        </is>
      </c>
      <c r="B5" s="6" t="inlineStr"/>
      <c r="C5" s="6">
        <f>IF(B5&gt;0,B5/20,"")</f>
        <v/>
      </c>
      <c r="D5" s="6" t="inlineStr"/>
      <c r="E5" s="7">
        <f>IF(C5&gt;0,D5/C5,"")</f>
        <v/>
      </c>
      <c r="F5" s="6">
        <f>IF(E5&gt;=0.9,10,IF(E5&gt;=0.75,8,IF(E5&gt;=0.6,6,IF(E5&gt;=0.5,4,0))))</f>
        <v/>
      </c>
      <c r="G5" s="6" t="n"/>
      <c r="H5" s="6" t="n"/>
      <c r="I5" s="6" t="n"/>
      <c r="J5" s="6" t="n"/>
      <c r="K5" s="6" t="n"/>
      <c r="L5" s="6" t="n"/>
    </row>
    <row r="6">
      <c r="A6" s="6" t="inlineStr">
        <is>
          <t>Average Marks (bands)</t>
        </is>
      </c>
      <c r="B6" s="6" t="inlineStr"/>
      <c r="C6" s="6" t="inlineStr"/>
      <c r="D6" s="8">
        <f>IF(COUNTA(D3:D5)=3, AVERAGE(F3:F5), "")</f>
        <v/>
      </c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inlineStr">
        <is>
          <t>FR Method (A-E Weighted)</t>
        </is>
      </c>
      <c r="B8" s="6" t="inlineStr"/>
      <c r="C8" s="6" t="inlineStr"/>
      <c r="D8" s="6" t="inlineStr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inlineStr">
        <is>
          <t>Year</t>
        </is>
      </c>
      <c r="B10" s="6" t="inlineStr">
        <is>
          <t>RF</t>
        </is>
      </c>
      <c r="C10" s="6" t="inlineStr">
        <is>
          <t>AF</t>
        </is>
      </c>
      <c r="D10" s="6" t="inlineStr">
        <is>
          <t>A(&lt;1yr)</t>
        </is>
      </c>
      <c r="E10" s="6" t="inlineStr">
        <is>
          <t>B(≥1&amp;&lt;2)</t>
        </is>
      </c>
      <c r="F10" s="6" t="inlineStr">
        <is>
          <t>C(≥2&amp;&lt;3)</t>
        </is>
      </c>
      <c r="G10" s="6" t="inlineStr">
        <is>
          <t>D(≥3&amp;&lt;4)</t>
        </is>
      </c>
      <c r="H10" s="6" t="inlineStr">
        <is>
          <t>E(≥4)</t>
        </is>
      </c>
      <c r="I10" s="6" t="inlineStr">
        <is>
          <t>Sum(A..E)</t>
        </is>
      </c>
      <c r="J10" s="6" t="inlineStr">
        <is>
          <t>Mismatch (AF-Sum)</t>
        </is>
      </c>
      <c r="K10" s="6" t="inlineStr">
        <is>
          <t>Weighted (0A+1B+2C+3D+4E)</t>
        </is>
      </c>
      <c r="L10" s="6" t="inlineStr">
        <is>
          <t>FR per year (cap 10)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6" t="inlineStr">
        <is>
          <t>CAYm1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>
        <f>SUM(D12:H12)</f>
        <v/>
      </c>
      <c r="J12" s="6">
        <f>IF(AND(C12&lt;&gt;",",I12&lt;&gt;""),C12-I12,"")</f>
        <v/>
      </c>
      <c r="K12" s="6">
        <f>0*D12+1*E12+2*F12+3*G12+4*H12</f>
        <v/>
      </c>
      <c r="L12" s="6">
        <f>IF(B12&gt;0,MIN((K12/B12)*2.5,10),"")</f>
        <v/>
      </c>
    </row>
    <row r="13">
      <c r="A13" s="6" t="inlineStr">
        <is>
          <t>CAYm2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>
        <f>SUM(D13:H13)</f>
        <v/>
      </c>
      <c r="J13" s="6">
        <f>IF(AND(C13&lt;&gt;",",I13&lt;&gt;""),C13-I13,"")</f>
        <v/>
      </c>
      <c r="K13" s="6">
        <f>0*D13+1*E13+2*F13+3*G13+4*H13</f>
        <v/>
      </c>
      <c r="L13" s="6">
        <f>IF(B13&gt;0,MIN((K13/B13)*2.5,10),"")</f>
        <v/>
      </c>
    </row>
    <row r="14">
      <c r="A14" s="6" t="inlineStr">
        <is>
          <t>CAYm3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>
        <f>SUM(D14:H14)</f>
        <v/>
      </c>
      <c r="J14" s="6">
        <f>IF(AND(C14&lt;&gt;",",I14&lt;&gt;""),C14-I14,"")</f>
        <v/>
      </c>
      <c r="K14" s="6">
        <f>0*D14+1*E14+2*F14+3*G14+4*H14</f>
        <v/>
      </c>
      <c r="L14" s="6">
        <f>IF(B14&gt;0,MIN((K14/B14)*2.5,10),"")</f>
        <v/>
      </c>
    </row>
    <row r="15">
      <c r="A15" s="6" t="inlineStr">
        <is>
          <t>Average FR (cap 10)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>
        <f>IF(COUNTA(L12:L14)=3,MIN(AVERAGE(L12:L14),10),"")</f>
        <v/>
      </c>
    </row>
    <row r="16">
      <c r="A16" s="6" t="inlineStr">
        <is>
          <t>Final 5.5 Marks (MAX of two methods)</t>
        </is>
      </c>
      <c r="B16" s="6">
        <f>MAX(D6, L16)</f>
        <v/>
      </c>
      <c r="C16" s="6" t="inlineStr"/>
      <c r="D16" s="6" t="inlineStr"/>
      <c r="E16" s="6" t="n"/>
      <c r="F16" s="6" t="n"/>
      <c r="G16" s="6" t="n"/>
      <c r="H16" s="6" t="n"/>
      <c r="I16" s="6" t="n"/>
      <c r="J16" s="6" t="n"/>
      <c r="K16" s="6" t="n"/>
      <c r="L16" s="8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</sheetData>
  <mergeCells count="3">
    <mergeCell ref="A1:D1"/>
    <mergeCell ref="A9:L9"/>
    <mergeCell ref="A17:D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Faculty Information Dashboard — How to Use (Criterion 5: 100 Marks)</t>
        </is>
      </c>
    </row>
    <row r="3">
      <c r="A3" t="inlineStr">
        <is>
          <t>General: Fill inputs in each sheet (5.1 to 5.5). Summary auto-calculates marks out of 100.</t>
        </is>
      </c>
    </row>
    <row r="4">
      <c r="A4" t="inlineStr">
        <is>
          <t>5.1 SFR: Enter S (Dept+Allied engineering students), F (full-time), FF (100% first-year-only). Sheet computes per-year SFR, average SFR, and marks per NBA bands.</t>
        </is>
      </c>
    </row>
    <row r="5">
      <c r="A5" t="inlineStr">
        <is>
          <t>5.2 FQI: Enter X (Ph.D.), Y (M.Tech/ME), S (students). Sheet computes RF=S/20, Weighted=10X+4Y, FQI and average (cap 25).</t>
        </is>
      </c>
    </row>
    <row r="6">
      <c r="A6" t="inlineStr">
        <is>
          <t>5.3 Cadre: Enter S and AF1/AF2/AF3. Sheet computes RF and cadre requirements (1:2:6), ratios and marks (cap 25). Rule: if AF1=0 &amp; AF2=0 → 0 marks.</t>
        </is>
      </c>
    </row>
    <row r="7">
      <c r="A7" t="inlineStr">
        <is>
          <t>5.4 Adjunct: Enter total hours per year (from your Timetable/Contribution trackers). If ≥50 hours, 3 marks per year. Mark Provision=Yes/No for +1 mark (cap 10).</t>
        </is>
      </c>
    </row>
    <row r="8">
      <c r="A8" t="inlineStr">
        <is>
          <t>5.5 Retention: Two methods available — (A) Retention % using Retained ≥3 years and RF=S/20 (banded marks); (B) FR method with A–E service buckets (weighted, cap 10). Final = MAX of the two.</t>
        </is>
      </c>
    </row>
    <row r="9">
      <c r="A9" t="inlineStr">
        <is>
          <t>Consistency: Use the same S values across sheets (engineering only; include allied; exclude SNQ/EWS/TFWS; apply SA+L ≤110%) and exclude 100% first-year faculty from SFR faculty.</t>
        </is>
      </c>
    </row>
    <row r="10">
      <c r="A10" t="inlineStr">
        <is>
          <t>Evidence pointers: Appointment/Approval letters, Joining/Relieving records, Payroll continuity, Timetables, Attendance, Feedback, Workshop/Project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2025-08-29T04:28:58Z</dcterms:created>
  <dcterms:modified xmlns:dcterms="http://purl.org/dc/terms/" xmlns:xsi="http://www.w3.org/2001/XMLSchema-instance" xsi:type="dcterms:W3CDTF">2025-08-29T04:28:58Z</dcterms:modified>
</cp:coreProperties>
</file>