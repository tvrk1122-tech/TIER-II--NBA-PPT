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F:\TVRK_Books\1-12. NBA\3. Criterion 3 Outcome-Based Assessment\"/>
    </mc:Choice>
  </mc:AlternateContent>
  <xr:revisionPtr revIDLastSave="0" documentId="8_{1E922D5F-8D11-40DC-B6B9-4A2ECC5DFE05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SEE Question Paper Mapping" sheetId="1" r:id="rId1"/>
    <sheet name="Question Paper Blueprint" sheetId="2" r:id="rId2"/>
    <sheet name="SEE CO Attainment" sheetId="3" r:id="rId3"/>
    <sheet name="SEE Mapping Sheet" sheetId="4" r:id="rId4"/>
    <sheet name="SEE Answer Scripts Log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4" l="1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D16" i="4"/>
  <c r="C16" i="4"/>
  <c r="B16" i="4"/>
  <c r="A16" i="4"/>
  <c r="F15" i="4"/>
  <c r="E15" i="4"/>
  <c r="D15" i="4"/>
  <c r="C15" i="4"/>
  <c r="B15" i="4"/>
  <c r="A15" i="4"/>
  <c r="F14" i="4"/>
  <c r="E14" i="4"/>
  <c r="D14" i="4"/>
  <c r="C14" i="4"/>
  <c r="B14" i="4"/>
  <c r="A14" i="4"/>
  <c r="F13" i="4"/>
  <c r="E13" i="4"/>
  <c r="D13" i="4"/>
  <c r="C13" i="4"/>
  <c r="B13" i="4"/>
  <c r="A13" i="4"/>
  <c r="F12" i="4"/>
  <c r="E12" i="4"/>
  <c r="D12" i="4"/>
  <c r="C12" i="4"/>
  <c r="B12" i="4"/>
  <c r="A12" i="4"/>
  <c r="F11" i="4"/>
  <c r="E11" i="4"/>
  <c r="D11" i="4"/>
  <c r="C11" i="4"/>
  <c r="B11" i="4"/>
  <c r="A11" i="4"/>
  <c r="F10" i="4"/>
  <c r="E10" i="4"/>
  <c r="D10" i="4"/>
  <c r="C10" i="4"/>
  <c r="B10" i="4"/>
  <c r="A10" i="4"/>
  <c r="F9" i="4"/>
  <c r="E9" i="4"/>
  <c r="D9" i="4"/>
  <c r="C9" i="4"/>
  <c r="B9" i="4"/>
  <c r="A9" i="4"/>
  <c r="F8" i="4"/>
  <c r="E8" i="4"/>
  <c r="D8" i="4"/>
  <c r="C8" i="4"/>
  <c r="B8" i="4"/>
  <c r="A8" i="4"/>
  <c r="F7" i="4"/>
  <c r="E7" i="4"/>
  <c r="D7" i="4"/>
  <c r="C7" i="4"/>
  <c r="B7" i="4"/>
  <c r="A7" i="4"/>
  <c r="F6" i="4"/>
  <c r="E6" i="4"/>
  <c r="D6" i="4"/>
  <c r="C6" i="4"/>
  <c r="B6" i="4"/>
  <c r="A6" i="4"/>
  <c r="F5" i="4"/>
  <c r="E5" i="4"/>
  <c r="D5" i="4"/>
  <c r="C5" i="4"/>
  <c r="B5" i="4"/>
  <c r="A5" i="4"/>
  <c r="F4" i="4"/>
  <c r="E4" i="4"/>
  <c r="D4" i="4"/>
  <c r="C4" i="4"/>
  <c r="B4" i="4"/>
  <c r="A4" i="4"/>
  <c r="C121" i="3"/>
  <c r="C120" i="3"/>
  <c r="C119" i="3"/>
  <c r="C118" i="3"/>
  <c r="C117" i="3"/>
  <c r="C116" i="3"/>
  <c r="C115" i="3"/>
  <c r="C114" i="3"/>
  <c r="C113" i="3"/>
  <c r="C112" i="3"/>
  <c r="E104" i="3"/>
  <c r="C104" i="3"/>
  <c r="B104" i="3"/>
  <c r="A104" i="3"/>
  <c r="E103" i="3"/>
  <c r="C103" i="3"/>
  <c r="B103" i="3"/>
  <c r="A103" i="3"/>
  <c r="E102" i="3"/>
  <c r="C102" i="3"/>
  <c r="B102" i="3"/>
  <c r="A102" i="3"/>
  <c r="E101" i="3"/>
  <c r="C101" i="3"/>
  <c r="B101" i="3"/>
  <c r="A101" i="3"/>
  <c r="E100" i="3"/>
  <c r="C100" i="3"/>
  <c r="B100" i="3"/>
  <c r="A100" i="3"/>
  <c r="E99" i="3"/>
  <c r="C99" i="3"/>
  <c r="B99" i="3"/>
  <c r="A99" i="3"/>
  <c r="E98" i="3"/>
  <c r="C98" i="3"/>
  <c r="B98" i="3"/>
  <c r="A98" i="3"/>
  <c r="E97" i="3"/>
  <c r="C97" i="3"/>
  <c r="B97" i="3"/>
  <c r="A97" i="3"/>
  <c r="E96" i="3"/>
  <c r="C96" i="3"/>
  <c r="B96" i="3"/>
  <c r="A96" i="3"/>
  <c r="E95" i="3"/>
  <c r="C95" i="3"/>
  <c r="B95" i="3"/>
  <c r="A95" i="3"/>
  <c r="E94" i="3"/>
  <c r="C94" i="3"/>
  <c r="B94" i="3"/>
  <c r="A94" i="3"/>
  <c r="E93" i="3"/>
  <c r="C93" i="3"/>
  <c r="B93" i="3"/>
  <c r="A93" i="3"/>
  <c r="E92" i="3"/>
  <c r="C92" i="3"/>
  <c r="B92" i="3"/>
  <c r="A92" i="3"/>
  <c r="E91" i="3"/>
  <c r="C91" i="3"/>
  <c r="B91" i="3"/>
  <c r="A91" i="3"/>
  <c r="E90" i="3"/>
  <c r="C90" i="3"/>
  <c r="B90" i="3"/>
  <c r="A90" i="3"/>
  <c r="E89" i="3"/>
  <c r="C89" i="3"/>
  <c r="B89" i="3"/>
  <c r="A89" i="3"/>
  <c r="E88" i="3"/>
  <c r="C88" i="3"/>
  <c r="B88" i="3"/>
  <c r="A88" i="3"/>
  <c r="E87" i="3"/>
  <c r="C87" i="3"/>
  <c r="B87" i="3"/>
  <c r="A87" i="3"/>
  <c r="E86" i="3"/>
  <c r="C86" i="3"/>
  <c r="B86" i="3"/>
  <c r="A86" i="3"/>
  <c r="E85" i="3"/>
  <c r="C85" i="3"/>
  <c r="B85" i="3"/>
  <c r="A85" i="3"/>
  <c r="E84" i="3"/>
  <c r="C84" i="3"/>
  <c r="B84" i="3"/>
  <c r="A84" i="3"/>
  <c r="E83" i="3"/>
  <c r="C83" i="3"/>
  <c r="B83" i="3"/>
  <c r="A83" i="3"/>
  <c r="E82" i="3"/>
  <c r="C82" i="3"/>
  <c r="B82" i="3"/>
  <c r="A82" i="3"/>
  <c r="E81" i="3"/>
  <c r="C81" i="3"/>
  <c r="B81" i="3"/>
  <c r="A81" i="3"/>
  <c r="E80" i="3"/>
  <c r="C80" i="3"/>
  <c r="B80" i="3"/>
  <c r="A80" i="3"/>
  <c r="E79" i="3"/>
  <c r="C79" i="3"/>
  <c r="B79" i="3"/>
  <c r="A79" i="3"/>
  <c r="E78" i="3"/>
  <c r="C78" i="3"/>
  <c r="B78" i="3"/>
  <c r="A78" i="3"/>
  <c r="E77" i="3"/>
  <c r="C77" i="3"/>
  <c r="B77" i="3"/>
  <c r="A77" i="3"/>
  <c r="E76" i="3"/>
  <c r="C76" i="3"/>
  <c r="B76" i="3"/>
  <c r="A76" i="3"/>
  <c r="E75" i="3"/>
  <c r="C75" i="3"/>
  <c r="B75" i="3"/>
  <c r="A75" i="3"/>
  <c r="E74" i="3"/>
  <c r="C74" i="3"/>
  <c r="B74" i="3"/>
  <c r="A74" i="3"/>
  <c r="E73" i="3"/>
  <c r="C73" i="3"/>
  <c r="B73" i="3"/>
  <c r="A73" i="3"/>
  <c r="E72" i="3"/>
  <c r="C72" i="3"/>
  <c r="B72" i="3"/>
  <c r="A72" i="3"/>
  <c r="E71" i="3"/>
  <c r="C71" i="3"/>
  <c r="B71" i="3"/>
  <c r="A71" i="3"/>
  <c r="E70" i="3"/>
  <c r="C70" i="3"/>
  <c r="B70" i="3"/>
  <c r="A70" i="3"/>
  <c r="E69" i="3"/>
  <c r="C69" i="3"/>
  <c r="B69" i="3"/>
  <c r="A69" i="3"/>
  <c r="E68" i="3"/>
  <c r="C68" i="3"/>
  <c r="B68" i="3"/>
  <c r="A68" i="3"/>
  <c r="E67" i="3"/>
  <c r="C67" i="3"/>
  <c r="B67" i="3"/>
  <c r="A67" i="3"/>
  <c r="E66" i="3"/>
  <c r="C66" i="3"/>
  <c r="B66" i="3"/>
  <c r="A66" i="3"/>
  <c r="E65" i="3"/>
  <c r="C65" i="3"/>
  <c r="B65" i="3"/>
  <c r="A65" i="3"/>
  <c r="E64" i="3"/>
  <c r="C64" i="3"/>
  <c r="B64" i="3"/>
  <c r="A64" i="3"/>
  <c r="E63" i="3"/>
  <c r="C63" i="3"/>
  <c r="B63" i="3"/>
  <c r="A63" i="3"/>
  <c r="E62" i="3"/>
  <c r="C62" i="3"/>
  <c r="B62" i="3"/>
  <c r="A62" i="3"/>
  <c r="E61" i="3"/>
  <c r="C61" i="3"/>
  <c r="B61" i="3"/>
  <c r="A61" i="3"/>
  <c r="E60" i="3"/>
  <c r="C60" i="3"/>
  <c r="B60" i="3"/>
  <c r="A60" i="3"/>
  <c r="E59" i="3"/>
  <c r="C59" i="3"/>
  <c r="B59" i="3"/>
  <c r="A59" i="3"/>
  <c r="E58" i="3"/>
  <c r="C58" i="3"/>
  <c r="B58" i="3"/>
  <c r="A58" i="3"/>
  <c r="E57" i="3"/>
  <c r="C57" i="3"/>
  <c r="B57" i="3"/>
  <c r="A57" i="3"/>
  <c r="E56" i="3"/>
  <c r="C56" i="3"/>
  <c r="B56" i="3"/>
  <c r="A56" i="3"/>
  <c r="E55" i="3"/>
  <c r="C55" i="3"/>
  <c r="B55" i="3"/>
  <c r="A55" i="3"/>
  <c r="E54" i="3"/>
  <c r="C54" i="3"/>
  <c r="B54" i="3"/>
  <c r="A54" i="3"/>
  <c r="E53" i="3"/>
  <c r="C53" i="3"/>
  <c r="B53" i="3"/>
  <c r="A53" i="3"/>
  <c r="E52" i="3"/>
  <c r="C52" i="3"/>
  <c r="B52" i="3"/>
  <c r="A52" i="3"/>
  <c r="E51" i="3"/>
  <c r="C51" i="3"/>
  <c r="B51" i="3"/>
  <c r="A51" i="3"/>
  <c r="E50" i="3"/>
  <c r="C50" i="3"/>
  <c r="B50" i="3"/>
  <c r="A50" i="3"/>
  <c r="E49" i="3"/>
  <c r="C49" i="3"/>
  <c r="B49" i="3"/>
  <c r="A49" i="3"/>
  <c r="E48" i="3"/>
  <c r="C48" i="3"/>
  <c r="B48" i="3"/>
  <c r="A48" i="3"/>
  <c r="E47" i="3"/>
  <c r="C47" i="3"/>
  <c r="B47" i="3"/>
  <c r="A47" i="3"/>
  <c r="E46" i="3"/>
  <c r="C46" i="3"/>
  <c r="B46" i="3"/>
  <c r="A46" i="3"/>
  <c r="E45" i="3"/>
  <c r="C45" i="3"/>
  <c r="B45" i="3"/>
  <c r="A45" i="3"/>
  <c r="E44" i="3"/>
  <c r="C44" i="3"/>
  <c r="B44" i="3"/>
  <c r="A44" i="3"/>
  <c r="E43" i="3"/>
  <c r="C43" i="3"/>
  <c r="B43" i="3"/>
  <c r="A43" i="3"/>
  <c r="E42" i="3"/>
  <c r="C42" i="3"/>
  <c r="B42" i="3"/>
  <c r="A42" i="3"/>
  <c r="E41" i="3"/>
  <c r="C41" i="3"/>
  <c r="B41" i="3"/>
  <c r="A41" i="3"/>
  <c r="E40" i="3"/>
  <c r="C40" i="3"/>
  <c r="B40" i="3"/>
  <c r="A40" i="3"/>
  <c r="E39" i="3"/>
  <c r="C39" i="3"/>
  <c r="B39" i="3"/>
  <c r="A39" i="3"/>
  <c r="E38" i="3"/>
  <c r="C38" i="3"/>
  <c r="B38" i="3"/>
  <c r="A38" i="3"/>
  <c r="E37" i="3"/>
  <c r="C37" i="3"/>
  <c r="B37" i="3"/>
  <c r="A37" i="3"/>
  <c r="E36" i="3"/>
  <c r="C36" i="3"/>
  <c r="B36" i="3"/>
  <c r="A36" i="3"/>
  <c r="E35" i="3"/>
  <c r="C35" i="3"/>
  <c r="B35" i="3"/>
  <c r="A35" i="3"/>
  <c r="E34" i="3"/>
  <c r="C34" i="3"/>
  <c r="B34" i="3"/>
  <c r="A34" i="3"/>
  <c r="E33" i="3"/>
  <c r="C33" i="3"/>
  <c r="B33" i="3"/>
  <c r="A33" i="3"/>
  <c r="E32" i="3"/>
  <c r="C32" i="3"/>
  <c r="B32" i="3"/>
  <c r="A32" i="3"/>
  <c r="E31" i="3"/>
  <c r="C31" i="3"/>
  <c r="B31" i="3"/>
  <c r="A31" i="3"/>
  <c r="E30" i="3"/>
  <c r="C30" i="3"/>
  <c r="B30" i="3"/>
  <c r="A30" i="3"/>
  <c r="E29" i="3"/>
  <c r="C29" i="3"/>
  <c r="B29" i="3"/>
  <c r="A29" i="3"/>
  <c r="E28" i="3"/>
  <c r="C28" i="3"/>
  <c r="B28" i="3"/>
  <c r="A28" i="3"/>
  <c r="E27" i="3"/>
  <c r="C27" i="3"/>
  <c r="B27" i="3"/>
  <c r="A27" i="3"/>
  <c r="E26" i="3"/>
  <c r="C26" i="3"/>
  <c r="B26" i="3"/>
  <c r="A26" i="3"/>
  <c r="E25" i="3"/>
  <c r="C25" i="3"/>
  <c r="B25" i="3"/>
  <c r="A25" i="3"/>
  <c r="E24" i="3"/>
  <c r="C24" i="3"/>
  <c r="B24" i="3"/>
  <c r="A24" i="3"/>
  <c r="E23" i="3"/>
  <c r="C23" i="3"/>
  <c r="B23" i="3"/>
  <c r="A23" i="3"/>
  <c r="E22" i="3"/>
  <c r="C22" i="3"/>
  <c r="B22" i="3"/>
  <c r="A22" i="3"/>
  <c r="E21" i="3"/>
  <c r="C21" i="3"/>
  <c r="B21" i="3"/>
  <c r="A21" i="3"/>
  <c r="E20" i="3"/>
  <c r="C20" i="3"/>
  <c r="B20" i="3"/>
  <c r="A20" i="3"/>
  <c r="E19" i="3"/>
  <c r="C19" i="3"/>
  <c r="B19" i="3"/>
  <c r="A19" i="3"/>
  <c r="E18" i="3"/>
  <c r="C18" i="3"/>
  <c r="B18" i="3"/>
  <c r="A18" i="3"/>
  <c r="E17" i="3"/>
  <c r="C17" i="3"/>
  <c r="B17" i="3"/>
  <c r="A17" i="3"/>
  <c r="E16" i="3"/>
  <c r="C16" i="3"/>
  <c r="B16" i="3"/>
  <c r="A16" i="3"/>
  <c r="E15" i="3"/>
  <c r="C15" i="3"/>
  <c r="B15" i="3"/>
  <c r="A15" i="3"/>
  <c r="E14" i="3"/>
  <c r="C14" i="3"/>
  <c r="B14" i="3"/>
  <c r="A14" i="3"/>
  <c r="E13" i="3"/>
  <c r="C13" i="3"/>
  <c r="B13" i="3"/>
  <c r="A13" i="3"/>
  <c r="E12" i="3"/>
  <c r="C12" i="3"/>
  <c r="B12" i="3"/>
  <c r="A12" i="3"/>
  <c r="E11" i="3"/>
  <c r="C11" i="3"/>
  <c r="B11" i="3"/>
  <c r="A11" i="3"/>
  <c r="E10" i="3"/>
  <c r="C10" i="3"/>
  <c r="B10" i="3"/>
  <c r="A10" i="3"/>
  <c r="E9" i="3"/>
  <c r="C9" i="3"/>
  <c r="B9" i="3"/>
  <c r="A9" i="3"/>
  <c r="E8" i="3"/>
  <c r="C8" i="3"/>
  <c r="B8" i="3"/>
  <c r="A8" i="3"/>
  <c r="E7" i="3"/>
  <c r="C7" i="3"/>
  <c r="B7" i="3"/>
  <c r="A7" i="3"/>
  <c r="E6" i="3"/>
  <c r="C6" i="3"/>
  <c r="B6" i="3"/>
  <c r="A6" i="3"/>
  <c r="E5" i="3"/>
  <c r="C5" i="3"/>
  <c r="B5" i="3"/>
  <c r="D121" i="3" s="1"/>
  <c r="E121" i="3" s="1"/>
  <c r="A5" i="3"/>
  <c r="F28" i="2"/>
  <c r="E28" i="2"/>
  <c r="E27" i="2"/>
  <c r="F26" i="2"/>
  <c r="E26" i="2"/>
  <c r="E25" i="2"/>
  <c r="F25" i="2" s="1"/>
  <c r="F24" i="2"/>
  <c r="E24" i="2"/>
  <c r="F23" i="2"/>
  <c r="E23" i="2"/>
  <c r="F22" i="2"/>
  <c r="E22" i="2"/>
  <c r="E21" i="2"/>
  <c r="F20" i="2"/>
  <c r="E20" i="2"/>
  <c r="E19" i="2"/>
  <c r="F19" i="2" s="1"/>
  <c r="D13" i="2"/>
  <c r="C13" i="2"/>
  <c r="B13" i="2"/>
  <c r="C12" i="2"/>
  <c r="B12" i="2"/>
  <c r="C11" i="2"/>
  <c r="B11" i="2"/>
  <c r="C10" i="2"/>
  <c r="D10" i="2" s="1"/>
  <c r="B10" i="2"/>
  <c r="D9" i="2"/>
  <c r="C9" i="2"/>
  <c r="B9" i="2"/>
  <c r="H8" i="2"/>
  <c r="F27" i="2" s="1"/>
  <c r="D8" i="2"/>
  <c r="C8" i="2"/>
  <c r="B8" i="2"/>
  <c r="D114" i="3" l="1"/>
  <c r="E114" i="3" s="1"/>
  <c r="D118" i="3"/>
  <c r="E118" i="3" s="1"/>
  <c r="D12" i="2"/>
  <c r="D115" i="3"/>
  <c r="E115" i="3" s="1"/>
  <c r="D119" i="3"/>
  <c r="E119" i="3" s="1"/>
  <c r="D112" i="3"/>
  <c r="E112" i="3" s="1"/>
  <c r="D116" i="3"/>
  <c r="E116" i="3" s="1"/>
  <c r="D120" i="3"/>
  <c r="E120" i="3" s="1"/>
  <c r="D113" i="3"/>
  <c r="E113" i="3" s="1"/>
  <c r="D117" i="3"/>
  <c r="E117" i="3" s="1"/>
  <c r="D11" i="2"/>
  <c r="F21" i="2"/>
</calcChain>
</file>

<file path=xl/sharedStrings.xml><?xml version="1.0" encoding="utf-8"?>
<sst xmlns="http://schemas.openxmlformats.org/spreadsheetml/2006/main" count="133" uniqueCount="92">
  <si>
    <t>Q. No</t>
  </si>
  <si>
    <t>Question Description</t>
  </si>
  <si>
    <t>CO Mapped</t>
  </si>
  <si>
    <t>PO(s) Mapped</t>
  </si>
  <si>
    <t>PSO(s) Mapped</t>
  </si>
  <si>
    <t>Bloom’s Level</t>
  </si>
  <si>
    <t>Marks</t>
  </si>
  <si>
    <t>Evidence (File/Link)</t>
  </si>
  <si>
    <t>1(a)</t>
  </si>
  <si>
    <t>Define Data Mining concepts</t>
  </si>
  <si>
    <t>CO1</t>
  </si>
  <si>
    <t>PO1</t>
  </si>
  <si>
    <t>PSO1</t>
  </si>
  <si>
    <t>Remember</t>
  </si>
  <si>
    <t>SEE_Q1a.pdf</t>
  </si>
  <si>
    <t>1(b)</t>
  </si>
  <si>
    <t>Differentiate Classification vs Clustering</t>
  </si>
  <si>
    <t>CO2</t>
  </si>
  <si>
    <t>PO2, PO3</t>
  </si>
  <si>
    <t>PSO2</t>
  </si>
  <si>
    <t>Analyze</t>
  </si>
  <si>
    <t>SEE_Q1b.pdf</t>
  </si>
  <si>
    <t>2</t>
  </si>
  <si>
    <t>Apply Apriori algorithm on dataset</t>
  </si>
  <si>
    <t>CO3</t>
  </si>
  <si>
    <t>PO4</t>
  </si>
  <si>
    <t>Apply</t>
  </si>
  <si>
    <t>SEE_Q2.pdf</t>
  </si>
  <si>
    <t>3</t>
  </si>
  <si>
    <t>Design a neural network model for classification</t>
  </si>
  <si>
    <t>CO4</t>
  </si>
  <si>
    <t>PO5</t>
  </si>
  <si>
    <t>PSO3</t>
  </si>
  <si>
    <t>Create</t>
  </si>
  <si>
    <t>SEE_Q3.pdf</t>
  </si>
  <si>
    <t>SEE Question Paper Blueprint</t>
  </si>
  <si>
    <t>Section A — Reference: Use the 'SEE Question Paper Mapping' sheet for per-question details (Q. No → CO → PO/PSO → Bloom → Marks → Evidence).</t>
  </si>
  <si>
    <t>Section B — Bloom’s Level Distribution</t>
  </si>
  <si>
    <t>No. of Questions</t>
  </si>
  <si>
    <t>Total Marks</t>
  </si>
  <si>
    <t>% Weightage</t>
  </si>
  <si>
    <t>NBA Expectation (Guide)</t>
  </si>
  <si>
    <t>Total SEE Marks</t>
  </si>
  <si>
    <t>10–15%</t>
  </si>
  <si>
    <t>Understand</t>
  </si>
  <si>
    <t>15–20%</t>
  </si>
  <si>
    <t>20–30%</t>
  </si>
  <si>
    <t>Evaluate</t>
  </si>
  <si>
    <t>10–20%</t>
  </si>
  <si>
    <t>Section C — CO–PO/PSO Coverage Summary</t>
  </si>
  <si>
    <t>CO</t>
  </si>
  <si>
    <t>PO(s) Addressed</t>
  </si>
  <si>
    <t>PSO(s) Addressed</t>
  </si>
  <si>
    <t>Questions Mapped</t>
  </si>
  <si>
    <t>CO5</t>
  </si>
  <si>
    <t>CO6</t>
  </si>
  <si>
    <t>CO7</t>
  </si>
  <si>
    <t>CO8</t>
  </si>
  <si>
    <t>CO9</t>
  </si>
  <si>
    <t>CO10</t>
  </si>
  <si>
    <t>SEE CO Attainment (Derived from SEE Question Paper Mapping + Question-wise Class Averages)</t>
  </si>
  <si>
    <t>Section A — Question-wise Class Averages (enter Class Avg % as decimal, e.g., 0.72 = 72%)</t>
  </si>
  <si>
    <t>Max Marks</t>
  </si>
  <si>
    <t>Class Avg % (Manual)</t>
  </si>
  <si>
    <t>Attainment Level (0–3 Auto)</t>
  </si>
  <si>
    <t>Section B — CO-wise Aggregation from SEE</t>
  </si>
  <si>
    <t>Total Marks (SEE)</t>
  </si>
  <si>
    <t>Weighted Avg % (Auto)</t>
  </si>
  <si>
    <t>Simplified SEE Mapping Sheet (Question → CO → PO/PSO → Marks)</t>
  </si>
  <si>
    <t>SEE Answer Scripts Log (High / Medium / Low Achievers)</t>
  </si>
  <si>
    <t>Course Code</t>
  </si>
  <si>
    <t>Course Name</t>
  </si>
  <si>
    <t>Assessment (SEE)</t>
  </si>
  <si>
    <t>Script Type (High/Medium/Low)</t>
  </si>
  <si>
    <t>COs Covered</t>
  </si>
  <si>
    <t>Evidence File (Scanned PDF/Folder Link)</t>
  </si>
  <si>
    <t>Remarks</t>
  </si>
  <si>
    <t>CSE301</t>
  </si>
  <si>
    <t>Data Mining</t>
  </si>
  <si>
    <t>SEE</t>
  </si>
  <si>
    <t>High Achiever</t>
  </si>
  <si>
    <t>CO1, CO3, CO4</t>
  </si>
  <si>
    <t>SEE_CSE301_High.pdf</t>
  </si>
  <si>
    <t>Strong conceptual + applied answers</t>
  </si>
  <si>
    <t>Medium Achiever</t>
  </si>
  <si>
    <t>CO2, CO3</t>
  </si>
  <si>
    <t>SEE_CSE301_Medium.pdf</t>
  </si>
  <si>
    <t>Average performance with partial accuracy</t>
  </si>
  <si>
    <t>Low Achiever</t>
  </si>
  <si>
    <t>CO1, CO2</t>
  </si>
  <si>
    <t>SEE_CSE301_Low.pdf</t>
  </si>
  <si>
    <t>Weak answers, below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</si>
</sst>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3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60" customWidth="1"/>
    <col min="3" max="3" width="12" customWidth="1"/>
    <col min="4" max="6" width="16" customWidth="1"/>
    <col min="7" max="7" width="8" customWidth="1"/>
    <col min="8" max="8" width="2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</v>
      </c>
      <c r="H3" t="s">
        <v>21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19</v>
      </c>
      <c r="F4" t="s">
        <v>26</v>
      </c>
      <c r="G4">
        <v>10</v>
      </c>
      <c r="H4" t="s">
        <v>27</v>
      </c>
    </row>
    <row r="5" spans="1:8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>
        <v>15</v>
      </c>
      <c r="H5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pane ySplit="7" topLeftCell="A28" activePane="bottomLeft" state="frozen"/>
      <selection pane="bottomLeft"/>
    </sheetView>
  </sheetViews>
  <sheetFormatPr defaultRowHeight="14.4" x14ac:dyDescent="0.3"/>
  <cols>
    <col min="1" max="1" width="10" customWidth="1"/>
    <col min="2" max="3" width="24" customWidth="1"/>
    <col min="4" max="4" width="36" customWidth="1"/>
    <col min="5" max="6" width="14" customWidth="1"/>
    <col min="7" max="7" width="10" customWidth="1"/>
    <col min="8" max="8" width="16" customWidth="1"/>
  </cols>
  <sheetData>
    <row r="1" spans="1:8" ht="18" x14ac:dyDescent="0.35">
      <c r="A1" s="3" t="s">
        <v>35</v>
      </c>
    </row>
    <row r="3" spans="1:8" ht="259.2" x14ac:dyDescent="0.3">
      <c r="A3" s="4" t="s">
        <v>36</v>
      </c>
    </row>
    <row r="6" spans="1:8" x14ac:dyDescent="0.3">
      <c r="A6" s="2" t="s">
        <v>37</v>
      </c>
    </row>
    <row r="7" spans="1:8" ht="43.2" x14ac:dyDescent="0.3">
      <c r="A7" s="1" t="s">
        <v>5</v>
      </c>
      <c r="B7" s="1" t="s">
        <v>38</v>
      </c>
      <c r="C7" s="1" t="s">
        <v>39</v>
      </c>
      <c r="D7" s="1" t="s">
        <v>40</v>
      </c>
      <c r="E7" s="1" t="s">
        <v>41</v>
      </c>
      <c r="H7" s="2" t="s">
        <v>42</v>
      </c>
    </row>
    <row r="8" spans="1:8" x14ac:dyDescent="0.3">
      <c r="A8" t="s">
        <v>13</v>
      </c>
      <c r="B8">
        <f>COUNTIF('SEE Question Paper Mapping'!F:F,"Remember")</f>
        <v>1</v>
      </c>
      <c r="C8">
        <f>SUMIF('SEE Question Paper Mapping'!F:F,"Remember",'SEE Question Paper Mapping'!G:G)</f>
        <v>4</v>
      </c>
      <c r="D8" s="5">
        <f t="shared" ref="D8:D13" si="0">IF($H$8=0,"",C8/$H$8)</f>
        <v>0.11428571428571428</v>
      </c>
      <c r="E8" t="s">
        <v>43</v>
      </c>
      <c r="H8">
        <f>SUM('SEE Question Paper Mapping'!G:G)</f>
        <v>35</v>
      </c>
    </row>
    <row r="9" spans="1:8" x14ac:dyDescent="0.3">
      <c r="A9" t="s">
        <v>44</v>
      </c>
      <c r="B9">
        <f>COUNTIF('SEE Question Paper Mapping'!F:F,"Understand")</f>
        <v>0</v>
      </c>
      <c r="C9">
        <f>SUMIF('SEE Question Paper Mapping'!F:F,"Understand",'SEE Question Paper Mapping'!G:G)</f>
        <v>0</v>
      </c>
      <c r="D9" s="5">
        <f t="shared" si="0"/>
        <v>0</v>
      </c>
      <c r="E9" t="s">
        <v>45</v>
      </c>
    </row>
    <row r="10" spans="1:8" x14ac:dyDescent="0.3">
      <c r="A10" t="s">
        <v>26</v>
      </c>
      <c r="B10">
        <f>COUNTIF('SEE Question Paper Mapping'!F:F,"Apply")</f>
        <v>1</v>
      </c>
      <c r="C10">
        <f>SUMIF('SEE Question Paper Mapping'!F:F,"Apply",'SEE Question Paper Mapping'!G:G)</f>
        <v>10</v>
      </c>
      <c r="D10" s="5">
        <f t="shared" si="0"/>
        <v>0.2857142857142857</v>
      </c>
      <c r="E10" t="s">
        <v>46</v>
      </c>
    </row>
    <row r="11" spans="1:8" x14ac:dyDescent="0.3">
      <c r="A11" t="s">
        <v>20</v>
      </c>
      <c r="B11">
        <f>COUNTIF('SEE Question Paper Mapping'!F:F,"Analyze")</f>
        <v>1</v>
      </c>
      <c r="C11">
        <f>SUMIF('SEE Question Paper Mapping'!F:F,"Analyze",'SEE Question Paper Mapping'!G:G)</f>
        <v>6</v>
      </c>
      <c r="D11" s="5">
        <f t="shared" si="0"/>
        <v>0.17142857142857143</v>
      </c>
      <c r="E11" t="s">
        <v>46</v>
      </c>
    </row>
    <row r="12" spans="1:8" x14ac:dyDescent="0.3">
      <c r="A12" t="s">
        <v>47</v>
      </c>
      <c r="B12">
        <f>COUNTIF('SEE Question Paper Mapping'!F:F,"Evaluate")</f>
        <v>0</v>
      </c>
      <c r="C12">
        <f>SUMIF('SEE Question Paper Mapping'!F:F,"Evaluate",'SEE Question Paper Mapping'!G:G)</f>
        <v>0</v>
      </c>
      <c r="D12" s="5">
        <f t="shared" si="0"/>
        <v>0</v>
      </c>
      <c r="E12" t="s">
        <v>48</v>
      </c>
    </row>
    <row r="13" spans="1:8" x14ac:dyDescent="0.3">
      <c r="A13" t="s">
        <v>33</v>
      </c>
      <c r="B13">
        <f>COUNTIF('SEE Question Paper Mapping'!F:F,"Create")</f>
        <v>1</v>
      </c>
      <c r="C13">
        <f>SUMIF('SEE Question Paper Mapping'!F:F,"Create",'SEE Question Paper Mapping'!G:G)</f>
        <v>15</v>
      </c>
      <c r="D13" s="5">
        <f t="shared" si="0"/>
        <v>0.42857142857142855</v>
      </c>
      <c r="E13" t="s">
        <v>43</v>
      </c>
    </row>
    <row r="17" spans="1:6" x14ac:dyDescent="0.3">
      <c r="A17" s="2" t="s">
        <v>49</v>
      </c>
    </row>
    <row r="18" spans="1:6" x14ac:dyDescent="0.3">
      <c r="A18" s="1" t="s">
        <v>50</v>
      </c>
      <c r="B18" s="1" t="s">
        <v>51</v>
      </c>
      <c r="C18" s="1" t="s">
        <v>52</v>
      </c>
      <c r="D18" s="1" t="s">
        <v>53</v>
      </c>
      <c r="E18" s="1" t="s">
        <v>39</v>
      </c>
      <c r="F18" s="1" t="s">
        <v>40</v>
      </c>
    </row>
    <row r="19" spans="1:6" x14ac:dyDescent="0.3">
      <c r="A19" t="s">
        <v>10</v>
      </c>
      <c r="E19">
        <f>IFERROR(SUMIF('SEE Question Paper Mapping'!C:C,A19,'SEE Question Paper Mapping'!G:G),"")</f>
        <v>4</v>
      </c>
      <c r="F19" s="5">
        <f t="shared" ref="F19:F28" si="1">IF($H$8=0,"",E19/$H$8)</f>
        <v>0.11428571428571428</v>
      </c>
    </row>
    <row r="20" spans="1:6" x14ac:dyDescent="0.3">
      <c r="A20" t="s">
        <v>17</v>
      </c>
      <c r="E20">
        <f>IFERROR(SUMIF('SEE Question Paper Mapping'!C:C,A20,'SEE Question Paper Mapping'!G:G),"")</f>
        <v>6</v>
      </c>
      <c r="F20" s="5">
        <f t="shared" si="1"/>
        <v>0.17142857142857143</v>
      </c>
    </row>
    <row r="21" spans="1:6" x14ac:dyDescent="0.3">
      <c r="A21" t="s">
        <v>24</v>
      </c>
      <c r="E21">
        <f>IFERROR(SUMIF('SEE Question Paper Mapping'!C:C,A21,'SEE Question Paper Mapping'!G:G),"")</f>
        <v>10</v>
      </c>
      <c r="F21" s="5">
        <f t="shared" si="1"/>
        <v>0.2857142857142857</v>
      </c>
    </row>
    <row r="22" spans="1:6" x14ac:dyDescent="0.3">
      <c r="A22" t="s">
        <v>30</v>
      </c>
      <c r="E22">
        <f>IFERROR(SUMIF('SEE Question Paper Mapping'!C:C,A22,'SEE Question Paper Mapping'!G:G),"")</f>
        <v>15</v>
      </c>
      <c r="F22" s="5">
        <f t="shared" si="1"/>
        <v>0.42857142857142855</v>
      </c>
    </row>
    <row r="23" spans="1:6" x14ac:dyDescent="0.3">
      <c r="A23" t="s">
        <v>54</v>
      </c>
      <c r="E23">
        <f>IFERROR(SUMIF('SEE Question Paper Mapping'!C:C,A23,'SEE Question Paper Mapping'!G:G),"")</f>
        <v>0</v>
      </c>
      <c r="F23" s="5">
        <f t="shared" si="1"/>
        <v>0</v>
      </c>
    </row>
    <row r="24" spans="1:6" x14ac:dyDescent="0.3">
      <c r="A24" t="s">
        <v>55</v>
      </c>
      <c r="E24">
        <f>IFERROR(SUMIF('SEE Question Paper Mapping'!C:C,A24,'SEE Question Paper Mapping'!G:G),"")</f>
        <v>0</v>
      </c>
      <c r="F24" s="5">
        <f t="shared" si="1"/>
        <v>0</v>
      </c>
    </row>
    <row r="25" spans="1:6" x14ac:dyDescent="0.3">
      <c r="A25" t="s">
        <v>56</v>
      </c>
      <c r="E25">
        <f>IFERROR(SUMIF('SEE Question Paper Mapping'!C:C,A25,'SEE Question Paper Mapping'!G:G),"")</f>
        <v>0</v>
      </c>
      <c r="F25" s="5">
        <f t="shared" si="1"/>
        <v>0</v>
      </c>
    </row>
    <row r="26" spans="1:6" x14ac:dyDescent="0.3">
      <c r="A26" t="s">
        <v>57</v>
      </c>
      <c r="E26">
        <f>IFERROR(SUMIF('SEE Question Paper Mapping'!C:C,A26,'SEE Question Paper Mapping'!G:G),"")</f>
        <v>0</v>
      </c>
      <c r="F26" s="5">
        <f t="shared" si="1"/>
        <v>0</v>
      </c>
    </row>
    <row r="27" spans="1:6" x14ac:dyDescent="0.3">
      <c r="A27" t="s">
        <v>58</v>
      </c>
      <c r="E27">
        <f>IFERROR(SUMIF('SEE Question Paper Mapping'!C:C,A27,'SEE Question Paper Mapping'!G:G),"")</f>
        <v>0</v>
      </c>
      <c r="F27" s="5">
        <f t="shared" si="1"/>
        <v>0</v>
      </c>
    </row>
    <row r="28" spans="1:6" x14ac:dyDescent="0.3">
      <c r="A28" t="s">
        <v>59</v>
      </c>
      <c r="E28">
        <f>IFERROR(SUMIF('SEE Question Paper Mapping'!C:C,A28,'SEE Question Paper Mapping'!G:G),"")</f>
        <v>0</v>
      </c>
      <c r="F28" s="5">
        <f t="shared" si="1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1"/>
  <sheetViews>
    <sheetView workbookViewId="0">
      <pane ySplit="4" topLeftCell="A85" activePane="bottomLeft" state="frozen"/>
      <selection pane="bottomLeft"/>
    </sheetView>
  </sheetViews>
  <sheetFormatPr defaultRowHeight="14.4" x14ac:dyDescent="0.3"/>
  <cols>
    <col min="1" max="1" width="10" customWidth="1"/>
    <col min="2" max="2" width="30" customWidth="1"/>
    <col min="3" max="3" width="18" customWidth="1"/>
    <col min="4" max="4" width="22" customWidth="1"/>
    <col min="5" max="5" width="24" customWidth="1"/>
  </cols>
  <sheetData>
    <row r="1" spans="1:5" ht="17.399999999999999" x14ac:dyDescent="0.35">
      <c r="A1" s="6" t="s">
        <v>60</v>
      </c>
    </row>
    <row r="3" spans="1:5" ht="158.4" x14ac:dyDescent="0.3">
      <c r="A3" s="7" t="s">
        <v>61</v>
      </c>
    </row>
    <row r="4" spans="1:5" ht="28.8" x14ac:dyDescent="0.3">
      <c r="A4" s="1" t="s">
        <v>0</v>
      </c>
      <c r="B4" s="1" t="s">
        <v>2</v>
      </c>
      <c r="C4" s="1" t="s">
        <v>62</v>
      </c>
      <c r="D4" s="1" t="s">
        <v>63</v>
      </c>
      <c r="E4" s="1" t="s">
        <v>64</v>
      </c>
    </row>
    <row r="5" spans="1:5" x14ac:dyDescent="0.3">
      <c r="A5" t="str">
        <f>'SEE Question Paper Mapping'!A2</f>
        <v>1(a)</v>
      </c>
      <c r="B5" t="str">
        <f>'SEE Question Paper Mapping'!C2</f>
        <v>CO1</v>
      </c>
      <c r="C5">
        <f>'SEE Question Paper Mapping'!G2</f>
        <v>4</v>
      </c>
      <c r="D5" s="5"/>
      <c r="E5" t="str">
        <f t="shared" ref="E5:E36" si="0">IF(D5="","",IF(D5&gt;=0.7,3,IF(D5&gt;=0.6,2,IF(D5&gt;=0.5,1,0))))</f>
        <v/>
      </c>
    </row>
    <row r="6" spans="1:5" x14ac:dyDescent="0.3">
      <c r="A6" t="str">
        <f>'SEE Question Paper Mapping'!A3</f>
        <v>1(b)</v>
      </c>
      <c r="B6" t="str">
        <f>'SEE Question Paper Mapping'!C3</f>
        <v>CO2</v>
      </c>
      <c r="C6">
        <f>'SEE Question Paper Mapping'!G3</f>
        <v>6</v>
      </c>
      <c r="D6" s="5"/>
      <c r="E6" t="str">
        <f t="shared" si="0"/>
        <v/>
      </c>
    </row>
    <row r="7" spans="1:5" x14ac:dyDescent="0.3">
      <c r="A7" t="str">
        <f>'SEE Question Paper Mapping'!A4</f>
        <v>2</v>
      </c>
      <c r="B7" t="str">
        <f>'SEE Question Paper Mapping'!C4</f>
        <v>CO3</v>
      </c>
      <c r="C7">
        <f>'SEE Question Paper Mapping'!G4</f>
        <v>10</v>
      </c>
      <c r="D7" s="5"/>
      <c r="E7" t="str">
        <f t="shared" si="0"/>
        <v/>
      </c>
    </row>
    <row r="8" spans="1:5" x14ac:dyDescent="0.3">
      <c r="A8" t="str">
        <f>'SEE Question Paper Mapping'!A5</f>
        <v>3</v>
      </c>
      <c r="B8" t="str">
        <f>'SEE Question Paper Mapping'!C5</f>
        <v>CO4</v>
      </c>
      <c r="C8">
        <f>'SEE Question Paper Mapping'!G5</f>
        <v>15</v>
      </c>
      <c r="D8" s="5"/>
      <c r="E8" t="str">
        <f t="shared" si="0"/>
        <v/>
      </c>
    </row>
    <row r="9" spans="1:5" x14ac:dyDescent="0.3">
      <c r="A9">
        <f>'SEE Question Paper Mapping'!A6</f>
        <v>0</v>
      </c>
      <c r="B9">
        <f>'SEE Question Paper Mapping'!C6</f>
        <v>0</v>
      </c>
      <c r="C9">
        <f>'SEE Question Paper Mapping'!G6</f>
        <v>0</v>
      </c>
      <c r="D9" s="5"/>
      <c r="E9" t="str">
        <f t="shared" si="0"/>
        <v/>
      </c>
    </row>
    <row r="10" spans="1:5" x14ac:dyDescent="0.3">
      <c r="A10">
        <f>'SEE Question Paper Mapping'!A7</f>
        <v>0</v>
      </c>
      <c r="B10">
        <f>'SEE Question Paper Mapping'!C7</f>
        <v>0</v>
      </c>
      <c r="C10">
        <f>'SEE Question Paper Mapping'!G7</f>
        <v>0</v>
      </c>
      <c r="D10" s="5"/>
      <c r="E10" t="str">
        <f t="shared" si="0"/>
        <v/>
      </c>
    </row>
    <row r="11" spans="1:5" x14ac:dyDescent="0.3">
      <c r="A11">
        <f>'SEE Question Paper Mapping'!A8</f>
        <v>0</v>
      </c>
      <c r="B11">
        <f>'SEE Question Paper Mapping'!C8</f>
        <v>0</v>
      </c>
      <c r="C11">
        <f>'SEE Question Paper Mapping'!G8</f>
        <v>0</v>
      </c>
      <c r="D11" s="5"/>
      <c r="E11" t="str">
        <f t="shared" si="0"/>
        <v/>
      </c>
    </row>
    <row r="12" spans="1:5" x14ac:dyDescent="0.3">
      <c r="A12">
        <f>'SEE Question Paper Mapping'!A9</f>
        <v>0</v>
      </c>
      <c r="B12">
        <f>'SEE Question Paper Mapping'!C9</f>
        <v>0</v>
      </c>
      <c r="C12">
        <f>'SEE Question Paper Mapping'!G9</f>
        <v>0</v>
      </c>
      <c r="D12" s="5"/>
      <c r="E12" t="str">
        <f t="shared" si="0"/>
        <v/>
      </c>
    </row>
    <row r="13" spans="1:5" x14ac:dyDescent="0.3">
      <c r="A13">
        <f>'SEE Question Paper Mapping'!A10</f>
        <v>0</v>
      </c>
      <c r="B13">
        <f>'SEE Question Paper Mapping'!C10</f>
        <v>0</v>
      </c>
      <c r="C13">
        <f>'SEE Question Paper Mapping'!G10</f>
        <v>0</v>
      </c>
      <c r="D13" s="5"/>
      <c r="E13" t="str">
        <f t="shared" si="0"/>
        <v/>
      </c>
    </row>
    <row r="14" spans="1:5" x14ac:dyDescent="0.3">
      <c r="A14">
        <f>'SEE Question Paper Mapping'!A11</f>
        <v>0</v>
      </c>
      <c r="B14">
        <f>'SEE Question Paper Mapping'!C11</f>
        <v>0</v>
      </c>
      <c r="C14">
        <f>'SEE Question Paper Mapping'!G11</f>
        <v>0</v>
      </c>
      <c r="D14" s="5"/>
      <c r="E14" t="str">
        <f t="shared" si="0"/>
        <v/>
      </c>
    </row>
    <row r="15" spans="1:5" x14ac:dyDescent="0.3">
      <c r="A15">
        <f>'SEE Question Paper Mapping'!A12</f>
        <v>0</v>
      </c>
      <c r="B15">
        <f>'SEE Question Paper Mapping'!C12</f>
        <v>0</v>
      </c>
      <c r="C15">
        <f>'SEE Question Paper Mapping'!G12</f>
        <v>0</v>
      </c>
      <c r="D15" s="5"/>
      <c r="E15" t="str">
        <f t="shared" si="0"/>
        <v/>
      </c>
    </row>
    <row r="16" spans="1:5" x14ac:dyDescent="0.3">
      <c r="A16">
        <f>'SEE Question Paper Mapping'!A13</f>
        <v>0</v>
      </c>
      <c r="B16">
        <f>'SEE Question Paper Mapping'!C13</f>
        <v>0</v>
      </c>
      <c r="C16">
        <f>'SEE Question Paper Mapping'!G13</f>
        <v>0</v>
      </c>
      <c r="D16" s="5"/>
      <c r="E16" t="str">
        <f t="shared" si="0"/>
        <v/>
      </c>
    </row>
    <row r="17" spans="1:5" x14ac:dyDescent="0.3">
      <c r="A17">
        <f>'SEE Question Paper Mapping'!A14</f>
        <v>0</v>
      </c>
      <c r="B17">
        <f>'SEE Question Paper Mapping'!C14</f>
        <v>0</v>
      </c>
      <c r="C17">
        <f>'SEE Question Paper Mapping'!G14</f>
        <v>0</v>
      </c>
      <c r="D17" s="5"/>
      <c r="E17" t="str">
        <f t="shared" si="0"/>
        <v/>
      </c>
    </row>
    <row r="18" spans="1:5" x14ac:dyDescent="0.3">
      <c r="A18">
        <f>'SEE Question Paper Mapping'!A15</f>
        <v>0</v>
      </c>
      <c r="B18">
        <f>'SEE Question Paper Mapping'!C15</f>
        <v>0</v>
      </c>
      <c r="C18">
        <f>'SEE Question Paper Mapping'!G15</f>
        <v>0</v>
      </c>
      <c r="D18" s="5"/>
      <c r="E18" t="str">
        <f t="shared" si="0"/>
        <v/>
      </c>
    </row>
    <row r="19" spans="1:5" x14ac:dyDescent="0.3">
      <c r="A19">
        <f>'SEE Question Paper Mapping'!A16</f>
        <v>0</v>
      </c>
      <c r="B19">
        <f>'SEE Question Paper Mapping'!C16</f>
        <v>0</v>
      </c>
      <c r="C19">
        <f>'SEE Question Paper Mapping'!G16</f>
        <v>0</v>
      </c>
      <c r="D19" s="5"/>
      <c r="E19" t="str">
        <f t="shared" si="0"/>
        <v/>
      </c>
    </row>
    <row r="20" spans="1:5" x14ac:dyDescent="0.3">
      <c r="A20">
        <f>'SEE Question Paper Mapping'!A17</f>
        <v>0</v>
      </c>
      <c r="B20">
        <f>'SEE Question Paper Mapping'!C17</f>
        <v>0</v>
      </c>
      <c r="C20">
        <f>'SEE Question Paper Mapping'!G17</f>
        <v>0</v>
      </c>
      <c r="D20" s="5"/>
      <c r="E20" t="str">
        <f t="shared" si="0"/>
        <v/>
      </c>
    </row>
    <row r="21" spans="1:5" x14ac:dyDescent="0.3">
      <c r="A21">
        <f>'SEE Question Paper Mapping'!A18</f>
        <v>0</v>
      </c>
      <c r="B21">
        <f>'SEE Question Paper Mapping'!C18</f>
        <v>0</v>
      </c>
      <c r="C21">
        <f>'SEE Question Paper Mapping'!G18</f>
        <v>0</v>
      </c>
      <c r="D21" s="5"/>
      <c r="E21" t="str">
        <f t="shared" si="0"/>
        <v/>
      </c>
    </row>
    <row r="22" spans="1:5" x14ac:dyDescent="0.3">
      <c r="A22">
        <f>'SEE Question Paper Mapping'!A19</f>
        <v>0</v>
      </c>
      <c r="B22">
        <f>'SEE Question Paper Mapping'!C19</f>
        <v>0</v>
      </c>
      <c r="C22">
        <f>'SEE Question Paper Mapping'!G19</f>
        <v>0</v>
      </c>
      <c r="D22" s="5"/>
      <c r="E22" t="str">
        <f t="shared" si="0"/>
        <v/>
      </c>
    </row>
    <row r="23" spans="1:5" x14ac:dyDescent="0.3">
      <c r="A23">
        <f>'SEE Question Paper Mapping'!A20</f>
        <v>0</v>
      </c>
      <c r="B23">
        <f>'SEE Question Paper Mapping'!C20</f>
        <v>0</v>
      </c>
      <c r="C23">
        <f>'SEE Question Paper Mapping'!G20</f>
        <v>0</v>
      </c>
      <c r="D23" s="5"/>
      <c r="E23" t="str">
        <f t="shared" si="0"/>
        <v/>
      </c>
    </row>
    <row r="24" spans="1:5" x14ac:dyDescent="0.3">
      <c r="A24">
        <f>'SEE Question Paper Mapping'!A21</f>
        <v>0</v>
      </c>
      <c r="B24">
        <f>'SEE Question Paper Mapping'!C21</f>
        <v>0</v>
      </c>
      <c r="C24">
        <f>'SEE Question Paper Mapping'!G21</f>
        <v>0</v>
      </c>
      <c r="D24" s="5"/>
      <c r="E24" t="str">
        <f t="shared" si="0"/>
        <v/>
      </c>
    </row>
    <row r="25" spans="1:5" x14ac:dyDescent="0.3">
      <c r="A25">
        <f>'SEE Question Paper Mapping'!A22</f>
        <v>0</v>
      </c>
      <c r="B25">
        <f>'SEE Question Paper Mapping'!C22</f>
        <v>0</v>
      </c>
      <c r="C25">
        <f>'SEE Question Paper Mapping'!G22</f>
        <v>0</v>
      </c>
      <c r="D25" s="5"/>
      <c r="E25" t="str">
        <f t="shared" si="0"/>
        <v/>
      </c>
    </row>
    <row r="26" spans="1:5" x14ac:dyDescent="0.3">
      <c r="A26">
        <f>'SEE Question Paper Mapping'!A23</f>
        <v>0</v>
      </c>
      <c r="B26">
        <f>'SEE Question Paper Mapping'!C23</f>
        <v>0</v>
      </c>
      <c r="C26">
        <f>'SEE Question Paper Mapping'!G23</f>
        <v>0</v>
      </c>
      <c r="D26" s="5"/>
      <c r="E26" t="str">
        <f t="shared" si="0"/>
        <v/>
      </c>
    </row>
    <row r="27" spans="1:5" x14ac:dyDescent="0.3">
      <c r="A27">
        <f>'SEE Question Paper Mapping'!A24</f>
        <v>0</v>
      </c>
      <c r="B27">
        <f>'SEE Question Paper Mapping'!C24</f>
        <v>0</v>
      </c>
      <c r="C27">
        <f>'SEE Question Paper Mapping'!G24</f>
        <v>0</v>
      </c>
      <c r="D27" s="5"/>
      <c r="E27" t="str">
        <f t="shared" si="0"/>
        <v/>
      </c>
    </row>
    <row r="28" spans="1:5" x14ac:dyDescent="0.3">
      <c r="A28">
        <f>'SEE Question Paper Mapping'!A25</f>
        <v>0</v>
      </c>
      <c r="B28">
        <f>'SEE Question Paper Mapping'!C25</f>
        <v>0</v>
      </c>
      <c r="C28">
        <f>'SEE Question Paper Mapping'!G25</f>
        <v>0</v>
      </c>
      <c r="D28" s="5"/>
      <c r="E28" t="str">
        <f t="shared" si="0"/>
        <v/>
      </c>
    </row>
    <row r="29" spans="1:5" x14ac:dyDescent="0.3">
      <c r="A29">
        <f>'SEE Question Paper Mapping'!A26</f>
        <v>0</v>
      </c>
      <c r="B29">
        <f>'SEE Question Paper Mapping'!C26</f>
        <v>0</v>
      </c>
      <c r="C29">
        <f>'SEE Question Paper Mapping'!G26</f>
        <v>0</v>
      </c>
      <c r="D29" s="5"/>
      <c r="E29" t="str">
        <f t="shared" si="0"/>
        <v/>
      </c>
    </row>
    <row r="30" spans="1:5" x14ac:dyDescent="0.3">
      <c r="A30">
        <f>'SEE Question Paper Mapping'!A27</f>
        <v>0</v>
      </c>
      <c r="B30">
        <f>'SEE Question Paper Mapping'!C27</f>
        <v>0</v>
      </c>
      <c r="C30">
        <f>'SEE Question Paper Mapping'!G27</f>
        <v>0</v>
      </c>
      <c r="D30" s="5"/>
      <c r="E30" t="str">
        <f t="shared" si="0"/>
        <v/>
      </c>
    </row>
    <row r="31" spans="1:5" x14ac:dyDescent="0.3">
      <c r="A31">
        <f>'SEE Question Paper Mapping'!A28</f>
        <v>0</v>
      </c>
      <c r="B31">
        <f>'SEE Question Paper Mapping'!C28</f>
        <v>0</v>
      </c>
      <c r="C31">
        <f>'SEE Question Paper Mapping'!G28</f>
        <v>0</v>
      </c>
      <c r="D31" s="5"/>
      <c r="E31" t="str">
        <f t="shared" si="0"/>
        <v/>
      </c>
    </row>
    <row r="32" spans="1:5" x14ac:dyDescent="0.3">
      <c r="A32">
        <f>'SEE Question Paper Mapping'!A29</f>
        <v>0</v>
      </c>
      <c r="B32">
        <f>'SEE Question Paper Mapping'!C29</f>
        <v>0</v>
      </c>
      <c r="C32">
        <f>'SEE Question Paper Mapping'!G29</f>
        <v>0</v>
      </c>
      <c r="D32" s="5"/>
      <c r="E32" t="str">
        <f t="shared" si="0"/>
        <v/>
      </c>
    </row>
    <row r="33" spans="1:5" x14ac:dyDescent="0.3">
      <c r="A33">
        <f>'SEE Question Paper Mapping'!A30</f>
        <v>0</v>
      </c>
      <c r="B33">
        <f>'SEE Question Paper Mapping'!C30</f>
        <v>0</v>
      </c>
      <c r="C33">
        <f>'SEE Question Paper Mapping'!G30</f>
        <v>0</v>
      </c>
      <c r="D33" s="5"/>
      <c r="E33" t="str">
        <f t="shared" si="0"/>
        <v/>
      </c>
    </row>
    <row r="34" spans="1:5" x14ac:dyDescent="0.3">
      <c r="A34">
        <f>'SEE Question Paper Mapping'!A31</f>
        <v>0</v>
      </c>
      <c r="B34">
        <f>'SEE Question Paper Mapping'!C31</f>
        <v>0</v>
      </c>
      <c r="C34">
        <f>'SEE Question Paper Mapping'!G31</f>
        <v>0</v>
      </c>
      <c r="D34" s="5"/>
      <c r="E34" t="str">
        <f t="shared" si="0"/>
        <v/>
      </c>
    </row>
    <row r="35" spans="1:5" x14ac:dyDescent="0.3">
      <c r="A35">
        <f>'SEE Question Paper Mapping'!A32</f>
        <v>0</v>
      </c>
      <c r="B35">
        <f>'SEE Question Paper Mapping'!C32</f>
        <v>0</v>
      </c>
      <c r="C35">
        <f>'SEE Question Paper Mapping'!G32</f>
        <v>0</v>
      </c>
      <c r="D35" s="5"/>
      <c r="E35" t="str">
        <f t="shared" si="0"/>
        <v/>
      </c>
    </row>
    <row r="36" spans="1:5" x14ac:dyDescent="0.3">
      <c r="A36">
        <f>'SEE Question Paper Mapping'!A33</f>
        <v>0</v>
      </c>
      <c r="B36">
        <f>'SEE Question Paper Mapping'!C33</f>
        <v>0</v>
      </c>
      <c r="C36">
        <f>'SEE Question Paper Mapping'!G33</f>
        <v>0</v>
      </c>
      <c r="D36" s="5"/>
      <c r="E36" t="str">
        <f t="shared" si="0"/>
        <v/>
      </c>
    </row>
    <row r="37" spans="1:5" x14ac:dyDescent="0.3">
      <c r="A37">
        <f>'SEE Question Paper Mapping'!A34</f>
        <v>0</v>
      </c>
      <c r="B37">
        <f>'SEE Question Paper Mapping'!C34</f>
        <v>0</v>
      </c>
      <c r="C37">
        <f>'SEE Question Paper Mapping'!G34</f>
        <v>0</v>
      </c>
      <c r="D37" s="5"/>
      <c r="E37" t="str">
        <f t="shared" ref="E37:E68" si="1">IF(D37="","",IF(D37&gt;=0.7,3,IF(D37&gt;=0.6,2,IF(D37&gt;=0.5,1,0))))</f>
        <v/>
      </c>
    </row>
    <row r="38" spans="1:5" x14ac:dyDescent="0.3">
      <c r="A38">
        <f>'SEE Question Paper Mapping'!A35</f>
        <v>0</v>
      </c>
      <c r="B38">
        <f>'SEE Question Paper Mapping'!C35</f>
        <v>0</v>
      </c>
      <c r="C38">
        <f>'SEE Question Paper Mapping'!G35</f>
        <v>0</v>
      </c>
      <c r="D38" s="5"/>
      <c r="E38" t="str">
        <f t="shared" si="1"/>
        <v/>
      </c>
    </row>
    <row r="39" spans="1:5" x14ac:dyDescent="0.3">
      <c r="A39">
        <f>'SEE Question Paper Mapping'!A36</f>
        <v>0</v>
      </c>
      <c r="B39">
        <f>'SEE Question Paper Mapping'!C36</f>
        <v>0</v>
      </c>
      <c r="C39">
        <f>'SEE Question Paper Mapping'!G36</f>
        <v>0</v>
      </c>
      <c r="D39" s="5"/>
      <c r="E39" t="str">
        <f t="shared" si="1"/>
        <v/>
      </c>
    </row>
    <row r="40" spans="1:5" x14ac:dyDescent="0.3">
      <c r="A40">
        <f>'SEE Question Paper Mapping'!A37</f>
        <v>0</v>
      </c>
      <c r="B40">
        <f>'SEE Question Paper Mapping'!C37</f>
        <v>0</v>
      </c>
      <c r="C40">
        <f>'SEE Question Paper Mapping'!G37</f>
        <v>0</v>
      </c>
      <c r="D40" s="5"/>
      <c r="E40" t="str">
        <f t="shared" si="1"/>
        <v/>
      </c>
    </row>
    <row r="41" spans="1:5" x14ac:dyDescent="0.3">
      <c r="A41">
        <f>'SEE Question Paper Mapping'!A38</f>
        <v>0</v>
      </c>
      <c r="B41">
        <f>'SEE Question Paper Mapping'!C38</f>
        <v>0</v>
      </c>
      <c r="C41">
        <f>'SEE Question Paper Mapping'!G38</f>
        <v>0</v>
      </c>
      <c r="D41" s="5"/>
      <c r="E41" t="str">
        <f t="shared" si="1"/>
        <v/>
      </c>
    </row>
    <row r="42" spans="1:5" x14ac:dyDescent="0.3">
      <c r="A42">
        <f>'SEE Question Paper Mapping'!A39</f>
        <v>0</v>
      </c>
      <c r="B42">
        <f>'SEE Question Paper Mapping'!C39</f>
        <v>0</v>
      </c>
      <c r="C42">
        <f>'SEE Question Paper Mapping'!G39</f>
        <v>0</v>
      </c>
      <c r="D42" s="5"/>
      <c r="E42" t="str">
        <f t="shared" si="1"/>
        <v/>
      </c>
    </row>
    <row r="43" spans="1:5" x14ac:dyDescent="0.3">
      <c r="A43">
        <f>'SEE Question Paper Mapping'!A40</f>
        <v>0</v>
      </c>
      <c r="B43">
        <f>'SEE Question Paper Mapping'!C40</f>
        <v>0</v>
      </c>
      <c r="C43">
        <f>'SEE Question Paper Mapping'!G40</f>
        <v>0</v>
      </c>
      <c r="D43" s="5"/>
      <c r="E43" t="str">
        <f t="shared" si="1"/>
        <v/>
      </c>
    </row>
    <row r="44" spans="1:5" x14ac:dyDescent="0.3">
      <c r="A44">
        <f>'SEE Question Paper Mapping'!A41</f>
        <v>0</v>
      </c>
      <c r="B44">
        <f>'SEE Question Paper Mapping'!C41</f>
        <v>0</v>
      </c>
      <c r="C44">
        <f>'SEE Question Paper Mapping'!G41</f>
        <v>0</v>
      </c>
      <c r="D44" s="5"/>
      <c r="E44" t="str">
        <f t="shared" si="1"/>
        <v/>
      </c>
    </row>
    <row r="45" spans="1:5" x14ac:dyDescent="0.3">
      <c r="A45">
        <f>'SEE Question Paper Mapping'!A42</f>
        <v>0</v>
      </c>
      <c r="B45">
        <f>'SEE Question Paper Mapping'!C42</f>
        <v>0</v>
      </c>
      <c r="C45">
        <f>'SEE Question Paper Mapping'!G42</f>
        <v>0</v>
      </c>
      <c r="D45" s="5"/>
      <c r="E45" t="str">
        <f t="shared" si="1"/>
        <v/>
      </c>
    </row>
    <row r="46" spans="1:5" x14ac:dyDescent="0.3">
      <c r="A46">
        <f>'SEE Question Paper Mapping'!A43</f>
        <v>0</v>
      </c>
      <c r="B46">
        <f>'SEE Question Paper Mapping'!C43</f>
        <v>0</v>
      </c>
      <c r="C46">
        <f>'SEE Question Paper Mapping'!G43</f>
        <v>0</v>
      </c>
      <c r="D46" s="5"/>
      <c r="E46" t="str">
        <f t="shared" si="1"/>
        <v/>
      </c>
    </row>
    <row r="47" spans="1:5" x14ac:dyDescent="0.3">
      <c r="A47">
        <f>'SEE Question Paper Mapping'!A44</f>
        <v>0</v>
      </c>
      <c r="B47">
        <f>'SEE Question Paper Mapping'!C44</f>
        <v>0</v>
      </c>
      <c r="C47">
        <f>'SEE Question Paper Mapping'!G44</f>
        <v>0</v>
      </c>
      <c r="D47" s="5"/>
      <c r="E47" t="str">
        <f t="shared" si="1"/>
        <v/>
      </c>
    </row>
    <row r="48" spans="1:5" x14ac:dyDescent="0.3">
      <c r="A48">
        <f>'SEE Question Paper Mapping'!A45</f>
        <v>0</v>
      </c>
      <c r="B48">
        <f>'SEE Question Paper Mapping'!C45</f>
        <v>0</v>
      </c>
      <c r="C48">
        <f>'SEE Question Paper Mapping'!G45</f>
        <v>0</v>
      </c>
      <c r="D48" s="5"/>
      <c r="E48" t="str">
        <f t="shared" si="1"/>
        <v/>
      </c>
    </row>
    <row r="49" spans="1:5" x14ac:dyDescent="0.3">
      <c r="A49">
        <f>'SEE Question Paper Mapping'!A46</f>
        <v>0</v>
      </c>
      <c r="B49">
        <f>'SEE Question Paper Mapping'!C46</f>
        <v>0</v>
      </c>
      <c r="C49">
        <f>'SEE Question Paper Mapping'!G46</f>
        <v>0</v>
      </c>
      <c r="D49" s="5"/>
      <c r="E49" t="str">
        <f t="shared" si="1"/>
        <v/>
      </c>
    </row>
    <row r="50" spans="1:5" x14ac:dyDescent="0.3">
      <c r="A50">
        <f>'SEE Question Paper Mapping'!A47</f>
        <v>0</v>
      </c>
      <c r="B50">
        <f>'SEE Question Paper Mapping'!C47</f>
        <v>0</v>
      </c>
      <c r="C50">
        <f>'SEE Question Paper Mapping'!G47</f>
        <v>0</v>
      </c>
      <c r="D50" s="5"/>
      <c r="E50" t="str">
        <f t="shared" si="1"/>
        <v/>
      </c>
    </row>
    <row r="51" spans="1:5" x14ac:dyDescent="0.3">
      <c r="A51">
        <f>'SEE Question Paper Mapping'!A48</f>
        <v>0</v>
      </c>
      <c r="B51">
        <f>'SEE Question Paper Mapping'!C48</f>
        <v>0</v>
      </c>
      <c r="C51">
        <f>'SEE Question Paper Mapping'!G48</f>
        <v>0</v>
      </c>
      <c r="D51" s="5"/>
      <c r="E51" t="str">
        <f t="shared" si="1"/>
        <v/>
      </c>
    </row>
    <row r="52" spans="1:5" x14ac:dyDescent="0.3">
      <c r="A52">
        <f>'SEE Question Paper Mapping'!A49</f>
        <v>0</v>
      </c>
      <c r="B52">
        <f>'SEE Question Paper Mapping'!C49</f>
        <v>0</v>
      </c>
      <c r="C52">
        <f>'SEE Question Paper Mapping'!G49</f>
        <v>0</v>
      </c>
      <c r="D52" s="5"/>
      <c r="E52" t="str">
        <f t="shared" si="1"/>
        <v/>
      </c>
    </row>
    <row r="53" spans="1:5" x14ac:dyDescent="0.3">
      <c r="A53">
        <f>'SEE Question Paper Mapping'!A50</f>
        <v>0</v>
      </c>
      <c r="B53">
        <f>'SEE Question Paper Mapping'!C50</f>
        <v>0</v>
      </c>
      <c r="C53">
        <f>'SEE Question Paper Mapping'!G50</f>
        <v>0</v>
      </c>
      <c r="D53" s="5"/>
      <c r="E53" t="str">
        <f t="shared" si="1"/>
        <v/>
      </c>
    </row>
    <row r="54" spans="1:5" x14ac:dyDescent="0.3">
      <c r="A54">
        <f>'SEE Question Paper Mapping'!A51</f>
        <v>0</v>
      </c>
      <c r="B54">
        <f>'SEE Question Paper Mapping'!C51</f>
        <v>0</v>
      </c>
      <c r="C54">
        <f>'SEE Question Paper Mapping'!G51</f>
        <v>0</v>
      </c>
      <c r="D54" s="5"/>
      <c r="E54" t="str">
        <f t="shared" si="1"/>
        <v/>
      </c>
    </row>
    <row r="55" spans="1:5" x14ac:dyDescent="0.3">
      <c r="A55">
        <f>'SEE Question Paper Mapping'!A52</f>
        <v>0</v>
      </c>
      <c r="B55">
        <f>'SEE Question Paper Mapping'!C52</f>
        <v>0</v>
      </c>
      <c r="C55">
        <f>'SEE Question Paper Mapping'!G52</f>
        <v>0</v>
      </c>
      <c r="D55" s="5"/>
      <c r="E55" t="str">
        <f t="shared" si="1"/>
        <v/>
      </c>
    </row>
    <row r="56" spans="1:5" x14ac:dyDescent="0.3">
      <c r="A56">
        <f>'SEE Question Paper Mapping'!A53</f>
        <v>0</v>
      </c>
      <c r="B56">
        <f>'SEE Question Paper Mapping'!C53</f>
        <v>0</v>
      </c>
      <c r="C56">
        <f>'SEE Question Paper Mapping'!G53</f>
        <v>0</v>
      </c>
      <c r="D56" s="5"/>
      <c r="E56" t="str">
        <f t="shared" si="1"/>
        <v/>
      </c>
    </row>
    <row r="57" spans="1:5" x14ac:dyDescent="0.3">
      <c r="A57">
        <f>'SEE Question Paper Mapping'!A54</f>
        <v>0</v>
      </c>
      <c r="B57">
        <f>'SEE Question Paper Mapping'!C54</f>
        <v>0</v>
      </c>
      <c r="C57">
        <f>'SEE Question Paper Mapping'!G54</f>
        <v>0</v>
      </c>
      <c r="D57" s="5"/>
      <c r="E57" t="str">
        <f t="shared" si="1"/>
        <v/>
      </c>
    </row>
    <row r="58" spans="1:5" x14ac:dyDescent="0.3">
      <c r="A58">
        <f>'SEE Question Paper Mapping'!A55</f>
        <v>0</v>
      </c>
      <c r="B58">
        <f>'SEE Question Paper Mapping'!C55</f>
        <v>0</v>
      </c>
      <c r="C58">
        <f>'SEE Question Paper Mapping'!G55</f>
        <v>0</v>
      </c>
      <c r="D58" s="5"/>
      <c r="E58" t="str">
        <f t="shared" si="1"/>
        <v/>
      </c>
    </row>
    <row r="59" spans="1:5" x14ac:dyDescent="0.3">
      <c r="A59">
        <f>'SEE Question Paper Mapping'!A56</f>
        <v>0</v>
      </c>
      <c r="B59">
        <f>'SEE Question Paper Mapping'!C56</f>
        <v>0</v>
      </c>
      <c r="C59">
        <f>'SEE Question Paper Mapping'!G56</f>
        <v>0</v>
      </c>
      <c r="D59" s="5"/>
      <c r="E59" t="str">
        <f t="shared" si="1"/>
        <v/>
      </c>
    </row>
    <row r="60" spans="1:5" x14ac:dyDescent="0.3">
      <c r="A60">
        <f>'SEE Question Paper Mapping'!A57</f>
        <v>0</v>
      </c>
      <c r="B60">
        <f>'SEE Question Paper Mapping'!C57</f>
        <v>0</v>
      </c>
      <c r="C60">
        <f>'SEE Question Paper Mapping'!G57</f>
        <v>0</v>
      </c>
      <c r="D60" s="5"/>
      <c r="E60" t="str">
        <f t="shared" si="1"/>
        <v/>
      </c>
    </row>
    <row r="61" spans="1:5" x14ac:dyDescent="0.3">
      <c r="A61">
        <f>'SEE Question Paper Mapping'!A58</f>
        <v>0</v>
      </c>
      <c r="B61">
        <f>'SEE Question Paper Mapping'!C58</f>
        <v>0</v>
      </c>
      <c r="C61">
        <f>'SEE Question Paper Mapping'!G58</f>
        <v>0</v>
      </c>
      <c r="D61" s="5"/>
      <c r="E61" t="str">
        <f t="shared" si="1"/>
        <v/>
      </c>
    </row>
    <row r="62" spans="1:5" x14ac:dyDescent="0.3">
      <c r="A62">
        <f>'SEE Question Paper Mapping'!A59</f>
        <v>0</v>
      </c>
      <c r="B62">
        <f>'SEE Question Paper Mapping'!C59</f>
        <v>0</v>
      </c>
      <c r="C62">
        <f>'SEE Question Paper Mapping'!G59</f>
        <v>0</v>
      </c>
      <c r="D62" s="5"/>
      <c r="E62" t="str">
        <f t="shared" si="1"/>
        <v/>
      </c>
    </row>
    <row r="63" spans="1:5" x14ac:dyDescent="0.3">
      <c r="A63">
        <f>'SEE Question Paper Mapping'!A60</f>
        <v>0</v>
      </c>
      <c r="B63">
        <f>'SEE Question Paper Mapping'!C60</f>
        <v>0</v>
      </c>
      <c r="C63">
        <f>'SEE Question Paper Mapping'!G60</f>
        <v>0</v>
      </c>
      <c r="D63" s="5"/>
      <c r="E63" t="str">
        <f t="shared" si="1"/>
        <v/>
      </c>
    </row>
    <row r="64" spans="1:5" x14ac:dyDescent="0.3">
      <c r="A64">
        <f>'SEE Question Paper Mapping'!A61</f>
        <v>0</v>
      </c>
      <c r="B64">
        <f>'SEE Question Paper Mapping'!C61</f>
        <v>0</v>
      </c>
      <c r="C64">
        <f>'SEE Question Paper Mapping'!G61</f>
        <v>0</v>
      </c>
      <c r="D64" s="5"/>
      <c r="E64" t="str">
        <f t="shared" si="1"/>
        <v/>
      </c>
    </row>
    <row r="65" spans="1:5" x14ac:dyDescent="0.3">
      <c r="A65">
        <f>'SEE Question Paper Mapping'!A62</f>
        <v>0</v>
      </c>
      <c r="B65">
        <f>'SEE Question Paper Mapping'!C62</f>
        <v>0</v>
      </c>
      <c r="C65">
        <f>'SEE Question Paper Mapping'!G62</f>
        <v>0</v>
      </c>
      <c r="D65" s="5"/>
      <c r="E65" t="str">
        <f t="shared" si="1"/>
        <v/>
      </c>
    </row>
    <row r="66" spans="1:5" x14ac:dyDescent="0.3">
      <c r="A66">
        <f>'SEE Question Paper Mapping'!A63</f>
        <v>0</v>
      </c>
      <c r="B66">
        <f>'SEE Question Paper Mapping'!C63</f>
        <v>0</v>
      </c>
      <c r="C66">
        <f>'SEE Question Paper Mapping'!G63</f>
        <v>0</v>
      </c>
      <c r="D66" s="5"/>
      <c r="E66" t="str">
        <f t="shared" si="1"/>
        <v/>
      </c>
    </row>
    <row r="67" spans="1:5" x14ac:dyDescent="0.3">
      <c r="A67">
        <f>'SEE Question Paper Mapping'!A64</f>
        <v>0</v>
      </c>
      <c r="B67">
        <f>'SEE Question Paper Mapping'!C64</f>
        <v>0</v>
      </c>
      <c r="C67">
        <f>'SEE Question Paper Mapping'!G64</f>
        <v>0</v>
      </c>
      <c r="D67" s="5"/>
      <c r="E67" t="str">
        <f t="shared" si="1"/>
        <v/>
      </c>
    </row>
    <row r="68" spans="1:5" x14ac:dyDescent="0.3">
      <c r="A68">
        <f>'SEE Question Paper Mapping'!A65</f>
        <v>0</v>
      </c>
      <c r="B68">
        <f>'SEE Question Paper Mapping'!C65</f>
        <v>0</v>
      </c>
      <c r="C68">
        <f>'SEE Question Paper Mapping'!G65</f>
        <v>0</v>
      </c>
      <c r="D68" s="5"/>
      <c r="E68" t="str">
        <f t="shared" si="1"/>
        <v/>
      </c>
    </row>
    <row r="69" spans="1:5" x14ac:dyDescent="0.3">
      <c r="A69">
        <f>'SEE Question Paper Mapping'!A66</f>
        <v>0</v>
      </c>
      <c r="B69">
        <f>'SEE Question Paper Mapping'!C66</f>
        <v>0</v>
      </c>
      <c r="C69">
        <f>'SEE Question Paper Mapping'!G66</f>
        <v>0</v>
      </c>
      <c r="D69" s="5"/>
      <c r="E69" t="str">
        <f t="shared" ref="E69:E100" si="2">IF(D69="","",IF(D69&gt;=0.7,3,IF(D69&gt;=0.6,2,IF(D69&gt;=0.5,1,0))))</f>
        <v/>
      </c>
    </row>
    <row r="70" spans="1:5" x14ac:dyDescent="0.3">
      <c r="A70">
        <f>'SEE Question Paper Mapping'!A67</f>
        <v>0</v>
      </c>
      <c r="B70">
        <f>'SEE Question Paper Mapping'!C67</f>
        <v>0</v>
      </c>
      <c r="C70">
        <f>'SEE Question Paper Mapping'!G67</f>
        <v>0</v>
      </c>
      <c r="D70" s="5"/>
      <c r="E70" t="str">
        <f t="shared" si="2"/>
        <v/>
      </c>
    </row>
    <row r="71" spans="1:5" x14ac:dyDescent="0.3">
      <c r="A71">
        <f>'SEE Question Paper Mapping'!A68</f>
        <v>0</v>
      </c>
      <c r="B71">
        <f>'SEE Question Paper Mapping'!C68</f>
        <v>0</v>
      </c>
      <c r="C71">
        <f>'SEE Question Paper Mapping'!G68</f>
        <v>0</v>
      </c>
      <c r="D71" s="5"/>
      <c r="E71" t="str">
        <f t="shared" si="2"/>
        <v/>
      </c>
    </row>
    <row r="72" spans="1:5" x14ac:dyDescent="0.3">
      <c r="A72">
        <f>'SEE Question Paper Mapping'!A69</f>
        <v>0</v>
      </c>
      <c r="B72">
        <f>'SEE Question Paper Mapping'!C69</f>
        <v>0</v>
      </c>
      <c r="C72">
        <f>'SEE Question Paper Mapping'!G69</f>
        <v>0</v>
      </c>
      <c r="D72" s="5"/>
      <c r="E72" t="str">
        <f t="shared" si="2"/>
        <v/>
      </c>
    </row>
    <row r="73" spans="1:5" x14ac:dyDescent="0.3">
      <c r="A73">
        <f>'SEE Question Paper Mapping'!A70</f>
        <v>0</v>
      </c>
      <c r="B73">
        <f>'SEE Question Paper Mapping'!C70</f>
        <v>0</v>
      </c>
      <c r="C73">
        <f>'SEE Question Paper Mapping'!G70</f>
        <v>0</v>
      </c>
      <c r="D73" s="5"/>
      <c r="E73" t="str">
        <f t="shared" si="2"/>
        <v/>
      </c>
    </row>
    <row r="74" spans="1:5" x14ac:dyDescent="0.3">
      <c r="A74">
        <f>'SEE Question Paper Mapping'!A71</f>
        <v>0</v>
      </c>
      <c r="B74">
        <f>'SEE Question Paper Mapping'!C71</f>
        <v>0</v>
      </c>
      <c r="C74">
        <f>'SEE Question Paper Mapping'!G71</f>
        <v>0</v>
      </c>
      <c r="D74" s="5"/>
      <c r="E74" t="str">
        <f t="shared" si="2"/>
        <v/>
      </c>
    </row>
    <row r="75" spans="1:5" x14ac:dyDescent="0.3">
      <c r="A75">
        <f>'SEE Question Paper Mapping'!A72</f>
        <v>0</v>
      </c>
      <c r="B75">
        <f>'SEE Question Paper Mapping'!C72</f>
        <v>0</v>
      </c>
      <c r="C75">
        <f>'SEE Question Paper Mapping'!G72</f>
        <v>0</v>
      </c>
      <c r="D75" s="5"/>
      <c r="E75" t="str">
        <f t="shared" si="2"/>
        <v/>
      </c>
    </row>
    <row r="76" spans="1:5" x14ac:dyDescent="0.3">
      <c r="A76">
        <f>'SEE Question Paper Mapping'!A73</f>
        <v>0</v>
      </c>
      <c r="B76">
        <f>'SEE Question Paper Mapping'!C73</f>
        <v>0</v>
      </c>
      <c r="C76">
        <f>'SEE Question Paper Mapping'!G73</f>
        <v>0</v>
      </c>
      <c r="D76" s="5"/>
      <c r="E76" t="str">
        <f t="shared" si="2"/>
        <v/>
      </c>
    </row>
    <row r="77" spans="1:5" x14ac:dyDescent="0.3">
      <c r="A77">
        <f>'SEE Question Paper Mapping'!A74</f>
        <v>0</v>
      </c>
      <c r="B77">
        <f>'SEE Question Paper Mapping'!C74</f>
        <v>0</v>
      </c>
      <c r="C77">
        <f>'SEE Question Paper Mapping'!G74</f>
        <v>0</v>
      </c>
      <c r="D77" s="5"/>
      <c r="E77" t="str">
        <f t="shared" si="2"/>
        <v/>
      </c>
    </row>
    <row r="78" spans="1:5" x14ac:dyDescent="0.3">
      <c r="A78">
        <f>'SEE Question Paper Mapping'!A75</f>
        <v>0</v>
      </c>
      <c r="B78">
        <f>'SEE Question Paper Mapping'!C75</f>
        <v>0</v>
      </c>
      <c r="C78">
        <f>'SEE Question Paper Mapping'!G75</f>
        <v>0</v>
      </c>
      <c r="D78" s="5"/>
      <c r="E78" t="str">
        <f t="shared" si="2"/>
        <v/>
      </c>
    </row>
    <row r="79" spans="1:5" x14ac:dyDescent="0.3">
      <c r="A79">
        <f>'SEE Question Paper Mapping'!A76</f>
        <v>0</v>
      </c>
      <c r="B79">
        <f>'SEE Question Paper Mapping'!C76</f>
        <v>0</v>
      </c>
      <c r="C79">
        <f>'SEE Question Paper Mapping'!G76</f>
        <v>0</v>
      </c>
      <c r="D79" s="5"/>
      <c r="E79" t="str">
        <f t="shared" si="2"/>
        <v/>
      </c>
    </row>
    <row r="80" spans="1:5" x14ac:dyDescent="0.3">
      <c r="A80">
        <f>'SEE Question Paper Mapping'!A77</f>
        <v>0</v>
      </c>
      <c r="B80">
        <f>'SEE Question Paper Mapping'!C77</f>
        <v>0</v>
      </c>
      <c r="C80">
        <f>'SEE Question Paper Mapping'!G77</f>
        <v>0</v>
      </c>
      <c r="D80" s="5"/>
      <c r="E80" t="str">
        <f t="shared" si="2"/>
        <v/>
      </c>
    </row>
    <row r="81" spans="1:5" x14ac:dyDescent="0.3">
      <c r="A81">
        <f>'SEE Question Paper Mapping'!A78</f>
        <v>0</v>
      </c>
      <c r="B81">
        <f>'SEE Question Paper Mapping'!C78</f>
        <v>0</v>
      </c>
      <c r="C81">
        <f>'SEE Question Paper Mapping'!G78</f>
        <v>0</v>
      </c>
      <c r="D81" s="5"/>
      <c r="E81" t="str">
        <f t="shared" si="2"/>
        <v/>
      </c>
    </row>
    <row r="82" spans="1:5" x14ac:dyDescent="0.3">
      <c r="A82">
        <f>'SEE Question Paper Mapping'!A79</f>
        <v>0</v>
      </c>
      <c r="B82">
        <f>'SEE Question Paper Mapping'!C79</f>
        <v>0</v>
      </c>
      <c r="C82">
        <f>'SEE Question Paper Mapping'!G79</f>
        <v>0</v>
      </c>
      <c r="D82" s="5"/>
      <c r="E82" t="str">
        <f t="shared" si="2"/>
        <v/>
      </c>
    </row>
    <row r="83" spans="1:5" x14ac:dyDescent="0.3">
      <c r="A83">
        <f>'SEE Question Paper Mapping'!A80</f>
        <v>0</v>
      </c>
      <c r="B83">
        <f>'SEE Question Paper Mapping'!C80</f>
        <v>0</v>
      </c>
      <c r="C83">
        <f>'SEE Question Paper Mapping'!G80</f>
        <v>0</v>
      </c>
      <c r="D83" s="5"/>
      <c r="E83" t="str">
        <f t="shared" si="2"/>
        <v/>
      </c>
    </row>
    <row r="84" spans="1:5" x14ac:dyDescent="0.3">
      <c r="A84">
        <f>'SEE Question Paper Mapping'!A81</f>
        <v>0</v>
      </c>
      <c r="B84">
        <f>'SEE Question Paper Mapping'!C81</f>
        <v>0</v>
      </c>
      <c r="C84">
        <f>'SEE Question Paper Mapping'!G81</f>
        <v>0</v>
      </c>
      <c r="D84" s="5"/>
      <c r="E84" t="str">
        <f t="shared" si="2"/>
        <v/>
      </c>
    </row>
    <row r="85" spans="1:5" x14ac:dyDescent="0.3">
      <c r="A85">
        <f>'SEE Question Paper Mapping'!A82</f>
        <v>0</v>
      </c>
      <c r="B85">
        <f>'SEE Question Paper Mapping'!C82</f>
        <v>0</v>
      </c>
      <c r="C85">
        <f>'SEE Question Paper Mapping'!G82</f>
        <v>0</v>
      </c>
      <c r="D85" s="5"/>
      <c r="E85" t="str">
        <f t="shared" si="2"/>
        <v/>
      </c>
    </row>
    <row r="86" spans="1:5" x14ac:dyDescent="0.3">
      <c r="A86">
        <f>'SEE Question Paper Mapping'!A83</f>
        <v>0</v>
      </c>
      <c r="B86">
        <f>'SEE Question Paper Mapping'!C83</f>
        <v>0</v>
      </c>
      <c r="C86">
        <f>'SEE Question Paper Mapping'!G83</f>
        <v>0</v>
      </c>
      <c r="D86" s="5"/>
      <c r="E86" t="str">
        <f t="shared" si="2"/>
        <v/>
      </c>
    </row>
    <row r="87" spans="1:5" x14ac:dyDescent="0.3">
      <c r="A87">
        <f>'SEE Question Paper Mapping'!A84</f>
        <v>0</v>
      </c>
      <c r="B87">
        <f>'SEE Question Paper Mapping'!C84</f>
        <v>0</v>
      </c>
      <c r="C87">
        <f>'SEE Question Paper Mapping'!G84</f>
        <v>0</v>
      </c>
      <c r="D87" s="5"/>
      <c r="E87" t="str">
        <f t="shared" si="2"/>
        <v/>
      </c>
    </row>
    <row r="88" spans="1:5" x14ac:dyDescent="0.3">
      <c r="A88">
        <f>'SEE Question Paper Mapping'!A85</f>
        <v>0</v>
      </c>
      <c r="B88">
        <f>'SEE Question Paper Mapping'!C85</f>
        <v>0</v>
      </c>
      <c r="C88">
        <f>'SEE Question Paper Mapping'!G85</f>
        <v>0</v>
      </c>
      <c r="D88" s="5"/>
      <c r="E88" t="str">
        <f t="shared" si="2"/>
        <v/>
      </c>
    </row>
    <row r="89" spans="1:5" x14ac:dyDescent="0.3">
      <c r="A89">
        <f>'SEE Question Paper Mapping'!A86</f>
        <v>0</v>
      </c>
      <c r="B89">
        <f>'SEE Question Paper Mapping'!C86</f>
        <v>0</v>
      </c>
      <c r="C89">
        <f>'SEE Question Paper Mapping'!G86</f>
        <v>0</v>
      </c>
      <c r="D89" s="5"/>
      <c r="E89" t="str">
        <f t="shared" si="2"/>
        <v/>
      </c>
    </row>
    <row r="90" spans="1:5" x14ac:dyDescent="0.3">
      <c r="A90">
        <f>'SEE Question Paper Mapping'!A87</f>
        <v>0</v>
      </c>
      <c r="B90">
        <f>'SEE Question Paper Mapping'!C87</f>
        <v>0</v>
      </c>
      <c r="C90">
        <f>'SEE Question Paper Mapping'!G87</f>
        <v>0</v>
      </c>
      <c r="D90" s="5"/>
      <c r="E90" t="str">
        <f t="shared" si="2"/>
        <v/>
      </c>
    </row>
    <row r="91" spans="1:5" x14ac:dyDescent="0.3">
      <c r="A91">
        <f>'SEE Question Paper Mapping'!A88</f>
        <v>0</v>
      </c>
      <c r="B91">
        <f>'SEE Question Paper Mapping'!C88</f>
        <v>0</v>
      </c>
      <c r="C91">
        <f>'SEE Question Paper Mapping'!G88</f>
        <v>0</v>
      </c>
      <c r="D91" s="5"/>
      <c r="E91" t="str">
        <f t="shared" si="2"/>
        <v/>
      </c>
    </row>
    <row r="92" spans="1:5" x14ac:dyDescent="0.3">
      <c r="A92">
        <f>'SEE Question Paper Mapping'!A89</f>
        <v>0</v>
      </c>
      <c r="B92">
        <f>'SEE Question Paper Mapping'!C89</f>
        <v>0</v>
      </c>
      <c r="C92">
        <f>'SEE Question Paper Mapping'!G89</f>
        <v>0</v>
      </c>
      <c r="D92" s="5"/>
      <c r="E92" t="str">
        <f t="shared" si="2"/>
        <v/>
      </c>
    </row>
    <row r="93" spans="1:5" x14ac:dyDescent="0.3">
      <c r="A93">
        <f>'SEE Question Paper Mapping'!A90</f>
        <v>0</v>
      </c>
      <c r="B93">
        <f>'SEE Question Paper Mapping'!C90</f>
        <v>0</v>
      </c>
      <c r="C93">
        <f>'SEE Question Paper Mapping'!G90</f>
        <v>0</v>
      </c>
      <c r="D93" s="5"/>
      <c r="E93" t="str">
        <f t="shared" si="2"/>
        <v/>
      </c>
    </row>
    <row r="94" spans="1:5" x14ac:dyDescent="0.3">
      <c r="A94">
        <f>'SEE Question Paper Mapping'!A91</f>
        <v>0</v>
      </c>
      <c r="B94">
        <f>'SEE Question Paper Mapping'!C91</f>
        <v>0</v>
      </c>
      <c r="C94">
        <f>'SEE Question Paper Mapping'!G91</f>
        <v>0</v>
      </c>
      <c r="D94" s="5"/>
      <c r="E94" t="str">
        <f t="shared" si="2"/>
        <v/>
      </c>
    </row>
    <row r="95" spans="1:5" x14ac:dyDescent="0.3">
      <c r="A95">
        <f>'SEE Question Paper Mapping'!A92</f>
        <v>0</v>
      </c>
      <c r="B95">
        <f>'SEE Question Paper Mapping'!C92</f>
        <v>0</v>
      </c>
      <c r="C95">
        <f>'SEE Question Paper Mapping'!G92</f>
        <v>0</v>
      </c>
      <c r="D95" s="5"/>
      <c r="E95" t="str">
        <f t="shared" si="2"/>
        <v/>
      </c>
    </row>
    <row r="96" spans="1:5" x14ac:dyDescent="0.3">
      <c r="A96">
        <f>'SEE Question Paper Mapping'!A93</f>
        <v>0</v>
      </c>
      <c r="B96">
        <f>'SEE Question Paper Mapping'!C93</f>
        <v>0</v>
      </c>
      <c r="C96">
        <f>'SEE Question Paper Mapping'!G93</f>
        <v>0</v>
      </c>
      <c r="D96" s="5"/>
      <c r="E96" t="str">
        <f t="shared" si="2"/>
        <v/>
      </c>
    </row>
    <row r="97" spans="1:5" x14ac:dyDescent="0.3">
      <c r="A97">
        <f>'SEE Question Paper Mapping'!A94</f>
        <v>0</v>
      </c>
      <c r="B97">
        <f>'SEE Question Paper Mapping'!C94</f>
        <v>0</v>
      </c>
      <c r="C97">
        <f>'SEE Question Paper Mapping'!G94</f>
        <v>0</v>
      </c>
      <c r="D97" s="5"/>
      <c r="E97" t="str">
        <f t="shared" si="2"/>
        <v/>
      </c>
    </row>
    <row r="98" spans="1:5" x14ac:dyDescent="0.3">
      <c r="A98">
        <f>'SEE Question Paper Mapping'!A95</f>
        <v>0</v>
      </c>
      <c r="B98">
        <f>'SEE Question Paper Mapping'!C95</f>
        <v>0</v>
      </c>
      <c r="C98">
        <f>'SEE Question Paper Mapping'!G95</f>
        <v>0</v>
      </c>
      <c r="D98" s="5"/>
      <c r="E98" t="str">
        <f t="shared" si="2"/>
        <v/>
      </c>
    </row>
    <row r="99" spans="1:5" x14ac:dyDescent="0.3">
      <c r="A99">
        <f>'SEE Question Paper Mapping'!A96</f>
        <v>0</v>
      </c>
      <c r="B99">
        <f>'SEE Question Paper Mapping'!C96</f>
        <v>0</v>
      </c>
      <c r="C99">
        <f>'SEE Question Paper Mapping'!G96</f>
        <v>0</v>
      </c>
      <c r="D99" s="5"/>
      <c r="E99" t="str">
        <f t="shared" si="2"/>
        <v/>
      </c>
    </row>
    <row r="100" spans="1:5" x14ac:dyDescent="0.3">
      <c r="A100">
        <f>'SEE Question Paper Mapping'!A97</f>
        <v>0</v>
      </c>
      <c r="B100">
        <f>'SEE Question Paper Mapping'!C97</f>
        <v>0</v>
      </c>
      <c r="C100">
        <f>'SEE Question Paper Mapping'!G97</f>
        <v>0</v>
      </c>
      <c r="D100" s="5"/>
      <c r="E100" t="str">
        <f t="shared" si="2"/>
        <v/>
      </c>
    </row>
    <row r="101" spans="1:5" x14ac:dyDescent="0.3">
      <c r="A101">
        <f>'SEE Question Paper Mapping'!A98</f>
        <v>0</v>
      </c>
      <c r="B101">
        <f>'SEE Question Paper Mapping'!C98</f>
        <v>0</v>
      </c>
      <c r="C101">
        <f>'SEE Question Paper Mapping'!G98</f>
        <v>0</v>
      </c>
      <c r="D101" s="5"/>
      <c r="E101" t="str">
        <f t="shared" ref="E101:E132" si="3">IF(D101="","",IF(D101&gt;=0.7,3,IF(D101&gt;=0.6,2,IF(D101&gt;=0.5,1,0))))</f>
        <v/>
      </c>
    </row>
    <row r="102" spans="1:5" x14ac:dyDescent="0.3">
      <c r="A102">
        <f>'SEE Question Paper Mapping'!A99</f>
        <v>0</v>
      </c>
      <c r="B102">
        <f>'SEE Question Paper Mapping'!C99</f>
        <v>0</v>
      </c>
      <c r="C102">
        <f>'SEE Question Paper Mapping'!G99</f>
        <v>0</v>
      </c>
      <c r="D102" s="5"/>
      <c r="E102" t="str">
        <f t="shared" si="3"/>
        <v/>
      </c>
    </row>
    <row r="103" spans="1:5" x14ac:dyDescent="0.3">
      <c r="A103">
        <f>'SEE Question Paper Mapping'!A100</f>
        <v>0</v>
      </c>
      <c r="B103">
        <f>'SEE Question Paper Mapping'!C100</f>
        <v>0</v>
      </c>
      <c r="C103">
        <f>'SEE Question Paper Mapping'!G100</f>
        <v>0</v>
      </c>
      <c r="D103" s="5"/>
      <c r="E103" t="str">
        <f t="shared" si="3"/>
        <v/>
      </c>
    </row>
    <row r="104" spans="1:5" x14ac:dyDescent="0.3">
      <c r="A104">
        <f>'SEE Question Paper Mapping'!A101</f>
        <v>0</v>
      </c>
      <c r="B104">
        <f>'SEE Question Paper Mapping'!C101</f>
        <v>0</v>
      </c>
      <c r="C104">
        <f>'SEE Question Paper Mapping'!G101</f>
        <v>0</v>
      </c>
      <c r="D104" s="5"/>
      <c r="E104" t="str">
        <f t="shared" si="3"/>
        <v/>
      </c>
    </row>
    <row r="110" spans="1:5" x14ac:dyDescent="0.3">
      <c r="A110" s="2" t="s">
        <v>65</v>
      </c>
    </row>
    <row r="111" spans="1:5" ht="28.8" x14ac:dyDescent="0.3">
      <c r="A111" s="1" t="s">
        <v>50</v>
      </c>
      <c r="B111" s="1" t="s">
        <v>53</v>
      </c>
      <c r="C111" s="1" t="s">
        <v>66</v>
      </c>
      <c r="D111" s="1" t="s">
        <v>67</v>
      </c>
      <c r="E111" s="1" t="s">
        <v>64</v>
      </c>
    </row>
    <row r="112" spans="1:5" x14ac:dyDescent="0.3">
      <c r="A112" t="s">
        <v>10</v>
      </c>
      <c r="C112">
        <f>IFERROR(SUMIF('SEE Question Paper Mapping'!C:C,A112,'SEE Question Paper Mapping'!G:G),"")</f>
        <v>4</v>
      </c>
      <c r="D112" s="5">
        <f t="shared" ref="D112:D121" si="4">IF(SUMIF(B$5:B$104,A112,C$5:C$104)=0,"",SUMPRODUCT((B$5:B$104=A112)*(D$5:D$104)*(C$5:C$104))/SUMIF(B$5:B$104,A112,C$5:C$104))</f>
        <v>0</v>
      </c>
      <c r="E112">
        <f t="shared" ref="E112:E121" si="5">IF(D112="","",IF(D112&gt;=0.7,3,IF(D112&gt;=0.6,2,IF(D112&gt;=0.5,1,0))))</f>
        <v>0</v>
      </c>
    </row>
    <row r="113" spans="1:5" x14ac:dyDescent="0.3">
      <c r="A113" t="s">
        <v>17</v>
      </c>
      <c r="C113">
        <f>IFERROR(SUMIF('SEE Question Paper Mapping'!C:C,A113,'SEE Question Paper Mapping'!G:G),"")</f>
        <v>6</v>
      </c>
      <c r="D113" s="5">
        <f t="shared" si="4"/>
        <v>0</v>
      </c>
      <c r="E113">
        <f t="shared" si="5"/>
        <v>0</v>
      </c>
    </row>
    <row r="114" spans="1:5" x14ac:dyDescent="0.3">
      <c r="A114" t="s">
        <v>24</v>
      </c>
      <c r="C114">
        <f>IFERROR(SUMIF('SEE Question Paper Mapping'!C:C,A114,'SEE Question Paper Mapping'!G:G),"")</f>
        <v>10</v>
      </c>
      <c r="D114" s="5">
        <f t="shared" si="4"/>
        <v>0</v>
      </c>
      <c r="E114">
        <f t="shared" si="5"/>
        <v>0</v>
      </c>
    </row>
    <row r="115" spans="1:5" x14ac:dyDescent="0.3">
      <c r="A115" t="s">
        <v>30</v>
      </c>
      <c r="C115">
        <f>IFERROR(SUMIF('SEE Question Paper Mapping'!C:C,A115,'SEE Question Paper Mapping'!G:G),"")</f>
        <v>15</v>
      </c>
      <c r="D115" s="5">
        <f t="shared" si="4"/>
        <v>0</v>
      </c>
      <c r="E115">
        <f t="shared" si="5"/>
        <v>0</v>
      </c>
    </row>
    <row r="116" spans="1:5" x14ac:dyDescent="0.3">
      <c r="A116" t="s">
        <v>54</v>
      </c>
      <c r="C116">
        <f>IFERROR(SUMIF('SEE Question Paper Mapping'!C:C,A116,'SEE Question Paper Mapping'!G:G),"")</f>
        <v>0</v>
      </c>
      <c r="D116" s="5" t="str">
        <f t="shared" si="4"/>
        <v/>
      </c>
      <c r="E116" t="str">
        <f t="shared" si="5"/>
        <v/>
      </c>
    </row>
    <row r="117" spans="1:5" x14ac:dyDescent="0.3">
      <c r="A117" t="s">
        <v>55</v>
      </c>
      <c r="C117">
        <f>IFERROR(SUMIF('SEE Question Paper Mapping'!C:C,A117,'SEE Question Paper Mapping'!G:G),"")</f>
        <v>0</v>
      </c>
      <c r="D117" s="5" t="str">
        <f t="shared" si="4"/>
        <v/>
      </c>
      <c r="E117" t="str">
        <f t="shared" si="5"/>
        <v/>
      </c>
    </row>
    <row r="118" spans="1:5" x14ac:dyDescent="0.3">
      <c r="A118" t="s">
        <v>56</v>
      </c>
      <c r="C118">
        <f>IFERROR(SUMIF('SEE Question Paper Mapping'!C:C,A118,'SEE Question Paper Mapping'!G:G),"")</f>
        <v>0</v>
      </c>
      <c r="D118" s="5" t="str">
        <f t="shared" si="4"/>
        <v/>
      </c>
      <c r="E118" t="str">
        <f t="shared" si="5"/>
        <v/>
      </c>
    </row>
    <row r="119" spans="1:5" x14ac:dyDescent="0.3">
      <c r="A119" t="s">
        <v>57</v>
      </c>
      <c r="C119">
        <f>IFERROR(SUMIF('SEE Question Paper Mapping'!C:C,A119,'SEE Question Paper Mapping'!G:G),"")</f>
        <v>0</v>
      </c>
      <c r="D119" s="5" t="str">
        <f t="shared" si="4"/>
        <v/>
      </c>
      <c r="E119" t="str">
        <f t="shared" si="5"/>
        <v/>
      </c>
    </row>
    <row r="120" spans="1:5" x14ac:dyDescent="0.3">
      <c r="A120" t="s">
        <v>58</v>
      </c>
      <c r="C120">
        <f>IFERROR(SUMIF('SEE Question Paper Mapping'!C:C,A120,'SEE Question Paper Mapping'!G:G),"")</f>
        <v>0</v>
      </c>
      <c r="D120" s="5" t="str">
        <f t="shared" si="4"/>
        <v/>
      </c>
      <c r="E120" t="str">
        <f t="shared" si="5"/>
        <v/>
      </c>
    </row>
    <row r="121" spans="1:5" x14ac:dyDescent="0.3">
      <c r="A121" t="s">
        <v>59</v>
      </c>
      <c r="C121">
        <f>IFERROR(SUMIF('SEE Question Paper Mapping'!C:C,A121,'SEE Question Paper Mapping'!G:G),"")</f>
        <v>0</v>
      </c>
      <c r="D121" s="5" t="str">
        <f t="shared" si="4"/>
        <v/>
      </c>
      <c r="E121" t="str">
        <f t="shared" si="5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8" customWidth="1"/>
    <col min="2" max="2" width="60" customWidth="1"/>
    <col min="3" max="3" width="12" customWidth="1"/>
    <col min="4" max="5" width="18" customWidth="1"/>
    <col min="6" max="6" width="12" customWidth="1"/>
  </cols>
  <sheetData>
    <row r="1" spans="1:6" ht="17.399999999999999" x14ac:dyDescent="0.35">
      <c r="A1" s="6" t="s">
        <v>68</v>
      </c>
    </row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62</v>
      </c>
    </row>
    <row r="4" spans="1:6" x14ac:dyDescent="0.3">
      <c r="A4" t="str">
        <f>'SEE Question Paper Mapping'!A2</f>
        <v>1(a)</v>
      </c>
      <c r="B4" t="str">
        <f>'SEE Question Paper Mapping'!B2</f>
        <v>Define Data Mining concepts</v>
      </c>
      <c r="C4" t="str">
        <f>'SEE Question Paper Mapping'!C2</f>
        <v>CO1</v>
      </c>
      <c r="D4" t="str">
        <f>'SEE Question Paper Mapping'!D2</f>
        <v>PO1</v>
      </c>
      <c r="E4" t="str">
        <f>'SEE Question Paper Mapping'!E2</f>
        <v>PSO1</v>
      </c>
      <c r="F4">
        <f>'SEE Question Paper Mapping'!G2</f>
        <v>4</v>
      </c>
    </row>
    <row r="5" spans="1:6" x14ac:dyDescent="0.3">
      <c r="A5" t="str">
        <f>'SEE Question Paper Mapping'!A3</f>
        <v>1(b)</v>
      </c>
      <c r="B5" t="str">
        <f>'SEE Question Paper Mapping'!B3</f>
        <v>Differentiate Classification vs Clustering</v>
      </c>
      <c r="C5" t="str">
        <f>'SEE Question Paper Mapping'!C3</f>
        <v>CO2</v>
      </c>
      <c r="D5" t="str">
        <f>'SEE Question Paper Mapping'!D3</f>
        <v>PO2, PO3</v>
      </c>
      <c r="E5" t="str">
        <f>'SEE Question Paper Mapping'!E3</f>
        <v>PSO2</v>
      </c>
      <c r="F5">
        <f>'SEE Question Paper Mapping'!G3</f>
        <v>6</v>
      </c>
    </row>
    <row r="6" spans="1:6" x14ac:dyDescent="0.3">
      <c r="A6" t="str">
        <f>'SEE Question Paper Mapping'!A4</f>
        <v>2</v>
      </c>
      <c r="B6" t="str">
        <f>'SEE Question Paper Mapping'!B4</f>
        <v>Apply Apriori algorithm on dataset</v>
      </c>
      <c r="C6" t="str">
        <f>'SEE Question Paper Mapping'!C4</f>
        <v>CO3</v>
      </c>
      <c r="D6" t="str">
        <f>'SEE Question Paper Mapping'!D4</f>
        <v>PO4</v>
      </c>
      <c r="E6" t="str">
        <f>'SEE Question Paper Mapping'!E4</f>
        <v>PSO2</v>
      </c>
      <c r="F6">
        <f>'SEE Question Paper Mapping'!G4</f>
        <v>10</v>
      </c>
    </row>
    <row r="7" spans="1:6" x14ac:dyDescent="0.3">
      <c r="A7" t="str">
        <f>'SEE Question Paper Mapping'!A5</f>
        <v>3</v>
      </c>
      <c r="B7" t="str">
        <f>'SEE Question Paper Mapping'!B5</f>
        <v>Design a neural network model for classification</v>
      </c>
      <c r="C7" t="str">
        <f>'SEE Question Paper Mapping'!C5</f>
        <v>CO4</v>
      </c>
      <c r="D7" t="str">
        <f>'SEE Question Paper Mapping'!D5</f>
        <v>PO5</v>
      </c>
      <c r="E7" t="str">
        <f>'SEE Question Paper Mapping'!E5</f>
        <v>PSO3</v>
      </c>
      <c r="F7">
        <f>'SEE Question Paper Mapping'!G5</f>
        <v>15</v>
      </c>
    </row>
    <row r="8" spans="1:6" x14ac:dyDescent="0.3">
      <c r="A8">
        <f>'SEE Question Paper Mapping'!A6</f>
        <v>0</v>
      </c>
      <c r="B8">
        <f>'SEE Question Paper Mapping'!B6</f>
        <v>0</v>
      </c>
      <c r="C8">
        <f>'SEE Question Paper Mapping'!C6</f>
        <v>0</v>
      </c>
      <c r="D8">
        <f>'SEE Question Paper Mapping'!D6</f>
        <v>0</v>
      </c>
      <c r="E8">
        <f>'SEE Question Paper Mapping'!E6</f>
        <v>0</v>
      </c>
      <c r="F8">
        <f>'SEE Question Paper Mapping'!G6</f>
        <v>0</v>
      </c>
    </row>
    <row r="9" spans="1:6" x14ac:dyDescent="0.3">
      <c r="A9">
        <f>'SEE Question Paper Mapping'!A7</f>
        <v>0</v>
      </c>
      <c r="B9">
        <f>'SEE Question Paper Mapping'!B7</f>
        <v>0</v>
      </c>
      <c r="C9">
        <f>'SEE Question Paper Mapping'!C7</f>
        <v>0</v>
      </c>
      <c r="D9">
        <f>'SEE Question Paper Mapping'!D7</f>
        <v>0</v>
      </c>
      <c r="E9">
        <f>'SEE Question Paper Mapping'!E7</f>
        <v>0</v>
      </c>
      <c r="F9">
        <f>'SEE Question Paper Mapping'!G7</f>
        <v>0</v>
      </c>
    </row>
    <row r="10" spans="1:6" x14ac:dyDescent="0.3">
      <c r="A10">
        <f>'SEE Question Paper Mapping'!A8</f>
        <v>0</v>
      </c>
      <c r="B10">
        <f>'SEE Question Paper Mapping'!B8</f>
        <v>0</v>
      </c>
      <c r="C10">
        <f>'SEE Question Paper Mapping'!C8</f>
        <v>0</v>
      </c>
      <c r="D10">
        <f>'SEE Question Paper Mapping'!D8</f>
        <v>0</v>
      </c>
      <c r="E10">
        <f>'SEE Question Paper Mapping'!E8</f>
        <v>0</v>
      </c>
      <c r="F10">
        <f>'SEE Question Paper Mapping'!G8</f>
        <v>0</v>
      </c>
    </row>
    <row r="11" spans="1:6" x14ac:dyDescent="0.3">
      <c r="A11">
        <f>'SEE Question Paper Mapping'!A9</f>
        <v>0</v>
      </c>
      <c r="B11">
        <f>'SEE Question Paper Mapping'!B9</f>
        <v>0</v>
      </c>
      <c r="C11">
        <f>'SEE Question Paper Mapping'!C9</f>
        <v>0</v>
      </c>
      <c r="D11">
        <f>'SEE Question Paper Mapping'!D9</f>
        <v>0</v>
      </c>
      <c r="E11">
        <f>'SEE Question Paper Mapping'!E9</f>
        <v>0</v>
      </c>
      <c r="F11">
        <f>'SEE Question Paper Mapping'!G9</f>
        <v>0</v>
      </c>
    </row>
    <row r="12" spans="1:6" x14ac:dyDescent="0.3">
      <c r="A12">
        <f>'SEE Question Paper Mapping'!A10</f>
        <v>0</v>
      </c>
      <c r="B12">
        <f>'SEE Question Paper Mapping'!B10</f>
        <v>0</v>
      </c>
      <c r="C12">
        <f>'SEE Question Paper Mapping'!C10</f>
        <v>0</v>
      </c>
      <c r="D12">
        <f>'SEE Question Paper Mapping'!D10</f>
        <v>0</v>
      </c>
      <c r="E12">
        <f>'SEE Question Paper Mapping'!E10</f>
        <v>0</v>
      </c>
      <c r="F12">
        <f>'SEE Question Paper Mapping'!G10</f>
        <v>0</v>
      </c>
    </row>
    <row r="13" spans="1:6" x14ac:dyDescent="0.3">
      <c r="A13">
        <f>'SEE Question Paper Mapping'!A11</f>
        <v>0</v>
      </c>
      <c r="B13">
        <f>'SEE Question Paper Mapping'!B11</f>
        <v>0</v>
      </c>
      <c r="C13">
        <f>'SEE Question Paper Mapping'!C11</f>
        <v>0</v>
      </c>
      <c r="D13">
        <f>'SEE Question Paper Mapping'!D11</f>
        <v>0</v>
      </c>
      <c r="E13">
        <f>'SEE Question Paper Mapping'!E11</f>
        <v>0</v>
      </c>
      <c r="F13">
        <f>'SEE Question Paper Mapping'!G11</f>
        <v>0</v>
      </c>
    </row>
    <row r="14" spans="1:6" x14ac:dyDescent="0.3">
      <c r="A14">
        <f>'SEE Question Paper Mapping'!A12</f>
        <v>0</v>
      </c>
      <c r="B14">
        <f>'SEE Question Paper Mapping'!B12</f>
        <v>0</v>
      </c>
      <c r="C14">
        <f>'SEE Question Paper Mapping'!C12</f>
        <v>0</v>
      </c>
      <c r="D14">
        <f>'SEE Question Paper Mapping'!D12</f>
        <v>0</v>
      </c>
      <c r="E14">
        <f>'SEE Question Paper Mapping'!E12</f>
        <v>0</v>
      </c>
      <c r="F14">
        <f>'SEE Question Paper Mapping'!G12</f>
        <v>0</v>
      </c>
    </row>
    <row r="15" spans="1:6" x14ac:dyDescent="0.3">
      <c r="A15">
        <f>'SEE Question Paper Mapping'!A13</f>
        <v>0</v>
      </c>
      <c r="B15">
        <f>'SEE Question Paper Mapping'!B13</f>
        <v>0</v>
      </c>
      <c r="C15">
        <f>'SEE Question Paper Mapping'!C13</f>
        <v>0</v>
      </c>
      <c r="D15">
        <f>'SEE Question Paper Mapping'!D13</f>
        <v>0</v>
      </c>
      <c r="E15">
        <f>'SEE Question Paper Mapping'!E13</f>
        <v>0</v>
      </c>
      <c r="F15">
        <f>'SEE Question Paper Mapping'!G13</f>
        <v>0</v>
      </c>
    </row>
    <row r="16" spans="1:6" x14ac:dyDescent="0.3">
      <c r="A16">
        <f>'SEE Question Paper Mapping'!A14</f>
        <v>0</v>
      </c>
      <c r="B16">
        <f>'SEE Question Paper Mapping'!B14</f>
        <v>0</v>
      </c>
      <c r="C16">
        <f>'SEE Question Paper Mapping'!C14</f>
        <v>0</v>
      </c>
      <c r="D16">
        <f>'SEE Question Paper Mapping'!D14</f>
        <v>0</v>
      </c>
      <c r="E16">
        <f>'SEE Question Paper Mapping'!E14</f>
        <v>0</v>
      </c>
      <c r="F16">
        <f>'SEE Question Paper Mapping'!G14</f>
        <v>0</v>
      </c>
    </row>
    <row r="17" spans="1:6" x14ac:dyDescent="0.3">
      <c r="A17">
        <f>'SEE Question Paper Mapping'!A15</f>
        <v>0</v>
      </c>
      <c r="B17">
        <f>'SEE Question Paper Mapping'!B15</f>
        <v>0</v>
      </c>
      <c r="C17">
        <f>'SEE Question Paper Mapping'!C15</f>
        <v>0</v>
      </c>
      <c r="D17">
        <f>'SEE Question Paper Mapping'!D15</f>
        <v>0</v>
      </c>
      <c r="E17">
        <f>'SEE Question Paper Mapping'!E15</f>
        <v>0</v>
      </c>
      <c r="F17">
        <f>'SEE Question Paper Mapping'!G15</f>
        <v>0</v>
      </c>
    </row>
    <row r="18" spans="1:6" x14ac:dyDescent="0.3">
      <c r="A18">
        <f>'SEE Question Paper Mapping'!A16</f>
        <v>0</v>
      </c>
      <c r="B18">
        <f>'SEE Question Paper Mapping'!B16</f>
        <v>0</v>
      </c>
      <c r="C18">
        <f>'SEE Question Paper Mapping'!C16</f>
        <v>0</v>
      </c>
      <c r="D18">
        <f>'SEE Question Paper Mapping'!D16</f>
        <v>0</v>
      </c>
      <c r="E18">
        <f>'SEE Question Paper Mapping'!E16</f>
        <v>0</v>
      </c>
      <c r="F18">
        <f>'SEE Question Paper Mapping'!G16</f>
        <v>0</v>
      </c>
    </row>
    <row r="19" spans="1:6" x14ac:dyDescent="0.3">
      <c r="A19">
        <f>'SEE Question Paper Mapping'!A17</f>
        <v>0</v>
      </c>
      <c r="B19">
        <f>'SEE Question Paper Mapping'!B17</f>
        <v>0</v>
      </c>
      <c r="C19">
        <f>'SEE Question Paper Mapping'!C17</f>
        <v>0</v>
      </c>
      <c r="D19">
        <f>'SEE Question Paper Mapping'!D17</f>
        <v>0</v>
      </c>
      <c r="E19">
        <f>'SEE Question Paper Mapping'!E17</f>
        <v>0</v>
      </c>
      <c r="F19">
        <f>'SEE Question Paper Mapping'!G17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tabSelected="1" workbookViewId="0">
      <pane ySplit="3" topLeftCell="A139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8" customWidth="1"/>
    <col min="4" max="4" width="24" customWidth="1"/>
    <col min="5" max="5" width="22" customWidth="1"/>
    <col min="6" max="6" width="36" customWidth="1"/>
    <col min="7" max="7" width="28" customWidth="1"/>
  </cols>
  <sheetData>
    <row r="1" spans="1:7" ht="17.399999999999999" x14ac:dyDescent="0.35">
      <c r="A1" s="6" t="s">
        <v>69</v>
      </c>
    </row>
    <row r="3" spans="1:7" ht="28.8" x14ac:dyDescent="0.3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76</v>
      </c>
    </row>
    <row r="4" spans="1:7" x14ac:dyDescent="0.3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</row>
    <row r="5" spans="1:7" x14ac:dyDescent="0.3">
      <c r="A5" t="s">
        <v>77</v>
      </c>
      <c r="B5" t="s">
        <v>78</v>
      </c>
      <c r="C5" t="s">
        <v>79</v>
      </c>
      <c r="D5" t="s">
        <v>84</v>
      </c>
      <c r="E5" t="s">
        <v>85</v>
      </c>
      <c r="F5" t="s">
        <v>86</v>
      </c>
      <c r="G5" t="s">
        <v>87</v>
      </c>
    </row>
    <row r="6" spans="1:7" x14ac:dyDescent="0.3">
      <c r="A6" t="s">
        <v>77</v>
      </c>
      <c r="B6" t="s">
        <v>78</v>
      </c>
      <c r="C6" t="s">
        <v>79</v>
      </c>
      <c r="D6" t="s">
        <v>88</v>
      </c>
      <c r="E6" t="s">
        <v>89</v>
      </c>
      <c r="F6" t="s">
        <v>90</v>
      </c>
      <c r="G6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SEE Question Paper Mapping</vt:lpstr>
      <vt:lpstr>Question Paper Blueprint</vt:lpstr>
      <vt:lpstr>SEE CO Attainment</vt:lpstr>
      <vt:lpstr>SEE Mapping Sheet</vt:lpstr>
      <vt:lpstr>SEE Answer Scripts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Rama Krishna Tottempudi</cp:lastModifiedBy>
  <dcterms:created xsi:type="dcterms:W3CDTF">2025-08-31T03:53:53Z</dcterms:created>
  <dcterms:modified xsi:type="dcterms:W3CDTF">2025-12-16T06:21:27Z</dcterms:modified>
</cp:coreProperties>
</file>