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500" firstSheet="1" activeTab="1"/>
  </bookViews>
  <sheets>
    <sheet name="API3_Calculator" sheetId="1" r:id="rId1"/>
    <sheet name="SAR_Table" sheetId="2" r:id="rId2"/>
    <sheet name="Performance_Bands" sheetId="3" r:id="rId3"/>
    <sheet name="RollNo_Tracker" sheetId="4" r:id="rId4"/>
    <sheet name="API_Trend_Chart" sheetId="5" r:id="rId5"/>
    <sheet name="Evidence_Checklist"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<sst xmlns="http://schemas.openxmlformats.org/spreadsheetml/2006/main" count="234" uniqueCount="171">
  <si>
    <t>ACADEMIC PERFORMANCE OF 3RD-YEAR STUDENTS — NBA ACCREDITATION (Max: 10)</t>
  </si>
  <si>
    <t>Formula: API = X × (Y ÷ Z)   |   Average API = (APICAYm1 + APICAYm2 + APICAYm3) ÷ 3</t>
  </si>
  <si>
    <t>KEY DEFINITIONS</t>
  </si>
  <si>
    <t>Symbol</t>
  </si>
  <si>
    <t>Term</t>
  </si>
  <si>
    <t>Meaning</t>
  </si>
  <si>
    <t>X</t>
  </si>
  <si>
    <t>Quality Factor</t>
  </si>
  <si>
    <t>Mean GPA (10-pt scale) OR Mean % marks ÷ 10  — of SUCCESSFUL students only</t>
  </si>
  <si>
    <t>Y</t>
  </si>
  <si>
    <t>Successful Students</t>
  </si>
  <si>
    <t>Students who cleared 3rd year and were promoted to 4th year (from Pass List)</t>
  </si>
  <si>
    <t>Z</t>
  </si>
  <si>
    <t>Appeared Students</t>
  </si>
  <si>
    <t>Students who appeared in 3rd-year exam (Present; excludes absent / detained / debarred)</t>
  </si>
  <si>
    <t>SECTION A — DATA INPUT   (Blue cells = editable inputs)</t>
  </si>
  <si>
    <t>#</t>
  </si>
  <si>
    <t>Metric / Variable</t>
  </si>
  <si>
    <t>CAYm3
(2021–22)</t>
  </si>
  <si>
    <t>CAYm2
(2022–23)</t>
  </si>
  <si>
    <t>CAYm1
(2023–24)</t>
  </si>
  <si>
    <t>Cohort Average</t>
  </si>
  <si>
    <t>Notes</t>
  </si>
  <si>
    <t>Z  —  Students appeared in 3rd-year exam</t>
  </si>
  <si>
    <t>Exam Appearance List (Present only)</t>
  </si>
  <si>
    <t>Y  —  Students promoted to 4th year (successful)</t>
  </si>
  <si>
    <t>Official Pass / Promotion List</t>
  </si>
  <si>
    <t>X  —  Mean GPA of successful students (10-pt scale)</t>
  </si>
  <si>
    <t>3rd-Year Result Gazette — successful set only</t>
  </si>
  <si>
    <t>API = X × (Y ÷ Z)  [auto-calculated]</t>
  </si>
  <si>
    <t>API = X × (Y/Z) per cohort</t>
  </si>
  <si>
    <t>SECTION B — FINAL SCORE</t>
  </si>
  <si>
    <t>Average API (out of 10)  =  (APICAYm3 + APICAYm2 + APICAYm1) ÷ 3</t>
  </si>
  <si>
    <t>← Final NBA Score (max 10)</t>
  </si>
  <si>
    <t>Performance band (auto-labelled from average API)</t>
  </si>
  <si>
    <t>← Performance band</t>
  </si>
  <si>
    <t>SECTION C — SUPPORTING METRICS (auto-calculated)</t>
  </si>
  <si>
    <t>Metric</t>
  </si>
  <si>
    <t>CAYm3</t>
  </si>
  <si>
    <t>CAYm2</t>
  </si>
  <si>
    <t>CAYm1</t>
  </si>
  <si>
    <t>3-Yr Avg</t>
  </si>
  <si>
    <t>Interpretation</t>
  </si>
  <si>
    <t>Promotion rate  Y/Z (%)</t>
  </si>
  <si>
    <t>Percentage of students who progressed to final year</t>
  </si>
  <si>
    <t>Attrition  (Z – Y)</t>
  </si>
  <si>
    <t>Students who could not progress (failed / repeat)</t>
  </si>
  <si>
    <t>Pass%  (Y/Z × 100)</t>
  </si>
  <si>
    <t>Same as promotion rate for 3rd-year cohort</t>
  </si>
  <si>
    <t>⚠  COMMON PITFALLS:  (1) Do NOT include failed students' GPA in X.  (2) Use appeared count (Z), not registered intake.  (3) Students with unresolved backlogs are NOT counted in Y.  (4) Do not mix GPA and % marks within one cohort.</t>
  </si>
  <si>
    <t>SAR TABLE — ACADEMIC PERFORMANCE OF 3RD-YEAR STUDENTS (NBA Format)</t>
  </si>
  <si>
    <t>All values auto-linked from API3_Calculator sheet  |  Cross-referenced against mandatory evidence</t>
  </si>
  <si>
    <t>Remarks</t>
  </si>
  <si>
    <t>X  —  Mean GPA (or %÷10) of successful 3rd-year students</t>
  </si>
  <si>
    <t>From Result Gazette — successful students only</t>
  </si>
  <si>
    <t>Y  —  Successful students promoted to 4th year</t>
  </si>
  <si>
    <t>From University Pass / Promotion List</t>
  </si>
  <si>
    <t>From Exam Appearance List (present only)</t>
  </si>
  <si>
    <t>Y/Z  —  Promotion ratio</t>
  </si>
  <si>
    <t>Pass rate for the cohort</t>
  </si>
  <si>
    <t>API = X × (Y/Z)  [auto-calculated]</t>
  </si>
  <si>
    <t>Core NBA metric per cohort (out of 10)</t>
  </si>
  <si>
    <t>Average API (out of 10)  =  Mean of three cohort APIs</t>
  </si>
  <si>
    <t>—</t>
  </si>
  <si>
    <t>← Final reported NBA score (max 10)</t>
  </si>
  <si>
    <t>Performance band (auto-labelled)</t>
  </si>
  <si>
    <t>← Performance category</t>
  </si>
  <si>
    <t>ACADEMIC PERFORMANCE INDEX (API) — 3RD YEAR — INTERPRETATION BANDS</t>
  </si>
  <si>
    <t>Band</t>
  </si>
  <si>
    <t>Average API Range</t>
  </si>
  <si>
    <t>NBA Rating</t>
  </si>
  <si>
    <t>% of Max Score</t>
  </si>
  <si>
    <t>Recommended Action</t>
  </si>
  <si>
    <t>A</t>
  </si>
  <si>
    <t>≥ 8.0</t>
  </si>
  <si>
    <t>Excellent</t>
  </si>
  <si>
    <t>80–100%</t>
  </si>
  <si>
    <t>Strong academic performance; smooth progression to final year</t>
  </si>
  <si>
    <t>Maintain and document best practices</t>
  </si>
  <si>
    <t>B</t>
  </si>
  <si>
    <t>6.0 – 7.9</t>
  </si>
  <si>
    <t>Good</t>
  </si>
  <si>
    <t>60–79%</t>
  </si>
  <si>
    <t>Acceptable performance; minor failures or dropouts present</t>
  </si>
  <si>
    <t>Identify weak cohort factors; targeted remedial action</t>
  </si>
  <si>
    <t>C</t>
  </si>
  <si>
    <t>5.0 – 5.9</t>
  </si>
  <si>
    <t>Acceptable</t>
  </si>
  <si>
    <t>50–59%</t>
  </si>
  <si>
    <t>Moderate performance; noticeable progression gap</t>
  </si>
  <si>
    <t>Investigate causes; improve tutorial and mentoring</t>
  </si>
  <si>
    <t>D</t>
  </si>
  <si>
    <t>&lt; 5.0</t>
  </si>
  <si>
    <t>Weak</t>
  </si>
  <si>
    <t>&lt; 50%</t>
  </si>
  <si>
    <t>Poor progression rate or low GPA; signals systemic issues</t>
  </si>
  <si>
    <t>Immediate corrective action; NBA will flag this</t>
  </si>
  <si>
    <t>FORMULA QUICK REFERENCE</t>
  </si>
  <si>
    <t>Formula Name</t>
  </si>
  <si>
    <t>Expression</t>
  </si>
  <si>
    <t>Note</t>
  </si>
  <si>
    <t>API (per cohort)</t>
  </si>
  <si>
    <t>API = X × (Y ÷ Z)</t>
  </si>
  <si>
    <t>X = Mean GPA of successful students (Y-set)</t>
  </si>
  <si>
    <t>Average API</t>
  </si>
  <si>
    <t>(APICAYm1 + APICAYm2 + APICAYm3) ÷ 3</t>
  </si>
  <si>
    <t>Average across three cohorts (max = 10)</t>
  </si>
  <si>
    <t>Promotion rate</t>
  </si>
  <si>
    <t>(Y ÷ Z) × 100</t>
  </si>
  <si>
    <t>Percentage of appeared students who progressed</t>
  </si>
  <si>
    <t>Attrition</t>
  </si>
  <si>
    <t>Z − Y</t>
  </si>
  <si>
    <t>Students who could not progress to 4th year</t>
  </si>
  <si>
    <t>ROLL-NUMBER MAPPING SHEET — 3RD YEAR COHORT TRACKER (Mandatory NBA Evidence)</t>
  </si>
  <si>
    <t>Enter one row per student. Status columns auto-label. Use one sheet per cohort — duplicate this sheet for CAYm2 and CAYm3.</t>
  </si>
  <si>
    <t>Roll Number</t>
  </si>
  <si>
    <t>Student Name</t>
  </si>
  <si>
    <t>Appeared
(Y/N)</t>
  </si>
  <si>
    <t>Result
(Pass/Fail)</t>
  </si>
  <si>
    <t>GPA / % Marks
(if passed)</t>
  </si>
  <si>
    <t>Promoted
to 4th yr?</t>
  </si>
  <si>
    <t>Counted
in Y?</t>
  </si>
  <si>
    <t>1001</t>
  </si>
  <si>
    <t>Aarav Sharma</t>
  </si>
  <si>
    <t>Pass</t>
  </si>
  <si>
    <t>Counts in Y and GPA</t>
  </si>
  <si>
    <t>1002</t>
  </si>
  <si>
    <t>Priya Nair</t>
  </si>
  <si>
    <t>1003</t>
  </si>
  <si>
    <t>Kiran Menon</t>
  </si>
  <si>
    <t>Fail</t>
  </si>
  <si>
    <t>Failed — counted in Z, not Y</t>
  </si>
  <si>
    <t>1004</t>
  </si>
  <si>
    <t>Deepa Thomas</t>
  </si>
  <si>
    <t>N</t>
  </si>
  <si>
    <t>Absent — excluded from Z</t>
  </si>
  <si>
    <t>1005</t>
  </si>
  <si>
    <t>Anand Pillai</t>
  </si>
  <si>
    <t>COHORT SUMMARY (auto-calculated from above rows)</t>
  </si>
  <si>
    <t>Z (appeared)</t>
  </si>
  <si>
    <t>Y (promoted)</t>
  </si>
  <si>
    <t>X (mean GPA of Y)</t>
  </si>
  <si>
    <t>API</t>
  </si>
  <si>
    <t>NOTE: Blue cells are manual inputs. This sheet is the 'Mapping sheet' required as mandatory NBA evidence. Extend rows 4 onwards to cover all students in the cohort. Duplicate this sheet and rename for CAYm2 and CAYm3.</t>
  </si>
  <si>
    <t>3RD-YEAR API — THREE-YEAR TREND (auto-linked from Calculator)</t>
  </si>
  <si>
    <t>X (Mean GPA of successful)</t>
  </si>
  <si>
    <t>Y (Successful students)</t>
  </si>
  <si>
    <t>Z (Appeared students)</t>
  </si>
  <si>
    <t>API = X × (Y/Z)</t>
  </si>
  <si>
    <t>Promotion rate (%)</t>
  </si>
  <si>
    <t>MANDATORY EVIDENCE CHECKLIST — 3RD-YEAR ACADEMIC PERFORMANCE (NBA Audit)</t>
  </si>
  <si>
    <t>Mark each document as Available / Pending / N-A for all three cohort years</t>
  </si>
  <si>
    <t>Evidence Document</t>
  </si>
  <si>
    <t>Purpose</t>
  </si>
  <si>
    <t>3rd-Year Result Gazette</t>
  </si>
  <si>
    <t>☐ Available</t>
  </si>
  <si>
    <t>Used to compute X (mean GPA of successful students)</t>
  </si>
  <si>
    <t>Confirms Y (students promoted to 4th year)</t>
  </si>
  <si>
    <t>Exam Appearance List</t>
  </si>
  <si>
    <t>Confirms Z (appeared students; present only)</t>
  </si>
  <si>
    <t>Roll-number Mapping Sheet (Sheet 4 of this workbook)</t>
  </si>
  <si>
    <t>Links Gazette, Pass List, and Attendance by roll number</t>
  </si>
  <si>
    <t>University Affiliation / Autonomous Exam Notification</t>
  </si>
  <si>
    <t>Validates examination authority and year/semester</t>
  </si>
  <si>
    <t>Academic Regulation / Promotion Rules</t>
  </si>
  <si>
    <t>Clarifies criteria for 3rd → 4th year promotion</t>
  </si>
  <si>
    <t>Backlog Resolution Records (if applicable)</t>
  </si>
  <si>
    <t>Explains students counted in Z but not in Y (with remarks)</t>
  </si>
  <si>
    <t>Consolidated API Summary Table (SAR format, Sheet 2)</t>
  </si>
  <si>
    <t>Final computed API submitted to NBA in SAR</t>
  </si>
  <si>
    <t>IMPORTANT: All three documents (Gazette, Pass List, Appearance List) must be cross-verified roll-number-wise. Any student appearing in the Pass List but absent from the Appearance List must be explained in Remarks.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</si>
</sst>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 #,##0.00_ ;_ &quot;₹&quot;\ * \-#,##0.00_ ;_ &quot;₹&quot;\ * &quot;-&quot;??_ ;_ @_ "/>
    <numFmt numFmtId="178" formatCode="_ * #,##0_ ;_ * \-#,##0_ ;_ * &quot;-&quot;_ ;_ @_ "/>
    <numFmt numFmtId="179" formatCode="_ &quot;₹&quot;\ * #,##0_ ;_ &quot;₹&quot;\ * \-#,##0_ ;_ &quot;₹&quot;\ * &quot;-&quot;_ ;_ @_ "/>
  </numFmts>
  <fonts count="46">
    <font>
      <sz val="11"/>
      <color theme="1"/>
      <name val="Calibri"/>
      <charset val="1"/>
    </font>
    <font>
      <b/>
      <sz val="12"/>
      <color rgb="FFFFFFFF"/>
      <name val="Arial"/>
      <charset val="1"/>
    </font>
    <font>
      <b/>
      <sz val="10"/>
      <color rgb="FFFFFFFF"/>
      <name val="Arial"/>
      <charset val="1"/>
    </font>
    <font>
      <b/>
      <sz val="10"/>
      <color rgb="FF000000"/>
      <name val="Arial"/>
      <charset val="1"/>
    </font>
    <font>
      <sz val="9"/>
      <color rgb="FF555555"/>
      <name val="Arial"/>
      <charset val="1"/>
    </font>
    <font>
      <i/>
      <sz val="9"/>
      <color rgb="FF000000"/>
      <name val="Arial"/>
      <charset val="1"/>
    </font>
    <font>
      <i/>
      <sz val="9"/>
      <color rgb="FF1F3864"/>
      <name val="Arial"/>
      <charset val="1"/>
    </font>
    <font>
      <b/>
      <sz val="11"/>
      <color rgb="FFFFFFFF"/>
      <name val="Arial"/>
      <charset val="1"/>
    </font>
    <font>
      <sz val="10"/>
      <color rgb="FF000000"/>
      <name val="Arial"/>
      <charset val="1"/>
    </font>
    <font>
      <b/>
      <sz val="10"/>
      <color rgb="FF0000FF"/>
      <name val="Arial"/>
      <charset val="1"/>
    </font>
    <font>
      <sz val="10"/>
      <color rgb="FF0000FF"/>
      <name val="Arial"/>
      <charset val="1"/>
    </font>
    <font>
      <b/>
      <sz val="10"/>
      <color rgb="FF375623"/>
      <name val="Arial"/>
      <charset val="1"/>
    </font>
    <font>
      <b/>
      <sz val="10"/>
      <color rgb="FFC00000"/>
      <name val="Arial"/>
      <charset val="1"/>
    </font>
    <font>
      <b/>
      <sz val="9"/>
      <color rgb="FF000000"/>
      <name val="Arial"/>
      <charset val="1"/>
    </font>
    <font>
      <i/>
      <sz val="10"/>
      <color rgb="FF000000"/>
      <name val="Arial"/>
      <charset val="1"/>
    </font>
    <font>
      <b/>
      <sz val="9"/>
      <color rgb="FFFFFFFF"/>
      <name val="Arial"/>
      <charset val="1"/>
    </font>
    <font>
      <b/>
      <sz val="10"/>
      <color rgb="FF1F3864"/>
      <name val="Arial"/>
      <charset val="1"/>
    </font>
    <font>
      <b/>
      <sz val="13"/>
      <color rgb="FFFFFFFF"/>
      <name val="Arial"/>
      <charset val="1"/>
    </font>
    <font>
      <i/>
      <sz val="10"/>
      <color rgb="FF1F3864"/>
      <name val="Arial"/>
      <charset val="1"/>
    </font>
    <font>
      <i/>
      <sz val="10"/>
      <color rgb="FF375623"/>
      <name val="Arial"/>
      <charset val="1"/>
    </font>
    <font>
      <b/>
      <sz val="11"/>
      <color rgb="FF1F3864"/>
      <name val="Arial"/>
      <charset val="1"/>
    </font>
    <font>
      <sz val="9"/>
      <color rgb="FF000000"/>
      <name val="Arial"/>
      <charset val="1"/>
    </font>
    <font>
      <b/>
      <sz val="11"/>
      <color rgb="FF0000FF"/>
      <name val="Arial"/>
      <charset val="1"/>
    </font>
    <font>
      <b/>
      <sz val="11"/>
      <color rgb="FF000000"/>
      <name val="Arial"/>
      <charset val="1"/>
    </font>
    <font>
      <i/>
      <sz val="9"/>
      <color rgb="FFC0000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1F3864"/>
        <bgColor rgb="FF2E4057"/>
      </patternFill>
    </fill>
    <fill>
      <patternFill patternType="solid">
        <fgColor rgb="FF375623"/>
        <bgColor rgb="FF555555"/>
      </patternFill>
    </fill>
    <fill>
      <patternFill patternType="solid">
        <fgColor rgb="FFC9A227"/>
        <bgColor rgb="FF99CC00"/>
      </patternFill>
    </fill>
    <fill>
      <patternFill patternType="solid">
        <fgColor rgb="FFF2F2F2"/>
        <bgColor rgb="FFF9F9F9"/>
      </patternFill>
    </fill>
    <fill>
      <patternFill patternType="solid">
        <fgColor rgb="FFFFFFFF"/>
        <bgColor rgb="FFF9F9F9"/>
      </patternFill>
    </fill>
    <fill>
      <patternFill patternType="solid">
        <fgColor rgb="FFDEEAF1"/>
        <bgColor rgb="FFD6E4F0"/>
      </patternFill>
    </fill>
    <fill>
      <patternFill patternType="solid">
        <fgColor rgb="FFD6E4F0"/>
        <bgColor rgb="FFDEEAF1"/>
      </patternFill>
    </fill>
    <fill>
      <patternFill patternType="solid">
        <fgColor rgb="FFE2EFDA"/>
        <bgColor rgb="FFDEEAF1"/>
      </patternFill>
    </fill>
    <fill>
      <patternFill patternType="solid">
        <fgColor rgb="FFFCE4D6"/>
        <bgColor rgb="FFFFF2CC"/>
      </patternFill>
    </fill>
    <fill>
      <patternFill patternType="solid">
        <fgColor rgb="FFFFF2CC"/>
        <bgColor rgb="FFFCE4D6"/>
      </patternFill>
    </fill>
    <fill>
      <patternFill patternType="solid">
        <fgColor rgb="FF2E4057"/>
        <bgColor rgb="FF1F38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5" fillId="0" borderId="0" applyBorder="0" applyAlignment="0" applyProtection="0"/>
    <xf numFmtId="177" fontId="25" fillId="0" borderId="0" applyBorder="0" applyAlignment="0" applyProtection="0"/>
    <xf numFmtId="9" fontId="25" fillId="0" borderId="0" applyBorder="0" applyAlignment="0" applyProtection="0"/>
    <xf numFmtId="178" fontId="25" fillId="0" borderId="0" applyBorder="0" applyAlignment="0" applyProtection="0"/>
    <xf numFmtId="179" fontId="25" fillId="0" borderId="0" applyBorder="0" applyAlignment="0" applyProtection="0"/>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13" borderId="5"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6" applyNumberFormat="0" applyFill="0" applyAlignment="0" applyProtection="0">
      <alignment vertical="center"/>
    </xf>
    <xf numFmtId="0" fontId="33" fillId="0" borderId="6" applyNumberFormat="0" applyFill="0" applyAlignment="0" applyProtection="0">
      <alignment vertical="center"/>
    </xf>
    <xf numFmtId="0" fontId="34" fillId="0" borderId="7" applyNumberFormat="0" applyFill="0" applyAlignment="0" applyProtection="0">
      <alignment vertical="center"/>
    </xf>
    <xf numFmtId="0" fontId="34" fillId="0" borderId="0" applyNumberFormat="0" applyFill="0" applyBorder="0" applyAlignment="0" applyProtection="0">
      <alignment vertical="center"/>
    </xf>
    <xf numFmtId="0" fontId="35" fillId="14" borderId="8" applyNumberFormat="0" applyAlignment="0" applyProtection="0">
      <alignment vertical="center"/>
    </xf>
    <xf numFmtId="0" fontId="36" fillId="15" borderId="9" applyNumberFormat="0" applyAlignment="0" applyProtection="0">
      <alignment vertical="center"/>
    </xf>
    <xf numFmtId="0" fontId="37" fillId="15" borderId="8" applyNumberFormat="0" applyAlignment="0" applyProtection="0">
      <alignment vertical="center"/>
    </xf>
    <xf numFmtId="0" fontId="38" fillId="16" borderId="10" applyNumberFormat="0" applyAlignment="0" applyProtection="0">
      <alignment vertical="center"/>
    </xf>
    <xf numFmtId="0" fontId="39" fillId="0" borderId="11" applyNumberFormat="0" applyFill="0" applyAlignment="0" applyProtection="0">
      <alignment vertical="center"/>
    </xf>
    <xf numFmtId="0" fontId="40" fillId="0" borderId="12" applyNumberFormat="0" applyFill="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5" fillId="21" borderId="0" applyNumberFormat="0" applyBorder="0" applyAlignment="0" applyProtection="0">
      <alignment vertical="center"/>
    </xf>
    <xf numFmtId="0" fontId="45"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5" fillId="29" borderId="0" applyNumberFormat="0" applyBorder="0" applyAlignment="0" applyProtection="0">
      <alignment vertical="center"/>
    </xf>
    <xf numFmtId="0" fontId="45"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5" fillId="33" borderId="0" applyNumberFormat="0" applyBorder="0" applyAlignment="0" applyProtection="0">
      <alignment vertical="center"/>
    </xf>
    <xf numFmtId="0" fontId="45"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5" fillId="37" borderId="0" applyNumberFormat="0" applyBorder="0" applyAlignment="0" applyProtection="0">
      <alignment vertical="center"/>
    </xf>
    <xf numFmtId="0" fontId="45"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5" fillId="41" borderId="0" applyNumberFormat="0" applyBorder="0" applyAlignment="0" applyProtection="0">
      <alignment vertical="center"/>
    </xf>
    <xf numFmtId="0" fontId="45" fillId="42" borderId="0" applyNumberFormat="0" applyBorder="0" applyAlignment="0" applyProtection="0">
      <alignment vertical="center"/>
    </xf>
    <xf numFmtId="0" fontId="44" fillId="43" borderId="0" applyNumberFormat="0" applyBorder="0" applyAlignment="0" applyProtection="0">
      <alignment vertical="center"/>
    </xf>
  </cellStyleXfs>
  <cellXfs count="90">
    <xf numFmtId="0" fontId="0" fillId="0" borderId="0" xfId="0"/>
    <xf numFmtId="0" fontId="0" fillId="0" borderId="0" xfId="0" applyAlignment="1"/>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2" xfId="0" applyFont="1" applyFill="1" applyBorder="1" applyAlignment="1">
      <alignment horizontal="center" vertical="center" wrapText="1"/>
    </xf>
    <xf numFmtId="0" fontId="3" fillId="5" borderId="3" xfId="0" applyFont="1" applyFill="1" applyBorder="1" applyAlignment="1">
      <alignment horizontal="center" vertical="center"/>
    </xf>
    <xf numFmtId="0" fontId="3" fillId="5" borderId="3" xfId="0" applyFont="1" applyFill="1" applyBorder="1" applyAlignment="1">
      <alignment horizontal="left" vertical="center" wrapText="1"/>
    </xf>
    <xf numFmtId="0" fontId="4" fillId="5" borderId="3" xfId="0" applyFont="1" applyFill="1" applyBorder="1" applyAlignment="1">
      <alignment horizontal="center" vertical="center"/>
    </xf>
    <xf numFmtId="0" fontId="5" fillId="5" borderId="3" xfId="0" applyFont="1" applyFill="1" applyBorder="1" applyAlignment="1">
      <alignment horizontal="left" vertical="center"/>
    </xf>
    <xf numFmtId="0" fontId="3" fillId="6" borderId="3" xfId="0" applyFont="1" applyFill="1" applyBorder="1" applyAlignment="1">
      <alignment horizontal="center" vertical="center"/>
    </xf>
    <xf numFmtId="0" fontId="3" fillId="6" borderId="3" xfId="0" applyFont="1" applyFill="1" applyBorder="1" applyAlignment="1">
      <alignment horizontal="left" vertical="center" wrapText="1"/>
    </xf>
    <xf numFmtId="0" fontId="4" fillId="6" borderId="3" xfId="0" applyFont="1" applyFill="1" applyBorder="1" applyAlignment="1">
      <alignment horizontal="center" vertical="center"/>
    </xf>
    <xf numFmtId="0" fontId="5" fillId="6" borderId="3" xfId="0" applyFont="1" applyFill="1" applyBorder="1" applyAlignment="1">
      <alignment horizontal="left" vertical="center"/>
    </xf>
    <xf numFmtId="0" fontId="6" fillId="7" borderId="4" xfId="0" applyFont="1" applyFill="1" applyBorder="1" applyAlignment="1">
      <alignment horizontal="left" vertical="center" wrapText="1"/>
    </xf>
    <xf numFmtId="0" fontId="7" fillId="2" borderId="1" xfId="0" applyFont="1" applyFill="1" applyBorder="1" applyAlignment="1">
      <alignment horizontal="center" vertical="center"/>
    </xf>
    <xf numFmtId="0" fontId="8" fillId="6" borderId="3" xfId="0" applyFont="1" applyFill="1" applyBorder="1" applyAlignment="1">
      <alignment horizontal="left" vertical="center"/>
    </xf>
    <xf numFmtId="2" fontId="8" fillId="6" borderId="3" xfId="0" applyNumberFormat="1" applyFont="1" applyFill="1" applyBorder="1" applyAlignment="1">
      <alignment horizontal="center" vertical="center"/>
    </xf>
    <xf numFmtId="2" fontId="8" fillId="8" borderId="3" xfId="0" applyNumberFormat="1" applyFont="1" applyFill="1" applyBorder="1" applyAlignment="1">
      <alignment horizontal="center" vertical="center"/>
    </xf>
    <xf numFmtId="0" fontId="8" fillId="7" borderId="3" xfId="0" applyFont="1" applyFill="1" applyBorder="1" applyAlignment="1">
      <alignment horizontal="left" vertical="center"/>
    </xf>
    <xf numFmtId="3" fontId="8" fillId="7" borderId="3" xfId="0" applyNumberFormat="1" applyFont="1" applyFill="1" applyBorder="1" applyAlignment="1">
      <alignment horizontal="center" vertical="center"/>
    </xf>
    <xf numFmtId="3" fontId="8" fillId="8" borderId="3" xfId="0"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0" fontId="3" fillId="7" borderId="3" xfId="0" applyFont="1" applyFill="1" applyBorder="1" applyAlignment="1">
      <alignment horizontal="left" vertical="center"/>
    </xf>
    <xf numFmtId="2" fontId="3" fillId="9" borderId="3" xfId="0" applyNumberFormat="1" applyFont="1" applyFill="1" applyBorder="1" applyAlignment="1">
      <alignment horizontal="center" vertical="center"/>
    </xf>
    <xf numFmtId="2" fontId="3" fillId="8" borderId="3" xfId="0" applyNumberFormat="1" applyFont="1" applyFill="1" applyBorder="1" applyAlignment="1">
      <alignment horizontal="center" vertical="center"/>
    </xf>
    <xf numFmtId="0" fontId="3" fillId="7" borderId="3" xfId="0" applyFont="1" applyFill="1" applyBorder="1" applyAlignment="1">
      <alignment horizontal="center" vertical="center"/>
    </xf>
    <xf numFmtId="0" fontId="9" fillId="7" borderId="3" xfId="0" applyFont="1" applyFill="1" applyBorder="1" applyAlignment="1">
      <alignment horizontal="center" vertical="center"/>
    </xf>
    <xf numFmtId="0" fontId="10" fillId="7" borderId="3" xfId="0" applyFont="1" applyFill="1" applyBorder="1" applyAlignment="1">
      <alignment horizontal="left" vertical="center"/>
    </xf>
    <xf numFmtId="0" fontId="10" fillId="7" borderId="3" xfId="0" applyFont="1" applyFill="1" applyBorder="1" applyAlignment="1">
      <alignment horizontal="center" vertical="center"/>
    </xf>
    <xf numFmtId="2" fontId="10" fillId="7" borderId="3" xfId="0" applyNumberFormat="1" applyFont="1" applyFill="1" applyBorder="1" applyAlignment="1">
      <alignment horizontal="center" vertical="center"/>
    </xf>
    <xf numFmtId="0" fontId="11" fillId="9" borderId="3" xfId="0" applyFont="1" applyFill="1" applyBorder="1" applyAlignment="1">
      <alignment horizontal="center" vertical="center"/>
    </xf>
    <xf numFmtId="0" fontId="5" fillId="7" borderId="3" xfId="0" applyFont="1" applyFill="1" applyBorder="1" applyAlignment="1">
      <alignment horizontal="left" vertical="center"/>
    </xf>
    <xf numFmtId="0" fontId="9" fillId="6" borderId="3" xfId="0" applyFont="1" applyFill="1" applyBorder="1" applyAlignment="1">
      <alignment horizontal="center" vertical="center"/>
    </xf>
    <xf numFmtId="0" fontId="10" fillId="6" borderId="3" xfId="0" applyFont="1" applyFill="1" applyBorder="1" applyAlignment="1">
      <alignment horizontal="left" vertical="center"/>
    </xf>
    <xf numFmtId="0" fontId="10" fillId="6" borderId="3" xfId="0" applyFont="1" applyFill="1" applyBorder="1" applyAlignment="1">
      <alignment horizontal="center" vertical="center"/>
    </xf>
    <xf numFmtId="2" fontId="10" fillId="6" borderId="3" xfId="0" applyNumberFormat="1" applyFont="1" applyFill="1" applyBorder="1" applyAlignment="1">
      <alignment horizontal="center" vertical="center"/>
    </xf>
    <xf numFmtId="0" fontId="12" fillId="10" borderId="3" xfId="0" applyFont="1" applyFill="1" applyBorder="1" applyAlignment="1">
      <alignment horizontal="center" vertical="center"/>
    </xf>
    <xf numFmtId="0" fontId="1" fillId="3" borderId="1" xfId="0" applyFont="1" applyFill="1" applyBorder="1" applyAlignment="1">
      <alignment horizontal="center" vertical="center"/>
    </xf>
    <xf numFmtId="0" fontId="13" fillId="4" borderId="2" xfId="0" applyFont="1" applyFill="1" applyBorder="1" applyAlignment="1">
      <alignment horizontal="center" vertical="center" wrapText="1"/>
    </xf>
    <xf numFmtId="3" fontId="3" fillId="9" borderId="3" xfId="0" applyNumberFormat="1" applyFont="1" applyFill="1" applyBorder="1" applyAlignment="1">
      <alignment horizontal="center" vertical="center"/>
    </xf>
    <xf numFmtId="2" fontId="7" fillId="2" borderId="2" xfId="0" applyNumberFormat="1" applyFont="1" applyFill="1" applyBorder="1" applyAlignment="1">
      <alignment horizontal="center" vertical="center"/>
    </xf>
    <xf numFmtId="0" fontId="8" fillId="5" borderId="3" xfId="0" applyFont="1" applyFill="1" applyBorder="1" applyAlignment="1">
      <alignment horizontal="center" vertical="center"/>
    </xf>
    <xf numFmtId="0" fontId="3" fillId="9" borderId="3" xfId="0" applyFont="1" applyFill="1" applyBorder="1" applyAlignment="1">
      <alignment horizontal="center" vertical="center"/>
    </xf>
    <xf numFmtId="0" fontId="8" fillId="9" borderId="3" xfId="0" applyFont="1" applyFill="1" applyBorder="1" applyAlignment="1">
      <alignment horizontal="center" vertical="center"/>
    </xf>
    <xf numFmtId="0" fontId="8" fillId="9" borderId="3" xfId="0" applyFont="1" applyFill="1" applyBorder="1" applyAlignment="1">
      <alignment horizontal="left" vertical="center" wrapText="1"/>
    </xf>
    <xf numFmtId="0" fontId="14" fillId="9" borderId="3" xfId="0" applyFont="1" applyFill="1" applyBorder="1" applyAlignment="1">
      <alignment horizontal="left" vertical="center" wrapText="1"/>
    </xf>
    <xf numFmtId="0" fontId="8" fillId="7" borderId="3" xfId="0" applyFont="1" applyFill="1" applyBorder="1" applyAlignment="1">
      <alignment horizontal="center" vertical="center"/>
    </xf>
    <xf numFmtId="0" fontId="8" fillId="7" borderId="3"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3" fillId="11" borderId="3"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3" xfId="0" applyFont="1" applyFill="1" applyBorder="1" applyAlignment="1">
      <alignment horizontal="left" vertical="center" wrapText="1"/>
    </xf>
    <xf numFmtId="0" fontId="14" fillId="11" borderId="3" xfId="0" applyFont="1" applyFill="1" applyBorder="1" applyAlignment="1">
      <alignment horizontal="left" vertical="center" wrapText="1"/>
    </xf>
    <xf numFmtId="0" fontId="3" fillId="10" borderId="3" xfId="0" applyFont="1" applyFill="1" applyBorder="1" applyAlignment="1">
      <alignment horizontal="center" vertical="center"/>
    </xf>
    <xf numFmtId="0" fontId="8" fillId="10" borderId="3" xfId="0" applyFont="1" applyFill="1" applyBorder="1" applyAlignment="1">
      <alignment horizontal="center" vertical="center"/>
    </xf>
    <xf numFmtId="0" fontId="8" fillId="10" borderId="3" xfId="0" applyFont="1" applyFill="1" applyBorder="1" applyAlignment="1">
      <alignment horizontal="left" vertical="center" wrapText="1"/>
    </xf>
    <xf numFmtId="0" fontId="14" fillId="10" borderId="3" xfId="0" applyFont="1" applyFill="1" applyBorder="1" applyAlignment="1">
      <alignment horizontal="left" vertical="center" wrapText="1"/>
    </xf>
    <xf numFmtId="0" fontId="15" fillId="12" borderId="2" xfId="0" applyFont="1" applyFill="1" applyBorder="1" applyAlignment="1">
      <alignment horizontal="center" vertical="center" wrapText="1"/>
    </xf>
    <xf numFmtId="0" fontId="16" fillId="7" borderId="3" xfId="0" applyFont="1" applyFill="1" applyBorder="1" applyAlignment="1">
      <alignment horizontal="center" vertical="center"/>
    </xf>
    <xf numFmtId="0" fontId="3" fillId="6" borderId="3" xfId="0" applyFont="1" applyFill="1" applyBorder="1" applyAlignment="1">
      <alignment horizontal="left" vertical="center"/>
    </xf>
    <xf numFmtId="0" fontId="16" fillId="6" borderId="3" xfId="0" applyFont="1" applyFill="1" applyBorder="1" applyAlignment="1">
      <alignment horizontal="center" vertical="center"/>
    </xf>
    <xf numFmtId="0" fontId="8" fillId="6" borderId="3" xfId="0" applyFont="1" applyFill="1" applyBorder="1" applyAlignment="1">
      <alignment horizontal="center" vertical="center"/>
    </xf>
    <xf numFmtId="0" fontId="8" fillId="5" borderId="3" xfId="0" applyFont="1" applyFill="1" applyBorder="1" applyAlignment="1">
      <alignment horizontal="left" vertical="center"/>
    </xf>
    <xf numFmtId="2" fontId="8" fillId="5" borderId="3" xfId="0" applyNumberFormat="1" applyFont="1" applyFill="1" applyBorder="1" applyAlignment="1">
      <alignment horizontal="center" vertical="center"/>
    </xf>
    <xf numFmtId="0" fontId="3" fillId="11" borderId="3" xfId="0" applyFont="1" applyFill="1" applyBorder="1" applyAlignment="1">
      <alignment horizontal="left" vertical="center"/>
    </xf>
    <xf numFmtId="2" fontId="3" fillId="11" borderId="3" xfId="0" applyNumberFormat="1" applyFont="1" applyFill="1" applyBorder="1" applyAlignment="1">
      <alignment horizontal="center" vertical="center"/>
    </xf>
    <xf numFmtId="0" fontId="5" fillId="11" borderId="3" xfId="0" applyFont="1" applyFill="1" applyBorder="1" applyAlignment="1">
      <alignment horizontal="left" vertical="center"/>
    </xf>
    <xf numFmtId="0" fontId="3" fillId="9" borderId="3" xfId="0" applyFont="1" applyFill="1" applyBorder="1" applyAlignment="1">
      <alignment horizontal="left" vertical="center"/>
    </xf>
    <xf numFmtId="0" fontId="5" fillId="9" borderId="3" xfId="0" applyFont="1" applyFill="1" applyBorder="1" applyAlignment="1">
      <alignment horizontal="left" vertical="center"/>
    </xf>
    <xf numFmtId="0" fontId="7" fillId="2" borderId="4" xfId="0" applyFont="1" applyFill="1" applyBorder="1" applyAlignment="1">
      <alignment horizontal="left" vertical="center"/>
    </xf>
    <xf numFmtId="0" fontId="2" fillId="2" borderId="3" xfId="0" applyFont="1" applyFill="1" applyBorder="1" applyAlignment="1">
      <alignment horizontal="center" vertical="center"/>
    </xf>
    <xf numFmtId="2" fontId="17" fillId="2" borderId="2" xfId="0" applyNumberFormat="1" applyFont="1" applyFill="1" applyBorder="1" applyAlignment="1">
      <alignment horizontal="center" vertical="center"/>
    </xf>
    <xf numFmtId="0" fontId="2" fillId="2" borderId="3" xfId="0" applyFont="1" applyFill="1" applyBorder="1" applyAlignment="1">
      <alignment horizontal="left" vertical="center"/>
    </xf>
    <xf numFmtId="0" fontId="18" fillId="5" borderId="4" xfId="0" applyFont="1" applyFill="1" applyBorder="1" applyAlignment="1">
      <alignment horizontal="left" vertical="center"/>
    </xf>
    <xf numFmtId="0" fontId="11" fillId="9" borderId="2" xfId="0" applyFont="1" applyFill="1" applyBorder="1" applyAlignment="1">
      <alignment horizontal="center" vertical="center"/>
    </xf>
    <xf numFmtId="0" fontId="19" fillId="9" borderId="3" xfId="0" applyFont="1" applyFill="1" applyBorder="1" applyAlignment="1">
      <alignment horizontal="left" vertical="center"/>
    </xf>
    <xf numFmtId="0" fontId="17" fillId="2" borderId="1" xfId="0" applyFont="1" applyFill="1" applyBorder="1" applyAlignment="1">
      <alignment horizontal="center" vertical="center"/>
    </xf>
    <xf numFmtId="0" fontId="2" fillId="12" borderId="1" xfId="0" applyFont="1" applyFill="1" applyBorder="1" applyAlignment="1">
      <alignment horizontal="center" vertical="center"/>
    </xf>
    <xf numFmtId="0" fontId="3" fillId="4" borderId="1" xfId="0" applyFont="1" applyFill="1" applyBorder="1" applyAlignment="1">
      <alignment horizontal="left" vertical="center" wrapText="1"/>
    </xf>
    <xf numFmtId="0" fontId="20" fillId="6" borderId="3" xfId="0" applyFont="1" applyFill="1" applyBorder="1" applyAlignment="1">
      <alignment horizontal="center" vertical="center"/>
    </xf>
    <xf numFmtId="0" fontId="21" fillId="6" borderId="4" xfId="0" applyFont="1" applyFill="1" applyBorder="1" applyAlignment="1">
      <alignment horizontal="left" vertical="center" wrapText="1"/>
    </xf>
    <xf numFmtId="0" fontId="20" fillId="7" borderId="3" xfId="0" applyFont="1" applyFill="1" applyBorder="1" applyAlignment="1">
      <alignment horizontal="center" vertical="center"/>
    </xf>
    <xf numFmtId="0" fontId="21" fillId="7" borderId="4" xfId="0" applyFont="1" applyFill="1" applyBorder="1" applyAlignment="1">
      <alignment horizontal="left" vertical="center" wrapText="1"/>
    </xf>
    <xf numFmtId="0" fontId="3" fillId="5" borderId="3" xfId="0" applyFont="1" applyFill="1" applyBorder="1" applyAlignment="1">
      <alignment horizontal="left" vertical="center"/>
    </xf>
    <xf numFmtId="3" fontId="22" fillId="5" borderId="3" xfId="0" applyNumberFormat="1" applyFont="1" applyFill="1" applyBorder="1" applyAlignment="1">
      <alignment horizontal="center" vertical="center"/>
    </xf>
    <xf numFmtId="3" fontId="3" fillId="8" borderId="3" xfId="0" applyNumberFormat="1" applyFont="1" applyFill="1" applyBorder="1" applyAlignment="1">
      <alignment horizontal="center" vertical="center"/>
    </xf>
    <xf numFmtId="2" fontId="22" fillId="5" borderId="3" xfId="0" applyNumberFormat="1" applyFont="1" applyFill="1" applyBorder="1" applyAlignment="1">
      <alignment horizontal="center" vertical="center"/>
    </xf>
    <xf numFmtId="2" fontId="23" fillId="9" borderId="3" xfId="0" applyNumberFormat="1" applyFont="1" applyFill="1" applyBorder="1" applyAlignment="1">
      <alignment horizontal="center" vertical="center"/>
    </xf>
    <xf numFmtId="0" fontId="20" fillId="7" borderId="4" xfId="0" applyFont="1" applyFill="1" applyBorder="1" applyAlignment="1">
      <alignment horizontal="left" vertical="center"/>
    </xf>
    <xf numFmtId="0" fontId="24" fillId="10" borderId="4"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9F9F9"/>
      <rgbColor rgb="00878787"/>
      <rgbColor rgb="009999FF"/>
      <rgbColor rgb="00993366"/>
      <rgbColor rgb="00FFF2CC"/>
      <rgbColor rgb="00DEEAF1"/>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D6E4F0"/>
      <rgbColor rgb="00E2EFDA"/>
      <rgbColor rgb="00F2F2F2"/>
      <rgbColor rgb="0099CCFF"/>
      <rgbColor rgb="00FF99CC"/>
      <rgbColor rgb="00CC99FF"/>
      <rgbColor rgb="00FCE4D6"/>
      <rgbColor rgb="003366FF"/>
      <rgbColor rgb="0033CCCC"/>
      <rgbColor rgb="0099CC00"/>
      <rgbColor rgb="00FFCC00"/>
      <rgbColor rgb="00C9A227"/>
      <rgbColor rgb="00FF6600"/>
      <rgbColor rgb="00555555"/>
      <rgbColor rgb="00AAAAAA"/>
      <rgbColor rgb="001F3864"/>
      <rgbColor rgb="00339966"/>
      <rgbColor rgb="00003300"/>
      <rgbColor rgb="00375623"/>
      <rgbColor rgb="00993300"/>
      <rgbColor rgb="00993366"/>
      <rgbColor rgb="00333399"/>
      <rgbColor rgb="00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spc="-1" baseline="0">
                <a:solidFill>
                  <a:srgbClr val="000000"/>
                </a:solidFill>
                <a:latin typeface="Calibri" panose="020F0502020204030204"/>
                <a:ea typeface="+mn-ea"/>
                <a:cs typeface="+mn-cs"/>
              </a:defRPr>
            </a:pPr>
            <a:r>
              <a:rPr sz="1800" b="1" strike="noStrike" spc="-1">
                <a:solidFill>
                  <a:srgbClr val="000000"/>
                </a:solidFill>
                <a:latin typeface="Calibri" panose="020F0502020204030204"/>
              </a:rPr>
              <a:t>3rd-Year API by Cohort</a:t>
            </a:r>
            <a:endParaRPr sz="1800" b="1" strike="noStrike" spc="-1">
              <a:solidFill>
                <a:srgbClr val="000000"/>
              </a:solidFill>
              <a:latin typeface="Calibri" panose="020F0502020204030204"/>
            </a:endParaRPr>
          </a:p>
        </c:rich>
      </c:tx>
      <c:layout/>
      <c:overlay val="0"/>
      <c:spPr>
        <a:noFill/>
        <a:ln w="0">
          <a:noFill/>
        </a:ln>
      </c:spPr>
    </c:title>
    <c:autoTitleDeleted val="0"/>
    <c:plotArea>
      <c:layout/>
      <c:barChart>
        <c:barDir val="col"/>
        <c:grouping val="clustered"/>
        <c:varyColors val="0"/>
        <c:ser>
          <c:idx val="0"/>
          <c:order val="0"/>
          <c:tx>
            <c:strRef>
              <c:f>"API = X × (Y/Z)"</c:f>
              <c:strCache>
                <c:ptCount val="1"/>
                <c:pt idx="0">
                  <c:v>API = X × (Y/Z)</c:v>
                </c:pt>
              </c:strCache>
            </c:strRef>
          </c:tx>
          <c:spPr>
            <a:solidFill>
              <a:srgbClr val="1F3864"/>
            </a:solidFill>
            <a:ln w="9360">
              <a:solidFill>
                <a:srgbClr val="F9F9F9"/>
              </a:solidFill>
              <a:roun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spc="-1" baseline="0">
                    <a:solidFill>
                      <a:srgbClr val="000000"/>
                    </a:solidFill>
                    <a:latin typeface="Arial" panose="020B0604020202020204"/>
                    <a:ea typeface="+mn-ea"/>
                    <a:cs typeface="+mn-cs"/>
                  </a:defRPr>
                </a:pPr>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layout/>
                <c15:showLeaderLines val="1"/>
                <c15:leaderLines/>
              </c:ext>
            </c:extLst>
          </c:dLbls>
          <c:cat>
            <c:strRef>
              <c:f>API_Trend_Chart!$B$2:$D$2</c:f>
              <c:strCache>
                <c:ptCount val="3"/>
                <c:pt idx="0">
                  <c:v>CAYm3
(2021–22)</c:v>
                </c:pt>
                <c:pt idx="1">
                  <c:v>CAYm2
(2022–23)</c:v>
                </c:pt>
                <c:pt idx="2">
                  <c:v>CAYm1
(2023–24)</c:v>
                </c:pt>
              </c:strCache>
            </c:strRef>
          </c:cat>
          <c:val>
            <c:numRef>
              <c:f>API_Trend_Chart!$B$5:$D$5</c:f>
              <c:numCache>
                <c:formatCode>#,##0</c:formatCode>
                <c:ptCount val="3"/>
                <c:pt idx="0">
                  <c:v>110</c:v>
                </c:pt>
                <c:pt idx="1">
                  <c:v>108</c:v>
                </c:pt>
                <c:pt idx="2">
                  <c:v>105</c:v>
                </c:pt>
              </c:numCache>
            </c:numRef>
          </c:val>
        </c:ser>
        <c:dLbls>
          <c:showLegendKey val="0"/>
          <c:showVal val="0"/>
          <c:showCatName val="0"/>
          <c:showSerName val="0"/>
          <c:showPercent val="0"/>
          <c:showBubbleSize val="1"/>
        </c:dLbls>
        <c:gapWidth val="150"/>
        <c:overlap val="0"/>
        <c:axId val="72923163"/>
        <c:axId val="2513179"/>
      </c:barChart>
      <c:catAx>
        <c:axId val="72923163"/>
        <c:scaling>
          <c:orientation val="minMax"/>
        </c:scaling>
        <c:delete val="0"/>
        <c:axPos val="b"/>
        <c:title>
          <c:tx>
            <c:rich>
              <a:bodyPr rot="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Academic Year</a:t>
                </a:r>
                <a:endParaRPr sz="1000" b="1" strike="noStrike" spc="-1">
                  <a:solidFill>
                    <a:srgbClr val="000000"/>
                  </a:solidFill>
                  <a:latin typeface="Calibri" panose="020F0502020204030204"/>
                </a:endParaRPr>
              </a:p>
            </c:rich>
          </c:tx>
          <c:layout/>
          <c:overlay val="0"/>
          <c:spPr>
            <a:noFill/>
            <a:ln w="0">
              <a:noFill/>
            </a:ln>
          </c:spPr>
        </c:title>
        <c:numFmt formatCode="General"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2513179"/>
        <c:crosses val="autoZero"/>
        <c:auto val="1"/>
        <c:lblAlgn val="ctr"/>
        <c:lblOffset val="100"/>
        <c:noMultiLvlLbl val="0"/>
      </c:catAx>
      <c:valAx>
        <c:axId val="2513179"/>
        <c:scaling>
          <c:orientation val="minMax"/>
          <c:max val="10"/>
          <c:min val="0"/>
        </c:scaling>
        <c:delete val="0"/>
        <c:axPos val="l"/>
        <c:majorGridlines>
          <c:spPr>
            <a:ln w="9360" cap="flat" cmpd="sng" algn="ctr">
              <a:solidFill>
                <a:srgbClr val="878787"/>
              </a:solidFill>
              <a:prstDash val="solid"/>
              <a:round/>
            </a:ln>
          </c:spPr>
        </c:majorGridlines>
        <c:title>
          <c:tx>
            <c:rich>
              <a:bodyPr rot="-5400000" spcFirstLastPara="0" vertOverflow="ellipsis" vert="horz" wrap="square" anchor="ctr" anchorCtr="1"/>
              <a:lstStyle/>
              <a:p>
                <a:pPr>
                  <a:defRPr lang="en-US" sz="1000" b="1" i="0" u="none" strike="noStrike" kern="1200" spc="-1" baseline="0">
                    <a:solidFill>
                      <a:srgbClr val="000000"/>
                    </a:solidFill>
                    <a:latin typeface="Calibri" panose="020F0502020204030204"/>
                    <a:ea typeface="+mn-ea"/>
                    <a:cs typeface="+mn-cs"/>
                  </a:defRPr>
                </a:pPr>
                <a:r>
                  <a:rPr sz="1000" b="1" strike="noStrike" spc="-1">
                    <a:solidFill>
                      <a:srgbClr val="000000"/>
                    </a:solidFill>
                    <a:latin typeface="Calibri" panose="020F0502020204030204"/>
                  </a:rPr>
                  <a:t>API (out of 10)</a:t>
                </a:r>
                <a:endParaRPr sz="1000" b="1" strike="noStrike" spc="-1">
                  <a:solidFill>
                    <a:srgbClr val="000000"/>
                  </a:solidFill>
                  <a:latin typeface="Calibri" panose="020F0502020204030204"/>
                </a:endParaRPr>
              </a:p>
            </c:rich>
          </c:tx>
          <c:layout/>
          <c:overlay val="0"/>
          <c:spPr>
            <a:noFill/>
            <a:ln w="0">
              <a:noFill/>
            </a:ln>
          </c:spPr>
        </c:title>
        <c:numFmt formatCode="#,##0" sourceLinked="0"/>
        <c:majorTickMark val="none"/>
        <c:minorTickMark val="none"/>
        <c:tickLblPos val="nextTo"/>
        <c:spPr>
          <a:ln w="9360" cap="flat" cmpd="sng" algn="ctr">
            <a:solidFill>
              <a:srgbClr val="878787"/>
            </a:solidFill>
            <a:prstDash val="solid"/>
            <a:round/>
          </a:ln>
        </c:spPr>
        <c:txPr>
          <a:bodyPr rot="-6000000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crossAx val="72923163"/>
        <c:crosses val="autoZero"/>
        <c:crossBetween val="between"/>
      </c:valAx>
      <c:spPr>
        <a:noFill/>
        <a:ln w="0">
          <a:noFill/>
        </a:ln>
      </c:spPr>
    </c:plotArea>
    <c:legend>
      <c:legendPos val="r"/>
      <c:layout/>
      <c:overlay val="0"/>
      <c:spPr>
        <a:noFill/>
        <a:ln w="0">
          <a:noFill/>
        </a:ln>
      </c:spPr>
      <c:txPr>
        <a:bodyPr rot="0" spcFirstLastPara="0" vertOverflow="ellipsis" vert="horz" wrap="square" anchor="ctr" anchorCtr="1"/>
        <a:lstStyle/>
        <a:p>
          <a:pPr>
            <a:defRPr lang="en-US" sz="1000" b="0" i="0" u="none" strike="noStrike" kern="1200" spc="-1" baseline="0">
              <a:solidFill>
                <a:srgbClr val="000000"/>
              </a:solidFill>
              <a:latin typeface="Calibri" panose="020F0502020204030204"/>
              <a:ea typeface="+mn-ea"/>
              <a:cs typeface="+mn-cs"/>
            </a:defRPr>
          </a:pPr>
        </a:p>
      </c:txPr>
    </c:legend>
    <c:plotVisOnly val="1"/>
    <c:dispBlanksAs val="gap"/>
    <c:showDLblsOverMax val="0"/>
    <c:extLst>
      <c:ext uri="{0b15fc19-7d7d-44ad-8c2d-2c3a37ce22c3}">
        <chartProps xmlns="https://web.wps.cn/et/2018/main" chartId="{5a0f005b-f8b9-4947-bda6-665660544fc0}"/>
      </c:ext>
    </c:extLst>
  </c:chart>
  <c:spPr>
    <a:solidFill>
      <a:srgbClr val="FFFFFF"/>
    </a:solidFill>
    <a:ln w="9360" cap="flat" cmpd="sng" algn="ctr">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9</xdr:row>
      <xdr:rowOff>0</xdr:rowOff>
    </xdr:from>
    <xdr:to>
      <xdr:col>6</xdr:col>
      <xdr:colOff>510840</xdr:colOff>
      <xdr:row>31</xdr:row>
      <xdr:rowOff>128160</xdr:rowOff>
    </xdr:to>
    <xdr:graphicFrame>
      <xdr:nvGraphicFramePr>
        <xdr:cNvPr id="2" name="Chart 1"/>
        <xdr:cNvGraphicFramePr/>
      </xdr:nvGraphicFramePr>
      <xdr:xfrm>
        <a:off x="0" y="2527935"/>
        <a:ext cx="6317615" cy="415099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showGridLines="0" workbookViewId="0">
      <pane ySplit="6" topLeftCell="A7" activePane="bottomLeft" state="frozen"/>
      <selection/>
      <selection pane="bottomLeft" activeCell="A1" sqref="A1:G1"/>
    </sheetView>
  </sheetViews>
  <sheetFormatPr defaultColWidth="8.67592592592593" defaultRowHeight="14.4" outlineLevelCol="6"/>
  <cols>
    <col min="1" max="1" width="4" style="1" customWidth="1"/>
    <col min="2" max="2" width="36" style="1" customWidth="1"/>
    <col min="3" max="6" width="16" style="1" customWidth="1"/>
    <col min="7" max="7" width="20" style="1" customWidth="1"/>
  </cols>
  <sheetData>
    <row r="1" ht="25.5" customHeight="1" spans="1:7">
      <c r="A1" s="76" t="s">
        <v>0</v>
      </c>
      <c r="B1" s="76"/>
      <c r="C1" s="76"/>
      <c r="D1" s="76"/>
      <c r="E1" s="76"/>
      <c r="F1" s="76"/>
      <c r="G1" s="76"/>
    </row>
    <row r="2" ht="25.5" customHeight="1" spans="1:7">
      <c r="A2" s="3" t="s">
        <v>1</v>
      </c>
      <c r="B2" s="3"/>
      <c r="C2" s="3"/>
      <c r="D2" s="3"/>
      <c r="E2" s="3"/>
      <c r="F2" s="3"/>
      <c r="G2" s="3"/>
    </row>
    <row r="3" ht="25.5" customHeight="1" spans="1:7">
      <c r="A3" s="77" t="s">
        <v>2</v>
      </c>
      <c r="B3" s="77"/>
      <c r="C3" s="77"/>
      <c r="D3" s="77"/>
      <c r="E3" s="77"/>
      <c r="F3" s="77"/>
      <c r="G3" s="77"/>
    </row>
    <row r="4" ht="21.75" customHeight="1" spans="1:7">
      <c r="B4" s="4" t="s">
        <v>3</v>
      </c>
      <c r="C4" s="4" t="s">
        <v>4</v>
      </c>
      <c r="D4" s="78" t="s">
        <v>5</v>
      </c>
      <c r="E4" s="78"/>
      <c r="F4" s="78"/>
      <c r="G4" s="78"/>
    </row>
    <row r="5" ht="21.75" customHeight="1" spans="1:7">
      <c r="B5" s="79" t="s">
        <v>6</v>
      </c>
      <c r="C5" s="15" t="s">
        <v>7</v>
      </c>
      <c r="D5" s="80" t="s">
        <v>8</v>
      </c>
      <c r="E5" s="80"/>
      <c r="F5" s="80"/>
      <c r="G5" s="80"/>
    </row>
    <row r="6" ht="21.75" customHeight="1" spans="1:7">
      <c r="B6" s="81" t="s">
        <v>9</v>
      </c>
      <c r="C6" s="18" t="s">
        <v>10</v>
      </c>
      <c r="D6" s="82" t="s">
        <v>11</v>
      </c>
      <c r="E6" s="82"/>
      <c r="F6" s="82"/>
      <c r="G6" s="82"/>
    </row>
    <row r="7" ht="21.75" customHeight="1" spans="1:7">
      <c r="B7" s="79" t="s">
        <v>12</v>
      </c>
      <c r="C7" s="15" t="s">
        <v>13</v>
      </c>
      <c r="D7" s="80" t="s">
        <v>14</v>
      </c>
      <c r="E7" s="80"/>
      <c r="F7" s="80"/>
      <c r="G7" s="80"/>
    </row>
    <row r="8" ht="15.15"/>
    <row r="9" ht="25.5" customHeight="1" spans="1:7">
      <c r="A9" s="2" t="s">
        <v>15</v>
      </c>
      <c r="B9" s="2"/>
      <c r="C9" s="2"/>
      <c r="D9" s="2"/>
      <c r="E9" s="2"/>
      <c r="F9" s="2"/>
      <c r="G9" s="2"/>
    </row>
    <row r="10" ht="36" customHeight="1" spans="1:7">
      <c r="A10" s="4" t="s">
        <v>16</v>
      </c>
      <c r="B10" s="4" t="s">
        <v>17</v>
      </c>
      <c r="C10" s="4" t="s">
        <v>18</v>
      </c>
      <c r="D10" s="4" t="s">
        <v>19</v>
      </c>
      <c r="E10" s="4" t="s">
        <v>20</v>
      </c>
      <c r="F10" s="4" t="s">
        <v>21</v>
      </c>
      <c r="G10" s="4" t="s">
        <v>22</v>
      </c>
    </row>
    <row r="11" ht="21.75" customHeight="1" spans="1:7">
      <c r="A11" s="5">
        <v>1</v>
      </c>
      <c r="B11" s="83" t="s">
        <v>23</v>
      </c>
      <c r="C11" s="84">
        <v>110</v>
      </c>
      <c r="D11" s="84">
        <v>108</v>
      </c>
      <c r="E11" s="84">
        <v>105</v>
      </c>
      <c r="F11" s="85">
        <f>AVERAGE(C11:E11)</f>
        <v>107.666666666667</v>
      </c>
      <c r="G11" s="8" t="s">
        <v>24</v>
      </c>
    </row>
    <row r="12" ht="21.75" customHeight="1" spans="1:7">
      <c r="A12" s="25">
        <v>2</v>
      </c>
      <c r="B12" s="22" t="s">
        <v>25</v>
      </c>
      <c r="C12" s="84">
        <v>94</v>
      </c>
      <c r="D12" s="84">
        <v>90</v>
      </c>
      <c r="E12" s="84">
        <v>92</v>
      </c>
      <c r="F12" s="85">
        <f>AVERAGE(C12:E12)</f>
        <v>92</v>
      </c>
      <c r="G12" s="31" t="s">
        <v>26</v>
      </c>
    </row>
    <row r="13" ht="21.75" customHeight="1" spans="1:7">
      <c r="A13" s="49">
        <v>3</v>
      </c>
      <c r="B13" s="64" t="s">
        <v>27</v>
      </c>
      <c r="C13" s="86">
        <v>7</v>
      </c>
      <c r="D13" s="86">
        <v>6.9</v>
      </c>
      <c r="E13" s="86">
        <v>7.1</v>
      </c>
      <c r="F13" s="24">
        <f>AVERAGE(C13:E13)</f>
        <v>7</v>
      </c>
      <c r="G13" s="66" t="s">
        <v>28</v>
      </c>
    </row>
    <row r="14" ht="25.5" customHeight="1" spans="1:7">
      <c r="A14" s="42">
        <v>4</v>
      </c>
      <c r="B14" s="67" t="s">
        <v>29</v>
      </c>
      <c r="C14" s="87">
        <f>C13*(C12/C11)</f>
        <v>5.98181818181818</v>
      </c>
      <c r="D14" s="87">
        <f>D13*(D12/D11)</f>
        <v>5.75</v>
      </c>
      <c r="E14" s="87">
        <f>E13*(E12/E11)</f>
        <v>6.22095238095238</v>
      </c>
      <c r="F14" s="23">
        <f>AVERAGE(C14:E14)</f>
        <v>5.98425685425685</v>
      </c>
      <c r="G14" s="68" t="s">
        <v>30</v>
      </c>
    </row>
    <row r="15" ht="25.5" customHeight="1" spans="1:7">
      <c r="A15" s="77" t="s">
        <v>31</v>
      </c>
      <c r="B15" s="77"/>
      <c r="C15" s="77"/>
      <c r="D15" s="77"/>
      <c r="E15" s="77"/>
      <c r="F15" s="77"/>
      <c r="G15" s="77"/>
    </row>
    <row r="16" ht="30" customHeight="1" spans="1:7">
      <c r="A16" s="88" t="s">
        <v>32</v>
      </c>
      <c r="B16" s="88"/>
      <c r="C16" s="88"/>
      <c r="D16" s="88"/>
      <c r="E16" s="88"/>
      <c r="F16" s="71">
        <f>AVERAGE(C14:E14)</f>
        <v>5.98425685425685</v>
      </c>
      <c r="G16" s="72" t="s">
        <v>33</v>
      </c>
    </row>
    <row r="17" ht="24" customHeight="1" spans="1:7">
      <c r="A17" s="73" t="s">
        <v>34</v>
      </c>
      <c r="B17" s="73"/>
      <c r="C17" s="73"/>
      <c r="D17" s="73"/>
      <c r="E17" s="73"/>
      <c r="F17" s="74" t="str">
        <f>IF(F16&gt;=8,"≥8.0 → Excellent",IF(F16&gt;=5,"5.0–7.9 → Acceptable","&lt;5.0 → Weak — needs attention"))</f>
        <v>5.0–7.9 → Acceptable</v>
      </c>
      <c r="G17" s="75" t="s">
        <v>35</v>
      </c>
    </row>
    <row r="18" ht="15.15"/>
    <row r="19" ht="25.5" customHeight="1" spans="1:7">
      <c r="A19" s="37" t="s">
        <v>36</v>
      </c>
      <c r="B19" s="37"/>
      <c r="C19" s="37"/>
      <c r="D19" s="37"/>
      <c r="E19" s="37"/>
      <c r="F19" s="37"/>
      <c r="G19" s="37"/>
    </row>
    <row r="20" ht="27.75" customHeight="1" spans="1:7">
      <c r="A20" s="4" t="s">
        <v>16</v>
      </c>
      <c r="B20" s="4" t="s">
        <v>37</v>
      </c>
      <c r="C20" s="4" t="s">
        <v>38</v>
      </c>
      <c r="D20" s="4" t="s">
        <v>39</v>
      </c>
      <c r="E20" s="4" t="s">
        <v>40</v>
      </c>
      <c r="F20" s="4" t="s">
        <v>41</v>
      </c>
      <c r="G20" s="4" t="s">
        <v>42</v>
      </c>
    </row>
    <row r="21" ht="21.75" customHeight="1" spans="1:7">
      <c r="A21" s="9">
        <v>1</v>
      </c>
      <c r="B21" s="59" t="s">
        <v>43</v>
      </c>
      <c r="C21" s="16">
        <f>C12/C11*100</f>
        <v>85.4545454545455</v>
      </c>
      <c r="D21" s="16">
        <f>D12/D11*100</f>
        <v>83.3333333333333</v>
      </c>
      <c r="E21" s="16">
        <f>E12/E11*100</f>
        <v>87.6190476190476</v>
      </c>
      <c r="F21" s="24">
        <f>AVERAGE(C21:E21)</f>
        <v>85.4689754689755</v>
      </c>
      <c r="G21" s="12" t="s">
        <v>44</v>
      </c>
    </row>
    <row r="22" ht="21.75" customHeight="1" spans="1:7">
      <c r="A22" s="25">
        <v>2</v>
      </c>
      <c r="B22" s="22" t="s">
        <v>45</v>
      </c>
      <c r="C22" s="19">
        <f>C11-C12</f>
        <v>16</v>
      </c>
      <c r="D22" s="19">
        <f>D11-D12</f>
        <v>18</v>
      </c>
      <c r="E22" s="19">
        <f>E11-E12</f>
        <v>13</v>
      </c>
      <c r="F22" s="85">
        <f>AVERAGE(C22:E22)</f>
        <v>15.6666666666667</v>
      </c>
      <c r="G22" s="31" t="s">
        <v>46</v>
      </c>
    </row>
    <row r="23" ht="21.75" customHeight="1" spans="1:7">
      <c r="A23" s="9">
        <v>3</v>
      </c>
      <c r="B23" s="59" t="s">
        <v>47</v>
      </c>
      <c r="C23" s="16">
        <f>C12/C11*100</f>
        <v>85.4545454545455</v>
      </c>
      <c r="D23" s="16">
        <f>D12/D11*100</f>
        <v>83.3333333333333</v>
      </c>
      <c r="E23" s="16">
        <f>E12/E11*100</f>
        <v>87.6190476190476</v>
      </c>
      <c r="F23" s="24">
        <f>AVERAGE(C23:E23)</f>
        <v>85.4689754689755</v>
      </c>
      <c r="G23" s="12" t="s">
        <v>48</v>
      </c>
    </row>
    <row r="25" ht="30" customHeight="1" spans="1:7">
      <c r="A25" s="89" t="s">
        <v>49</v>
      </c>
      <c r="B25" s="89"/>
      <c r="C25" s="89"/>
      <c r="D25" s="89"/>
      <c r="E25" s="89"/>
      <c r="F25" s="89"/>
      <c r="G25" s="89"/>
    </row>
  </sheetData>
  <mergeCells count="13">
    <mergeCell ref="A1:G1"/>
    <mergeCell ref="A2:G2"/>
    <mergeCell ref="A3:G3"/>
    <mergeCell ref="D4:G4"/>
    <mergeCell ref="D5:G5"/>
    <mergeCell ref="D6:G6"/>
    <mergeCell ref="D7:G7"/>
    <mergeCell ref="A9:G9"/>
    <mergeCell ref="A15:G15"/>
    <mergeCell ref="A16:E16"/>
    <mergeCell ref="A17:E17"/>
    <mergeCell ref="A19:G19"/>
    <mergeCell ref="A25:G25"/>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showGridLines="0" tabSelected="1" workbookViewId="0">
      <selection activeCell="D14" sqref="D14"/>
    </sheetView>
  </sheetViews>
  <sheetFormatPr defaultColWidth="8.67592592592593" defaultRowHeight="14.4" outlineLevelCol="5"/>
  <cols>
    <col min="1" max="1" width="4" style="1" customWidth="1"/>
    <col min="2" max="2" width="40" style="1" customWidth="1"/>
    <col min="3" max="5" width="16" style="1" customWidth="1"/>
    <col min="6" max="6" width="20" style="1" customWidth="1"/>
  </cols>
  <sheetData>
    <row r="1" ht="25.5" customHeight="1" spans="1:6">
      <c r="A1" s="2" t="s">
        <v>50</v>
      </c>
      <c r="B1" s="2"/>
      <c r="C1" s="2"/>
      <c r="D1" s="2"/>
      <c r="E1" s="2"/>
      <c r="F1" s="2"/>
    </row>
    <row r="2" ht="25.5" customHeight="1" spans="1:6">
      <c r="A2" s="3" t="s">
        <v>51</v>
      </c>
      <c r="B2" s="3"/>
      <c r="C2" s="3"/>
      <c r="D2" s="3"/>
      <c r="E2" s="3"/>
      <c r="F2" s="3"/>
    </row>
    <row r="3" ht="36" customHeight="1" spans="1:6">
      <c r="A3" s="4" t="s">
        <v>16</v>
      </c>
      <c r="B3" s="4" t="s">
        <v>37</v>
      </c>
      <c r="C3" s="4" t="s">
        <v>18</v>
      </c>
      <c r="D3" s="4" t="s">
        <v>19</v>
      </c>
      <c r="E3" s="4" t="s">
        <v>20</v>
      </c>
      <c r="F3" s="4" t="s">
        <v>52</v>
      </c>
    </row>
    <row r="4" ht="24" customHeight="1" spans="1:6">
      <c r="A4" s="5">
        <v>1</v>
      </c>
      <c r="B4" s="62" t="s">
        <v>53</v>
      </c>
      <c r="C4" s="63">
        <f>API3_Calculator!C13</f>
        <v>7</v>
      </c>
      <c r="D4" s="63">
        <f>API3_Calculator!D13</f>
        <v>6.9</v>
      </c>
      <c r="E4" s="63">
        <f>API3_Calculator!E13</f>
        <v>7.1</v>
      </c>
      <c r="F4" s="8" t="s">
        <v>54</v>
      </c>
    </row>
    <row r="5" ht="24" customHeight="1" spans="1:6">
      <c r="A5" s="25">
        <v>2</v>
      </c>
      <c r="B5" s="18" t="s">
        <v>55</v>
      </c>
      <c r="C5" s="19">
        <f>API3_Calculator!C12</f>
        <v>94</v>
      </c>
      <c r="D5" s="19">
        <f>API3_Calculator!D12</f>
        <v>90</v>
      </c>
      <c r="E5" s="19">
        <f>API3_Calculator!E12</f>
        <v>92</v>
      </c>
      <c r="F5" s="31" t="s">
        <v>56</v>
      </c>
    </row>
    <row r="6" ht="24" customHeight="1" spans="1:6">
      <c r="A6" s="9">
        <v>3</v>
      </c>
      <c r="B6" s="15" t="s">
        <v>23</v>
      </c>
      <c r="C6" s="21">
        <f>API3_Calculator!C11</f>
        <v>110</v>
      </c>
      <c r="D6" s="21">
        <f>API3_Calculator!D11</f>
        <v>108</v>
      </c>
      <c r="E6" s="21">
        <f>API3_Calculator!E11</f>
        <v>105</v>
      </c>
      <c r="F6" s="12" t="s">
        <v>57</v>
      </c>
    </row>
    <row r="7" ht="24" customHeight="1" spans="1:6">
      <c r="A7" s="49">
        <v>4</v>
      </c>
      <c r="B7" s="64" t="s">
        <v>58</v>
      </c>
      <c r="C7" s="65">
        <f>API3_Calculator!C12/API3_Calculator!C11</f>
        <v>0.854545454545454</v>
      </c>
      <c r="D7" s="65">
        <f>API3_Calculator!D12/API3_Calculator!D11</f>
        <v>0.833333333333333</v>
      </c>
      <c r="E7" s="65">
        <f>API3_Calculator!E12/API3_Calculator!E11</f>
        <v>0.876190476190476</v>
      </c>
      <c r="F7" s="66" t="s">
        <v>59</v>
      </c>
    </row>
    <row r="8" ht="24" customHeight="1" spans="1:6">
      <c r="A8" s="42">
        <v>5</v>
      </c>
      <c r="B8" s="67" t="s">
        <v>60</v>
      </c>
      <c r="C8" s="23">
        <f>API3_Calculator!C14</f>
        <v>5.98181818181818</v>
      </c>
      <c r="D8" s="23">
        <f>API3_Calculator!D14</f>
        <v>5.75</v>
      </c>
      <c r="E8" s="23">
        <f>API3_Calculator!E14</f>
        <v>6.22095238095238</v>
      </c>
      <c r="F8" s="68" t="s">
        <v>61</v>
      </c>
    </row>
    <row r="9" ht="30" customHeight="1" spans="1:6">
      <c r="A9" s="69" t="s">
        <v>62</v>
      </c>
      <c r="B9" s="69"/>
      <c r="C9" s="70" t="s">
        <v>63</v>
      </c>
      <c r="D9" s="70" t="s">
        <v>63</v>
      </c>
      <c r="E9" s="71">
        <f>API3_Calculator!F16</f>
        <v>5.98425685425685</v>
      </c>
      <c r="F9" s="72" t="s">
        <v>64</v>
      </c>
    </row>
    <row r="10" ht="21.75" customHeight="1" spans="1:6">
      <c r="A10" s="73" t="s">
        <v>65</v>
      </c>
      <c r="B10" s="73"/>
      <c r="C10" s="73"/>
      <c r="D10" s="73"/>
      <c r="E10" s="74" t="str">
        <f>API3_Calculator!F17</f>
        <v>5.0–7.9 → Acceptable</v>
      </c>
      <c r="F10" s="75" t="s">
        <v>66</v>
      </c>
    </row>
  </sheetData>
  <mergeCells count="4">
    <mergeCell ref="A1:F1"/>
    <mergeCell ref="A2:F2"/>
    <mergeCell ref="A9:B9"/>
    <mergeCell ref="A10:D10"/>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showGridLines="0" workbookViewId="0">
      <selection activeCell="A1" sqref="A1:F1"/>
    </sheetView>
  </sheetViews>
  <sheetFormatPr defaultColWidth="8.67592592592593" defaultRowHeight="14.4" outlineLevelCol="5"/>
  <cols>
    <col min="1" max="1" width="4" style="1" customWidth="1"/>
    <col min="2" max="2" width="24" style="1" customWidth="1"/>
    <col min="3" max="4" width="16" style="1" customWidth="1"/>
    <col min="5" max="5" width="36" style="1" customWidth="1"/>
    <col min="6" max="6" width="24" style="1" customWidth="1"/>
  </cols>
  <sheetData>
    <row r="1" ht="25.5" customHeight="1" spans="1:6">
      <c r="A1" s="2" t="s">
        <v>67</v>
      </c>
      <c r="B1" s="2"/>
      <c r="C1" s="2"/>
      <c r="D1" s="2"/>
      <c r="E1" s="2"/>
      <c r="F1" s="2"/>
    </row>
    <row r="2" ht="31.5" customHeight="1" spans="1:6">
      <c r="A2" s="4" t="s">
        <v>68</v>
      </c>
      <c r="B2" s="4" t="s">
        <v>69</v>
      </c>
      <c r="C2" s="4" t="s">
        <v>70</v>
      </c>
      <c r="D2" s="4" t="s">
        <v>71</v>
      </c>
      <c r="E2" s="4" t="s">
        <v>42</v>
      </c>
      <c r="F2" s="4" t="s">
        <v>72</v>
      </c>
    </row>
    <row r="3" ht="30" customHeight="1" spans="1:6">
      <c r="A3" s="42" t="s">
        <v>73</v>
      </c>
      <c r="B3" s="42" t="s">
        <v>74</v>
      </c>
      <c r="C3" s="42" t="s">
        <v>75</v>
      </c>
      <c r="D3" s="43" t="s">
        <v>76</v>
      </c>
      <c r="E3" s="44" t="s">
        <v>77</v>
      </c>
      <c r="F3" s="45" t="s">
        <v>78</v>
      </c>
    </row>
    <row r="4" ht="30" customHeight="1" spans="1:6">
      <c r="A4" s="25" t="s">
        <v>79</v>
      </c>
      <c r="B4" s="25" t="s">
        <v>80</v>
      </c>
      <c r="C4" s="25" t="s">
        <v>81</v>
      </c>
      <c r="D4" s="46" t="s">
        <v>82</v>
      </c>
      <c r="E4" s="47" t="s">
        <v>83</v>
      </c>
      <c r="F4" s="48" t="s">
        <v>84</v>
      </c>
    </row>
    <row r="5" ht="30" customHeight="1" spans="1:6">
      <c r="A5" s="49" t="s">
        <v>85</v>
      </c>
      <c r="B5" s="49" t="s">
        <v>86</v>
      </c>
      <c r="C5" s="49" t="s">
        <v>87</v>
      </c>
      <c r="D5" s="50" t="s">
        <v>88</v>
      </c>
      <c r="E5" s="51" t="s">
        <v>89</v>
      </c>
      <c r="F5" s="52" t="s">
        <v>90</v>
      </c>
    </row>
    <row r="6" ht="30" customHeight="1" spans="1:6">
      <c r="A6" s="53" t="s">
        <v>91</v>
      </c>
      <c r="B6" s="53" t="s">
        <v>92</v>
      </c>
      <c r="C6" s="53" t="s">
        <v>93</v>
      </c>
      <c r="D6" s="54" t="s">
        <v>94</v>
      </c>
      <c r="E6" s="55" t="s">
        <v>95</v>
      </c>
      <c r="F6" s="56" t="s">
        <v>96</v>
      </c>
    </row>
    <row r="7" ht="15.15"/>
    <row r="8" ht="25.5" customHeight="1" spans="1:6">
      <c r="A8" s="3" t="s">
        <v>97</v>
      </c>
      <c r="B8" s="3"/>
      <c r="C8" s="3"/>
      <c r="D8" s="3"/>
      <c r="E8" s="3"/>
      <c r="F8" s="3"/>
    </row>
    <row r="9" ht="21.75" customHeight="1" spans="1:6">
      <c r="A9" s="57" t="s">
        <v>98</v>
      </c>
      <c r="B9" s="57" t="s">
        <v>99</v>
      </c>
      <c r="C9" s="57" t="s">
        <v>100</v>
      </c>
      <c r="D9" s="57" t="s">
        <v>63</v>
      </c>
      <c r="E9" s="57" t="s">
        <v>63</v>
      </c>
      <c r="F9" s="57" t="s">
        <v>63</v>
      </c>
    </row>
    <row r="10" ht="21.75" customHeight="1" spans="1:6">
      <c r="A10" s="22" t="s">
        <v>101</v>
      </c>
      <c r="B10" s="58" t="s">
        <v>102</v>
      </c>
      <c r="C10" s="31" t="s">
        <v>103</v>
      </c>
      <c r="D10" s="46"/>
      <c r="E10" s="46"/>
      <c r="F10" s="46"/>
    </row>
    <row r="11" ht="21.75" customHeight="1" spans="1:6">
      <c r="A11" s="59" t="s">
        <v>104</v>
      </c>
      <c r="B11" s="60" t="s">
        <v>105</v>
      </c>
      <c r="C11" s="12" t="s">
        <v>106</v>
      </c>
      <c r="D11" s="61"/>
      <c r="E11" s="61"/>
      <c r="F11" s="61"/>
    </row>
    <row r="12" ht="21.75" customHeight="1" spans="1:6">
      <c r="A12" s="22" t="s">
        <v>107</v>
      </c>
      <c r="B12" s="58" t="s">
        <v>108</v>
      </c>
      <c r="C12" s="31" t="s">
        <v>109</v>
      </c>
      <c r="D12" s="46"/>
      <c r="E12" s="46"/>
      <c r="F12" s="46"/>
    </row>
    <row r="13" ht="21.75" customHeight="1" spans="1:6">
      <c r="A13" s="59" t="s">
        <v>110</v>
      </c>
      <c r="B13" s="60" t="s">
        <v>111</v>
      </c>
      <c r="C13" s="12" t="s">
        <v>112</v>
      </c>
      <c r="D13" s="61"/>
      <c r="E13" s="61"/>
      <c r="F13" s="61"/>
    </row>
  </sheetData>
  <mergeCells count="2">
    <mergeCell ref="A1:F1"/>
    <mergeCell ref="A8:F8"/>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
  <sheetViews>
    <sheetView showGridLines="0" workbookViewId="0">
      <selection activeCell="A1" sqref="A1:I1"/>
    </sheetView>
  </sheetViews>
  <sheetFormatPr defaultColWidth="8.67592592592593" defaultRowHeight="14.4"/>
  <cols>
    <col min="1" max="1" width="4" style="1" customWidth="1"/>
    <col min="2" max="2" width="16" style="1" customWidth="1"/>
    <col min="3" max="3" width="28" style="1" customWidth="1"/>
    <col min="4" max="5" width="10" style="1" customWidth="1"/>
    <col min="6" max="8" width="12" style="1" customWidth="1"/>
    <col min="9" max="9" width="24" style="1" customWidth="1"/>
  </cols>
  <sheetData>
    <row r="1" ht="25.5" customHeight="1" spans="1:9">
      <c r="A1" s="2" t="s">
        <v>113</v>
      </c>
      <c r="B1" s="2"/>
      <c r="C1" s="2"/>
      <c r="D1" s="2"/>
      <c r="E1" s="2"/>
      <c r="F1" s="2"/>
      <c r="G1" s="2"/>
      <c r="H1" s="2"/>
      <c r="I1" s="2"/>
    </row>
    <row r="2" ht="25.5" customHeight="1" spans="1:9">
      <c r="A2" s="3" t="s">
        <v>114</v>
      </c>
      <c r="B2" s="3"/>
      <c r="C2" s="3"/>
      <c r="D2" s="3"/>
      <c r="E2" s="3"/>
      <c r="F2" s="3"/>
      <c r="G2" s="3"/>
      <c r="H2" s="3"/>
      <c r="I2" s="3"/>
    </row>
    <row r="3" ht="42" customHeight="1" spans="1:9">
      <c r="A3" s="4" t="s">
        <v>16</v>
      </c>
      <c r="B3" s="4" t="s">
        <v>115</v>
      </c>
      <c r="C3" s="4" t="s">
        <v>116</v>
      </c>
      <c r="D3" s="4" t="s">
        <v>117</v>
      </c>
      <c r="E3" s="4" t="s">
        <v>118</v>
      </c>
      <c r="F3" s="4" t="s">
        <v>119</v>
      </c>
      <c r="G3" s="4" t="s">
        <v>120</v>
      </c>
      <c r="H3" s="4" t="s">
        <v>121</v>
      </c>
      <c r="I3" s="4" t="s">
        <v>52</v>
      </c>
    </row>
    <row r="4" ht="21.75" customHeight="1" spans="1:9">
      <c r="A4" s="25">
        <v>1</v>
      </c>
      <c r="B4" s="26" t="s">
        <v>122</v>
      </c>
      <c r="C4" s="27" t="s">
        <v>123</v>
      </c>
      <c r="D4" s="26" t="s">
        <v>9</v>
      </c>
      <c r="E4" s="28" t="s">
        <v>124</v>
      </c>
      <c r="F4" s="29">
        <v>7.8</v>
      </c>
      <c r="G4" s="30" t="str">
        <f>IF(AND(D4="Y",E4="Pass"),"Yes","No")</f>
        <v>Yes</v>
      </c>
      <c r="H4" s="30" t="str">
        <f>IF(AND(D4="Y",E4="Pass"),"✔ Yes","✘ No")</f>
        <v>✔ Yes</v>
      </c>
      <c r="I4" s="31" t="s">
        <v>125</v>
      </c>
    </row>
    <row r="5" ht="21.75" customHeight="1" spans="1:9">
      <c r="A5" s="9">
        <v>2</v>
      </c>
      <c r="B5" s="32" t="s">
        <v>126</v>
      </c>
      <c r="C5" s="33" t="s">
        <v>127</v>
      </c>
      <c r="D5" s="32" t="s">
        <v>9</v>
      </c>
      <c r="E5" s="34" t="s">
        <v>124</v>
      </c>
      <c r="F5" s="35">
        <v>8.1</v>
      </c>
      <c r="G5" s="30" t="str">
        <f>IF(AND(D5="Y",E5="Pass"),"Yes","No")</f>
        <v>Yes</v>
      </c>
      <c r="H5" s="30" t="str">
        <f>IF(AND(D5="Y",E5="Pass"),"✔ Yes","✘ No")</f>
        <v>✔ Yes</v>
      </c>
      <c r="I5" s="12" t="s">
        <v>125</v>
      </c>
    </row>
    <row r="6" ht="21.75" customHeight="1" spans="1:9">
      <c r="A6" s="25">
        <v>3</v>
      </c>
      <c r="B6" s="26" t="s">
        <v>128</v>
      </c>
      <c r="C6" s="27" t="s">
        <v>129</v>
      </c>
      <c r="D6" s="26" t="s">
        <v>9</v>
      </c>
      <c r="E6" s="28" t="s">
        <v>130</v>
      </c>
      <c r="F6" s="28" t="s">
        <v>63</v>
      </c>
      <c r="G6" s="36" t="str">
        <f>IF(AND(D6="Y",E6="Pass"),"Yes","No")</f>
        <v>No</v>
      </c>
      <c r="H6" s="36" t="str">
        <f>IF(AND(D6="Y",E6="Pass"),"✔ Yes","✘ No")</f>
        <v>✘ No</v>
      </c>
      <c r="I6" s="31" t="s">
        <v>131</v>
      </c>
    </row>
    <row r="7" ht="21.75" customHeight="1" spans="1:9">
      <c r="A7" s="9">
        <v>4</v>
      </c>
      <c r="B7" s="32" t="s">
        <v>132</v>
      </c>
      <c r="C7" s="33" t="s">
        <v>133</v>
      </c>
      <c r="D7" s="32" t="s">
        <v>134</v>
      </c>
      <c r="E7" s="34" t="s">
        <v>63</v>
      </c>
      <c r="F7" s="34" t="s">
        <v>63</v>
      </c>
      <c r="G7" s="36" t="str">
        <f>IF(AND(D7="Y",E7="Pass"),"Yes","No")</f>
        <v>No</v>
      </c>
      <c r="H7" s="36" t="str">
        <f>IF(AND(D7="Y",E7="Pass"),"✔ Yes","✘ No")</f>
        <v>✘ No</v>
      </c>
      <c r="I7" s="12" t="s">
        <v>135</v>
      </c>
    </row>
    <row r="8" ht="21.75" customHeight="1" spans="1:9">
      <c r="A8" s="25">
        <v>5</v>
      </c>
      <c r="B8" s="26" t="s">
        <v>136</v>
      </c>
      <c r="C8" s="27" t="s">
        <v>137</v>
      </c>
      <c r="D8" s="26" t="s">
        <v>9</v>
      </c>
      <c r="E8" s="28" t="s">
        <v>124</v>
      </c>
      <c r="F8" s="29">
        <v>6.9</v>
      </c>
      <c r="G8" s="30" t="str">
        <f>IF(AND(D8="Y",E8="Pass"),"Yes","No")</f>
        <v>Yes</v>
      </c>
      <c r="H8" s="30" t="str">
        <f>IF(AND(D8="Y",E8="Pass"),"✔ Yes","✘ No")</f>
        <v>✔ Yes</v>
      </c>
      <c r="I8" s="31" t="s">
        <v>125</v>
      </c>
    </row>
    <row r="9" ht="15.15"/>
    <row r="10" ht="25.5" customHeight="1" spans="1:9">
      <c r="A10" s="37" t="s">
        <v>138</v>
      </c>
      <c r="B10" s="37"/>
      <c r="C10" s="37"/>
      <c r="D10" s="37"/>
      <c r="E10" s="37"/>
      <c r="F10" s="37"/>
      <c r="G10" s="37"/>
      <c r="H10" s="37"/>
      <c r="I10" s="37"/>
    </row>
    <row r="11" ht="27.75" customHeight="1" spans="1:9">
      <c r="A11" s="38" t="s">
        <v>139</v>
      </c>
      <c r="B11" s="38" t="s">
        <v>140</v>
      </c>
      <c r="C11" s="38" t="s">
        <v>141</v>
      </c>
      <c r="D11" s="38" t="s">
        <v>142</v>
      </c>
      <c r="E11" s="38" t="s">
        <v>63</v>
      </c>
      <c r="F11" s="38" t="s">
        <v>63</v>
      </c>
      <c r="G11" s="38" t="s">
        <v>63</v>
      </c>
      <c r="H11" s="38" t="s">
        <v>63</v>
      </c>
      <c r="I11" s="38" t="s">
        <v>63</v>
      </c>
    </row>
    <row r="12" ht="25.5" customHeight="1" spans="1:9">
      <c r="A12" s="39">
        <f>COUNTIF(D4:D8,"Y")</f>
        <v>4</v>
      </c>
      <c r="B12" s="39">
        <f>COUNTIFS(D4:D8,"Y",E4:E8,"Pass")</f>
        <v>3</v>
      </c>
      <c r="C12" s="23">
        <f>IFERROR(AVERAGEIFS(F4:F8,D4:D8,"Y",E4:E8,"Pass"),0)</f>
        <v>7.6</v>
      </c>
      <c r="D12" s="40">
        <f>C12*(B12/A12)</f>
        <v>5.7</v>
      </c>
      <c r="E12" s="41"/>
      <c r="F12" s="41"/>
      <c r="G12" s="41"/>
      <c r="H12" s="41"/>
      <c r="I12" s="41"/>
    </row>
    <row r="14" ht="27.75" customHeight="1" spans="1:9">
      <c r="A14" s="13" t="s">
        <v>143</v>
      </c>
      <c r="B14" s="13"/>
      <c r="C14" s="13"/>
      <c r="D14" s="13"/>
      <c r="E14" s="13"/>
      <c r="F14" s="13"/>
      <c r="G14" s="13"/>
      <c r="H14" s="13"/>
      <c r="I14" s="13"/>
    </row>
  </sheetData>
  <mergeCells count="4">
    <mergeCell ref="A1:I1"/>
    <mergeCell ref="A2:I2"/>
    <mergeCell ref="A10:I10"/>
    <mergeCell ref="A14:I14"/>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showGridLines="0" workbookViewId="0">
      <selection activeCell="A1" sqref="A1:E1"/>
    </sheetView>
  </sheetViews>
  <sheetFormatPr defaultColWidth="8.67592592592593" defaultRowHeight="14.4" outlineLevelRow="6" outlineLevelCol="4"/>
  <cols>
    <col min="1" max="1" width="20" style="1" customWidth="1"/>
    <col min="2" max="5" width="14" style="1" customWidth="1"/>
  </cols>
  <sheetData>
    <row r="1" ht="25.5" customHeight="1" spans="1:5">
      <c r="A1" s="14" t="s">
        <v>144</v>
      </c>
      <c r="B1" s="14"/>
      <c r="C1" s="14"/>
      <c r="D1" s="14"/>
      <c r="E1" s="14"/>
    </row>
    <row r="2" ht="36" customHeight="1" spans="1:5">
      <c r="A2" s="4" t="s">
        <v>37</v>
      </c>
      <c r="B2" s="4" t="s">
        <v>18</v>
      </c>
      <c r="C2" s="4" t="s">
        <v>19</v>
      </c>
      <c r="D2" s="4" t="s">
        <v>20</v>
      </c>
      <c r="E2" s="4" t="s">
        <v>41</v>
      </c>
    </row>
    <row r="3" ht="21.75" customHeight="1" spans="1:5">
      <c r="A3" s="15" t="s">
        <v>145</v>
      </c>
      <c r="B3" s="16">
        <f>API3_Calculator!C13</f>
        <v>7</v>
      </c>
      <c r="C3" s="16">
        <f>API3_Calculator!D13</f>
        <v>6.9</v>
      </c>
      <c r="D3" s="16">
        <f>API3_Calculator!E13</f>
        <v>7.1</v>
      </c>
      <c r="E3" s="17">
        <f>AVERAGE(B3:D3)</f>
        <v>7</v>
      </c>
    </row>
    <row r="4" ht="21.75" customHeight="1" spans="1:5">
      <c r="A4" s="18" t="s">
        <v>146</v>
      </c>
      <c r="B4" s="19">
        <f>API3_Calculator!C12</f>
        <v>94</v>
      </c>
      <c r="C4" s="19">
        <f>API3_Calculator!D12</f>
        <v>90</v>
      </c>
      <c r="D4" s="19">
        <f>API3_Calculator!E12</f>
        <v>92</v>
      </c>
      <c r="E4" s="20">
        <f>AVERAGE(B4:D4)</f>
        <v>92</v>
      </c>
    </row>
    <row r="5" ht="21.75" customHeight="1" spans="1:5">
      <c r="A5" s="15" t="s">
        <v>147</v>
      </c>
      <c r="B5" s="21">
        <f>API3_Calculator!C11</f>
        <v>110</v>
      </c>
      <c r="C5" s="21">
        <f>API3_Calculator!D11</f>
        <v>108</v>
      </c>
      <c r="D5" s="21">
        <f>API3_Calculator!E11</f>
        <v>105</v>
      </c>
      <c r="E5" s="20">
        <f>AVERAGE(B5:D5)</f>
        <v>107.666666666667</v>
      </c>
    </row>
    <row r="6" ht="21.75" customHeight="1" spans="1:5">
      <c r="A6" s="22" t="s">
        <v>148</v>
      </c>
      <c r="B6" s="23">
        <f>API3_Calculator!C14</f>
        <v>5.98181818181818</v>
      </c>
      <c r="C6" s="23">
        <f>API3_Calculator!D14</f>
        <v>5.75</v>
      </c>
      <c r="D6" s="23">
        <f>API3_Calculator!E14</f>
        <v>6.22095238095238</v>
      </c>
      <c r="E6" s="24">
        <f>AVERAGE(B6:D6)</f>
        <v>5.98425685425685</v>
      </c>
    </row>
    <row r="7" ht="21.75" customHeight="1" spans="1:5">
      <c r="A7" s="15" t="s">
        <v>149</v>
      </c>
      <c r="B7" s="16">
        <f>API3_Calculator!C12/API3_Calculator!C11*100</f>
        <v>85.4545454545455</v>
      </c>
      <c r="C7" s="16">
        <f>API3_Calculator!D12/API3_Calculator!D11*100</f>
        <v>83.3333333333333</v>
      </c>
      <c r="D7" s="16">
        <f>API3_Calculator!E12/API3_Calculator!E11*100</f>
        <v>87.6190476190476</v>
      </c>
      <c r="E7" s="17">
        <f>AVERAGE(B7:D7)</f>
        <v>85.4689754689755</v>
      </c>
    </row>
  </sheetData>
  <mergeCells count="1">
    <mergeCell ref="A1:E1"/>
  </mergeCells>
  <pageMargins left="0.75" right="0.75" top="1" bottom="1" header="0.511811023622047" footer="0.511811023622047"/>
  <pageSetup paperSize="9" orientation="portrait" horizontalDpi="300" verticalDpi="3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showGridLines="0" workbookViewId="0">
      <selection activeCell="A1" sqref="A1:F1"/>
    </sheetView>
  </sheetViews>
  <sheetFormatPr defaultColWidth="8.67592592592593" defaultRowHeight="14.4" outlineLevelCol="5"/>
  <cols>
    <col min="1" max="1" width="4" style="1" customWidth="1"/>
    <col min="2" max="2" width="42" style="1" customWidth="1"/>
    <col min="3" max="5" width="14" style="1" customWidth="1"/>
    <col min="6" max="6" width="22" style="1" customWidth="1"/>
  </cols>
  <sheetData>
    <row r="1" ht="25.5" customHeight="1" spans="1:6">
      <c r="A1" s="2" t="s">
        <v>150</v>
      </c>
      <c r="B1" s="2"/>
      <c r="C1" s="2"/>
      <c r="D1" s="2"/>
      <c r="E1" s="2"/>
      <c r="F1" s="2"/>
    </row>
    <row r="2" ht="25.5" customHeight="1" spans="1:6">
      <c r="A2" s="3" t="s">
        <v>151</v>
      </c>
      <c r="B2" s="3"/>
      <c r="C2" s="3"/>
      <c r="D2" s="3"/>
      <c r="E2" s="3"/>
      <c r="F2" s="3"/>
    </row>
    <row r="3" ht="36" customHeight="1" spans="1:6">
      <c r="A3" s="4" t="s">
        <v>16</v>
      </c>
      <c r="B3" s="4" t="s">
        <v>152</v>
      </c>
      <c r="C3" s="4" t="s">
        <v>18</v>
      </c>
      <c r="D3" s="4" t="s">
        <v>19</v>
      </c>
      <c r="E3" s="4" t="s">
        <v>20</v>
      </c>
      <c r="F3" s="4" t="s">
        <v>153</v>
      </c>
    </row>
    <row r="4" ht="25.5" customHeight="1" spans="1:6">
      <c r="A4" s="5">
        <v>1</v>
      </c>
      <c r="B4" s="6" t="s">
        <v>154</v>
      </c>
      <c r="C4" s="7" t="s">
        <v>155</v>
      </c>
      <c r="D4" s="7" t="s">
        <v>155</v>
      </c>
      <c r="E4" s="7" t="s">
        <v>155</v>
      </c>
      <c r="F4" s="8" t="s">
        <v>156</v>
      </c>
    </row>
    <row r="5" ht="25.5" customHeight="1" spans="1:6">
      <c r="A5" s="9">
        <v>2</v>
      </c>
      <c r="B5" s="10" t="s">
        <v>26</v>
      </c>
      <c r="C5" s="11" t="s">
        <v>155</v>
      </c>
      <c r="D5" s="11" t="s">
        <v>155</v>
      </c>
      <c r="E5" s="11" t="s">
        <v>155</v>
      </c>
      <c r="F5" s="12" t="s">
        <v>157</v>
      </c>
    </row>
    <row r="6" ht="25.5" customHeight="1" spans="1:6">
      <c r="A6" s="5">
        <v>3</v>
      </c>
      <c r="B6" s="6" t="s">
        <v>158</v>
      </c>
      <c r="C6" s="7" t="s">
        <v>155</v>
      </c>
      <c r="D6" s="7" t="s">
        <v>155</v>
      </c>
      <c r="E6" s="7" t="s">
        <v>155</v>
      </c>
      <c r="F6" s="8" t="s">
        <v>159</v>
      </c>
    </row>
    <row r="7" ht="25.5" customHeight="1" spans="1:6">
      <c r="A7" s="9">
        <v>4</v>
      </c>
      <c r="B7" s="10" t="s">
        <v>160</v>
      </c>
      <c r="C7" s="11" t="s">
        <v>155</v>
      </c>
      <c r="D7" s="11" t="s">
        <v>155</v>
      </c>
      <c r="E7" s="11" t="s">
        <v>155</v>
      </c>
      <c r="F7" s="12" t="s">
        <v>161</v>
      </c>
    </row>
    <row r="8" ht="25.5" customHeight="1" spans="1:6">
      <c r="A8" s="5">
        <v>5</v>
      </c>
      <c r="B8" s="6" t="s">
        <v>162</v>
      </c>
      <c r="C8" s="7" t="s">
        <v>155</v>
      </c>
      <c r="D8" s="7" t="s">
        <v>155</v>
      </c>
      <c r="E8" s="7" t="s">
        <v>155</v>
      </c>
      <c r="F8" s="8" t="s">
        <v>163</v>
      </c>
    </row>
    <row r="9" ht="25.5" customHeight="1" spans="1:6">
      <c r="A9" s="9">
        <v>6</v>
      </c>
      <c r="B9" s="10" t="s">
        <v>164</v>
      </c>
      <c r="C9" s="11" t="s">
        <v>155</v>
      </c>
      <c r="D9" s="11" t="s">
        <v>155</v>
      </c>
      <c r="E9" s="11" t="s">
        <v>155</v>
      </c>
      <c r="F9" s="12" t="s">
        <v>165</v>
      </c>
    </row>
    <row r="10" ht="25.5" customHeight="1" spans="1:6">
      <c r="A10" s="5">
        <v>7</v>
      </c>
      <c r="B10" s="6" t="s">
        <v>166</v>
      </c>
      <c r="C10" s="7" t="s">
        <v>155</v>
      </c>
      <c r="D10" s="7" t="s">
        <v>155</v>
      </c>
      <c r="E10" s="7" t="s">
        <v>155</v>
      </c>
      <c r="F10" s="8" t="s">
        <v>167</v>
      </c>
    </row>
    <row r="11" ht="25.5" customHeight="1" spans="1:6">
      <c r="A11" s="9">
        <v>8</v>
      </c>
      <c r="B11" s="10" t="s">
        <v>168</v>
      </c>
      <c r="C11" s="11" t="s">
        <v>155</v>
      </c>
      <c r="D11" s="11" t="s">
        <v>155</v>
      </c>
      <c r="E11" s="11" t="s">
        <v>155</v>
      </c>
      <c r="F11" s="12" t="s">
        <v>169</v>
      </c>
    </row>
    <row r="13" ht="27.75" customHeight="1" spans="1:6">
      <c r="A13" s="13" t="s">
        <v>170</v>
      </c>
      <c r="B13" s="13"/>
      <c r="C13" s="13"/>
      <c r="D13" s="13"/>
      <c r="E13" s="13"/>
      <c r="F13" s="13"/>
    </row>
  </sheetData>
  <mergeCells count="3">
    <mergeCell ref="A1:F1"/>
    <mergeCell ref="A2:F2"/>
    <mergeCell ref="A13:F13"/>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6</vt:i4>
      </vt:variant>
    </vt:vector>
  </HeadingPairs>
  <TitlesOfParts>
    <vt:vector size="6" baseType="lpstr">
      <vt:lpstr>API3_Calculator</vt:lpstr>
      <vt:lpstr>SAR_Table</vt:lpstr>
      <vt:lpstr>Performance_Bands</vt:lpstr>
      <vt:lpstr>RollNo_Tracker</vt:lpstr>
      <vt:lpstr>API_Trend_Chart</vt:lpstr>
      <vt:lpstr>Evidence_Checklist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totte</cp:lastModifiedBy>
  <cp:revision>2</cp:revision>
  <dcterms:created xsi:type="dcterms:W3CDTF">2026-06-29T12:35:00Z</dcterms:created>
  <dcterms:modified xsi:type="dcterms:W3CDTF">2026-07-20T12:00:43Z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685CBBC6BB914347827654B47D72EE22_12</vt:lpwstr>
  </property>
  <property fmtid="{D5CDD505-2E9C-101B-9397-08002B2CF9AE}" pid="3" name="KSOProductBuildVer">
    <vt:lpwstr>1033-12.1.0.27458</vt:lpwstr>
  </property>
  <property fmtid="{D5CDD505-2E9C-101B-9397-08002B2CF9AE}" pid="4" name="CalculationRule">
    <vt:i4>0</vt:i4>
  </property>
</Properties>
</file>