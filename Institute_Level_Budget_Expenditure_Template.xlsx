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e_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</t>
        </is>
      </c>
      <c r="B1" s="1" t="inlineStr">
        <is>
          <t>Budgeted in CFY</t>
        </is>
      </c>
      <c r="C1" s="1" t="inlineStr">
        <is>
          <t>Actual expenses in CFY (till …)</t>
        </is>
      </c>
      <c r="D1" s="1" t="inlineStr">
        <is>
          <t>Budgeted in CFYm1</t>
        </is>
      </c>
      <c r="E1" s="1" t="inlineStr">
        <is>
          <t>Actual Expenses in CFYm1</t>
        </is>
      </c>
      <c r="F1" s="1" t="inlineStr">
        <is>
          <t>Budgeted in CFYm2</t>
        </is>
      </c>
      <c r="G1" s="1" t="inlineStr">
        <is>
          <t>Actual Expenses in CFYm2</t>
        </is>
      </c>
      <c r="H1" s="1" t="inlineStr">
        <is>
          <t>Budgeted in CFYm3</t>
        </is>
      </c>
      <c r="I1" s="1" t="inlineStr">
        <is>
          <t>Actual Expenses in CFYm3</t>
        </is>
      </c>
      <c r="J1" s="1" t="inlineStr">
        <is>
          <t>Total Budgeted (CFY+CFYm1+CFYm2+CFYm3)</t>
        </is>
      </c>
      <c r="K1" s="1" t="inlineStr">
        <is>
          <t>Total Actual (CFY+CFYm1+CFYm2+CFYm3)</t>
        </is>
      </c>
      <c r="L1" s="1" t="inlineStr">
        <is>
          <t>Variance (Actual - Budgeted)</t>
        </is>
      </c>
      <c r="M1" s="1" t="inlineStr">
        <is>
          <t>Variance %</t>
        </is>
      </c>
    </row>
    <row r="2">
      <c r="A2" t="inlineStr">
        <is>
          <t>Infrastructure Built-Up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>
        <f>B2+D2+F2+H2</f>
        <v/>
      </c>
      <c r="K2">
        <f>C2+E2+G2+I2</f>
        <v/>
      </c>
      <c r="L2">
        <f>K2-J2</f>
        <v/>
      </c>
      <c r="M2">
        <f>IFERROR(=K2-J2/J2,"")</f>
        <v/>
      </c>
    </row>
    <row r="3">
      <c r="A3" t="inlineStr">
        <is>
          <t>Library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>
        <f>B3+D3+F3+H3</f>
        <v/>
      </c>
      <c r="K3">
        <f>C3+E3+G3+I3</f>
        <v/>
      </c>
      <c r="L3">
        <f>K3-J3</f>
        <v/>
      </c>
      <c r="M3">
        <f>IFERROR(=K3-J3/J3,"")</f>
        <v/>
      </c>
    </row>
    <row r="4">
      <c r="A4" t="inlineStr">
        <is>
          <t>Laboratory Equipment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>
        <f>B4+D4+F4+H4</f>
        <v/>
      </c>
      <c r="K4">
        <f>C4+E4+G4+I4</f>
        <v/>
      </c>
      <c r="L4">
        <f>K4-J4</f>
        <v/>
      </c>
      <c r="M4">
        <f>IFERROR(=K4-J4/J4,"")</f>
        <v/>
      </c>
    </row>
    <row r="5">
      <c r="A5" t="inlineStr">
        <is>
          <t>Teaching and Non-Teaching Staff Salary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>
        <f>B5+D5+F5+H5</f>
        <v/>
      </c>
      <c r="K5">
        <f>C5+E5+G5+I5</f>
        <v/>
      </c>
      <c r="L5">
        <f>K5-J5</f>
        <v/>
      </c>
      <c r="M5">
        <f>IFERROR(=K5-J5/J5,"")</f>
        <v/>
      </c>
    </row>
    <row r="6">
      <c r="A6" t="inlineStr">
        <is>
          <t>Outreach Programs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>
        <f>B6+D6+F6+H6</f>
        <v/>
      </c>
      <c r="K6">
        <f>C6+E6+G6+I6</f>
        <v/>
      </c>
      <c r="L6">
        <f>K6-J6</f>
        <v/>
      </c>
      <c r="M6">
        <f>IFERROR(=K6-J6/J6,"")</f>
        <v/>
      </c>
    </row>
    <row r="7">
      <c r="A7" t="inlineStr">
        <is>
          <t>R&amp;D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>
        <f>B7+D7+F7+H7</f>
        <v/>
      </c>
      <c r="K7">
        <f>C7+E7+G7+I7</f>
        <v/>
      </c>
      <c r="L7">
        <f>K7-J7</f>
        <v/>
      </c>
      <c r="M7">
        <f>IFERROR(=K7-J7/J7,"")</f>
        <v/>
      </c>
    </row>
    <row r="8">
      <c r="A8" t="inlineStr">
        <is>
          <t>Training, Placement and Industry Linkage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>
        <f>B8+D8+F8+H8</f>
        <v/>
      </c>
      <c r="K8">
        <f>C8+E8+G8+I8</f>
        <v/>
      </c>
      <c r="L8">
        <f>K8-J8</f>
        <v/>
      </c>
      <c r="M8">
        <f>IFERROR(=K8-J8/J8,"")</f>
        <v/>
      </c>
    </row>
    <row r="9">
      <c r="A9" t="inlineStr">
        <is>
          <t>SDGs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>
        <f>B9+D9+F9+H9</f>
        <v/>
      </c>
      <c r="K9">
        <f>C9+E9+G9+I9</f>
        <v/>
      </c>
      <c r="L9">
        <f>K9-J9</f>
        <v/>
      </c>
      <c r="M9">
        <f>IFERROR(=K9-J9/J9,"")</f>
        <v/>
      </c>
    </row>
    <row r="10">
      <c r="A10" t="inlineStr">
        <is>
          <t>Entrepreneurship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>
        <f>B10+D10+F10+H10</f>
        <v/>
      </c>
      <c r="K10">
        <f>C10+E10+G10+I10</f>
        <v/>
      </c>
      <c r="L10">
        <f>K10-J10</f>
        <v/>
      </c>
      <c r="M10">
        <f>IFERROR(=K10-J10/J10,"")</f>
        <v/>
      </c>
    </row>
    <row r="11">
      <c r="A11" t="inlineStr">
        <is>
          <t>Others (Specify)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>
        <f>B11+D11+F11+H11</f>
        <v/>
      </c>
      <c r="K11">
        <f>C11+E11+G11+I11</f>
        <v/>
      </c>
      <c r="L11">
        <f>K11-J11</f>
        <v/>
      </c>
      <c r="M11">
        <f>IFERROR(=K11-J11/J11,"")</f>
        <v/>
      </c>
    </row>
    <row r="12">
      <c r="A12" t="inlineStr">
        <is>
          <t>Total Amount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  <c r="G12">
        <f>SUM(G2:G11)</f>
        <v/>
      </c>
      <c r="H12">
        <f>SUM(H2:H11)</f>
        <v/>
      </c>
      <c r="I12">
        <f>SUM(I2:I11)</f>
        <v/>
      </c>
      <c r="J12">
        <f>SUM(J2:J11)</f>
        <v/>
      </c>
      <c r="K12">
        <f>SUM(K2:K11)</f>
        <v/>
      </c>
      <c r="L12">
        <f>K12-J12</f>
        <v/>
      </c>
      <c r="M12">
        <f>IFERROR((K12-J12)/J12,"")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2025-08-28T04:22:29Z</dcterms:created>
  <dcterms:modified xmlns:dcterms="http://purl.org/dc/terms/" xmlns:xsi="http://www.w3.org/2001/XMLSchema-instance" xsi:type="dcterms:W3CDTF">2025-08-28T04:22:29Z</dcterms:modified>
</cp:coreProperties>
</file>