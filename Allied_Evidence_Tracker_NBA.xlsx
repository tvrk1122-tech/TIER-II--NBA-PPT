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llied_Students" sheetId="2" state="visible" r:id="rId2"/>
    <sheet xmlns:r="http://schemas.openxmlformats.org/officeDocument/2006/relationships" name="Allied_Facult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Allied Evidence Tracker — NBA SFR Support</t>
        </is>
      </c>
    </row>
    <row r="3">
      <c r="A3" t="inlineStr">
        <is>
          <t>- Use 'Allied_Students' to record sanctioned intake + actual admitted strength (AS) for allied programs.</t>
        </is>
      </c>
    </row>
    <row r="4">
      <c r="A4" t="inlineStr">
        <is>
          <t>- Use 'Allied_Faculty' to record faculty details (appointment, approval, workload mapping).</t>
        </is>
      </c>
    </row>
    <row r="5">
      <c r="A5" t="inlineStr">
        <is>
          <t>- Auto-summary shows AS + AF for CAY/CAYm1/CAYm2; link these directly into Table 5.1.2.</t>
        </is>
      </c>
    </row>
    <row r="6">
      <c r="A6" t="inlineStr">
        <is>
          <t>- Ensure supporting docs (admission lists, faculty appointment letters, approvals, timetables, payroll) are indexed.</t>
        </is>
      </c>
    </row>
    <row r="7">
      <c r="A7" t="inlineStr">
        <is>
          <t>- Allied evidence must be signed by Allied HoD + Principal before NBA visit.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20" customWidth="1" min="4" max="4"/>
    <col width="16" customWidth="1" min="5" max="5"/>
    <col width="18" customWidth="1" min="6" max="6"/>
    <col width="22" customWidth="1" min="7" max="7"/>
    <col width="26" customWidth="1" min="8" max="8"/>
    <col width="24" customWidth="1" min="9" max="9"/>
  </cols>
  <sheetData>
    <row r="1">
      <c r="A1" s="2" t="inlineStr">
        <is>
          <t>Allied Dept.</t>
        </is>
      </c>
      <c r="B1" s="2" t="inlineStr">
        <is>
          <t>Program</t>
        </is>
      </c>
      <c r="C1" s="2" t="inlineStr">
        <is>
          <t>Year (CAY/CAYm1/CAYm2)</t>
        </is>
      </c>
      <c r="D1" s="2" t="inlineStr">
        <is>
          <t>Sanctioned_Intake</t>
        </is>
      </c>
      <c r="E1" s="2" t="inlineStr">
        <is>
          <t>Lateral_Entry</t>
        </is>
      </c>
      <c r="F1" s="2" t="inlineStr">
        <is>
          <t>Actual_Admitted</t>
        </is>
      </c>
      <c r="G1" s="2" t="inlineStr">
        <is>
          <t>Total_Students (AS)</t>
        </is>
      </c>
      <c r="H1" s="2" t="inlineStr">
        <is>
          <t>Certifying_Authority</t>
        </is>
      </c>
      <c r="I1" s="2" t="inlineStr">
        <is>
          <t>Remarks</t>
        </is>
      </c>
    </row>
    <row r="2">
      <c r="A2" s="3" t="inlineStr">
        <is>
          <t>IT</t>
        </is>
      </c>
      <c r="B2" s="3" t="inlineStr">
        <is>
          <t>B.Tech IT</t>
        </is>
      </c>
      <c r="C2" s="3" t="inlineStr">
        <is>
          <t>CAY</t>
        </is>
      </c>
      <c r="D2" s="3" t="n">
        <v>120</v>
      </c>
      <c r="E2" s="3" t="n">
        <v>12</v>
      </c>
      <c r="F2" s="3" t="n">
        <v>381</v>
      </c>
      <c r="G2" s="3">
        <f>D2+E2+F2</f>
        <v/>
      </c>
      <c r="H2" s="3" t="inlineStr">
        <is>
          <t>HoD IT</t>
        </is>
      </c>
      <c r="I2" s="3" t="inlineStr"/>
    </row>
    <row r="3">
      <c r="A3" s="3" t="inlineStr">
        <is>
          <t>IT</t>
        </is>
      </c>
      <c r="B3" s="3" t="inlineStr">
        <is>
          <t>B.Tech IT</t>
        </is>
      </c>
      <c r="C3" s="3" t="inlineStr">
        <is>
          <t>CAYm1</t>
        </is>
      </c>
      <c r="D3" s="3" t="n">
        <v>120</v>
      </c>
      <c r="E3" s="3" t="n">
        <v>12</v>
      </c>
      <c r="F3" s="3" t="n">
        <v>379</v>
      </c>
      <c r="G3" s="3">
        <f>D3+E3+F3</f>
        <v/>
      </c>
      <c r="H3" s="3" t="inlineStr">
        <is>
          <t>HoD IT</t>
        </is>
      </c>
      <c r="I3" s="3" t="inlineStr"/>
    </row>
    <row r="4">
      <c r="A4" s="3" t="inlineStr">
        <is>
          <t>IT</t>
        </is>
      </c>
      <c r="B4" s="3" t="inlineStr">
        <is>
          <t>B.Tech IT</t>
        </is>
      </c>
      <c r="C4" s="3" t="inlineStr">
        <is>
          <t>CAYm2</t>
        </is>
      </c>
      <c r="D4" s="3" t="n">
        <v>120</v>
      </c>
      <c r="E4" s="3" t="n">
        <v>12</v>
      </c>
      <c r="F4" s="3" t="n">
        <v>376</v>
      </c>
      <c r="G4" s="3">
        <f>D4+E4+F4</f>
        <v/>
      </c>
      <c r="H4" s="3" t="inlineStr">
        <is>
          <t>HoD IT</t>
        </is>
      </c>
      <c r="I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6" customWidth="1" min="4" max="4"/>
    <col width="16" customWidth="1" min="5" max="5"/>
    <col width="20" customWidth="1" min="6" max="6"/>
    <col width="28" customWidth="1" min="7" max="7"/>
    <col width="32" customWidth="1" min="8" max="8"/>
    <col width="16" customWidth="1" min="9" max="9"/>
    <col width="24" customWidth="1" min="10" max="10"/>
  </cols>
  <sheetData>
    <row r="1">
      <c r="A1" s="2" t="inlineStr">
        <is>
          <t>Allied Dept.</t>
        </is>
      </c>
      <c r="B1" s="2" t="inlineStr">
        <is>
          <t>Faculty_Name</t>
        </is>
      </c>
      <c r="C1" s="2" t="inlineStr">
        <is>
          <t>Designation</t>
        </is>
      </c>
      <c r="D1" s="2" t="inlineStr">
        <is>
          <t>Employment_Type (Regular/Contractual_FT)</t>
        </is>
      </c>
      <c r="E1" s="2" t="inlineStr">
        <is>
          <t>DOJ</t>
        </is>
      </c>
      <c r="F1" s="2" t="inlineStr">
        <is>
          <t>Qualification</t>
        </is>
      </c>
      <c r="G1" s="2" t="inlineStr">
        <is>
          <t>Approval_Ref (Univ/AICTE)</t>
        </is>
      </c>
      <c r="H1" s="2" t="inlineStr">
        <is>
          <t>Workload_Mapping (Cluster Course)</t>
        </is>
      </c>
      <c r="I1" s="2" t="inlineStr">
        <is>
          <t>Year (CAY/CAYm1/CAYm2)</t>
        </is>
      </c>
      <c r="J1" s="2" t="inlineStr">
        <is>
          <t>Remarks</t>
        </is>
      </c>
    </row>
    <row r="2">
      <c r="A2" s="3" t="inlineStr">
        <is>
          <t>IT</t>
        </is>
      </c>
      <c r="B2" s="3" t="inlineStr">
        <is>
          <t>Mr. E.F. LMN</t>
        </is>
      </c>
      <c r="C2" s="3" t="inlineStr">
        <is>
          <t>Asst. Prof.</t>
        </is>
      </c>
      <c r="D2" s="3" t="inlineStr">
        <is>
          <t>Contractual_FT</t>
        </is>
      </c>
      <c r="E2" s="3" t="inlineStr">
        <is>
          <t>2021-09-20</t>
        </is>
      </c>
      <c r="F2" s="3" t="inlineStr">
        <is>
          <t>M.Tech</t>
        </is>
      </c>
      <c r="G2" s="3" t="inlineStr">
        <is>
          <t>Univ Ref 6789</t>
        </is>
      </c>
      <c r="H2" s="3" t="inlineStr">
        <is>
          <t>OS (CSE UG3, Sem 5)</t>
        </is>
      </c>
      <c r="I2" s="3" t="inlineStr">
        <is>
          <t>CAY</t>
        </is>
      </c>
      <c r="J2" s="3" t="inlineStr">
        <is>
          <t>Counted in AF</t>
        </is>
      </c>
    </row>
    <row r="3">
      <c r="A3" s="3" t="inlineStr">
        <is>
          <t>IT</t>
        </is>
      </c>
      <c r="B3" s="3" t="inlineStr">
        <is>
          <t>Ms. I.J. KLM</t>
        </is>
      </c>
      <c r="C3" s="3" t="inlineStr">
        <is>
          <t>Professor</t>
        </is>
      </c>
      <c r="D3" s="3" t="inlineStr">
        <is>
          <t>Regular</t>
        </is>
      </c>
      <c r="E3" s="3" t="inlineStr">
        <is>
          <t>2020-08-15</t>
        </is>
      </c>
      <c r="F3" s="3" t="inlineStr">
        <is>
          <t>Ph.D.</t>
        </is>
      </c>
      <c r="G3" s="3" t="inlineStr">
        <is>
          <t>Univ Ref 6790</t>
        </is>
      </c>
      <c r="H3" s="3" t="inlineStr">
        <is>
          <t>DBMS (CSE UG3, Sem 5)</t>
        </is>
      </c>
      <c r="I3" s="3" t="inlineStr">
        <is>
          <t>CAYm1</t>
        </is>
      </c>
      <c r="J3" s="3" t="inlineStr">
        <is>
          <t>Counted in AF</t>
        </is>
      </c>
    </row>
    <row r="4">
      <c r="A4" s="3" t="inlineStr">
        <is>
          <t>IT</t>
        </is>
      </c>
      <c r="B4" s="3" t="inlineStr">
        <is>
          <t>Dr. N.O. PQR</t>
        </is>
      </c>
      <c r="C4" s="3" t="inlineStr">
        <is>
          <t>Assoc. Prof.</t>
        </is>
      </c>
      <c r="D4" s="3" t="inlineStr">
        <is>
          <t>Regular</t>
        </is>
      </c>
      <c r="E4" s="3" t="inlineStr">
        <is>
          <t>2019-07-01</t>
        </is>
      </c>
      <c r="F4" s="3" t="inlineStr">
        <is>
          <t>Ph.D.</t>
        </is>
      </c>
      <c r="G4" s="3" t="inlineStr">
        <is>
          <t>Univ Ref 6791</t>
        </is>
      </c>
      <c r="H4" s="3" t="inlineStr">
        <is>
          <t>Networks (CSE UG4, Sem 7)</t>
        </is>
      </c>
      <c r="I4" s="3" t="inlineStr">
        <is>
          <t>CAYm2</t>
        </is>
      </c>
      <c r="J4" s="3" t="inlineStr">
        <is>
          <t>Counted in AF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2" t="inlineStr">
        <is>
          <t>Metric</t>
        </is>
      </c>
      <c r="B1" s="2" t="inlineStr">
        <is>
          <t>CAY</t>
        </is>
      </c>
      <c r="C1" s="2" t="inlineStr">
        <is>
          <t>CAYm1</t>
        </is>
      </c>
      <c r="D1" s="2" t="inlineStr">
        <is>
          <t>CAYm2</t>
        </is>
      </c>
    </row>
    <row r="2">
      <c r="A2" s="3" t="inlineStr">
        <is>
          <t>AS = Total Allied Students</t>
        </is>
      </c>
      <c r="B2" s="3">
        <f>SUMIF(Allied_Students!C:C,"CAY",Allied_Students!G:G)</f>
        <v/>
      </c>
      <c r="C2" s="3">
        <f>SUMIF(Allied_Students!C:C,"CAYm1",Allied_Students!G:G)</f>
        <v/>
      </c>
      <c r="D2" s="3">
        <f>SUMIF(Allied_Students!C:C,"CAYm2",Allied_Students!G:G)</f>
        <v/>
      </c>
    </row>
    <row r="3">
      <c r="A3" s="3" t="inlineStr">
        <is>
          <t>AF = Total Allied Faculty</t>
        </is>
      </c>
      <c r="B3" s="3">
        <f>COUNTIF(Allied_Faculty!I:I,"CAY")</f>
        <v/>
      </c>
      <c r="C3" s="3">
        <f>COUNTIF(Allied_Faculty!I:I,"CAYm1")</f>
        <v/>
      </c>
      <c r="D3" s="3">
        <f>COUNTIF(Allied_Faculty!I:I,"CAYm2")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2025-08-28T13:57:00Z</dcterms:created>
  <dcterms:modified xmlns:dcterms="http://purl.org/dc/terms/" xmlns:xsi="http://www.w3.org/2001/XMLSchema-instance" xsi:type="dcterms:W3CDTF">2025-08-28T13:57:00Z</dcterms:modified>
</cp:coreProperties>
</file>