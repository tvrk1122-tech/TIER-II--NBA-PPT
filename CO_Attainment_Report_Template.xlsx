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-wise CO Attainment" sheetId="1" state="visible" r:id="rId1"/>
    <sheet xmlns:r="http://schemas.openxmlformats.org/officeDocument/2006/relationships" name="Year-wise Conso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  <col width="58" customWidth="1" min="6" max="6"/>
    <col width="23" customWidth="1" min="7" max="7"/>
    <col width="23" customWidth="1" min="8" max="8"/>
    <col width="25" customWidth="1" min="9" max="9"/>
    <col width="25" customWidth="1" min="10" max="10"/>
    <col width="20" customWidth="1" min="11" max="11"/>
    <col width="30" customWidth="1" min="12" max="12"/>
    <col width="46" customWidth="1" min="13" max="13"/>
    <col width="46" customWidth="1" min="14" max="14"/>
    <col width="42" customWidth="1" min="15" max="15"/>
  </cols>
  <sheetData>
    <row r="1">
      <c r="A1" s="1" t="inlineStr">
        <is>
          <t>Course Code &amp; Title</t>
        </is>
      </c>
      <c r="B1" s="1" t="inlineStr">
        <is>
          <t>Academic Year</t>
        </is>
      </c>
      <c r="C1" s="1" t="inlineStr">
        <is>
          <t>Semester</t>
        </is>
      </c>
      <c r="D1" s="1" t="inlineStr">
        <is>
          <t>Faculty Name</t>
        </is>
      </c>
      <c r="E1" s="1" t="inlineStr">
        <is>
          <t>CO No.</t>
        </is>
      </c>
      <c r="F1" s="1" t="inlineStr">
        <is>
          <t>CO Description</t>
        </is>
      </c>
      <c r="G1" s="1" t="inlineStr">
        <is>
          <t>Target Attainment (%)</t>
        </is>
      </c>
      <c r="H1" s="1" t="inlineStr">
        <is>
          <t>Direct Attainment (%)</t>
        </is>
      </c>
      <c r="I1" s="1" t="inlineStr">
        <is>
          <t>Indirect Attainment (%)</t>
        </is>
      </c>
      <c r="J1" s="1" t="inlineStr">
        <is>
          <t>Overall Attainment (%)</t>
        </is>
      </c>
      <c r="K1" s="1" t="inlineStr">
        <is>
          <t>Attainment Gap (%)</t>
        </is>
      </c>
      <c r="L1" s="1" t="inlineStr">
        <is>
          <t>Weakness Identified</t>
        </is>
      </c>
      <c r="M1" s="1" t="inlineStr">
        <is>
          <t>Actions Taken</t>
        </is>
      </c>
      <c r="N1" s="1" t="inlineStr">
        <is>
          <t>Implementation Evidence (Link/Path)</t>
        </is>
      </c>
      <c r="O1" s="1" t="inlineStr">
        <is>
          <t>Remarks / Impact</t>
        </is>
      </c>
    </row>
    <row r="2">
      <c r="A2" t="inlineStr">
        <is>
          <t>CS301 – Data Structures</t>
        </is>
      </c>
      <c r="B2" t="inlineStr">
        <is>
          <t>2023-24</t>
        </is>
      </c>
      <c r="C2" t="inlineStr">
        <is>
          <t>Odd</t>
        </is>
      </c>
      <c r="D2" t="inlineStr">
        <is>
          <t>Dr. A. Sharma</t>
        </is>
      </c>
      <c r="E2" t="inlineStr">
        <is>
          <t>CO1</t>
        </is>
      </c>
      <c r="F2" t="inlineStr">
        <is>
          <t>Apply recursion and divide-and-conquer to solve problems</t>
        </is>
      </c>
      <c r="G2" t="n">
        <v>70</v>
      </c>
      <c r="H2" t="n">
        <v>55</v>
      </c>
      <c r="I2" t="n">
        <v>60</v>
      </c>
      <c r="J2">
        <f>ROUND(0.8*H2+0.2*I2,1)</f>
        <v/>
      </c>
      <c r="K2">
        <f>G2-J2</f>
        <v/>
      </c>
      <c r="L2" t="inlineStr">
        <is>
          <t>Conceptual gaps in recursion</t>
        </is>
      </c>
      <c r="M2" t="inlineStr">
        <is>
          <t>Extra tutorials + video lectures</t>
        </is>
      </c>
      <c r="N2" t="inlineStr">
        <is>
          <t>https://drive.example.com/recursion_evidence</t>
        </is>
      </c>
      <c r="O2" t="inlineStr">
        <is>
          <t>Improved to 68% in CAYm1</t>
        </is>
      </c>
    </row>
    <row r="3">
      <c r="A3" t="inlineStr">
        <is>
          <t>CS301 – Data Structures</t>
        </is>
      </c>
      <c r="B3" t="inlineStr">
        <is>
          <t>2023-24</t>
        </is>
      </c>
      <c r="C3" t="inlineStr">
        <is>
          <t>Odd</t>
        </is>
      </c>
      <c r="D3" t="inlineStr">
        <is>
          <t>Dr. A. Sharma</t>
        </is>
      </c>
      <c r="E3" t="inlineStr">
        <is>
          <t>CO2</t>
        </is>
      </c>
      <c r="F3" t="inlineStr">
        <is>
          <t>Implement linear and non-linear data structures</t>
        </is>
      </c>
      <c r="G3" t="n">
        <v>70</v>
      </c>
      <c r="H3" t="n">
        <v>52</v>
      </c>
      <c r="I3" t="n">
        <v>58</v>
      </c>
      <c r="J3">
        <f>ROUND(0.8*H3+0.2*I3,1)</f>
        <v/>
      </c>
      <c r="K3">
        <f>G3-J3</f>
        <v/>
      </c>
      <c r="L3" t="inlineStr">
        <is>
          <t>Insufficient coding practice</t>
        </is>
      </c>
      <c r="M3" t="inlineStr">
        <is>
          <t>Weekly coding challenges in lab</t>
        </is>
      </c>
      <c r="N3" t="inlineStr">
        <is>
          <t>https://drive.example.com/coding_challenge</t>
        </is>
      </c>
      <c r="O3" t="inlineStr">
        <is>
          <t>Improved programming success rate by 20%</t>
        </is>
      </c>
    </row>
    <row r="4">
      <c r="A4" t="inlineStr">
        <is>
          <t>EE205 – Circuit Theory</t>
        </is>
      </c>
      <c r="B4" t="inlineStr">
        <is>
          <t>2023-24</t>
        </is>
      </c>
      <c r="C4" t="inlineStr">
        <is>
          <t>Even</t>
        </is>
      </c>
      <c r="D4" t="inlineStr">
        <is>
          <t>Prof. N. Rao</t>
        </is>
      </c>
      <c r="E4" t="inlineStr">
        <is>
          <t>CO3</t>
        </is>
      </c>
      <c r="F4" t="inlineStr">
        <is>
          <t>Analyze circuits using network theorems and simulations</t>
        </is>
      </c>
      <c r="G4" t="n">
        <v>65</v>
      </c>
      <c r="H4" t="n">
        <v>50</v>
      </c>
      <c r="I4" t="n">
        <v>55</v>
      </c>
      <c r="J4">
        <f>ROUND(0.8*H4+0.2*I4,1)</f>
        <v/>
      </c>
      <c r="K4">
        <f>G4-J4</f>
        <v/>
      </c>
      <c r="L4" t="inlineStr">
        <is>
          <t>Weak circuit analysis skills</t>
        </is>
      </c>
      <c r="M4" t="inlineStr">
        <is>
          <t>Simulation-based assignments (PSPICE/MATLAB)</t>
        </is>
      </c>
      <c r="N4" t="inlineStr">
        <is>
          <t>https://drive.example.com/circuit_sim</t>
        </is>
      </c>
      <c r="O4" t="inlineStr">
        <is>
          <t>Attainment improved to 64% in CAYm1</t>
        </is>
      </c>
    </row>
    <row r="5">
      <c r="A5" t="inlineStr">
        <is>
          <t>ME210 – Thermodynamics</t>
        </is>
      </c>
      <c r="B5" t="inlineStr">
        <is>
          <t>2023-24</t>
        </is>
      </c>
      <c r="C5" t="inlineStr">
        <is>
          <t>Odd</t>
        </is>
      </c>
      <c r="D5" t="inlineStr">
        <is>
          <t>Dr. S. Gupta</t>
        </is>
      </c>
      <c r="E5" t="inlineStr">
        <is>
          <t>CO4</t>
        </is>
      </c>
      <c r="F5" t="inlineStr">
        <is>
          <t>Explain entropy and apply laws of thermodynamics</t>
        </is>
      </c>
      <c r="G5" t="n">
        <v>75</v>
      </c>
      <c r="H5" t="n">
        <v>60</v>
      </c>
      <c r="I5" t="n">
        <v>65</v>
      </c>
      <c r="J5">
        <f>ROUND(0.8*H5+0.2*I5,1)</f>
        <v/>
      </c>
      <c r="K5">
        <f>G5-J5</f>
        <v/>
      </c>
      <c r="L5" t="inlineStr">
        <is>
          <t>Conceptual clarity issues</t>
        </is>
      </c>
      <c r="M5" t="inlineStr">
        <is>
          <t>Bridge course + guest lecture</t>
        </is>
      </c>
      <c r="N5" t="inlineStr">
        <is>
          <t>https://drive.example.com/thermo_bridge</t>
        </is>
      </c>
      <c r="O5" t="inlineStr">
        <is>
          <t>Reached 72% in CAYm1</t>
        </is>
      </c>
    </row>
    <row r="6">
      <c r="A6" t="inlineStr">
        <is>
          <t>CS301 – Data Structures</t>
        </is>
      </c>
      <c r="B6" t="inlineStr">
        <is>
          <t>2024-25</t>
        </is>
      </c>
      <c r="C6" t="inlineStr">
        <is>
          <t>Odd</t>
        </is>
      </c>
      <c r="D6" t="inlineStr">
        <is>
          <t>Dr. A. Sharma</t>
        </is>
      </c>
      <c r="E6" t="inlineStr">
        <is>
          <t>CO1</t>
        </is>
      </c>
      <c r="F6" t="inlineStr">
        <is>
          <t>Apply recursion and divide-and-conquer to solve problems</t>
        </is>
      </c>
      <c r="G6" t="n">
        <v>72</v>
      </c>
      <c r="H6" t="n">
        <v>66</v>
      </c>
      <c r="I6" t="n">
        <v>70</v>
      </c>
      <c r="J6">
        <f>ROUND(0.8*H6+0.2*I6,1)</f>
        <v/>
      </c>
      <c r="K6">
        <f>G6-J6</f>
        <v/>
      </c>
      <c r="L6" t="inlineStr">
        <is>
          <t>—</t>
        </is>
      </c>
      <c r="M6" t="inlineStr">
        <is>
          <t>Sustained practice + problem sheets</t>
        </is>
      </c>
      <c r="N6" t="inlineStr">
        <is>
          <t>https://drive.example.com/2024_recursion</t>
        </is>
      </c>
      <c r="O6" t="inlineStr">
        <is>
          <t>On target in CAY</t>
        </is>
      </c>
    </row>
    <row r="7">
      <c r="A7" t="inlineStr">
        <is>
          <t>CS301 – Data Structures</t>
        </is>
      </c>
      <c r="B7" t="inlineStr">
        <is>
          <t>2024-25</t>
        </is>
      </c>
      <c r="C7" t="inlineStr">
        <is>
          <t>Odd</t>
        </is>
      </c>
      <c r="D7" t="inlineStr">
        <is>
          <t>Dr. A. Sharma</t>
        </is>
      </c>
      <c r="E7" t="inlineStr">
        <is>
          <t>CO2</t>
        </is>
      </c>
      <c r="F7" t="inlineStr">
        <is>
          <t>Implement linear and non-linear data structures</t>
        </is>
      </c>
      <c r="G7" t="n">
        <v>72</v>
      </c>
      <c r="H7" t="n">
        <v>69</v>
      </c>
      <c r="I7" t="n">
        <v>71</v>
      </c>
      <c r="J7">
        <f>ROUND(0.8*H7+0.2*I7,1)</f>
        <v/>
      </c>
      <c r="K7">
        <f>G7-J7</f>
        <v/>
      </c>
      <c r="L7" t="inlineStr">
        <is>
          <t>—</t>
        </is>
      </c>
      <c r="M7" t="inlineStr">
        <is>
          <t>Weekly coding + peer code reviews</t>
        </is>
      </c>
      <c r="N7" t="inlineStr">
        <is>
          <t>https://drive.example.com/2024_coding</t>
        </is>
      </c>
      <c r="O7" t="inlineStr">
        <is>
          <t>On target in CAY</t>
        </is>
      </c>
    </row>
  </sheetData>
  <conditionalFormatting sqref="K2:K200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3">
    <dataValidation sqref="B2:B2000" showErrorMessage="1" showInputMessage="1" allowBlank="1" type="list">
      <formula1>"2024-25,2023-24,2022-23"</formula1>
    </dataValidation>
    <dataValidation sqref="C2:C2000" showErrorMessage="1" showInputMessage="1" allowBlank="1" type="list">
      <formula1>"Odd,Even"</formula1>
    </dataValidation>
    <dataValidation sqref="E2:E2000" showErrorMessage="1" showInputMessage="1" allowBlank="1" type="list">
      <formula1>"CO1,CO2,CO3,CO4,CO5,CO6"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60" customWidth="1" min="3" max="3"/>
    <col width="60" customWidth="1" min="4" max="4"/>
    <col width="60" customWidth="1" min="5" max="5"/>
    <col width="34" customWidth="1" min="6" max="6"/>
    <col width="36" customWidth="1" min="7" max="7"/>
  </cols>
  <sheetData>
    <row r="1">
      <c r="A1" s="1" t="inlineStr">
        <is>
          <t>Course Code &amp; Title</t>
        </is>
      </c>
      <c r="B1" s="1" t="inlineStr">
        <is>
          <t>CO No.</t>
        </is>
      </c>
      <c r="C1" s="1" t="inlineStr">
        <is>
          <t>CAY (2024-25) Overall (%)</t>
        </is>
      </c>
      <c r="D1" s="1" t="inlineStr">
        <is>
          <t>CAYm1 (2023-24) Overall (%)</t>
        </is>
      </c>
      <c r="E1" s="1" t="inlineStr">
        <is>
          <t>CAYm2 (2022-23) Overall (%)</t>
        </is>
      </c>
      <c r="F1" s="1" t="inlineStr">
        <is>
          <t>Trend</t>
        </is>
      </c>
      <c r="G1" s="1" t="inlineStr">
        <is>
          <t>Remarks</t>
        </is>
      </c>
    </row>
    <row r="2">
      <c r="A2" t="inlineStr">
        <is>
          <t>CS301 – Data Structures</t>
        </is>
      </c>
      <c r="B2" t="inlineStr">
        <is>
          <t>CO1</t>
        </is>
      </c>
      <c r="C2">
        <f>IFERROR(ROUND(AVERAGEIFS('Course-wise CO Attainment'!J:J,'Course-wise CO Attainment'!A:A,A2,'Course-wise CO Attainment'!E:E,B2,'Course-wise CO Attainment'!B:B,"2024-25"),1),"")</f>
        <v/>
      </c>
      <c r="D2">
        <f>IFERROR(ROUND(AVERAGEIFS('Course-wise CO Attainment'!J:J,'Course-wise CO Attainment'!A:A,A2,'Course-wise CO Attainment'!E:E,B2,'Course-wise CO Attainment'!B:B,"2023-24"),1),"")</f>
        <v/>
      </c>
      <c r="E2">
        <f>IFERROR(ROUND(AVERAGEIFS('Course-wise CO Attainment'!J:J,'Course-wise CO Attainment'!A:A,A2,'Course-wise CO Attainment'!E:E,B2,'Course-wise CO Attainment'!B:B,"2022-23"),1),"")</f>
        <v/>
      </c>
      <c r="F2">
        <f>IF(C2&gt;D2,"↑",IF(C2&lt;D2,"↓","→"))</f>
        <v/>
      </c>
      <c r="G2" t="inlineStr">
        <is>
          <t>Steady improvement expected</t>
        </is>
      </c>
    </row>
    <row r="3">
      <c r="A3" t="inlineStr">
        <is>
          <t>CS301 – Data Structures</t>
        </is>
      </c>
      <c r="B3" t="inlineStr">
        <is>
          <t>CO2</t>
        </is>
      </c>
      <c r="C3">
        <f>IFERROR(ROUND(AVERAGEIFS('Course-wise CO Attainment'!J:J,'Course-wise CO Attainment'!A:A,A3,'Course-wise CO Attainment'!E:E,B3,'Course-wise CO Attainment'!B:B,"2024-25"),1),"")</f>
        <v/>
      </c>
      <c r="D3">
        <f>IFERROR(ROUND(AVERAGEIFS('Course-wise CO Attainment'!J:J,'Course-wise CO Attainment'!A:A,A3,'Course-wise CO Attainment'!E:E,B3,'Course-wise CO Attainment'!B:B,"2023-24"),1),"")</f>
        <v/>
      </c>
      <c r="E3">
        <f>IFERROR(ROUND(AVERAGEIFS('Course-wise CO Attainment'!J:J,'Course-wise CO Attainment'!A:A,A3,'Course-wise CO Attainment'!E:E,B3,'Course-wise CO Attainment'!B:B,"2022-23"),1),"")</f>
        <v/>
      </c>
      <c r="F3">
        <f>IF(C3&gt;D3,"↑",IF(C3&lt;D3,"↓","→"))</f>
        <v/>
      </c>
      <c r="G3" t="inlineStr">
        <is>
          <t>Improvement due to coding practice</t>
        </is>
      </c>
    </row>
    <row r="4">
      <c r="A4" t="inlineStr">
        <is>
          <t>EE205 – Circuit Theory</t>
        </is>
      </c>
      <c r="B4" t="inlineStr">
        <is>
          <t>CO3</t>
        </is>
      </c>
      <c r="C4">
        <f>IFERROR(ROUND(AVERAGEIFS('Course-wise CO Attainment'!J:J,'Course-wise CO Attainment'!A:A,A4,'Course-wise CO Attainment'!E:E,B4,'Course-wise CO Attainment'!B:B,"2024-25"),1),"")</f>
        <v/>
      </c>
      <c r="D4">
        <f>IFERROR(ROUND(AVERAGEIFS('Course-wise CO Attainment'!J:J,'Course-wise CO Attainment'!A:A,A4,'Course-wise CO Attainment'!E:E,B4,'Course-wise CO Attainment'!B:B,"2023-24"),1),"")</f>
        <v/>
      </c>
      <c r="E4">
        <f>IFERROR(ROUND(AVERAGEIFS('Course-wise CO Attainment'!J:J,'Course-wise CO Attainment'!A:A,A4,'Course-wise CO Attainment'!E:E,B4,'Course-wise CO Attainment'!B:B,"2022-23"),1),"")</f>
        <v/>
      </c>
      <c r="F4">
        <f>IF(C4&gt;D4,"↑",IF(C4&lt;D4,"↓","→"))</f>
        <v/>
      </c>
      <c r="G4" t="inlineStr">
        <is>
          <t>Focus on simulations</t>
        </is>
      </c>
    </row>
    <row r="5">
      <c r="A5" t="inlineStr">
        <is>
          <t>ME210 – Thermodynamics</t>
        </is>
      </c>
      <c r="B5" t="inlineStr">
        <is>
          <t>CO4</t>
        </is>
      </c>
      <c r="C5">
        <f>IFERROR(ROUND(AVERAGEIFS('Course-wise CO Attainment'!J:J,'Course-wise CO Attainment'!A:A,A5,'Course-wise CO Attainment'!E:E,B5,'Course-wise CO Attainment'!B:B,"2024-25"),1),"")</f>
        <v/>
      </c>
      <c r="D5">
        <f>IFERROR(ROUND(AVERAGEIFS('Course-wise CO Attainment'!J:J,'Course-wise CO Attainment'!A:A,A5,'Course-wise CO Attainment'!E:E,B5,'Course-wise CO Attainment'!B:B,"2023-24"),1),"")</f>
        <v/>
      </c>
      <c r="E5">
        <f>IFERROR(ROUND(AVERAGEIFS('Course-wise CO Attainment'!J:J,'Course-wise CO Attainment'!A:A,A5,'Course-wise CO Attainment'!E:E,B5,'Course-wise CO Attainment'!B:B,"2022-23"),1),"")</f>
        <v/>
      </c>
      <c r="F5">
        <f>IF(C5&gt;D5,"↑",IF(C5&lt;D5,"↓","→"))</f>
        <v/>
      </c>
      <c r="G5" t="inlineStr">
        <is>
          <t>Concept reinforcement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2025-08-28T06:21:17Z</dcterms:created>
  <dcterms:modified xmlns:dcterms="http://purl.org/dc/terms/" xmlns:xsi="http://www.w3.org/2001/XMLSchema-instance" xsi:type="dcterms:W3CDTF">2025-08-28T06:21:17Z</dcterms:modified>
</cp:coreProperties>
</file>