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lc (Input)" sheetId="1" state="visible" r:id="rId1"/>
    <sheet xmlns:r="http://schemas.openxmlformats.org/officeDocument/2006/relationships" name="API Summary (Year-wi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9" customWidth="1" min="3" max="3"/>
    <col width="17" customWidth="1" min="4" max="4"/>
    <col width="22" customWidth="1" min="5" max="5"/>
    <col width="21" customWidth="1" min="6" max="6"/>
    <col width="27" customWidth="1" min="7" max="7"/>
  </cols>
  <sheetData>
    <row r="1">
      <c r="A1" s="1" t="inlineStr">
        <is>
          <t>Academic Year Label</t>
        </is>
      </c>
      <c r="B1" s="1" t="inlineStr">
        <is>
          <t>Cohort (1st/2nd/3rd)</t>
        </is>
      </c>
      <c r="C1" s="1" t="inlineStr">
        <is>
          <t>Students Appeared</t>
        </is>
      </c>
      <c r="D1" s="1" t="inlineStr">
        <is>
          <t>Students Passed</t>
        </is>
      </c>
      <c r="E1" s="1" t="inlineStr">
        <is>
          <t>Pass %</t>
        </is>
      </c>
      <c r="F1" s="1" t="inlineStr">
        <is>
          <t>Avg GPA (out of 10)</t>
        </is>
      </c>
      <c r="G1" s="1" t="inlineStr">
        <is>
          <t>API</t>
        </is>
      </c>
    </row>
    <row r="2">
      <c r="A2" t="inlineStr">
        <is>
          <t>CAYm3 (2021-22)</t>
        </is>
      </c>
      <c r="B2" t="inlineStr">
        <is>
          <t>1st Year</t>
        </is>
      </c>
      <c r="C2" t="n">
        <v>120</v>
      </c>
      <c r="D2" t="n">
        <v>95</v>
      </c>
      <c r="E2">
        <f>IFERROR(D2/C2,"")</f>
        <v/>
      </c>
      <c r="F2" t="n">
        <v>6.8</v>
      </c>
      <c r="G2">
        <f>IFERROR((F2/10)*E2,"")</f>
        <v/>
      </c>
    </row>
    <row r="3">
      <c r="A3" t="inlineStr">
        <is>
          <t>CAYm2 (2022-23)</t>
        </is>
      </c>
      <c r="B3" t="inlineStr">
        <is>
          <t>1st Year</t>
        </is>
      </c>
      <c r="C3" t="n">
        <v>125</v>
      </c>
      <c r="D3" t="n">
        <v>108</v>
      </c>
      <c r="E3">
        <f>IFERROR(D3/C3,"")</f>
        <v/>
      </c>
      <c r="F3" t="n">
        <v>7.2</v>
      </c>
      <c r="G3">
        <f>IFERROR((F3/10)*E3,"")</f>
        <v/>
      </c>
    </row>
    <row r="4">
      <c r="A4" t="inlineStr">
        <is>
          <t>CAYm1 (2023-24)</t>
        </is>
      </c>
      <c r="B4" t="inlineStr">
        <is>
          <t>1st Year</t>
        </is>
      </c>
      <c r="C4" t="n">
        <v>130</v>
      </c>
      <c r="D4" t="n">
        <v>120</v>
      </c>
      <c r="E4">
        <f>IFERROR(D4/C4,"")</f>
        <v/>
      </c>
      <c r="F4" t="n">
        <v>7.8</v>
      </c>
      <c r="G4">
        <f>IFERROR((F4/10)*E4,"")</f>
        <v/>
      </c>
    </row>
    <row r="5">
      <c r="A5" t="inlineStr">
        <is>
          <t>CAYm3 (2021-22)</t>
        </is>
      </c>
      <c r="B5" t="inlineStr">
        <is>
          <t>2nd Year</t>
        </is>
      </c>
      <c r="C5" t="n">
        <v>110</v>
      </c>
      <c r="D5" t="n">
        <v>87</v>
      </c>
      <c r="E5">
        <f>IFERROR(D5/C5,"")</f>
        <v/>
      </c>
      <c r="F5" t="n">
        <v>6.7</v>
      </c>
      <c r="G5">
        <f>IFERROR((F5/10)*E5,"")</f>
        <v/>
      </c>
    </row>
    <row r="6">
      <c r="A6" t="inlineStr">
        <is>
          <t>CAYm2 (2022-23)</t>
        </is>
      </c>
      <c r="B6" t="inlineStr">
        <is>
          <t>2nd Year</t>
        </is>
      </c>
      <c r="C6" t="n">
        <v>115</v>
      </c>
      <c r="D6" t="n">
        <v>97</v>
      </c>
      <c r="E6">
        <f>IFERROR(D6/C6,"")</f>
        <v/>
      </c>
      <c r="F6" t="n">
        <v>7.1</v>
      </c>
      <c r="G6">
        <f>IFERROR((F6/10)*E6,"")</f>
        <v/>
      </c>
    </row>
    <row r="7">
      <c r="A7" t="inlineStr">
        <is>
          <t>CAYm1 (2023-24)</t>
        </is>
      </c>
      <c r="B7" t="inlineStr">
        <is>
          <t>2nd Year</t>
        </is>
      </c>
      <c r="C7" t="n">
        <v>118</v>
      </c>
      <c r="D7" t="n">
        <v>104</v>
      </c>
      <c r="E7">
        <f>IFERROR(D7/C7,"")</f>
        <v/>
      </c>
      <c r="F7" t="n">
        <v>7.5</v>
      </c>
      <c r="G7">
        <f>IFERROR((F7/10)*E7,"")</f>
        <v/>
      </c>
    </row>
    <row r="8">
      <c r="A8" t="inlineStr">
        <is>
          <t>CAYm3 (2021-22)</t>
        </is>
      </c>
      <c r="B8" t="inlineStr">
        <is>
          <t>3rd Year</t>
        </is>
      </c>
      <c r="C8" t="n">
        <v>105</v>
      </c>
      <c r="D8" t="n">
        <v>82</v>
      </c>
      <c r="E8">
        <f>IFERROR(D8/C8,"")</f>
        <v/>
      </c>
      <c r="F8" t="n">
        <v>6.6</v>
      </c>
      <c r="G8">
        <f>IFERROR((F8/10)*E8,"")</f>
        <v/>
      </c>
    </row>
    <row r="9">
      <c r="A9" t="inlineStr">
        <is>
          <t>CAYm2 (2022-23)</t>
        </is>
      </c>
      <c r="B9" t="inlineStr">
        <is>
          <t>3rd Year</t>
        </is>
      </c>
      <c r="C9" t="n">
        <v>108</v>
      </c>
      <c r="D9" t="n">
        <v>91</v>
      </c>
      <c r="E9">
        <f>IFERROR(D9/C9,"")</f>
        <v/>
      </c>
      <c r="F9" t="n">
        <v>7</v>
      </c>
      <c r="G9">
        <f>IFERROR((F9/10)*E9,"")</f>
        <v/>
      </c>
    </row>
    <row r="10">
      <c r="A10" t="inlineStr">
        <is>
          <t>CAYm1 (2023-24)</t>
        </is>
      </c>
      <c r="B10" t="inlineStr">
        <is>
          <t>3rd Year</t>
        </is>
      </c>
      <c r="C10" t="n">
        <v>112</v>
      </c>
      <c r="D10" t="n">
        <v>101</v>
      </c>
      <c r="E10">
        <f>IFERROR(D10/C10,"")</f>
        <v/>
      </c>
      <c r="F10" t="n">
        <v>7.6</v>
      </c>
      <c r="G10">
        <f>IFERROR((F10/10)*E10,"")</f>
        <v/>
      </c>
    </row>
  </sheetData>
  <dataValidations count="2">
    <dataValidation sqref="A2:A1000" showErrorMessage="1" showInputMessage="1" allowBlank="1" type="list">
      <formula1>"CAYm1 (2023-24),CAYm2 (2022-23),CAYm3 (2021-22)"</formula1>
    </dataValidation>
    <dataValidation sqref="B2:B1000" showErrorMessage="1" showInputMessage="1" allowBlank="1" type="list">
      <formula1>"1st Year,2nd Year,3rd Year"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34" customWidth="1" min="5" max="5"/>
    <col width="34" customWidth="1" min="6" max="6"/>
    <col width="40" customWidth="1" min="7" max="7"/>
    <col width="9" customWidth="1" min="8" max="8"/>
  </cols>
  <sheetData>
    <row r="1">
      <c r="A1" s="1" t="inlineStr">
        <is>
          <t>Item</t>
        </is>
      </c>
      <c r="B1" s="1" t="inlineStr">
        <is>
          <t>CAYm1 (2023-24) API</t>
        </is>
      </c>
      <c r="C1" s="1" t="inlineStr">
        <is>
          <t>CAYm2 (2022-23) API</t>
        </is>
      </c>
      <c r="D1" s="1" t="inlineStr">
        <is>
          <t>CAYm3 (2021-22) API</t>
        </is>
      </c>
      <c r="E1" s="1" t="inlineStr">
        <is>
          <t>YoY Δ (CAYm2→CAYm1)</t>
        </is>
      </c>
      <c r="F1" s="1" t="inlineStr">
        <is>
          <t>YoY Δ (CAYm3→CAYm2)</t>
        </is>
      </c>
      <c r="G1" s="1" t="inlineStr">
        <is>
          <t>3-Year Improvement % (CAYm3→CAYm1)</t>
        </is>
      </c>
      <c r="H1" s="1" t="inlineStr">
        <is>
          <t>Remarks</t>
        </is>
      </c>
    </row>
    <row r="2">
      <c r="A2" t="inlineStr">
        <is>
          <t>Academic Performance Index (API) of the First-Year Students in the Program (Ref 4.3)</t>
        </is>
      </c>
      <c r="B2">
        <f>IFERROR(SUMIFS('API Calc (Input)'!$G:$G,'API Calc (Input)'!$A:$A,"CAYm1 (2023-24)",'API Calc (Input)'!$B:$B,"1st Year"),"")</f>
        <v/>
      </c>
      <c r="C2">
        <f>IFERROR(SUMIFS('API Calc (Input)'!$G:$G,'API Calc (Input)'!$A:$A,"CAYm2 (2022-23)",'API Calc (Input)'!$B:$B,"1st Year"),"")</f>
        <v/>
      </c>
      <c r="D2">
        <f>IFERROR(SUMIFS('API Calc (Input)'!$G:$G,'API Calc (Input)'!$A:$A,"CAYm3 (2021-22)",'API Calc (Input)'!$B:$B,"1st Year"),"")</f>
        <v/>
      </c>
      <c r="E2">
        <f>IF(AND(B2&lt;&gt;"",C2&lt;&gt;""),B2-C2,"")</f>
        <v/>
      </c>
      <c r="F2">
        <f>IF(AND(C2&lt;&gt;"",D2&lt;&gt;""),C2-D2,"")</f>
        <v/>
      </c>
      <c r="G2">
        <f>IF(D2=0,"",ROUND(((B2-D2)/D2)*100,1))</f>
        <v/>
      </c>
      <c r="H2" t="inlineStr"/>
    </row>
    <row r="3">
      <c r="A3" t="inlineStr">
        <is>
          <t>Academic Performance Index of the Second-Year Students in the Program (Ref 4.4)</t>
        </is>
      </c>
      <c r="B3">
        <f>IFERROR(SUMIFS('API Calc (Input)'!$G:$G,'API Calc (Input)'!$A:$A,"CAYm1 (2023-24)",'API Calc (Input)'!$B:$B,"2nd Year"),"")</f>
        <v/>
      </c>
      <c r="C3">
        <f>IFERROR(SUMIFS('API Calc (Input)'!$G:$G,'API Calc (Input)'!$A:$A,"CAYm2 (2022-23)",'API Calc (Input)'!$B:$B,"2nd Year"),"")</f>
        <v/>
      </c>
      <c r="D3">
        <f>IFERROR(SUMIFS('API Calc (Input)'!$G:$G,'API Calc (Input)'!$A:$A,"CAYm3 (2021-22)",'API Calc (Input)'!$B:$B,"2nd Year"),"")</f>
        <v/>
      </c>
      <c r="E3">
        <f>IF(AND(B3&lt;&gt;"",C3&lt;&gt;""),B3-C3,"")</f>
        <v/>
      </c>
      <c r="F3">
        <f>IF(AND(C3&lt;&gt;"",D3&lt;&gt;""),C3-D3,"")</f>
        <v/>
      </c>
      <c r="G3">
        <f>IF(D3=0,"",ROUND(((B3-D3)/D3)*100,1))</f>
        <v/>
      </c>
      <c r="H3" t="inlineStr"/>
    </row>
    <row r="4">
      <c r="A4" t="inlineStr">
        <is>
          <t>Academic Performance Index of the Third-Year Students in the Program (Ref 4.5)</t>
        </is>
      </c>
      <c r="B4">
        <f>IFERROR(SUMIFS('API Calc (Input)'!$G:$G,'API Calc (Input)'!$A:$A,"CAYm1 (2023-24)",'API Calc (Input)'!$B:$B,"3rd Year"),"")</f>
        <v/>
      </c>
      <c r="C4">
        <f>IFERROR(SUMIFS('API Calc (Input)'!$G:$G,'API Calc (Input)'!$A:$A,"CAYm2 (2022-23)",'API Calc (Input)'!$B:$B,"3rd Year"),"")</f>
        <v/>
      </c>
      <c r="D4">
        <f>IFERROR(SUMIFS('API Calc (Input)'!$G:$G,'API Calc (Input)'!$A:$A,"CAYm3 (2021-22)",'API Calc (Input)'!$B:$B,"3rd Year"),"")</f>
        <v/>
      </c>
      <c r="E4">
        <f>IF(AND(B4&lt;&gt;"",C4&lt;&gt;""),B4-C4,"")</f>
        <v/>
      </c>
      <c r="F4">
        <f>IF(AND(C4&lt;&gt;"",D4&lt;&gt;""),C4-D4,"")</f>
        <v/>
      </c>
      <c r="G4">
        <f>IF(D4=0,"",ROUND(((B4-D4)/D4)*100,1))</f>
        <v/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