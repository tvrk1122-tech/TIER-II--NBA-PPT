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_Data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Actions_Link" sheetId="4" state="visible" r:id="rId4"/>
    <sheet xmlns:r="http://schemas.openxmlformats.org/officeDocument/2006/relationships" name="Bench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20" customWidth="1" min="5" max="5"/>
    <col width="16" customWidth="1" min="6" max="6"/>
    <col width="40" customWidth="1" min="7" max="7"/>
    <col width="17" customWidth="1" min="8" max="8"/>
    <col width="20" customWidth="1" min="9" max="9"/>
  </cols>
  <sheetData>
    <row r="1">
      <c r="A1" s="1" t="inlineStr">
        <is>
          <t>PO_PSO Gap Analysis – Summary (Criterion 8.5.2)</t>
        </is>
      </c>
    </row>
    <row r="2"/>
    <row r="3">
      <c r="A3" s="2" t="inlineStr">
        <is>
          <t>PO/PSO Code</t>
        </is>
      </c>
      <c r="B3" s="2" t="inlineStr">
        <is>
          <t>CAYm2 (%)</t>
        </is>
      </c>
      <c r="C3" s="2" t="inlineStr">
        <is>
          <t>CAYm1 (%)</t>
        </is>
      </c>
      <c r="D3" s="2" t="inlineStr">
        <is>
          <t>CAY (%)</t>
        </is>
      </c>
      <c r="E3" s="2" t="inlineStr">
        <is>
          <t>Δ from CAYm1 (pp)</t>
        </is>
      </c>
      <c r="F3" s="2" t="inlineStr">
        <is>
          <t>Benchmark (%)</t>
        </is>
      </c>
      <c r="G3" s="2" t="inlineStr">
        <is>
          <t>Status vs Benchmark</t>
        </is>
      </c>
      <c r="H3" s="2" t="inlineStr">
        <is>
          <t>Cause Category</t>
        </is>
      </c>
      <c r="I3" s="2" t="inlineStr">
        <is>
          <t>Action Link</t>
        </is>
      </c>
    </row>
    <row r="4">
      <c r="A4" s="3" t="inlineStr">
        <is>
          <t>PO1</t>
        </is>
      </c>
      <c r="B4" s="3" t="n">
        <v>71</v>
      </c>
      <c r="C4" s="3" t="n">
        <v>75</v>
      </c>
      <c r="D4" s="3" t="n">
        <v>78</v>
      </c>
      <c r="E4" s="3">
        <f>D4-C4</f>
        <v/>
      </c>
      <c r="F4" s="3" t="n">
        <v>70</v>
      </c>
      <c r="G4" s="3">
        <f>IF(D4&gt;=F4,"Achieved","Below Target")</f>
        <v/>
      </c>
      <c r="H4" s="3" t="n"/>
      <c r="I4" s="3" t="inlineStr">
        <is>
          <t>see Actions sheet</t>
        </is>
      </c>
    </row>
    <row r="5">
      <c r="A5" s="3" t="inlineStr">
        <is>
          <t>PO2</t>
        </is>
      </c>
      <c r="B5" s="3" t="n">
        <v>76</v>
      </c>
      <c r="C5" s="3" t="n">
        <v>74</v>
      </c>
      <c r="D5" s="3" t="n">
        <v>82</v>
      </c>
      <c r="E5" s="3">
        <f>D5-C5</f>
        <v/>
      </c>
      <c r="F5" s="3" t="n">
        <v>70</v>
      </c>
      <c r="G5" s="3">
        <f>IF(D5&gt;=F5,"Achieved","Below Target")</f>
        <v/>
      </c>
      <c r="H5" s="3" t="n"/>
      <c r="I5" s="3" t="inlineStr">
        <is>
          <t>see Actions sheet</t>
        </is>
      </c>
    </row>
    <row r="6">
      <c r="A6" s="3" t="inlineStr">
        <is>
          <t>PSO1</t>
        </is>
      </c>
      <c r="B6" s="3" t="n">
        <v>66</v>
      </c>
      <c r="C6" s="3" t="n">
        <v>68</v>
      </c>
      <c r="D6" s="3" t="n">
        <v>72</v>
      </c>
      <c r="E6" s="3">
        <f>D6-C6</f>
        <v/>
      </c>
      <c r="F6" s="3" t="n">
        <v>70</v>
      </c>
      <c r="G6" s="3">
        <f>IF(D6&gt;=F6,"Achieved","Below Target")</f>
        <v/>
      </c>
      <c r="H6" s="3" t="n"/>
      <c r="I6" s="3" t="inlineStr">
        <is>
          <t>see Actions sheet</t>
        </is>
      </c>
    </row>
  </sheetData>
  <mergeCells count="1">
    <mergeCell ref="A1:I1"/>
  </mergeCells>
  <dataValidations count="1">
    <dataValidation sqref="H4 H5 H6" showErrorMessage="1" showInputMessage="1" allowBlank="1" type="list">
      <formula1>"Curricular,Pedagogical,Assessment,Infrastructure,Student Support"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2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</cols>
  <sheetData>
    <row r="1">
      <c r="A1" s="4" t="inlineStr">
        <is>
          <t>CO → PO/PSO Inputs (Attainment &amp; Weights)</t>
        </is>
      </c>
    </row>
    <row r="2"/>
    <row r="3">
      <c r="A3" s="2" t="inlineStr">
        <is>
          <t>Course Code</t>
        </is>
      </c>
      <c r="B3" s="2" t="inlineStr">
        <is>
          <t>CO No.</t>
        </is>
      </c>
      <c r="C3" s="2" t="inlineStr">
        <is>
          <t>CO Attainment (%)</t>
        </is>
      </c>
      <c r="D3" s="2" t="inlineStr">
        <is>
          <t>PO1</t>
        </is>
      </c>
      <c r="E3" s="2" t="inlineStr">
        <is>
          <t>PO2</t>
        </is>
      </c>
      <c r="F3" s="2" t="inlineStr">
        <is>
          <t>PO3</t>
        </is>
      </c>
      <c r="G3" s="2" t="inlineStr">
        <is>
          <t>PO4</t>
        </is>
      </c>
      <c r="H3" s="2" t="inlineStr">
        <is>
          <t>PO5</t>
        </is>
      </c>
      <c r="I3" s="2" t="inlineStr">
        <is>
          <t>PSO1</t>
        </is>
      </c>
    </row>
    <row r="4">
      <c r="A4" s="3" t="inlineStr">
        <is>
          <t>FY101</t>
        </is>
      </c>
      <c r="B4" s="3" t="inlineStr">
        <is>
          <t>CO1</t>
        </is>
      </c>
      <c r="C4" s="3" t="n">
        <v>78</v>
      </c>
      <c r="D4" s="3" t="n">
        <v>3</v>
      </c>
      <c r="E4" s="3" t="n">
        <v>2</v>
      </c>
      <c r="F4" s="3" t="n">
        <v>0</v>
      </c>
      <c r="G4" s="3" t="n">
        <v>1</v>
      </c>
      <c r="H4" s="3" t="n">
        <v>0</v>
      </c>
      <c r="I4" s="3" t="n">
        <v>2</v>
      </c>
    </row>
    <row r="5">
      <c r="A5" s="3" t="inlineStr">
        <is>
          <t>FY101</t>
        </is>
      </c>
      <c r="B5" s="3" t="inlineStr">
        <is>
          <t>CO2</t>
        </is>
      </c>
      <c r="C5" s="3" t="n">
        <v>75</v>
      </c>
      <c r="D5" s="3" t="n">
        <v>2</v>
      </c>
      <c r="E5" s="3" t="n">
        <v>3</v>
      </c>
      <c r="F5" s="3" t="n">
        <v>2</v>
      </c>
      <c r="G5" s="3" t="n">
        <v>0</v>
      </c>
      <c r="H5" s="3" t="n">
        <v>1</v>
      </c>
      <c r="I5" s="3" t="n">
        <v>0</v>
      </c>
    </row>
    <row r="6">
      <c r="A6" s="3" t="inlineStr">
        <is>
          <t>FY103</t>
        </is>
      </c>
      <c r="B6" s="3" t="inlineStr">
        <is>
          <t>CO3</t>
        </is>
      </c>
      <c r="C6" s="3" t="n">
        <v>74</v>
      </c>
      <c r="D6" s="3" t="n">
        <v>1</v>
      </c>
      <c r="E6" s="3" t="n">
        <v>0</v>
      </c>
      <c r="F6" s="3" t="n">
        <v>3</v>
      </c>
      <c r="G6" s="3" t="n">
        <v>2</v>
      </c>
      <c r="H6" s="3" t="n">
        <v>0</v>
      </c>
      <c r="I6" s="3" t="n">
        <v>1</v>
      </c>
    </row>
    <row r="7">
      <c r="A7" s="3" t="inlineStr">
        <is>
          <t>FY105</t>
        </is>
      </c>
      <c r="B7" s="3" t="inlineStr">
        <is>
          <t>CO4</t>
        </is>
      </c>
      <c r="C7" s="3" t="n">
        <v>72</v>
      </c>
      <c r="D7" s="3" t="n">
        <v>3</v>
      </c>
      <c r="E7" s="3" t="n">
        <v>2</v>
      </c>
      <c r="F7" s="3" t="n">
        <v>0</v>
      </c>
      <c r="G7" s="3" t="n">
        <v>1</v>
      </c>
      <c r="H7" s="3" t="n">
        <v>0</v>
      </c>
      <c r="I7" s="3" t="n">
        <v>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9" customWidth="1" min="5" max="5"/>
    <col width="16" customWidth="1" min="6" max="6"/>
    <col width="24" customWidth="1" min="7" max="7"/>
    <col width="17" customWidth="1" min="8" max="8"/>
    <col width="28" customWidth="1" min="9" max="9"/>
    <col width="19" customWidth="1" min="10" max="10"/>
  </cols>
  <sheetData>
    <row r="1">
      <c r="A1" s="4" t="inlineStr">
        <is>
          <t>PO/PSO Gap Analysis</t>
        </is>
      </c>
    </row>
    <row r="2"/>
    <row r="3">
      <c r="A3" s="2" t="inlineStr">
        <is>
          <t>PO/PSO Code</t>
        </is>
      </c>
      <c r="B3" s="2" t="inlineStr">
        <is>
          <t>CAYm2 (%)</t>
        </is>
      </c>
      <c r="C3" s="2" t="inlineStr">
        <is>
          <t>CAYm1 (%)</t>
        </is>
      </c>
      <c r="D3" s="2" t="inlineStr">
        <is>
          <t>CAY (%)</t>
        </is>
      </c>
      <c r="E3" s="2" t="inlineStr">
        <is>
          <t>Δ (pp)</t>
        </is>
      </c>
      <c r="F3" s="2" t="inlineStr">
        <is>
          <t>Benchmark (%)</t>
        </is>
      </c>
      <c r="G3" s="2" t="inlineStr">
        <is>
          <t>Gap vs Benchmark (pp)</t>
        </is>
      </c>
      <c r="H3" s="2" t="inlineStr">
        <is>
          <t>Cause Category</t>
        </is>
      </c>
      <c r="I3" s="2" t="inlineStr">
        <is>
          <t>Root Cause Details</t>
        </is>
      </c>
      <c r="J3" s="2" t="inlineStr">
        <is>
          <t>Priority (H/M/L)</t>
        </is>
      </c>
    </row>
    <row r="4">
      <c r="A4" s="3" t="inlineStr">
        <is>
          <t>PO1</t>
        </is>
      </c>
      <c r="B4" s="3" t="n">
        <v>71</v>
      </c>
      <c r="C4" s="3" t="n">
        <v>75</v>
      </c>
      <c r="D4" s="3" t="n">
        <v>78</v>
      </c>
      <c r="E4" s="3">
        <f>D4-C4</f>
        <v/>
      </c>
      <c r="F4" s="3" t="n">
        <v>70</v>
      </c>
      <c r="G4" s="3">
        <f>D4-F4</f>
        <v/>
      </c>
      <c r="H4" s="3" t="inlineStr">
        <is>
          <t>Pedagogical</t>
        </is>
      </c>
      <c r="I4" s="3" t="inlineStr">
        <is>
          <t>Need more problem-solving</t>
        </is>
      </c>
      <c r="J4" s="3" t="inlineStr">
        <is>
          <t>M</t>
        </is>
      </c>
    </row>
    <row r="5">
      <c r="A5" s="3" t="inlineStr">
        <is>
          <t>PO2</t>
        </is>
      </c>
      <c r="B5" s="3" t="n">
        <v>76</v>
      </c>
      <c r="C5" s="3" t="n">
        <v>74</v>
      </c>
      <c r="D5" s="3" t="n">
        <v>82</v>
      </c>
      <c r="E5" s="3">
        <f>D5-C5</f>
        <v/>
      </c>
      <c r="F5" s="3" t="n">
        <v>70</v>
      </c>
      <c r="G5" s="3">
        <f>D5-F5</f>
        <v/>
      </c>
      <c r="H5" s="3" t="inlineStr">
        <is>
          <t>Curricular</t>
        </is>
      </c>
      <c r="I5" s="3" t="inlineStr">
        <is>
          <t>Add mini-projects</t>
        </is>
      </c>
      <c r="J5" s="3" t="inlineStr">
        <is>
          <t>H</t>
        </is>
      </c>
    </row>
    <row r="6">
      <c r="A6" s="3" t="inlineStr">
        <is>
          <t>PSO1</t>
        </is>
      </c>
      <c r="B6" s="3" t="n">
        <v>66</v>
      </c>
      <c r="C6" s="3" t="n">
        <v>68</v>
      </c>
      <c r="D6" s="3" t="n">
        <v>72</v>
      </c>
      <c r="E6" s="3">
        <f>D6-C6</f>
        <v/>
      </c>
      <c r="F6" s="3" t="n">
        <v>70</v>
      </c>
      <c r="G6" s="3">
        <f>D6-F6</f>
        <v/>
      </c>
      <c r="H6" s="3" t="inlineStr">
        <is>
          <t>Infrastructure</t>
        </is>
      </c>
      <c r="I6" s="3" t="inlineStr">
        <is>
          <t>Simulation tool access</t>
        </is>
      </c>
      <c r="J6" s="3" t="inlineStr">
        <is>
          <t>M</t>
        </is>
      </c>
    </row>
  </sheetData>
  <mergeCells count="1">
    <mergeCell ref="A1:J1"/>
  </mergeCells>
  <dataValidations count="2">
    <dataValidation sqref="H4 H5 H6" showErrorMessage="1" showInputMessage="1" allowBlank="1" type="list">
      <formula1>"Curricular,Pedagogical,Assessment,Infrastructure,Student Support"</formula1>
    </dataValidation>
    <dataValidation sqref="J4 J5 J6" showErrorMessage="1" showInputMessage="1" allowBlank="1" type="list">
      <formula1>"H,M,L"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35" customWidth="1" min="3" max="3"/>
    <col width="17" customWidth="1" min="4" max="4"/>
    <col width="16" customWidth="1" min="5" max="5"/>
    <col width="14" customWidth="1" min="6" max="6"/>
    <col width="31" customWidth="1" min="7" max="7"/>
    <col width="14" customWidth="1" min="8" max="8"/>
    <col width="10" customWidth="1" min="9" max="9"/>
  </cols>
  <sheetData>
    <row r="1">
      <c r="A1" s="4" t="inlineStr">
        <is>
          <t>Actions Mapped to PO/PSO Gaps (Links to ATR)</t>
        </is>
      </c>
    </row>
    <row r="2"/>
    <row r="3">
      <c r="A3" s="2" t="inlineStr">
        <is>
          <t>PO/PSO Code</t>
        </is>
      </c>
      <c r="B3" s="2" t="inlineStr">
        <is>
          <t>Observed Gap (pp)</t>
        </is>
      </c>
      <c r="C3" s="2" t="inlineStr">
        <is>
          <t>Action Title</t>
        </is>
      </c>
      <c r="D3" s="2" t="inlineStr">
        <is>
          <t>Action Type</t>
        </is>
      </c>
      <c r="E3" s="2" t="inlineStr">
        <is>
          <t>Responsible</t>
        </is>
      </c>
      <c r="F3" s="2" t="inlineStr">
        <is>
          <t>Target Date</t>
        </is>
      </c>
      <c r="G3" s="2" t="inlineStr">
        <is>
          <t>Evidence Link</t>
        </is>
      </c>
      <c r="H3" s="2" t="inlineStr">
        <is>
          <t>Status</t>
        </is>
      </c>
      <c r="I3" s="2" t="inlineStr">
        <is>
          <t>Remarks</t>
        </is>
      </c>
    </row>
    <row r="4">
      <c r="A4" s="3" t="inlineStr">
        <is>
          <t>PO1</t>
        </is>
      </c>
      <c r="B4" s="3">
        <f>Gap_Analysis!G4</f>
        <v/>
      </c>
      <c r="C4" s="3" t="inlineStr">
        <is>
          <t>Weekly problem-solving tutorials</t>
        </is>
      </c>
      <c r="D4" s="3" t="inlineStr">
        <is>
          <t>Pedagogical</t>
        </is>
      </c>
      <c r="E4" s="3" t="inlineStr">
        <is>
          <t>Math Faculty</t>
        </is>
      </c>
      <c r="F4" s="3" t="inlineStr">
        <is>
          <t>2025-10-15</t>
        </is>
      </c>
      <c r="G4" s="3" t="inlineStr">
        <is>
          <t>Tutorial_Schedule.pdf</t>
        </is>
      </c>
      <c r="H4" s="3" t="inlineStr">
        <is>
          <t>Planned</t>
        </is>
      </c>
      <c r="I4" s="3" t="inlineStr"/>
    </row>
    <row r="5">
      <c r="A5" s="3" t="inlineStr">
        <is>
          <t>PO2</t>
        </is>
      </c>
      <c r="B5" s="3">
        <f>Gap_Analysis!G5</f>
        <v/>
      </c>
      <c r="C5" s="3" t="inlineStr">
        <is>
          <t>Mini-project added to lab</t>
        </is>
      </c>
      <c r="D5" s="3" t="inlineStr">
        <is>
          <t>Curricular</t>
        </is>
      </c>
      <c r="E5" s="3" t="inlineStr">
        <is>
          <t>Lab In-charge</t>
        </is>
      </c>
      <c r="F5" s="3" t="inlineStr">
        <is>
          <t>2025-10-25</t>
        </is>
      </c>
      <c r="G5" s="3" t="inlineStr">
        <is>
          <t>Project_Report.pdf</t>
        </is>
      </c>
      <c r="H5" s="3" t="inlineStr">
        <is>
          <t>In-Progress</t>
        </is>
      </c>
      <c r="I5" s="3" t="inlineStr"/>
    </row>
    <row r="6">
      <c r="A6" s="3" t="inlineStr">
        <is>
          <t>PSO1</t>
        </is>
      </c>
      <c r="B6" s="3">
        <f>Gap_Analysis!G6</f>
        <v/>
      </c>
      <c r="C6" s="3" t="inlineStr">
        <is>
          <t>Provision of simulation tools</t>
        </is>
      </c>
      <c r="D6" s="3" t="inlineStr">
        <is>
          <t>Infrastructure</t>
        </is>
      </c>
      <c r="E6" s="3" t="inlineStr">
        <is>
          <t>HoD/Lab</t>
        </is>
      </c>
      <c r="F6" s="3" t="inlineStr">
        <is>
          <t>2025-11-10</t>
        </is>
      </c>
      <c r="G6" s="3" t="inlineStr">
        <is>
          <t>Software_Training_Report.pdf</t>
        </is>
      </c>
      <c r="H6" s="3" t="inlineStr">
        <is>
          <t>Planned</t>
        </is>
      </c>
      <c r="I6" s="3" t="inlineStr"/>
    </row>
  </sheetData>
  <mergeCells count="1">
    <mergeCell ref="A1:I1"/>
  </mergeCells>
  <dataValidations count="2">
    <dataValidation sqref="D4 D5 D6" showErrorMessage="1" showInputMessage="1" allowBlank="1" type="list">
      <formula1>"Pedagogical,Curricular,Assessment,Infrastructure,Student Support"</formula1>
    </dataValidation>
    <dataValidation sqref="H4 H5 H6" showErrorMessage="1" showInputMessage="1" allowBlank="1" type="list">
      <formula1>"Planned,In-Progress,Completed"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20" customWidth="1" min="4" max="4"/>
  </cols>
  <sheetData>
    <row r="1">
      <c r="A1" s="4" t="inlineStr">
        <is>
          <t>Department Benchmark Levels</t>
        </is>
      </c>
    </row>
    <row r="2"/>
    <row r="3">
      <c r="A3" s="2" t="inlineStr">
        <is>
          <t>Level</t>
        </is>
      </c>
      <c r="B3" s="2" t="inlineStr">
        <is>
          <t>Range (%)</t>
        </is>
      </c>
      <c r="C3" s="2" t="inlineStr">
        <is>
          <t>Descriptor</t>
        </is>
      </c>
      <c r="D3" s="2" t="inlineStr">
        <is>
          <t>Use</t>
        </is>
      </c>
    </row>
    <row r="4">
      <c r="A4" s="3" t="inlineStr">
        <is>
          <t>Level 3</t>
        </is>
      </c>
      <c r="B4" s="3" t="inlineStr">
        <is>
          <t>≥ 80</t>
        </is>
      </c>
      <c r="C4" s="3" t="inlineStr">
        <is>
          <t>High Attainment</t>
        </is>
      </c>
      <c r="D4" s="3" t="inlineStr">
        <is>
          <t>Target fully met</t>
        </is>
      </c>
    </row>
    <row r="5">
      <c r="A5" s="3" t="inlineStr">
        <is>
          <t>Level 2</t>
        </is>
      </c>
      <c r="B5" s="3" t="inlineStr">
        <is>
          <t>70–79</t>
        </is>
      </c>
      <c r="C5" s="3" t="inlineStr">
        <is>
          <t>Moderate Attainment</t>
        </is>
      </c>
      <c r="D5" s="3" t="inlineStr">
        <is>
          <t>Satisfactory</t>
        </is>
      </c>
    </row>
    <row r="6">
      <c r="A6" s="3" t="inlineStr">
        <is>
          <t>Level 1</t>
        </is>
      </c>
      <c r="B6" s="3" t="inlineStr">
        <is>
          <t>60–69</t>
        </is>
      </c>
      <c r="C6" s="3" t="inlineStr">
        <is>
          <t>Low Attainment</t>
        </is>
      </c>
      <c r="D6" s="3" t="inlineStr">
        <is>
          <t>Needs improvement</t>
        </is>
      </c>
    </row>
    <row r="7">
      <c r="A7" s="3" t="inlineStr">
        <is>
          <t>Level 0</t>
        </is>
      </c>
      <c r="B7" s="3" t="inlineStr">
        <is>
          <t>&lt; 60</t>
        </is>
      </c>
      <c r="C7" s="3" t="inlineStr">
        <is>
          <t>Below Target</t>
        </is>
      </c>
      <c r="D7" s="3" t="inlineStr">
        <is>
          <t>Immediate action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2025-10-11T08:55:42Z</dcterms:created>
  <dcterms:modified xmlns:dcterms="http://purl.org/dc/terms/" xmlns:xsi="http://www.w3.org/2001/XMLSchema-instance" xsi:type="dcterms:W3CDTF">2025-10-11T08:55:42Z</dcterms:modified>
</cp:coreProperties>
</file>