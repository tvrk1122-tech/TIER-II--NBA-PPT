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Faculty_Roster" sheetId="2" state="visible" r:id="rId2"/>
    <sheet xmlns:r="http://schemas.openxmlformats.org/officeDocument/2006/relationships" name="FQI_Calculat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Faculty Qualification Index (FQI) — NBA (Max 25)</t>
        </is>
      </c>
    </row>
    <row r="3">
      <c r="A3" t="inlineStr">
        <is>
          <t>- Enter student totals S (Department + Allied) for CAY, CAYm1, CAYm2.</t>
        </is>
      </c>
    </row>
    <row r="4">
      <c r="A4" t="inlineStr">
        <is>
          <t>- Either enter X (PhD count) &amp; Y (M.Tech/ME count) directly on 'FQI_Calculator',</t>
        </is>
      </c>
    </row>
    <row r="5">
      <c r="A5" t="inlineStr">
        <is>
          <t xml:space="preserve">  OR fill 'Faculty_Roster' with faculty &amp; qualifications and the calculator will auto-count X &amp; Y via COUNTIFS.</t>
        </is>
      </c>
    </row>
    <row r="6">
      <c r="A6" t="inlineStr">
        <is>
          <t>- RF (Required Faculty) = S / 20 as per NBA SFR rule.</t>
        </is>
      </c>
    </row>
    <row r="7">
      <c r="A7" t="inlineStr">
        <is>
          <t>- FQI = 2.5 * ((10*X + 4*Y) / RF) — capped at 25.0.</t>
        </is>
      </c>
    </row>
    <row r="8">
      <c r="A8" t="inlineStr">
        <is>
          <t>- Exclude 100% first-year-only faculty, visiting/part-time from the roster (or mark Counted=No).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26" customWidth="1" min="4" max="4"/>
    <col width="16" customWidth="1" min="5" max="5"/>
    <col width="18" customWidth="1" min="6" max="6"/>
    <col width="28" customWidth="1" min="7" max="7"/>
  </cols>
  <sheetData>
    <row r="1">
      <c r="A1" s="2" t="inlineStr">
        <is>
          <t>Emp_ID</t>
        </is>
      </c>
      <c r="B1" s="2" t="inlineStr">
        <is>
          <t>Faculty_Name</t>
        </is>
      </c>
      <c r="C1" s="2" t="inlineStr">
        <is>
          <t>Dept/Cluster</t>
        </is>
      </c>
      <c r="D1" s="2" t="inlineStr">
        <is>
          <t>Qualification (PhD/MTech/BE/Other)</t>
        </is>
      </c>
      <c r="E1" s="2" t="inlineStr">
        <is>
          <t>Counted (Yes/No)</t>
        </is>
      </c>
      <c r="F1" s="2" t="inlineStr">
        <is>
          <t>Year_Label (CAY/CAYm1/CAYm2)</t>
        </is>
      </c>
      <c r="G1" s="2" t="inlineStr">
        <is>
          <t>Remarks</t>
        </is>
      </c>
    </row>
    <row r="2">
      <c r="A2" s="3" t="inlineStr">
        <is>
          <t>EMP001</t>
        </is>
      </c>
      <c r="B2" s="3" t="inlineStr">
        <is>
          <t>Dr. A.B. XYZ</t>
        </is>
      </c>
      <c r="C2" s="3" t="inlineStr">
        <is>
          <t>CSE</t>
        </is>
      </c>
      <c r="D2" s="3" t="inlineStr">
        <is>
          <t>PhD</t>
        </is>
      </c>
      <c r="E2" s="3" t="inlineStr">
        <is>
          <t>Yes</t>
        </is>
      </c>
      <c r="F2" s="3" t="inlineStr">
        <is>
          <t>CAY</t>
        </is>
      </c>
      <c r="G2" s="3" t="inlineStr"/>
    </row>
    <row r="3">
      <c r="A3" s="3" t="inlineStr">
        <is>
          <t>EMP002</t>
        </is>
      </c>
      <c r="B3" s="3" t="inlineStr">
        <is>
          <t>Ms. C.D. PQR</t>
        </is>
      </c>
      <c r="C3" s="3" t="inlineStr">
        <is>
          <t>CSE-AI</t>
        </is>
      </c>
      <c r="D3" s="3" t="inlineStr">
        <is>
          <t>MTech</t>
        </is>
      </c>
      <c r="E3" s="3" t="inlineStr">
        <is>
          <t>Yes</t>
        </is>
      </c>
      <c r="F3" s="3" t="inlineStr">
        <is>
          <t>CAY</t>
        </is>
      </c>
      <c r="G3" s="3" t="inlineStr"/>
    </row>
    <row r="4">
      <c r="A4" s="3" t="inlineStr">
        <is>
          <t>EMP003</t>
        </is>
      </c>
      <c r="B4" s="3" t="inlineStr">
        <is>
          <t>Mr. E.F. LMN</t>
        </is>
      </c>
      <c r="C4" s="3" t="inlineStr">
        <is>
          <t>IT (Allied)</t>
        </is>
      </c>
      <c r="D4" s="3" t="inlineStr">
        <is>
          <t>MTech</t>
        </is>
      </c>
      <c r="E4" s="3" t="inlineStr">
        <is>
          <t>Yes</t>
        </is>
      </c>
      <c r="F4" s="3" t="inlineStr">
        <is>
          <t>CAY</t>
        </is>
      </c>
      <c r="G4" s="3" t="inlineStr">
        <is>
          <t>Allied</t>
        </is>
      </c>
    </row>
    <row r="5">
      <c r="A5" s="3" t="inlineStr">
        <is>
          <t>EMP004</t>
        </is>
      </c>
      <c r="B5" s="3" t="inlineStr">
        <is>
          <t>Ms. G.H. UVW</t>
        </is>
      </c>
      <c r="C5" s="3" t="inlineStr">
        <is>
          <t>Applied Science</t>
        </is>
      </c>
      <c r="D5" s="3" t="inlineStr">
        <is>
          <t>PhD</t>
        </is>
      </c>
      <c r="E5" s="3" t="inlineStr">
        <is>
          <t>No</t>
        </is>
      </c>
      <c r="F5" s="3" t="inlineStr">
        <is>
          <t>CAY</t>
        </is>
      </c>
      <c r="G5" s="3" t="inlineStr">
        <is>
          <t>100% First-Year (exclude)</t>
        </is>
      </c>
    </row>
    <row r="6">
      <c r="A6" s="3" t="inlineStr">
        <is>
          <t>EMP005</t>
        </is>
      </c>
      <c r="B6" s="3" t="inlineStr">
        <is>
          <t>Dr. I.J. KLM</t>
        </is>
      </c>
      <c r="C6" s="3" t="inlineStr">
        <is>
          <t>CSE</t>
        </is>
      </c>
      <c r="D6" s="3" t="inlineStr">
        <is>
          <t>PhD</t>
        </is>
      </c>
      <c r="E6" s="3" t="inlineStr">
        <is>
          <t>Yes</t>
        </is>
      </c>
      <c r="F6" s="3" t="inlineStr">
        <is>
          <t>CAYm1</t>
        </is>
      </c>
      <c r="G6" s="3" t="inlineStr"/>
    </row>
    <row r="7">
      <c r="A7" s="3" t="inlineStr">
        <is>
          <t>EMP006</t>
        </is>
      </c>
      <c r="B7" s="3" t="inlineStr">
        <is>
          <t>Mr. N.O. PQR</t>
        </is>
      </c>
      <c r="C7" s="3" t="inlineStr">
        <is>
          <t>IT (Allied)</t>
        </is>
      </c>
      <c r="D7" s="3" t="inlineStr">
        <is>
          <t>MTech</t>
        </is>
      </c>
      <c r="E7" s="3" t="inlineStr">
        <is>
          <t>Yes</t>
        </is>
      </c>
      <c r="F7" s="3" t="inlineStr">
        <is>
          <t>CAYm2</t>
        </is>
      </c>
      <c r="G7" s="3" t="inlineStr"/>
    </row>
  </sheetData>
  <dataValidations count="3">
    <dataValidation sqref="D2:D10000" showErrorMessage="1" showInputMessage="1" allowBlank="0" type="list">
      <formula1>"PhD,MTech,ME,BE,Other"</formula1>
    </dataValidation>
    <dataValidation sqref="E2:E10000" showErrorMessage="1" showInputMessage="1" allowBlank="0" type="list">
      <formula1>"Yes,No"</formula1>
    </dataValidation>
    <dataValidation sqref="F2:F10000" showErrorMessage="1" showInputMessage="1" allowBlank="0" type="list">
      <formula1>"CAY,CAYm1,CAYm2"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Metric</t>
        </is>
      </c>
      <c r="B1" s="2" t="inlineStr">
        <is>
          <t>CAY</t>
        </is>
      </c>
      <c r="C1" s="2" t="inlineStr">
        <is>
          <t>CAYm1</t>
        </is>
      </c>
      <c r="D1" s="2" t="inlineStr">
        <is>
          <t>CAYm2</t>
        </is>
      </c>
    </row>
    <row r="2">
      <c r="A2" s="3" t="inlineStr">
        <is>
          <t>S = Total Students (Dept + Allied)</t>
        </is>
      </c>
      <c r="B2" s="3" t="n">
        <v>2357</v>
      </c>
      <c r="C2" s="3" t="n">
        <v>2345</v>
      </c>
      <c r="D2" s="3" t="n">
        <v>2307</v>
      </c>
    </row>
    <row r="3">
      <c r="A3" s="3" t="inlineStr">
        <is>
          <t>RF = Required Faculty (S/20)</t>
        </is>
      </c>
      <c r="B3" s="3">
        <f>B2/20</f>
        <v/>
      </c>
      <c r="C3" s="3">
        <f>C2/20</f>
        <v/>
      </c>
      <c r="D3" s="3">
        <f>D2/20</f>
        <v/>
      </c>
    </row>
    <row r="4">
      <c r="A4" s="3" t="inlineStr">
        <is>
          <t>X = PhD Faculty Count</t>
        </is>
      </c>
      <c r="B4" s="3">
        <f>COUNTIFS(Faculty_Roster!D:D,"PhD",Faculty_Roster!E:E,"Yes",Faculty_Roster!F:F,"CAY")</f>
        <v/>
      </c>
      <c r="C4" s="3">
        <f>COUNTIFS(Faculty_Roster!D:D,"PhD",Faculty_Roster!E:E,"Yes",Faculty_Roster!F:F,"CAYm1")</f>
        <v/>
      </c>
      <c r="D4" s="3">
        <f>COUNTIFS(Faculty_Roster!D:D,"PhD",Faculty_Roster!E:E,"Yes",Faculty_Roster!F:F,"CAYm2")</f>
        <v/>
      </c>
    </row>
    <row r="5">
      <c r="A5" s="3" t="inlineStr">
        <is>
          <t>Y = MTech/ME Faculty Count</t>
        </is>
      </c>
      <c r="B5" s="3">
        <f>SUM(COUNTIFS(Faculty_Roster!D:D,{"MTech","ME"},Faculty_Roster!E:E,"Yes",Faculty_Roster!F:F,"CAY"))</f>
        <v/>
      </c>
      <c r="C5" s="3">
        <f>SUM(COUNTIFS(Faculty_Roster!D:D,{"MTech","ME"},Faculty_Roster!E:E,"Yes",Faculty_Roster!F:F,"CAYm1"))</f>
        <v/>
      </c>
      <c r="D5" s="3">
        <f>SUM(COUNTIFS(Faculty_Roster!D:D,{"MTech","ME"},Faculty_Roster!E:E,"Yes",Faculty_Roster!F:F,"CAYm2"))</f>
        <v/>
      </c>
    </row>
    <row r="6">
      <c r="A6" s="3" t="inlineStr">
        <is>
          <t>Weighted Faculty Points = 10*X + 4*Y</t>
        </is>
      </c>
      <c r="B6" s="3">
        <f>10*B4 + 4*B5</f>
        <v/>
      </c>
      <c r="C6" s="3">
        <f>10*C4 + 4*C5</f>
        <v/>
      </c>
      <c r="D6" s="3">
        <f>10*D4 + 4*D5</f>
        <v/>
      </c>
    </row>
    <row r="7">
      <c r="A7" s="3" t="inlineStr">
        <is>
          <t>FQI (raw) = 2.5 * (Weighted/RF)</t>
        </is>
      </c>
      <c r="B7" s="3">
        <f>IF(B3&gt;0, 2.5*(B6/B3), "")</f>
        <v/>
      </c>
      <c r="C7" s="3">
        <f>IF(C3&gt;0, 2.5*(C6/C3), "")</f>
        <v/>
      </c>
      <c r="D7" s="3">
        <f>IF(D3&gt;0, 2.5*(D6/D3), "")</f>
        <v/>
      </c>
    </row>
    <row r="8">
      <c r="A8" s="3" t="inlineStr">
        <is>
          <t>FQI (capped at 25.0)</t>
        </is>
      </c>
      <c r="B8" s="3">
        <f>MIN(B7,25)</f>
        <v/>
      </c>
      <c r="C8" s="3">
        <f>MIN(C7,25)</f>
        <v/>
      </c>
      <c r="D8" s="3">
        <f>MIN(D7,25)</f>
        <v/>
      </c>
    </row>
    <row r="9">
      <c r="A9" s="3" t="inlineStr">
        <is>
          <t>Average FQI (3-year)</t>
        </is>
      </c>
      <c r="B9" s="3">
        <f>IF(COUNTA(B8:D8)=3, AVERAGE(B8:D8), "")</f>
        <v/>
      </c>
      <c r="C9" s="3" t="inlineStr"/>
      <c r="D9" s="3" t="inlineStr"/>
    </row>
    <row r="11">
      <c r="A11" s="4" t="inlineStr">
        <is>
          <t>Notes:</t>
        </is>
      </c>
    </row>
    <row r="12">
      <c r="A12" t="inlineStr">
        <is>
          <t>- Edit S directly in row 2, or link it from your SFR workbook.</t>
        </is>
      </c>
    </row>
    <row r="13">
      <c r="A13" t="inlineStr">
        <is>
          <t>- You can overwrite X/Y in rows 4/5 if you don't use the Faculty_Roster.</t>
        </is>
      </c>
    </row>
    <row r="14">
      <c r="A14" t="inlineStr">
        <is>
          <t>- The final mark is 'FQI (capped)' row (max 25).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2025-08-28T13:57:00Z</dcterms:created>
  <dcterms:modified xmlns:dcterms="http://purl.org/dc/terms/" xmlns:xsi="http://www.w3.org/2001/XMLSchema-instance" xsi:type="dcterms:W3CDTF">2025-08-28T13:57:00Z</dcterms:modified>
</cp:coreProperties>
</file>