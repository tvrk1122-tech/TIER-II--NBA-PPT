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rect Attainment" sheetId="1" state="visible" r:id="rId1"/>
    <sheet xmlns:r="http://schemas.openxmlformats.org/officeDocument/2006/relationships" name="Weighted Indirect (optional)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Name of Survey</t>
        </is>
      </c>
      <c r="B1" s="1" t="inlineStr">
        <is>
          <t>Type &amp; Source</t>
        </is>
      </c>
      <c r="C1" s="1" t="inlineStr">
        <is>
          <t>PO1</t>
        </is>
      </c>
      <c r="D1" s="1" t="inlineStr">
        <is>
          <t>PO2</t>
        </is>
      </c>
      <c r="E1" s="1" t="inlineStr">
        <is>
          <t>PO3</t>
        </is>
      </c>
      <c r="F1" s="1" t="inlineStr">
        <is>
          <t>PO4</t>
        </is>
      </c>
      <c r="G1" s="1" t="inlineStr">
        <is>
          <t>PO5</t>
        </is>
      </c>
      <c r="H1" s="1" t="inlineStr">
        <is>
          <t>PO6</t>
        </is>
      </c>
      <c r="I1" s="1" t="inlineStr">
        <is>
          <t>PO7</t>
        </is>
      </c>
      <c r="J1" s="1" t="inlineStr">
        <is>
          <t>PO8</t>
        </is>
      </c>
      <c r="K1" s="1" t="inlineStr">
        <is>
          <t>PO9</t>
        </is>
      </c>
      <c r="L1" s="1" t="inlineStr">
        <is>
          <t>PO10</t>
        </is>
      </c>
      <c r="M1" s="1" t="inlineStr">
        <is>
          <t>PO11</t>
        </is>
      </c>
      <c r="N1" s="1" t="inlineStr">
        <is>
          <t>PSO1</t>
        </is>
      </c>
      <c r="O1" s="1" t="inlineStr">
        <is>
          <t>PSO2</t>
        </is>
      </c>
      <c r="P1" s="1" t="inlineStr">
        <is>
          <t>PSO3</t>
        </is>
      </c>
    </row>
    <row r="2">
      <c r="A2" t="inlineStr">
        <is>
          <t>Survey 1</t>
        </is>
      </c>
      <c r="B2" t="inlineStr">
        <is>
          <t>Student Exit – Dept. Office</t>
        </is>
      </c>
      <c r="C2" t="n">
        <v>70</v>
      </c>
      <c r="D2" t="n">
        <v>72</v>
      </c>
      <c r="E2" t="n">
        <v>68</v>
      </c>
      <c r="F2" t="n">
        <v>66</v>
      </c>
      <c r="G2" t="n">
        <v>65</v>
      </c>
      <c r="H2" t="n">
        <v>70</v>
      </c>
      <c r="I2" t="n">
        <v>72</v>
      </c>
      <c r="J2" t="n">
        <v>69</v>
      </c>
      <c r="K2" t="n">
        <v>68</v>
      </c>
      <c r="L2" t="n">
        <v>67</v>
      </c>
      <c r="M2" t="n">
        <v>65</v>
      </c>
      <c r="N2" t="n">
        <v>72</v>
      </c>
      <c r="O2" t="n">
        <v>70</v>
      </c>
      <c r="P2" t="n">
        <v>68</v>
      </c>
    </row>
    <row r="3">
      <c r="A3" t="inlineStr">
        <is>
          <t>Survey 2</t>
        </is>
      </c>
      <c r="B3" t="inlineStr">
        <is>
          <t>Alumni – Alumni Cell</t>
        </is>
      </c>
      <c r="C3" t="n">
        <v>68</v>
      </c>
      <c r="D3" t="n">
        <v>70</v>
      </c>
      <c r="E3" t="n">
        <v>66</v>
      </c>
      <c r="F3" t="n">
        <v>65</v>
      </c>
      <c r="G3" t="n">
        <v>64</v>
      </c>
      <c r="H3" t="n">
        <v>68</v>
      </c>
      <c r="I3" t="n">
        <v>70</v>
      </c>
      <c r="J3" t="n">
        <v>67</v>
      </c>
      <c r="K3" t="n">
        <v>66</v>
      </c>
      <c r="L3" t="n">
        <v>64</v>
      </c>
      <c r="M3" t="n">
        <v>63</v>
      </c>
      <c r="N3" t="n">
        <v>70</v>
      </c>
      <c r="O3" t="n">
        <v>68</v>
      </c>
      <c r="P3" t="n">
        <v>65</v>
      </c>
    </row>
    <row r="4">
      <c r="A4" t="inlineStr">
        <is>
          <t>Survey 3</t>
        </is>
      </c>
      <c r="B4" t="inlineStr">
        <is>
          <t>Employer – TPC/Placement Office</t>
        </is>
      </c>
      <c r="C4" t="n">
        <v>72</v>
      </c>
      <c r="D4" t="n">
        <v>74</v>
      </c>
      <c r="E4" t="n">
        <v>70</v>
      </c>
      <c r="F4" t="n">
        <v>68</v>
      </c>
      <c r="G4" t="n">
        <v>66</v>
      </c>
      <c r="H4" t="n">
        <v>72</v>
      </c>
      <c r="I4" t="n">
        <v>74</v>
      </c>
      <c r="J4" t="n">
        <v>70</v>
      </c>
      <c r="K4" t="n">
        <v>69</v>
      </c>
      <c r="L4" t="n">
        <v>68</v>
      </c>
      <c r="M4" t="n">
        <v>66</v>
      </c>
      <c r="N4" t="n">
        <v>74</v>
      </c>
      <c r="O4" t="n">
        <v>72</v>
      </c>
      <c r="P4" t="n">
        <v>70</v>
      </c>
    </row>
    <row r="6">
      <c r="A6" s="2" t="inlineStr">
        <is>
          <t>Indirect Attainment (Avg.)</t>
        </is>
      </c>
      <c r="B6" s="2" t="inlineStr">
        <is>
          <t>Averages across surveys</t>
        </is>
      </c>
      <c r="C6" s="2">
        <f>IFERROR(AVERAGE(C2:C4),"")</f>
        <v/>
      </c>
      <c r="D6" s="2">
        <f>IFERROR(AVERAGE(D2:D4),"")</f>
        <v/>
      </c>
      <c r="E6" s="2">
        <f>IFERROR(AVERAGE(E2:E4),"")</f>
        <v/>
      </c>
      <c r="F6" s="2">
        <f>IFERROR(AVERAGE(F2:F4),"")</f>
        <v/>
      </c>
      <c r="G6" s="2">
        <f>IFERROR(AVERAGE(G2:G4),"")</f>
        <v/>
      </c>
      <c r="H6" s="2">
        <f>IFERROR(AVERAGE(H2:H4),"")</f>
        <v/>
      </c>
      <c r="I6" s="2">
        <f>IFERROR(AVERAGE(I2:I4),"")</f>
        <v/>
      </c>
      <c r="J6" s="2">
        <f>IFERROR(AVERAGE(J2:J4),"")</f>
        <v/>
      </c>
      <c r="K6" s="2">
        <f>IFERROR(AVERAGE(K2:K4),"")</f>
        <v/>
      </c>
      <c r="L6" s="2">
        <f>IFERROR(AVERAGE(L2:L4),"")</f>
        <v/>
      </c>
      <c r="M6" s="2">
        <f>IFERROR(AVERAGE(M2:M4),"")</f>
        <v/>
      </c>
      <c r="N6" s="2">
        <f>IFERROR(AVERAGE(N2:N4),"")</f>
        <v/>
      </c>
      <c r="O6" s="2">
        <f>IFERROR(AVERAGE(O2:O4),"")</f>
        <v/>
      </c>
      <c r="P6" s="2">
        <f>IFERROR(AVERAGE(P2:P4),"")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Name of Survey</t>
        </is>
      </c>
      <c r="B1" s="1" t="inlineStr">
        <is>
          <t>Type &amp; Source</t>
        </is>
      </c>
      <c r="C1" s="1" t="inlineStr">
        <is>
          <t>Weight (0–1)</t>
        </is>
      </c>
      <c r="D1" s="1" t="inlineStr">
        <is>
          <t>PO1</t>
        </is>
      </c>
      <c r="E1" s="1" t="inlineStr">
        <is>
          <t>PO2</t>
        </is>
      </c>
      <c r="F1" s="1" t="inlineStr">
        <is>
          <t>PO3</t>
        </is>
      </c>
      <c r="G1" s="1" t="inlineStr">
        <is>
          <t>PO4</t>
        </is>
      </c>
      <c r="H1" s="1" t="inlineStr">
        <is>
          <t>PO5</t>
        </is>
      </c>
      <c r="I1" s="1" t="inlineStr">
        <is>
          <t>PO6</t>
        </is>
      </c>
      <c r="J1" s="1" t="inlineStr">
        <is>
          <t>PO7</t>
        </is>
      </c>
      <c r="K1" s="1" t="inlineStr">
        <is>
          <t>PO8</t>
        </is>
      </c>
      <c r="L1" s="1" t="inlineStr">
        <is>
          <t>PO9</t>
        </is>
      </c>
      <c r="M1" s="1" t="inlineStr">
        <is>
          <t>PO10</t>
        </is>
      </c>
      <c r="N1" s="1" t="inlineStr">
        <is>
          <t>PO11</t>
        </is>
      </c>
      <c r="O1" s="1" t="inlineStr">
        <is>
          <t>PSO1</t>
        </is>
      </c>
      <c r="P1" s="1" t="inlineStr">
        <is>
          <t>PSO2</t>
        </is>
      </c>
      <c r="Q1" s="1" t="inlineStr">
        <is>
          <t>PSO3</t>
        </is>
      </c>
    </row>
    <row r="2">
      <c r="A2" t="inlineStr">
        <is>
          <t>Survey 1</t>
        </is>
      </c>
      <c r="B2" t="inlineStr">
        <is>
          <t>Student Exit – Dept. Office</t>
        </is>
      </c>
      <c r="C2" t="n">
        <v>0.5</v>
      </c>
      <c r="D2" t="n">
        <v>70</v>
      </c>
      <c r="E2" t="n">
        <v>72</v>
      </c>
      <c r="F2" t="n">
        <v>68</v>
      </c>
      <c r="G2" t="n">
        <v>66</v>
      </c>
      <c r="H2" t="n">
        <v>65</v>
      </c>
      <c r="I2" t="n">
        <v>70</v>
      </c>
      <c r="J2" t="n">
        <v>72</v>
      </c>
      <c r="K2" t="n">
        <v>69</v>
      </c>
      <c r="L2" t="n">
        <v>68</v>
      </c>
      <c r="M2" t="n">
        <v>67</v>
      </c>
      <c r="N2" t="n">
        <v>65</v>
      </c>
      <c r="O2" t="n">
        <v>72</v>
      </c>
      <c r="P2" t="n">
        <v>70</v>
      </c>
      <c r="Q2" t="n">
        <v>68</v>
      </c>
    </row>
    <row r="3">
      <c r="A3" t="inlineStr">
        <is>
          <t>Survey 2</t>
        </is>
      </c>
      <c r="B3" t="inlineStr">
        <is>
          <t>Alumni – Alumni Cell</t>
        </is>
      </c>
      <c r="C3" t="n">
        <v>0.3</v>
      </c>
      <c r="D3" t="n">
        <v>68</v>
      </c>
      <c r="E3" t="n">
        <v>70</v>
      </c>
      <c r="F3" t="n">
        <v>66</v>
      </c>
      <c r="G3" t="n">
        <v>65</v>
      </c>
      <c r="H3" t="n">
        <v>64</v>
      </c>
      <c r="I3" t="n">
        <v>68</v>
      </c>
      <c r="J3" t="n">
        <v>70</v>
      </c>
      <c r="K3" t="n">
        <v>67</v>
      </c>
      <c r="L3" t="n">
        <v>66</v>
      </c>
      <c r="M3" t="n">
        <v>64</v>
      </c>
      <c r="N3" t="n">
        <v>63</v>
      </c>
      <c r="O3" t="n">
        <v>70</v>
      </c>
      <c r="P3" t="n">
        <v>68</v>
      </c>
      <c r="Q3" t="n">
        <v>65</v>
      </c>
    </row>
    <row r="4">
      <c r="A4" t="inlineStr">
        <is>
          <t>Survey 3</t>
        </is>
      </c>
      <c r="B4" t="inlineStr">
        <is>
          <t>Employer – TPC/Placement Office</t>
        </is>
      </c>
      <c r="C4" t="n">
        <v>0.2</v>
      </c>
      <c r="D4" t="n">
        <v>72</v>
      </c>
      <c r="E4" t="n">
        <v>74</v>
      </c>
      <c r="F4" t="n">
        <v>70</v>
      </c>
      <c r="G4" t="n">
        <v>68</v>
      </c>
      <c r="H4" t="n">
        <v>66</v>
      </c>
      <c r="I4" t="n">
        <v>72</v>
      </c>
      <c r="J4" t="n">
        <v>74</v>
      </c>
      <c r="K4" t="n">
        <v>70</v>
      </c>
      <c r="L4" t="n">
        <v>69</v>
      </c>
      <c r="M4" t="n">
        <v>68</v>
      </c>
      <c r="N4" t="n">
        <v>66</v>
      </c>
      <c r="O4" t="n">
        <v>74</v>
      </c>
      <c r="P4" t="n">
        <v>72</v>
      </c>
      <c r="Q4" t="n">
        <v>70</v>
      </c>
    </row>
    <row r="6">
      <c r="A6" s="2" t="inlineStr">
        <is>
          <t>Indirect Attainment (Weighted)</t>
        </is>
      </c>
      <c r="B6" s="2">
        <f>SUM(C2:C4)</f>
        <v/>
      </c>
      <c r="C6" s="2" t="inlineStr">
        <is>
          <t>(Sum of Weights)</t>
        </is>
      </c>
      <c r="D6" s="2">
        <f>IF(SUM($C$2:$C$4)&gt;0, SUMPRODUCT($C$2:$C$4,D2:D4)/SUM($C$2:$C$4), "")</f>
        <v/>
      </c>
      <c r="E6" s="2">
        <f>IF(SUM($C$2:$C$4)&gt;0, SUMPRODUCT($C$2:$C$4,E2:E4)/SUM($C$2:$C$4), "")</f>
        <v/>
      </c>
      <c r="F6" s="2">
        <f>IF(SUM($C$2:$C$4)&gt;0, SUMPRODUCT($C$2:$C$4,F2:F4)/SUM($C$2:$C$4), "")</f>
        <v/>
      </c>
      <c r="G6" s="2">
        <f>IF(SUM($C$2:$C$4)&gt;0, SUMPRODUCT($C$2:$C$4,G2:G4)/SUM($C$2:$C$4), "")</f>
        <v/>
      </c>
      <c r="H6" s="2">
        <f>IF(SUM($C$2:$C$4)&gt;0, SUMPRODUCT($C$2:$C$4,H2:H4)/SUM($C$2:$C$4), "")</f>
        <v/>
      </c>
      <c r="I6" s="2">
        <f>IF(SUM($C$2:$C$4)&gt;0, SUMPRODUCT($C$2:$C$4,I2:I4)/SUM($C$2:$C$4), "")</f>
        <v/>
      </c>
      <c r="J6" s="2">
        <f>IF(SUM($C$2:$C$4)&gt;0, SUMPRODUCT($C$2:$C$4,J2:J4)/SUM($C$2:$C$4), "")</f>
        <v/>
      </c>
      <c r="K6" s="2">
        <f>IF(SUM($C$2:$C$4)&gt;0, SUMPRODUCT($C$2:$C$4,K2:K4)/SUM($C$2:$C$4), "")</f>
        <v/>
      </c>
      <c r="L6" s="2">
        <f>IF(SUM($C$2:$C$4)&gt;0, SUMPRODUCT($C$2:$C$4,L2:L4)/SUM($C$2:$C$4), "")</f>
        <v/>
      </c>
      <c r="M6" s="2">
        <f>IF(SUM($C$2:$C$4)&gt;0, SUMPRODUCT($C$2:$C$4,M2:M4)/SUM($C$2:$C$4), "")</f>
        <v/>
      </c>
      <c r="N6" s="2">
        <f>IF(SUM($C$2:$C$4)&gt;0, SUMPRODUCT($C$2:$C$4,N2:N4)/SUM($C$2:$C$4), "")</f>
        <v/>
      </c>
      <c r="O6" s="2">
        <f>IF(SUM($C$2:$C$4)&gt;0, SUMPRODUCT($C$2:$C$4,O2:O4)/SUM($C$2:$C$4), "")</f>
        <v/>
      </c>
      <c r="P6" s="2">
        <f>IF(SUM($C$2:$C$4)&gt;0, SUMPRODUCT($C$2:$C$4,P2:P4)/SUM($C$2:$C$4), "")</f>
        <v/>
      </c>
      <c r="Q6" s="2">
        <f>IF(SUM($C$2:$C$4)&gt;0, SUMPRODUCT($C$2:$C$4,Q2:Q4)/SUM($C$2:$C$4),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PO &amp; PSO Indirect Attainment Template – Instructions</t>
        </is>
      </c>
    </row>
    <row r="3">
      <c r="A3" t="inlineStr">
        <is>
          <t>• Enter survey-wise attainment % per PO/PSO (scale to 100).
• 'Indirect Attainment (Avg.)' automatically averages across surveys.
• Use 'Weighted Indirect (optional)' if some surveys have higher importance (weights should sum to 1.0).
• 'Type &amp; Source' should mention survey type and where it is stored (e.g., Student Exit – Dept. Office).
• Add more PSO columns to the right if needed; copy formulas in the last row across.
• To add more surveys: insert new rows above the average row and adjust AVERAGE/SUMPRODUCT ranges if needed (or convert to Excel Table for dynamic ranges).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