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hree_Year_Report" sheetId="2" state="visible" r:id="rId2"/>
    <sheet xmlns:r="http://schemas.openxmlformats.org/officeDocument/2006/relationships" name="Report_3Year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S.N.</t>
        </is>
      </c>
      <c r="B1" s="1" t="inlineStr">
        <is>
          <t>Title of FDP/STTP</t>
        </is>
      </c>
      <c r="C1" s="1" t="inlineStr">
        <is>
          <t>Organized By (Dept / Collaboration)</t>
        </is>
      </c>
      <c r="D1" s="1" t="inlineStr">
        <is>
          <t>Duration (From – To)</t>
        </is>
      </c>
      <c r="E1" s="1" t="inlineStr">
        <is>
          <t>No. of Days</t>
        </is>
      </c>
      <c r="F1" s="1" t="inlineStr">
        <is>
          <t>No. of Participants</t>
        </is>
      </c>
      <c r="G1" t="inlineStr">
        <is>
          <t>Key Speaker(s) – Name, Designation &amp; Organization</t>
        </is>
      </c>
      <c r="H1" s="1" t="inlineStr">
        <is>
          <t>Funding Agency / Support</t>
        </is>
      </c>
      <c r="I1" s="1" t="inlineStr">
        <is>
          <t>Year (CAY / CAYm1 / CAYm2)</t>
        </is>
      </c>
      <c r="J1" s="1" t="inlineStr">
        <is>
          <t>Evidence (Brochure / Report / Photos)</t>
        </is>
      </c>
      <c r="K1" s="1" t="inlineStr">
        <is>
          <t>Points (2 per FDP/STTP)</t>
        </is>
      </c>
      <c r="L1" s="1" t="inlineStr">
        <is>
          <t>Capped Points (Max 4 per Year)</t>
        </is>
      </c>
      <c r="M1" s="1" t="inlineStr">
        <is>
          <t>Remarks</t>
        </is>
      </c>
    </row>
    <row r="2">
      <c r="A2" t="n">
        <v>1</v>
      </c>
      <c r="B2" t="inlineStr">
        <is>
          <t>FDP on Artificial Intelligence</t>
        </is>
      </c>
      <c r="C2" t="inlineStr">
        <is>
          <t>CSE Dept. (with AICTE)</t>
        </is>
      </c>
      <c r="D2" t="inlineStr">
        <is>
          <t>12-03-2023 to 17-03-2023</t>
        </is>
      </c>
      <c r="E2" t="n">
        <v>6</v>
      </c>
      <c r="F2" t="n">
        <v>50</v>
      </c>
      <c r="H2" t="inlineStr">
        <is>
          <t>AICTE</t>
        </is>
      </c>
      <c r="I2" t="inlineStr">
        <is>
          <t>CAY</t>
        </is>
      </c>
      <c r="J2" t="inlineStr">
        <is>
          <t>FDP_AI_2023_Brochure.pdf</t>
        </is>
      </c>
      <c r="K2" t="n">
        <v>2</v>
      </c>
      <c r="L2">
        <f>MIN(SUMIF($H$2:$H$100,H2,$J$2:$J$100),4)</f>
        <v/>
      </c>
    </row>
    <row r="3">
      <c r="A3" t="n">
        <v>2</v>
      </c>
      <c r="B3" t="inlineStr">
        <is>
          <t>STTP on IoT Applications</t>
        </is>
      </c>
      <c r="C3" t="inlineStr">
        <is>
          <t>ECE + CSE Depts. (Joint)</t>
        </is>
      </c>
      <c r="D3" t="inlineStr">
        <is>
          <t>10-12-2022 to 15-12-2022</t>
        </is>
      </c>
      <c r="E3" t="n">
        <v>6</v>
      </c>
      <c r="F3" t="n">
        <v>45</v>
      </c>
      <c r="H3" t="inlineStr">
        <is>
          <t>ISTE</t>
        </is>
      </c>
      <c r="I3" t="inlineStr">
        <is>
          <t>CAYm1</t>
        </is>
      </c>
      <c r="J3" t="inlineStr">
        <is>
          <t>STTP_IoT_2022_Report.pdf</t>
        </is>
      </c>
      <c r="K3" t="n">
        <v>2</v>
      </c>
      <c r="L3">
        <f>MIN(SUMIF($H$2:$H$100,H3,$J$2:$J$100),4)</f>
        <v/>
      </c>
    </row>
    <row r="4">
      <c r="A4" t="n">
        <v>3</v>
      </c>
      <c r="B4" t="inlineStr">
        <is>
          <t>FDP on Data Analytics</t>
        </is>
      </c>
      <c r="C4" t="inlineStr">
        <is>
          <t>CSE Dept.</t>
        </is>
      </c>
      <c r="D4" t="inlineStr">
        <is>
          <t>05-01-2021 to 09-01-2021</t>
        </is>
      </c>
      <c r="E4" t="n">
        <v>5</v>
      </c>
      <c r="F4" t="n">
        <v>40</v>
      </c>
      <c r="H4" t="inlineStr">
        <is>
          <t>Institutional Support</t>
        </is>
      </c>
      <c r="I4" t="inlineStr">
        <is>
          <t>CAYm2</t>
        </is>
      </c>
      <c r="J4" t="inlineStr">
        <is>
          <t>FDP_DA_2021_Photos.pdf</t>
        </is>
      </c>
      <c r="K4" t="n">
        <v>2</v>
      </c>
      <c r="L4">
        <f>MIN(SUMIF($H$2:$H$100,H4,$J$2:$J$100),4)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t="inlineStr">
        <is>
          <t>S.N.</t>
        </is>
      </c>
      <c r="B1" t="inlineStr">
        <is>
          <t>Name of the Program</t>
        </is>
      </c>
      <c r="C1" t="inlineStr">
        <is>
          <t>Date of the Program (From–To)</t>
        </is>
      </c>
      <c r="D1" t="inlineStr">
        <is>
          <t>Duration (Days)</t>
        </is>
      </c>
      <c r="E1" t="inlineStr">
        <is>
          <t>Name of Speaker(s), Designation &amp; Organization</t>
        </is>
      </c>
      <c r="F1" t="inlineStr">
        <is>
          <t>No. of People Attended</t>
        </is>
      </c>
      <c r="G1" t="inlineStr">
        <is>
          <t>Year (CAY / CAYm1 / CAYm2)</t>
        </is>
      </c>
    </row>
    <row r="2">
      <c r="A2">
        <f>IFERROR(SEQUENCE(COUNTA(NBA_FDP_STTP_Organized_Tracker!$B$2:$B$100)),)</f>
        <v/>
      </c>
      <c r="B2">
        <f>FILTER(NBA_FDP_STTP_Organized_Tracker!$B$2:$B$100,NBA_FDP_STTP_Organized_Tracker!$B$2:$B$100&lt;&gt;"")</f>
        <v/>
      </c>
      <c r="C2">
        <f>FILTER(NBA_FDP_STTP_Organized_Tracker!$D$2:$D$100,NBA_FDP_STTP_Organized_Tracker!$B$2:$B$100&lt;&gt;"")</f>
        <v/>
      </c>
      <c r="D2">
        <f>FILTER(NBA_FDP_STTP_Organized_Tracker!$E$2:$E$100,NBA_FDP_STTP_Organized_Tracker!$B$2:$B$100&lt;&gt;"")</f>
        <v/>
      </c>
      <c r="E2" t="inlineStr">
        <is>
          <t>To be filled manually</t>
        </is>
      </c>
      <c r="F2">
        <f>FILTER(NBA_FDP_STTP_Organized_Tracker!$F$2:$F$100,NBA_FDP_STTP_Organized_Tracker!$B$2:$B$100&lt;&gt;"")</f>
        <v/>
      </c>
      <c r="G2">
        <f>FILTER(NBA_FDP_STTP_Organized_Tracker!$H$2:$H$100,NBA_FDP_STTP_Organized_Tracker!$B$2:$B$100&lt;&gt;"")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CAY</t>
        </is>
      </c>
    </row>
    <row r="2">
      <c r="A2" t="inlineStr">
        <is>
          <t>S.N.</t>
        </is>
      </c>
      <c r="B2" t="inlineStr">
        <is>
          <t>Name of the Program</t>
        </is>
      </c>
      <c r="C2" t="inlineStr">
        <is>
          <t>Date of the Program (From–To)</t>
        </is>
      </c>
      <c r="D2" t="inlineStr">
        <is>
          <t>Duration (Days)</t>
        </is>
      </c>
      <c r="E2" t="inlineStr">
        <is>
          <t>Name of the Speaker(s), Designation &amp; Organization</t>
        </is>
      </c>
      <c r="F2" t="inlineStr">
        <is>
          <t>No. of People Attended</t>
        </is>
      </c>
    </row>
    <row r="3">
      <c r="A3">
        <f>IFERROR(SEQUENCE(COUNTA(B3:B1000)),)</f>
        <v/>
      </c>
      <c r="B3">
        <f>FILTER(CHOOSE({1,2,3,4,5},Sheet1!$B$2:$B$100,Sheet1!$D$2:$D$100,Sheet1!$E$2:$E$100,Sheet1!$G$2:$G$100,Sheet1!$F$2:$F$100),(Sheet1!$I$2:$I$100="CAY"),"No programs found for CAY")</f>
        <v/>
      </c>
    </row>
    <row r="21">
      <c r="A21" t="inlineStr">
        <is>
          <t>CAYm1</t>
        </is>
      </c>
    </row>
    <row r="22">
      <c r="A22" t="inlineStr">
        <is>
          <t>S.N.</t>
        </is>
      </c>
      <c r="B22" t="inlineStr">
        <is>
          <t>Name of the Program</t>
        </is>
      </c>
      <c r="C22" t="inlineStr">
        <is>
          <t>Date of the Program (From–To)</t>
        </is>
      </c>
      <c r="D22" t="inlineStr">
        <is>
          <t>Duration (Days)</t>
        </is>
      </c>
      <c r="E22" t="inlineStr">
        <is>
          <t>Name of the Speaker(s), Designation &amp; Organization</t>
        </is>
      </c>
      <c r="F22" t="inlineStr">
        <is>
          <t>No. of People Attended</t>
        </is>
      </c>
    </row>
    <row r="23">
      <c r="A23">
        <f>IFERROR(SEQUENCE(COUNTA(B23:B1000)),)</f>
        <v/>
      </c>
      <c r="B23">
        <f>FILTER(CHOOSE({1,2,3,4,5},Sheet1!$B$2:$B$100,Sheet1!$D$2:$D$100,Sheet1!$E$2:$E$100,Sheet1!$G$2:$G$100,Sheet1!$F$2:$F$100),(Sheet1!$I$2:$I$100="CAYm1"),"No programs found for CAYm1")</f>
        <v/>
      </c>
    </row>
    <row r="41">
      <c r="A41" t="inlineStr">
        <is>
          <t>CAYm2</t>
        </is>
      </c>
    </row>
    <row r="42">
      <c r="A42" t="inlineStr">
        <is>
          <t>S.N.</t>
        </is>
      </c>
      <c r="B42" t="inlineStr">
        <is>
          <t>Name of the Program</t>
        </is>
      </c>
      <c r="C42" t="inlineStr">
        <is>
          <t>Date of the Program (From–To)</t>
        </is>
      </c>
      <c r="D42" t="inlineStr">
        <is>
          <t>Duration (Days)</t>
        </is>
      </c>
      <c r="E42" t="inlineStr">
        <is>
          <t>Name of the Speaker(s), Designation &amp; Organization</t>
        </is>
      </c>
      <c r="F42" t="inlineStr">
        <is>
          <t>No. of People Attended</t>
        </is>
      </c>
    </row>
    <row r="43">
      <c r="A43">
        <f>IFERROR(SEQUENCE(COUNTA(B43:B1000)),)</f>
        <v/>
      </c>
      <c r="B43">
        <f>FILTER(CHOOSE({1,2,3,4,5},Sheet1!$B$2:$B$100,Sheet1!$D$2:$D$100,Sheet1!$E$2:$E$100,Sheet1!$G$2:$G$100,Sheet1!$F$2:$F$100),(Sheet1!$I$2:$I$100="CAYm2"),"No programs found for CAYm2")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2025-08-29T07:17:53Z</dcterms:created>
  <dcterms:modified xmlns:dcterms="http://purl.org/dc/terms/" xmlns:xsi="http://www.w3.org/2001/XMLSchema-instance" xsi:type="dcterms:W3CDTF">2025-08-29T07:17:53Z</dcterms:modified>
</cp:coreProperties>
</file>