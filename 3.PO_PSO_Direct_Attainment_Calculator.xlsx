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O Mapping" sheetId="1" state="visible" r:id="rId1"/>
    <sheet xmlns:r="http://schemas.openxmlformats.org/officeDocument/2006/relationships" name="PO Direct Attain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CO Attainment (%)</t>
        </is>
      </c>
      <c r="D1" s="1" t="inlineStr">
        <is>
          <t>PO1</t>
        </is>
      </c>
      <c r="E1" s="1" t="inlineStr">
        <is>
          <t>PO2</t>
        </is>
      </c>
      <c r="F1" s="1" t="inlineStr">
        <is>
          <t>PO3</t>
        </is>
      </c>
      <c r="G1" s="1" t="inlineStr">
        <is>
          <t>PO4</t>
        </is>
      </c>
      <c r="H1" s="1" t="inlineStr">
        <is>
          <t>PO5</t>
        </is>
      </c>
      <c r="I1" s="1" t="inlineStr">
        <is>
          <t>PO6</t>
        </is>
      </c>
      <c r="J1" s="1" t="inlineStr">
        <is>
          <t>PO7</t>
        </is>
      </c>
      <c r="K1" s="1" t="inlineStr">
        <is>
          <t>PO8</t>
        </is>
      </c>
      <c r="L1" s="1" t="inlineStr">
        <is>
          <t>PO9</t>
        </is>
      </c>
      <c r="M1" s="1" t="inlineStr">
        <is>
          <t>PO10</t>
        </is>
      </c>
      <c r="N1" s="1" t="inlineStr">
        <is>
          <t>PO11</t>
        </is>
      </c>
      <c r="O1" s="1" t="inlineStr">
        <is>
          <t>PSO1</t>
        </is>
      </c>
      <c r="P1" s="1" t="inlineStr">
        <is>
          <t>PSO2</t>
        </is>
      </c>
      <c r="Q1" s="1" t="inlineStr">
        <is>
          <t>PSO3</t>
        </is>
      </c>
    </row>
    <row r="2">
      <c r="A2" t="inlineStr">
        <is>
          <t>C101</t>
        </is>
      </c>
      <c r="B2" t="inlineStr">
        <is>
          <t>CO1</t>
        </is>
      </c>
      <c r="C2" t="n">
        <v>72</v>
      </c>
      <c r="D2" t="n">
        <v>3</v>
      </c>
      <c r="E2" t="n">
        <v>2</v>
      </c>
      <c r="F2" t="n">
        <v>0</v>
      </c>
    </row>
    <row r="3">
      <c r="A3" t="inlineStr">
        <is>
          <t>C101</t>
        </is>
      </c>
      <c r="B3" t="inlineStr">
        <is>
          <t>CO2</t>
        </is>
      </c>
      <c r="C3" t="n">
        <v>68</v>
      </c>
      <c r="D3" t="n">
        <v>2</v>
      </c>
      <c r="E3" t="n">
        <v>3</v>
      </c>
      <c r="F3" t="n">
        <v>1</v>
      </c>
    </row>
    <row r="4">
      <c r="A4" t="inlineStr">
        <is>
          <t>C102</t>
        </is>
      </c>
      <c r="B4" t="inlineStr">
        <is>
          <t>CO1</t>
        </is>
      </c>
      <c r="C4" t="n">
        <v>65</v>
      </c>
      <c r="D4" t="n">
        <v>1</v>
      </c>
      <c r="E4" t="n">
        <v>2</v>
      </c>
      <c r="F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2" t="inlineStr">
        <is>
          <t>PO/PSO</t>
        </is>
      </c>
      <c r="B1" s="2" t="inlineStr">
        <is>
          <t>Sum of Mapping Weights</t>
        </is>
      </c>
      <c r="C1" s="2" t="inlineStr">
        <is>
          <t>Sum of (CO Attainment × Weight)</t>
        </is>
      </c>
      <c r="D1" s="2" t="inlineStr">
        <is>
          <t>Direct Attainment (%)</t>
        </is>
      </c>
    </row>
    <row r="2">
      <c r="A2" s="3" t="inlineStr">
        <is>
          <t>PO1</t>
        </is>
      </c>
      <c r="B2">
        <f>SUM('CO-PO Mapping'!D2:D100)</f>
        <v/>
      </c>
      <c r="C2">
        <f>SUMPRODUCT('CO-PO Mapping'!C2:C100,'CO-PO Mapping'!D2:D100)</f>
        <v/>
      </c>
      <c r="D2">
        <f>IF(B2&gt;0,C2/B2,"")</f>
        <v/>
      </c>
    </row>
    <row r="3">
      <c r="A3" s="3" t="inlineStr">
        <is>
          <t>PO2</t>
        </is>
      </c>
      <c r="B3">
        <f>SUM('CO-PO Mapping'!E2:E100)</f>
        <v/>
      </c>
      <c r="C3">
        <f>SUMPRODUCT('CO-PO Mapping'!C2:C100,'CO-PO Mapping'!E2:E100)</f>
        <v/>
      </c>
      <c r="D3">
        <f>IF(B3&gt;0,C3/B3,"")</f>
        <v/>
      </c>
    </row>
    <row r="4">
      <c r="A4" s="3" t="inlineStr">
        <is>
          <t>PO3</t>
        </is>
      </c>
      <c r="B4">
        <f>SUM('CO-PO Mapping'!F2:F100)</f>
        <v/>
      </c>
      <c r="C4">
        <f>SUMPRODUCT('CO-PO Mapping'!C2:C100,'CO-PO Mapping'!F2:F100)</f>
        <v/>
      </c>
      <c r="D4">
        <f>IF(B4&gt;0,C4/B4,"")</f>
        <v/>
      </c>
    </row>
    <row r="5">
      <c r="A5" s="3" t="inlineStr">
        <is>
          <t>PO4</t>
        </is>
      </c>
      <c r="B5">
        <f>SUM('CO-PO Mapping'!G2:G100)</f>
        <v/>
      </c>
      <c r="C5">
        <f>SUMPRODUCT('CO-PO Mapping'!C2:C100,'CO-PO Mapping'!G2:G100)</f>
        <v/>
      </c>
      <c r="D5">
        <f>IF(B5&gt;0,C5/B5,"")</f>
        <v/>
      </c>
    </row>
    <row r="6">
      <c r="A6" s="3" t="inlineStr">
        <is>
          <t>PO5</t>
        </is>
      </c>
      <c r="B6">
        <f>SUM('CO-PO Mapping'!H2:H100)</f>
        <v/>
      </c>
      <c r="C6">
        <f>SUMPRODUCT('CO-PO Mapping'!C2:C100,'CO-PO Mapping'!H2:H100)</f>
        <v/>
      </c>
      <c r="D6">
        <f>IF(B6&gt;0,C6/B6,"")</f>
        <v/>
      </c>
    </row>
    <row r="7">
      <c r="A7" s="3" t="inlineStr">
        <is>
          <t>PO6</t>
        </is>
      </c>
      <c r="B7">
        <f>SUM('CO-PO Mapping'!I2:I100)</f>
        <v/>
      </c>
      <c r="C7">
        <f>SUMPRODUCT('CO-PO Mapping'!C2:C100,'CO-PO Mapping'!I2:I100)</f>
        <v/>
      </c>
      <c r="D7">
        <f>IF(B7&gt;0,C7/B7,"")</f>
        <v/>
      </c>
    </row>
    <row r="8">
      <c r="A8" s="3" t="inlineStr">
        <is>
          <t>PO7</t>
        </is>
      </c>
      <c r="B8">
        <f>SUM('CO-PO Mapping'!J2:J100)</f>
        <v/>
      </c>
      <c r="C8">
        <f>SUMPRODUCT('CO-PO Mapping'!C2:C100,'CO-PO Mapping'!J2:J100)</f>
        <v/>
      </c>
      <c r="D8">
        <f>IF(B8&gt;0,C8/B8,"")</f>
        <v/>
      </c>
    </row>
    <row r="9">
      <c r="A9" s="3" t="inlineStr">
        <is>
          <t>PO8</t>
        </is>
      </c>
      <c r="B9">
        <f>SUM('CO-PO Mapping'!K2:K100)</f>
        <v/>
      </c>
      <c r="C9">
        <f>SUMPRODUCT('CO-PO Mapping'!C2:C100,'CO-PO Mapping'!K2:K100)</f>
        <v/>
      </c>
      <c r="D9">
        <f>IF(B9&gt;0,C9/B9,"")</f>
        <v/>
      </c>
    </row>
    <row r="10">
      <c r="A10" s="3" t="inlineStr">
        <is>
          <t>PO9</t>
        </is>
      </c>
      <c r="B10">
        <f>SUM('CO-PO Mapping'!L2:L100)</f>
        <v/>
      </c>
      <c r="C10">
        <f>SUMPRODUCT('CO-PO Mapping'!C2:C100,'CO-PO Mapping'!L2:L100)</f>
        <v/>
      </c>
      <c r="D10">
        <f>IF(B10&gt;0,C10/B10,"")</f>
        <v/>
      </c>
    </row>
    <row r="11">
      <c r="A11" s="3" t="inlineStr">
        <is>
          <t>PO10</t>
        </is>
      </c>
      <c r="B11">
        <f>SUM('CO-PO Mapping'!M2:M100)</f>
        <v/>
      </c>
      <c r="C11">
        <f>SUMPRODUCT('CO-PO Mapping'!C2:C100,'CO-PO Mapping'!M2:M100)</f>
        <v/>
      </c>
      <c r="D11">
        <f>IF(B11&gt;0,C11/B11,"")</f>
        <v/>
      </c>
    </row>
    <row r="12">
      <c r="A12" s="3" t="inlineStr">
        <is>
          <t>PO11</t>
        </is>
      </c>
      <c r="B12">
        <f>SUM('CO-PO Mapping'!N2:N100)</f>
        <v/>
      </c>
      <c r="C12">
        <f>SUMPRODUCT('CO-PO Mapping'!C2:C100,'CO-PO Mapping'!N2:N100)</f>
        <v/>
      </c>
      <c r="D12">
        <f>IF(B12&gt;0,C12/B12,"")</f>
        <v/>
      </c>
    </row>
    <row r="13">
      <c r="A13" s="3" t="inlineStr">
        <is>
          <t>PSO1</t>
        </is>
      </c>
      <c r="B13">
        <f>SUM('CO-PO Mapping'!O2:O100)</f>
        <v/>
      </c>
      <c r="C13">
        <f>SUMPRODUCT('CO-PO Mapping'!C2:C100,'CO-PO Mapping'!O2:O100)</f>
        <v/>
      </c>
      <c r="D13">
        <f>IF(B13&gt;0,C13/B13,"")</f>
        <v/>
      </c>
    </row>
    <row r="14">
      <c r="A14" s="3" t="inlineStr">
        <is>
          <t>PSO2</t>
        </is>
      </c>
      <c r="B14">
        <f>SUM('CO-PO Mapping'!P2:P100)</f>
        <v/>
      </c>
      <c r="C14">
        <f>SUMPRODUCT('CO-PO Mapping'!C2:C100,'CO-PO Mapping'!P2:P100)</f>
        <v/>
      </c>
      <c r="D14">
        <f>IF(B14&gt;0,C14/B14,"")</f>
        <v/>
      </c>
    </row>
    <row r="15">
      <c r="A15" s="3" t="inlineStr">
        <is>
          <t>PSO3</t>
        </is>
      </c>
      <c r="B15">
        <f>SUM('CO-PO Mapping'!Q2:Q100)</f>
        <v/>
      </c>
      <c r="C15">
        <f>SUMPRODUCT('CO-PO Mapping'!C2:C100,'CO-PO Mapping'!Q2:Q100)</f>
        <v/>
      </c>
      <c r="D15">
        <f>IF(B15&gt;0,C15/B15,"")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Instructions - PO/PSO Direct Attainment Calculator</t>
        </is>
      </c>
    </row>
    <row r="3">
      <c r="A3" t="inlineStr">
        <is>
          <t>• Enter each Course Code, CO number, and its CO Attainment % in 'CO-PO Mapping' sheet.
• Enter Mapping Weights (1=Low, 2=Medium, 3=High) for the CO vs relevant PO/PSOs.
• Leave cells blank where a CO does not map to a PO/PSO.
• 'PO Direct Attainment' sheet auto-calculates:
   - Sum of Mapping Weights per PO/PSO
   - Weighted contribution (CO Attainment × Weight)
   - Final Direct Attainment % = (Sum of contributions ÷ Sum of weights)
• Extend rows in 'CO-PO Mapping' for more COs (up to row 100 pre-set).
• Add more PSO columns if needed; copy formulas in PO Direct Attainment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