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Cs_EContent_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/ E-Content Title</t>
        </is>
      </c>
      <c r="D1" s="1" t="inlineStr">
        <is>
          <t>Platform / Initiative (URL if available)</t>
        </is>
      </c>
      <c r="E1" s="1" t="inlineStr">
        <is>
          <t>Platform Category (SWAYAM / SWAYAM Plus / NPTEL / e-PG Pathshala / Virtual Labs / LMS / Other)</t>
        </is>
      </c>
      <c r="F1" s="1" t="inlineStr">
        <is>
          <t>Role (Coordinator / Instructor / Content Developer / Reviewer / Editor)</t>
        </is>
      </c>
      <c r="G1" s="1" t="inlineStr">
        <is>
          <t>Duration (From – To or Term)</t>
        </is>
      </c>
      <c r="H1" s="1" t="inlineStr">
        <is>
          <t>Academic Year Tag (CAY / CAYm1 / CAYm2)</t>
        </is>
      </c>
      <c r="I1" s="1" t="inlineStr">
        <is>
          <t>No. of Modules / Videos (Optional)</t>
        </is>
      </c>
      <c r="J1" s="1" t="inlineStr">
        <is>
          <t>Approx. Learner Count (Optional)</t>
        </is>
      </c>
      <c r="K1" s="1" t="inlineStr">
        <is>
          <t>Evidence Type (URL / Certificate / Zip / Report)</t>
        </is>
      </c>
      <c r="L1" s="1" t="inlineStr">
        <is>
          <t>Evidence Link / File Path</t>
        </is>
      </c>
      <c r="M1" s="1" t="inlineStr">
        <is>
          <t>Verification Status (Y/N)</t>
        </is>
      </c>
      <c r="N1" s="1" t="inlineStr">
        <is>
          <t>Remarks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</sheetData>
  <dataValidations count="4">
    <dataValidation sqref="E2:E101" showErrorMessage="1" showInputMessage="1" allowBlank="1" type="list">
      <formula1>"SWAYAM,SWAYAM Plus,NPTEL,e-PG Pathshala,Virtual Labs,LMS,Other"</formula1>
    </dataValidation>
    <dataValidation sqref="F2:F101" showErrorMessage="1" showInputMessage="1" allowBlank="1" type="list">
      <formula1>"Coordinator,Instructor,Content Developer,Reviewer,Editor"</formula1>
    </dataValidation>
    <dataValidation sqref="H2:H101" showErrorMessage="1" showInputMessage="1" allowBlank="1" type="list">
      <formula1>"CAY,CAYm1,CAYm2"</formula1>
    </dataValidation>
    <dataValidation sqref="K2:K101" showErrorMessage="1" showInputMessage="1" allowBlank="1" type="list">
      <formula1>"URL,Certificate,Zip,Report"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Quick Summary (Counts by Platform Category &amp; Verified Flag)</t>
        </is>
      </c>
    </row>
    <row r="3">
      <c r="A3" t="inlineStr">
        <is>
          <t>Platform Category</t>
        </is>
      </c>
      <c r="B3" t="inlineStr">
        <is>
          <t>Count (All)</t>
        </is>
      </c>
      <c r="C3" t="inlineStr">
        <is>
          <t>Count (Verified Y)</t>
        </is>
      </c>
    </row>
    <row r="4">
      <c r="A4" t="inlineStr">
        <is>
          <t>SWAYAM</t>
        </is>
      </c>
      <c r="B4">
        <f>COUNTIF(MOOCs_EContent_Log!$E$2:$E$101,"SWAYAM")</f>
        <v/>
      </c>
      <c r="C4">
        <f>COUNTIFS(MOOCs_EContent_Log!$E$2:$E$101,"SWAYAM",MOOCs_EContent_Log!$M$2:$M$101,"Y")</f>
        <v/>
      </c>
    </row>
    <row r="5">
      <c r="A5" t="inlineStr">
        <is>
          <t>SWAYAM Plus</t>
        </is>
      </c>
      <c r="B5">
        <f>COUNTIF(MOOCs_EContent_Log!$E$2:$E$101,"SWAYAM Plus")</f>
        <v/>
      </c>
      <c r="C5">
        <f>COUNTIFS(MOOCs_EContent_Log!$E$2:$E$101,"SWAYAM Plus",MOOCs_EContent_Log!$M$2:$M$101,"Y")</f>
        <v/>
      </c>
    </row>
    <row r="6">
      <c r="A6" t="inlineStr">
        <is>
          <t>NPTEL</t>
        </is>
      </c>
      <c r="B6">
        <f>COUNTIF(MOOCs_EContent_Log!$E$2:$E$101,"NPTEL")</f>
        <v/>
      </c>
      <c r="C6">
        <f>COUNTIFS(MOOCs_EContent_Log!$E$2:$E$101,"NPTEL",MOOCs_EContent_Log!$M$2:$M$101,"Y")</f>
        <v/>
      </c>
    </row>
    <row r="7">
      <c r="A7" t="inlineStr">
        <is>
          <t>e-PG Pathshala</t>
        </is>
      </c>
      <c r="B7">
        <f>COUNTIF(MOOCs_EContent_Log!$E$2:$E$101,"e-PG Pathshala")</f>
        <v/>
      </c>
      <c r="C7">
        <f>COUNTIFS(MOOCs_EContent_Log!$E$2:$E$101,"e-PG Pathshala",MOOCs_EContent_Log!$M$2:$M$101,"Y")</f>
        <v/>
      </c>
    </row>
    <row r="8">
      <c r="A8" t="inlineStr">
        <is>
          <t>Virtual Labs</t>
        </is>
      </c>
      <c r="B8">
        <f>COUNTIF(MOOCs_EContent_Log!$E$2:$E$101,"Virtual Labs")</f>
        <v/>
      </c>
      <c r="C8">
        <f>COUNTIFS(MOOCs_EContent_Log!$E$2:$E$101,"Virtual Labs",MOOCs_EContent_Log!$M$2:$M$101,"Y")</f>
        <v/>
      </c>
    </row>
    <row r="9">
      <c r="A9" t="inlineStr">
        <is>
          <t>LMS</t>
        </is>
      </c>
      <c r="B9">
        <f>COUNTIF(MOOCs_EContent_Log!$E$2:$E$101,"LMS")</f>
        <v/>
      </c>
      <c r="C9">
        <f>COUNTIFS(MOOCs_EContent_Log!$E$2:$E$101,"LMS",MOOCs_EContent_Log!$M$2:$M$101,"Y")</f>
        <v/>
      </c>
    </row>
    <row r="10">
      <c r="A10" t="inlineStr">
        <is>
          <t>Other</t>
        </is>
      </c>
      <c r="B10">
        <f>COUNTIF(MOOCs_EContent_Log!$E$2:$E$101,"Other")</f>
        <v/>
      </c>
      <c r="C10">
        <f>COUNTIFS(MOOCs_EContent_Log!$E$2:$E$101,"Other",MOOCs_EContent_Log!$M$2:$M$101,"Y")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2025-08-29T05:53:49Z</dcterms:created>
  <dcterms:modified xmlns:dcterms="http://purl.org/dc/terms/" xmlns:xsi="http://www.w3.org/2001/XMLSchema-instance" xsi:type="dcterms:W3CDTF">2025-08-29T05:53:49Z</dcterms:modified>
</cp:coreProperties>
</file>