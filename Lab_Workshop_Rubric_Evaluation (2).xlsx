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Practical Exam" sheetId="2" state="visible" r:id="rId2"/>
    <sheet xmlns:r="http://schemas.openxmlformats.org/officeDocument/2006/relationships" name="CO-wise Attainment Summary" sheetId="3" state="visible" r:id="rId3"/>
    <sheet xmlns:r="http://schemas.openxmlformats.org/officeDocument/2006/relationships" name="Rubric Definition" sheetId="4" state="visible" r:id="rId4"/>
    <sheet xmlns:r="http://schemas.openxmlformats.org/officeDocument/2006/relationships" name="Sample Evaluated Records Log" sheetId="5" state="visible" r:id="rId5"/>
    <sheet xmlns:r="http://schemas.openxmlformats.org/officeDocument/2006/relationships" name="CO–PO_PSO Mapping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CO1 (Prep)</t>
        </is>
      </c>
      <c r="D1" s="1" t="inlineStr">
        <is>
          <t>CO2 (Conduct)</t>
        </is>
      </c>
      <c r="E1" s="1" t="inlineStr">
        <is>
          <t>CO3 (Obs &amp; Results)</t>
        </is>
      </c>
      <c r="F1" s="1" t="inlineStr">
        <is>
          <t>CO4 (Record)</t>
        </is>
      </c>
      <c r="G1" s="1" t="inlineStr">
        <is>
          <t>CO5 (Innovation)</t>
        </is>
      </c>
      <c r="H1" s="1" t="inlineStr">
        <is>
          <t>CO6 (Viva)</t>
        </is>
      </c>
      <c r="I1" s="1" t="inlineStr">
        <is>
          <t>Total (Weighted)</t>
        </is>
      </c>
      <c r="J1" s="1" t="inlineStr">
        <is>
          <t>Attainment Level (0–3)</t>
        </is>
      </c>
      <c r="L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3</v>
      </c>
      <c r="I2">
        <f>IF(COUNTA(C2:H2)=0,"",C2*$L$2+D2*$L$3+E2*$L$4+F2*$L$5+G2*$L$6+H2*$L$7)</f>
        <v/>
      </c>
      <c r="J2">
        <f>IF(I2="","",IF(I2&gt;=2.5,3,IF(I2&gt;=2,2,IF(I2&gt;=1.5,1,0))))</f>
        <v/>
      </c>
      <c r="K2" t="inlineStr">
        <is>
          <t>CO1</t>
        </is>
      </c>
      <c r="L2" t="n">
        <v>0.1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>
        <f>IF(COUNTA(C3:H3)=0,"",C3*$L$2+D3*$L$3+E3*$L$4+F3*$L$5+G3*$L$6+H3*$L$7)</f>
        <v/>
      </c>
      <c r="J3">
        <f>IF(I3="","",IF(I3&gt;=2.5,3,IF(I3&gt;=2,2,IF(I3&gt;=1.5,1,0))))</f>
        <v/>
      </c>
      <c r="K3" t="inlineStr">
        <is>
          <t>CO2</t>
        </is>
      </c>
      <c r="L3" t="n">
        <v>0.2</v>
      </c>
    </row>
    <row r="4">
      <c r="I4">
        <f>IF(COUNTA(C4:H4)=0,"",C4*$L$2+D4*$L$3+E4*$L$4+F4*$L$5+G4*$L$6+H4*$L$7)</f>
        <v/>
      </c>
      <c r="J4">
        <f>IF(I4="","",IF(I4&gt;=2.5,3,IF(I4&gt;=2,2,IF(I4&gt;=1.5,1,0))))</f>
        <v/>
      </c>
      <c r="K4" t="inlineStr">
        <is>
          <t>CO3</t>
        </is>
      </c>
      <c r="L4" t="n">
        <v>0.2</v>
      </c>
    </row>
    <row r="5">
      <c r="I5">
        <f>IF(COUNTA(C5:H5)=0,"",C5*$L$2+D5*$L$3+E5*$L$4+F5*$L$5+G5*$L$6+H5*$L$7)</f>
        <v/>
      </c>
      <c r="J5">
        <f>IF(I5="","",IF(I5&gt;=2.5,3,IF(I5&gt;=2,2,IF(I5&gt;=1.5,1,0))))</f>
        <v/>
      </c>
      <c r="K5" t="inlineStr">
        <is>
          <t>CO4</t>
        </is>
      </c>
      <c r="L5" t="n">
        <v>0.1</v>
      </c>
    </row>
    <row r="6">
      <c r="I6">
        <f>IF(COUNTA(C6:H6)=0,"",C6*$L$2+D6*$L$3+E6*$L$4+F6*$L$5+G6*$L$6+H6*$L$7)</f>
        <v/>
      </c>
      <c r="J6">
        <f>IF(I6="","",IF(I6&gt;=2.5,3,IF(I6&gt;=2,2,IF(I6&gt;=1.5,1,0))))</f>
        <v/>
      </c>
      <c r="K6" t="inlineStr">
        <is>
          <t>CO5</t>
        </is>
      </c>
      <c r="L6" t="n">
        <v>0.1</v>
      </c>
    </row>
    <row r="7">
      <c r="I7">
        <f>IF(COUNTA(C7:H7)=0,"",C7*$L$2+D7*$L$3+E7*$L$4+F7*$L$5+G7*$L$6+H7*$L$7)</f>
        <v/>
      </c>
      <c r="J7">
        <f>IF(I7="","",IF(I7&gt;=2.5,3,IF(I7&gt;=2,2,IF(I7&gt;=1.5,1,0))))</f>
        <v/>
      </c>
      <c r="K7" t="inlineStr">
        <is>
          <t>CO6</t>
        </is>
      </c>
      <c r="L7" t="n">
        <v>0.3</v>
      </c>
    </row>
    <row r="8">
      <c r="I8">
        <f>IF(COUNTA(C8:H8)=0,"",C8*$L$2+D8*$L$3+E8*$L$4+F8*$L$5+G8*$L$6+H8*$L$7)</f>
        <v/>
      </c>
      <c r="J8">
        <f>IF(I8="","",IF(I8&gt;=2.5,3,IF(I8&gt;=2,2,IF(I8&gt;=1.5,1,0))))</f>
        <v/>
      </c>
    </row>
    <row r="9">
      <c r="I9">
        <f>IF(COUNTA(C9:H9)=0,"",C9*$L$2+D9*$L$3+E9*$L$4+F9*$L$5+G9*$L$6+H9*$L$7)</f>
        <v/>
      </c>
      <c r="J9">
        <f>IF(I9="","",IF(I9&gt;=2.5,3,IF(I9&gt;=2,2,IF(I9&gt;=1.5,1,0))))</f>
        <v/>
      </c>
    </row>
    <row r="10">
      <c r="I10">
        <f>IF(COUNTA(C10:H10)=0,"",C10*$L$2+D10*$L$3+E10*$L$4+F10*$L$5+G10*$L$6+H10*$L$7)</f>
        <v/>
      </c>
      <c r="J10">
        <f>IF(I10="","",IF(I10&gt;=2.5,3,IF(I10&gt;=2,2,IF(I10&gt;=1.5,1,0))))</f>
        <v/>
      </c>
    </row>
    <row r="11">
      <c r="I11">
        <f>IF(COUNTA(C11:H11)=0,"",C11*$L$2+D11*$L$3+E11*$L$4+F11*$L$5+G11*$L$6+H11*$L$7)</f>
        <v/>
      </c>
      <c r="J11">
        <f>IF(I11="","",IF(I11&gt;=2.5,3,IF(I11&gt;=2,2,IF(I11&gt;=1.5,1,0))))</f>
        <v/>
      </c>
    </row>
    <row r="12">
      <c r="I12">
        <f>IF(COUNTA(C12:H12)=0,"",C12*$L$2+D12*$L$3+E12*$L$4+F12*$L$5+G12*$L$6+H12*$L$7)</f>
        <v/>
      </c>
      <c r="J12">
        <f>IF(I12="","",IF(I12&gt;=2.5,3,IF(I12&gt;=2,2,IF(I12&gt;=1.5,1,0))))</f>
        <v/>
      </c>
    </row>
    <row r="13">
      <c r="I13">
        <f>IF(COUNTA(C13:H13)=0,"",C13*$L$2+D13*$L$3+E13*$L$4+F13*$L$5+G13*$L$6+H13*$L$7)</f>
        <v/>
      </c>
      <c r="J13">
        <f>IF(I13="","",IF(I13&gt;=2.5,3,IF(I13&gt;=2,2,IF(I13&gt;=1.5,1,0))))</f>
        <v/>
      </c>
    </row>
    <row r="14">
      <c r="I14">
        <f>IF(COUNTA(C14:H14)=0,"",C14*$L$2+D14*$L$3+E14*$L$4+F14*$L$5+G14*$L$6+H14*$L$7)</f>
        <v/>
      </c>
      <c r="J14">
        <f>IF(I14="","",IF(I14&gt;=2.5,3,IF(I14&gt;=2,2,IF(I14&gt;=1.5,1,0))))</f>
        <v/>
      </c>
    </row>
    <row r="15">
      <c r="I15">
        <f>IF(COUNTA(C15:H15)=0,"",C15*$L$2+D15*$L$3+E15*$L$4+F15*$L$5+G15*$L$6+H15*$L$7)</f>
        <v/>
      </c>
      <c r="J15">
        <f>IF(I15="","",IF(I15&gt;=2.5,3,IF(I15&gt;=2,2,IF(I15&gt;=1.5,1,0))))</f>
        <v/>
      </c>
    </row>
    <row r="16">
      <c r="I16">
        <f>IF(COUNTA(C16:H16)=0,"",C16*$L$2+D16*$L$3+E16*$L$4+F16*$L$5+G16*$L$6+H16*$L$7)</f>
        <v/>
      </c>
      <c r="J16">
        <f>IF(I16="","",IF(I16&gt;=2.5,3,IF(I16&gt;=2,2,IF(I16&gt;=1.5,1,0))))</f>
        <v/>
      </c>
    </row>
    <row r="17">
      <c r="I17">
        <f>IF(COUNTA(C17:H17)=0,"",C17*$L$2+D17*$L$3+E17*$L$4+F17*$L$5+G17*$L$6+H17*$L$7)</f>
        <v/>
      </c>
      <c r="J17">
        <f>IF(I17="","",IF(I17&gt;=2.5,3,IF(I17&gt;=2,2,IF(I17&gt;=1.5,1,0))))</f>
        <v/>
      </c>
    </row>
    <row r="18">
      <c r="I18">
        <f>IF(COUNTA(C18:H18)=0,"",C18*$L$2+D18*$L$3+E18*$L$4+F18*$L$5+G18*$L$6+H18*$L$7)</f>
        <v/>
      </c>
      <c r="J18">
        <f>IF(I18="","",IF(I18&gt;=2.5,3,IF(I18&gt;=2,2,IF(I18&gt;=1.5,1,0))))</f>
        <v/>
      </c>
    </row>
    <row r="19">
      <c r="I19">
        <f>IF(COUNTA(C19:H19)=0,"",C19*$L$2+D19*$L$3+E19*$L$4+F19*$L$5+G19*$L$6+H19*$L$7)</f>
        <v/>
      </c>
      <c r="J19">
        <f>IF(I19="","",IF(I19&gt;=2.5,3,IF(I19&gt;=2,2,IF(I19&gt;=1.5,1,0))))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22" customWidth="1" min="8" max="8"/>
    <col width="10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CO2 (Planning)</t>
        </is>
      </c>
      <c r="D1" s="1" t="inlineStr">
        <is>
          <t>CO3 (Execution)</t>
        </is>
      </c>
      <c r="E1" s="1" t="inlineStr">
        <is>
          <t>CO4 (Output)</t>
        </is>
      </c>
      <c r="F1" s="1" t="inlineStr">
        <is>
          <t>CO6 (Viva)</t>
        </is>
      </c>
      <c r="G1" s="1" t="inlineStr">
        <is>
          <t>Total (Weighted)</t>
        </is>
      </c>
      <c r="H1" s="1" t="inlineStr">
        <is>
          <t>Attainment Level (0–3)</t>
        </is>
      </c>
      <c r="J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3</v>
      </c>
      <c r="F2" t="n">
        <v>3</v>
      </c>
      <c r="G2">
        <f>IF(COUNTA(C2:F2)=0,"",C2*$J$2+D2*$J$3+E2*$J$4+F2*$J$5)</f>
        <v/>
      </c>
      <c r="H2">
        <f>IF(G2="","",IF(G2&gt;=2.5,3,IF(G2&gt;=2,2,IF(G2&gt;=1.5,1,0))))</f>
        <v/>
      </c>
      <c r="I2" t="inlineStr">
        <is>
          <t>CO2</t>
        </is>
      </c>
      <c r="J2" t="n">
        <v>0.2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>
        <f>IF(COUNTA(C3:F3)=0,"",C3*$J$2+D3*$J$3+E3*$J$4+F3*$J$5)</f>
        <v/>
      </c>
      <c r="H3">
        <f>IF(G3="","",IF(G3&gt;=2.5,3,IF(G3&gt;=2,2,IF(G3&gt;=1.5,1,0))))</f>
        <v/>
      </c>
      <c r="I3" t="inlineStr">
        <is>
          <t>CO3</t>
        </is>
      </c>
      <c r="J3" t="n">
        <v>0.4</v>
      </c>
    </row>
    <row r="4">
      <c r="G4">
        <f>IF(COUNTA(C4:F4)=0,"",C4*$J$2+D4*$J$3+E4*$J$4+F4*$J$5)</f>
        <v/>
      </c>
      <c r="H4">
        <f>IF(G4="","",IF(G4&gt;=2.5,3,IF(G4&gt;=2,2,IF(G4&gt;=1.5,1,0))))</f>
        <v/>
      </c>
      <c r="I4" t="inlineStr">
        <is>
          <t>CO4</t>
        </is>
      </c>
      <c r="J4" t="n">
        <v>0.2</v>
      </c>
    </row>
    <row r="5">
      <c r="G5">
        <f>IF(COUNTA(C5:F5)=0,"",C5*$J$2+D5*$J$3+E5*$J$4+F5*$J$5)</f>
        <v/>
      </c>
      <c r="H5">
        <f>IF(G5="","",IF(G5&gt;=2.5,3,IF(G5&gt;=2,2,IF(G5&gt;=1.5,1,0))))</f>
        <v/>
      </c>
      <c r="I5" t="inlineStr">
        <is>
          <t>CO6</t>
        </is>
      </c>
      <c r="J5" t="n">
        <v>0.2</v>
      </c>
    </row>
    <row r="6">
      <c r="G6">
        <f>IF(COUNTA(C6:F6)=0,"",C6*$J$2+D6*$J$3+E6*$J$4+F6*$J$5)</f>
        <v/>
      </c>
      <c r="H6">
        <f>IF(G6="","",IF(G6&gt;=2.5,3,IF(G6&gt;=2,2,IF(G6&gt;=1.5,1,0))))</f>
        <v/>
      </c>
    </row>
    <row r="7">
      <c r="G7">
        <f>IF(COUNTA(C7:F7)=0,"",C7*$J$2+D7*$J$3+E7*$J$4+F7*$J$5)</f>
        <v/>
      </c>
      <c r="H7">
        <f>IF(G7="","",IF(G7&gt;=2.5,3,IF(G7&gt;=2,2,IF(G7&gt;=1.5,1,0))))</f>
        <v/>
      </c>
    </row>
    <row r="8">
      <c r="G8">
        <f>IF(COUNTA(C8:F8)=0,"",C8*$J$2+D8*$J$3+E8*$J$4+F8*$J$5)</f>
        <v/>
      </c>
      <c r="H8">
        <f>IF(G8="","",IF(G8&gt;=2.5,3,IF(G8&gt;=2,2,IF(G8&gt;=1.5,1,0))))</f>
        <v/>
      </c>
    </row>
    <row r="9">
      <c r="G9">
        <f>IF(COUNTA(C9:F9)=0,"",C9*$J$2+D9*$J$3+E9*$J$4+F9*$J$5)</f>
        <v/>
      </c>
      <c r="H9">
        <f>IF(G9="","",IF(G9&gt;=2.5,3,IF(G9&gt;=2,2,IF(G9&gt;=1.5,1,0))))</f>
        <v/>
      </c>
    </row>
    <row r="10">
      <c r="G10">
        <f>IF(COUNTA(C10:F10)=0,"",C10*$J$2+D10*$J$3+E10*$J$4+F10*$J$5)</f>
        <v/>
      </c>
      <c r="H10">
        <f>IF(G10="","",IF(G10&gt;=2.5,3,IF(G10&gt;=2,2,IF(G10&gt;=1.5,1,0))))</f>
        <v/>
      </c>
    </row>
    <row r="11">
      <c r="G11">
        <f>IF(COUNTA(C11:F11)=0,"",C11*$J$2+D11*$J$3+E11*$J$4+F11*$J$5)</f>
        <v/>
      </c>
      <c r="H11">
        <f>IF(G11="","",IF(G11&gt;=2.5,3,IF(G11&gt;=2,2,IF(G11&gt;=1.5,1,0))))</f>
        <v/>
      </c>
    </row>
    <row r="12">
      <c r="G12">
        <f>IF(COUNTA(C12:F12)=0,"",C12*$J$2+D12*$J$3+E12*$J$4+F12*$J$5)</f>
        <v/>
      </c>
      <c r="H12">
        <f>IF(G12="","",IF(G12&gt;=2.5,3,IF(G12&gt;=2,2,IF(G12&gt;=1.5,1,0))))</f>
        <v/>
      </c>
    </row>
    <row r="13">
      <c r="G13">
        <f>IF(COUNTA(C13:F13)=0,"",C13*$J$2+D13*$J$3+E13*$J$4+F13*$J$5)</f>
        <v/>
      </c>
      <c r="H13">
        <f>IF(G13="","",IF(G13&gt;=2.5,3,IF(G13&gt;=2,2,IF(G13&gt;=1.5,1,0))))</f>
        <v/>
      </c>
    </row>
    <row r="14">
      <c r="G14">
        <f>IF(COUNTA(C14:F14)=0,"",C14*$J$2+D14*$J$3+E14*$J$4+F14*$J$5)</f>
        <v/>
      </c>
      <c r="H14">
        <f>IF(G14="","",IF(G14&gt;=2.5,3,IF(G14&gt;=2,2,IF(G14&gt;=1.5,1,0))))</f>
        <v/>
      </c>
    </row>
    <row r="15">
      <c r="G15">
        <f>IF(COUNTA(C15:F15)=0,"",C15*$J$2+D15*$J$3+E15*$J$4+F15*$J$5)</f>
        <v/>
      </c>
      <c r="H15">
        <f>IF(G15="","",IF(G15&gt;=2.5,3,IF(G15&gt;=2,2,IF(G15&gt;=1.5,1,0))))</f>
        <v/>
      </c>
    </row>
    <row r="16">
      <c r="G16">
        <f>IF(COUNTA(C16:F16)=0,"",C16*$J$2+D16*$J$3+E16*$J$4+F16*$J$5)</f>
        <v/>
      </c>
      <c r="H16">
        <f>IF(G16="","",IF(G16&gt;=2.5,3,IF(G16&gt;=2,2,IF(G16&gt;=1.5,1,0))))</f>
        <v/>
      </c>
    </row>
    <row r="17">
      <c r="G17">
        <f>IF(COUNTA(C17:F17)=0,"",C17*$J$2+D17*$J$3+E17*$J$4+F17*$J$5)</f>
        <v/>
      </c>
      <c r="H17">
        <f>IF(G17="","",IF(G17&gt;=2.5,3,IF(G17&gt;=2,2,IF(G17&gt;=1.5,1,0))))</f>
        <v/>
      </c>
    </row>
    <row r="18">
      <c r="G18">
        <f>IF(COUNTA(C18:F18)=0,"",C18*$J$2+D18*$J$3+E18*$J$4+F18*$J$5)</f>
        <v/>
      </c>
      <c r="H18">
        <f>IF(G18="","",IF(G18&gt;=2.5,3,IF(G18&gt;=2,2,IF(G18&gt;=1.5,1,0))))</f>
        <v/>
      </c>
    </row>
    <row r="19">
      <c r="G19">
        <f>IF(COUNTA(C19:F19)=0,"",C19*$J$2+D19*$J$3+E19*$J$4+F19*$J$5)</f>
        <v/>
      </c>
      <c r="H19">
        <f>IF(G19="","",IF(G19&gt;=2.5,3,IF(G19&gt;=2,2,IF(G19&gt;=1.5,1,0))))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 Cont+40% SEE)</t>
        </is>
      </c>
      <c r="E1" s="1" t="inlineStr">
        <is>
          <t>Final Attainment Level (0–3)</t>
        </is>
      </c>
      <c r="F1" s="1" t="inlineStr">
        <is>
          <t>PO(s) Mapped</t>
        </is>
      </c>
      <c r="G1" s="1" t="inlineStr">
        <is>
          <t>PSO(s) Mapped</t>
        </is>
      </c>
    </row>
    <row r="2">
      <c r="A2" t="inlineStr">
        <is>
          <t>CO1</t>
        </is>
      </c>
      <c r="D2">
        <f>IF(OR(B2="",C2=""),IF(B2="",C2,B2),0.6*B2+0.4*C2)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IF(OR(B3="",C3=""),IF(B3="",C3,B3),0.6*B3+0.4*C3)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IF(OR(B4="",C4=""),IF(B4="",C4,B4),0.6*B4+0.4*C4)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IF(OR(B5="",C5=""),IF(B5="",C5,B5),0.6*B5+0.4*C5)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IF(OR(B6="",C6=""),IF(B6="",C6,B6),0.6*B6+0.4*C6)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IF(OR(B7="",C7=""),IF(B7="",C7,B7),0.6*B7+0.4*C7)</f>
        <v/>
      </c>
      <c r="E7">
        <f>IF(D7="","",IF(D7&gt;=2.5,3,IF(D7&gt;=2,2,IF(D7&gt;=1.5,1,0))))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CO</t>
        </is>
      </c>
      <c r="B1" s="1" t="inlineStr">
        <is>
          <t>Criteria</t>
        </is>
      </c>
      <c r="C1" s="1" t="inlineStr">
        <is>
          <t>Weight (decimal)</t>
        </is>
      </c>
      <c r="D1" s="1" t="inlineStr">
        <is>
          <t>Rubric Levels (0–3)</t>
        </is>
      </c>
      <c r="E1" s="1" t="inlineStr">
        <is>
          <t>PO(s) Mapped</t>
        </is>
      </c>
      <c r="F1" s="1" t="inlineStr">
        <is>
          <t>PSO(s) Mapped</t>
        </is>
      </c>
      <c r="G1" s="1" t="inlineStr">
        <is>
          <t>Notes/Evidence</t>
        </is>
      </c>
    </row>
    <row r="2">
      <c r="A2" t="inlineStr">
        <is>
          <t>CO1</t>
        </is>
      </c>
      <c r="B2" t="inlineStr">
        <is>
          <t>Preparation</t>
        </is>
      </c>
      <c r="C2" t="n">
        <v>0.1</v>
      </c>
      <c r="D2" t="inlineStr">
        <is>
          <t>0–Poor,1–Fair,2–Good,3–Excellent</t>
        </is>
      </c>
      <c r="E2" t="inlineStr">
        <is>
          <t>PO1,PO2</t>
        </is>
      </c>
      <c r="F2" t="inlineStr">
        <is>
          <t>PSO1</t>
        </is>
      </c>
    </row>
    <row r="3">
      <c r="A3" t="inlineStr">
        <is>
          <t>CO2</t>
        </is>
      </c>
      <c r="B3" t="inlineStr">
        <is>
          <t>Conduct of Experiment</t>
        </is>
      </c>
      <c r="C3" t="n">
        <v>0.2</v>
      </c>
      <c r="D3" t="inlineStr">
        <is>
          <t>0–3 scale</t>
        </is>
      </c>
      <c r="E3" t="inlineStr">
        <is>
          <t>PO3,PO4</t>
        </is>
      </c>
      <c r="F3" t="inlineStr">
        <is>
          <t>PSO1</t>
        </is>
      </c>
    </row>
    <row r="4">
      <c r="A4" t="inlineStr">
        <is>
          <t>CO3</t>
        </is>
      </c>
      <c r="B4" t="inlineStr">
        <is>
          <t>Observation &amp; Results</t>
        </is>
      </c>
      <c r="C4" t="n">
        <v>0.2</v>
      </c>
      <c r="D4" t="inlineStr">
        <is>
          <t>0–3 scale</t>
        </is>
      </c>
      <c r="E4" t="inlineStr">
        <is>
          <t>PO4</t>
        </is>
      </c>
      <c r="F4" t="inlineStr">
        <is>
          <t>PSO2</t>
        </is>
      </c>
    </row>
    <row r="5">
      <c r="A5" t="inlineStr">
        <is>
          <t>CO4</t>
        </is>
      </c>
      <c r="B5" t="inlineStr">
        <is>
          <t>Record/Journal</t>
        </is>
      </c>
      <c r="C5" t="n">
        <v>0.1</v>
      </c>
      <c r="D5" t="inlineStr">
        <is>
          <t>0–3 scale</t>
        </is>
      </c>
      <c r="E5" t="inlineStr">
        <is>
          <t>PO8</t>
        </is>
      </c>
    </row>
    <row r="6">
      <c r="A6" t="inlineStr">
        <is>
          <t>CO5</t>
        </is>
      </c>
      <c r="B6" t="inlineStr">
        <is>
          <t>Innovation/Design</t>
        </is>
      </c>
      <c r="C6" t="n">
        <v>0.1</v>
      </c>
      <c r="D6" t="inlineStr">
        <is>
          <t>0–3 scale</t>
        </is>
      </c>
      <c r="E6" t="inlineStr">
        <is>
          <t>PO5</t>
        </is>
      </c>
      <c r="F6" t="inlineStr">
        <is>
          <t>PSO2</t>
        </is>
      </c>
    </row>
    <row r="7">
      <c r="A7" t="inlineStr">
        <is>
          <t>CO6</t>
        </is>
      </c>
      <c r="B7" t="inlineStr">
        <is>
          <t>Viva Voce</t>
        </is>
      </c>
      <c r="C7" t="n">
        <v>0.3</v>
      </c>
      <c r="D7" t="inlineStr">
        <is>
          <t>0–3 scale</t>
        </is>
      </c>
      <c r="E7" t="inlineStr">
        <is>
          <t>PO10,PO12</t>
        </is>
      </c>
      <c r="F7" t="inlineStr">
        <is>
          <t>PSO3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8" customWidth="1" min="4" max="4"/>
    <col width="22" customWidth="1" min="5" max="5"/>
    <col width="28" customWidth="1" min="6" max="6"/>
    <col width="36" customWidth="1" min="7" max="7"/>
    <col width="32" customWidth="1" min="8" max="8"/>
  </cols>
  <sheetData>
    <row r="1">
      <c r="A1" s="3" t="inlineStr">
        <is>
          <t>Sample Evaluated Records Log (High/Medium/Low Achiever Evidence of Rubric Application)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Student Category (High/Medium/Low)</t>
        </is>
      </c>
      <c r="D3" s="1" t="inlineStr">
        <is>
          <t>Student ID (optional)</t>
        </is>
      </c>
      <c r="E3" s="1" t="inlineStr">
        <is>
          <t>COs Evaluated</t>
        </is>
      </c>
      <c r="F3" s="1" t="inlineStr">
        <is>
          <t>Criteria Applied</t>
        </is>
      </c>
      <c r="G3" s="1" t="inlineStr">
        <is>
          <t>Evidence File (PDF/Link)</t>
        </is>
      </c>
      <c r="H3" s="1" t="inlineStr">
        <is>
          <t>Remarks</t>
        </is>
      </c>
    </row>
    <row r="4">
      <c r="A4" t="inlineStr">
        <is>
          <t>CSE351</t>
        </is>
      </c>
      <c r="B4" t="inlineStr">
        <is>
          <t>Data Structures Lab</t>
        </is>
      </c>
      <c r="C4" t="inlineStr">
        <is>
          <t>High Achiever</t>
        </is>
      </c>
      <c r="D4" t="inlineStr">
        <is>
          <t>101</t>
        </is>
      </c>
      <c r="E4" t="inlineStr">
        <is>
          <t>CO2,CO3,CO6</t>
        </is>
      </c>
      <c r="F4" t="inlineStr">
        <is>
          <t>Conduct, Results, Viva</t>
        </is>
      </c>
      <c r="G4" t="inlineStr">
        <is>
          <t>Lab_CSE351_High.pdf</t>
        </is>
      </c>
      <c r="H4" t="inlineStr">
        <is>
          <t>Rubric fully met</t>
        </is>
      </c>
    </row>
    <row r="5">
      <c r="A5" t="inlineStr">
        <is>
          <t>CSE351</t>
        </is>
      </c>
      <c r="B5" t="inlineStr">
        <is>
          <t>Data Structures Lab</t>
        </is>
      </c>
      <c r="C5" t="inlineStr">
        <is>
          <t>Medium Achiever</t>
        </is>
      </c>
      <c r="D5" t="inlineStr">
        <is>
          <t>102</t>
        </is>
      </c>
      <c r="E5" t="inlineStr">
        <is>
          <t>CO2,CO4,CO6</t>
        </is>
      </c>
      <c r="F5" t="inlineStr">
        <is>
          <t>Partial execution, Record, Viva</t>
        </is>
      </c>
      <c r="G5" t="inlineStr">
        <is>
          <t>Lab_CSE351_Medium.pdf</t>
        </is>
      </c>
      <c r="H5" t="inlineStr">
        <is>
          <t>Rubric partly applied</t>
        </is>
      </c>
    </row>
    <row r="6">
      <c r="A6" t="inlineStr">
        <is>
          <t>CSE351</t>
        </is>
      </c>
      <c r="B6" t="inlineStr">
        <is>
          <t>Data Structures Lab</t>
        </is>
      </c>
      <c r="C6" t="inlineStr">
        <is>
          <t>Low Achiever</t>
        </is>
      </c>
      <c r="D6" t="inlineStr">
        <is>
          <t>103</t>
        </is>
      </c>
      <c r="E6" t="inlineStr">
        <is>
          <t>CO1,CO2</t>
        </is>
      </c>
      <c r="F6" t="inlineStr">
        <is>
          <t>Prep, Conduct</t>
        </is>
      </c>
      <c r="G6" t="inlineStr">
        <is>
          <t>Lab_CSE351_Low.pdf</t>
        </is>
      </c>
      <c r="H6" t="inlineStr">
        <is>
          <t>Weak performance, rubric applied consistently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3" t="inlineStr">
        <is>
          <t>Auto-Generated CO–PO/PSO Mapping Matrix (Based on Rubric Definition Sheet)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PO8</t>
        </is>
      </c>
      <c r="H3" s="1" t="inlineStr">
        <is>
          <t>PO10</t>
        </is>
      </c>
      <c r="I3" s="1" t="inlineStr">
        <is>
          <t>PO12</t>
        </is>
      </c>
      <c r="J3" s="1" t="inlineStr">
        <is>
          <t>PSO1</t>
        </is>
      </c>
      <c r="K3" s="1" t="inlineStr">
        <is>
          <t>PSO2</t>
        </is>
      </c>
      <c r="L3" s="1" t="inlineStr">
        <is>
          <t>PSO3</t>
        </is>
      </c>
    </row>
    <row r="4">
      <c r="A4" t="inlineStr">
        <is>
          <t>CO1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CO2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CO3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CO4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CO5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CO6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2025-08-31T05:58:40Z</dcterms:created>
  <dcterms:modified xmlns:dcterms="http://purl.org/dc/terms/" xmlns:xsi="http://www.w3.org/2001/XMLSchema-instance" xsi:type="dcterms:W3CDTF">2025-08-31T05:58:40Z</dcterms:modified>
</cp:coreProperties>
</file>