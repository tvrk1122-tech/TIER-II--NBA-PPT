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Summary" sheetId="1" state="visible" r:id="rId3"/>
    <sheet name="Admission Details (Long Form)" sheetId="2" state="visible" r:id="rId4"/>
    <sheet name="Enrolment Ratio Analysis" sheetId="3" state="visible" r:id="rId5"/>
    <sheet name="Evidence &amp; Quality Check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<sst xmlns="http://schemas.openxmlformats.org/spreadsheetml/2006/main" count="159" uniqueCount="130">
  <si>
    <t xml:space="preserve">ADMISSION DETAILS REPORT — PROGRAM INTAKE &amp; ENROLMENT ANALYSIS</t>
  </si>
  <si>
    <t xml:space="preserve">B.Tech (CSE)  |  6-Year Intake History (CAY to CAYm6)  |  MEES/ABC Entries Excluded  |  NBA Criterion 4.1, 4.2, 4.4</t>
  </si>
  <si>
    <t xml:space="preserve">PURPOSE</t>
  </si>
  <si>
    <t xml:space="preserve">Shows student intake pattern and program demand over the last six academic years — admission consistency, seat-fill quality, and program stability. Forms the base dataset for Enrolment Ratio (NBA 4.1), Success Rate (NBA 4.2), and Placement/Higher Studies (NBA 4.4). Students admitted under Multiple Entry and Exit System (MEES/Academic Bank of Credits) are EXCLUDED from all figures.</t>
  </si>
  <si>
    <t xml:space="preserve">ADMISSION DETAILS TABLE (NBA REQUIRED FORMAT) — AUTO-CALCULATED</t>
  </si>
  <si>
    <t xml:space="preserve">Item</t>
  </si>
  <si>
    <t xml:space="preserve">CAY
2024–25</t>
  </si>
  <si>
    <t xml:space="preserve">CAYm1
2023–24</t>
  </si>
  <si>
    <t xml:space="preserve">CAYm2
2022–23</t>
  </si>
  <si>
    <t xml:space="preserve">CAYm3
2021–22</t>
  </si>
  <si>
    <t xml:space="preserve">CAYm4 (LYG)
2020–21</t>
  </si>
  <si>
    <t xml:space="preserve">CAYm5 (LYGm1)
2019–20</t>
  </si>
  <si>
    <t xml:space="preserve">CAYm6 (LYGm2)
2018–19</t>
  </si>
  <si>
    <t xml:space="preserve">N = Sanctioned Intake (AICTE/Authority)</t>
  </si>
  <si>
    <t xml:space="preserve">N1 = 1st Year Admissions (adj. migration)</t>
  </si>
  <si>
    <t xml:space="preserve">N2 = Lateral Entry Admissions (2nd yr)</t>
  </si>
  <si>
    <t xml:space="preserve">N3 = Separate Division Admissions</t>
  </si>
  <si>
    <t xml:space="preserve">N4 = Supernumerary Admissions (TFWS/EWS/PMSSS)</t>
  </si>
  <si>
    <t xml:space="preserve">Total Admissions = N1+N2+N3+N4</t>
  </si>
  <si>
    <t xml:space="preserve">Seat Utilisation % = Total ÷ N</t>
  </si>
  <si>
    <t xml:space="preserve">3-YEAR ENROLMENT RATIO (NBA 4.1) — AUTO-CALCULATED</t>
  </si>
  <si>
    <t xml:space="preserve">Formula: (N1_CAY + N1_CAYm1 + N1_CAYm2) ÷ (N_CAY + N_CAYm1 + N_CAYm2) × 100</t>
  </si>
  <si>
    <t xml:space="preserve">3-YEAR ENROLMENT RATIO (N1 basis)</t>
  </si>
  <si>
    <t xml:space="preserve">KEY PERFORMANCE INDICATORS (AUTO-CALCULATED)</t>
  </si>
  <si>
    <t xml:space="preserve">Current Sanctioned
Intake (N)</t>
  </si>
  <si>
    <t xml:space="preserve">Current Total
Admissions</t>
  </si>
  <si>
    <t xml:space="preserve">Current Seat
Utilisation %</t>
  </si>
  <si>
    <t xml:space="preserve">3-Yr Enrolment
Ratio (4.1)</t>
  </si>
  <si>
    <t xml:space="preserve">Avg Utilisation
(6-Yr)</t>
  </si>
  <si>
    <t xml:space="preserve">Avg Total
Admissions (6-Yr)</t>
  </si>
  <si>
    <t xml:space="preserve">Total Supernumerary
(6-Yr Sum N4)</t>
  </si>
  <si>
    <t xml:space="preserve">Total Lateral Entry
(6-Yr Sum N2)</t>
  </si>
  <si>
    <t xml:space="preserve">ADMISSION DETAILS TABLE — LONG FORM (YEAR AS ROWS)</t>
  </si>
  <si>
    <t xml:space="preserve">Year-wise Sanctioned Intake, Admissions, Lateral Entry, Supernumerary &amp; Seat Utilisation (MEES/ABC Excluded)</t>
  </si>
  <si>
    <t xml:space="preserve">Academic Year</t>
  </si>
  <si>
    <t xml:space="preserve">N
(Sanctioned)</t>
  </si>
  <si>
    <t xml:space="preserve">N1
(1st Yr Adm.)</t>
  </si>
  <si>
    <t xml:space="preserve">N2
(Lateral Entry)</t>
  </si>
  <si>
    <t xml:space="preserve">N3
(Sep. Division)</t>
  </si>
  <si>
    <t xml:space="preserve">N4
(Supernumerary)</t>
  </si>
  <si>
    <t xml:space="preserve">Total
(Auto-Calc)</t>
  </si>
  <si>
    <t xml:space="preserve">Utilisation %
(Auto-Calc)</t>
  </si>
  <si>
    <t xml:space="preserve">MEES/ABC
Excluded</t>
  </si>
  <si>
    <t xml:space="preserve">Evidence Reference</t>
  </si>
  <si>
    <t xml:space="preserve">CAY (2024–25)</t>
  </si>
  <si>
    <t xml:space="preserve">4 students excluded</t>
  </si>
  <si>
    <t xml:space="preserve">Admission_2025, AICTE_Approval_2025</t>
  </si>
  <si>
    <t xml:space="preserve">CAYm1 (2023–24)</t>
  </si>
  <si>
    <t xml:space="preserve">2 students excluded</t>
  </si>
  <si>
    <t xml:space="preserve">Admission_2024, AICTE_Approval_2024</t>
  </si>
  <si>
    <t xml:space="preserve">CAYm2 (2022–23)</t>
  </si>
  <si>
    <t xml:space="preserve">3 students excluded</t>
  </si>
  <si>
    <t xml:space="preserve">Admission_2023, AICTE_Approval_2023</t>
  </si>
  <si>
    <t xml:space="preserve">CAYm3 (2021–22)</t>
  </si>
  <si>
    <t xml:space="preserve">None reported</t>
  </si>
  <si>
    <t xml:space="preserve">Admission_2022, AICTE_Approval_2022</t>
  </si>
  <si>
    <t xml:space="preserve">CAYm4 LYG (2020–21)</t>
  </si>
  <si>
    <t xml:space="preserve">Admission_2021, AICTE_Approval_2021</t>
  </si>
  <si>
    <t xml:space="preserve">CAYm5 LYGm1 (2019–20)</t>
  </si>
  <si>
    <t xml:space="preserve">Admission_2020, AICTE_Approval_2020</t>
  </si>
  <si>
    <t xml:space="preserve">CAYm6 LYGm2 (2018–19)</t>
  </si>
  <si>
    <t xml:space="preserve">Admission_2019, AICTE_Approval_2019</t>
  </si>
  <si>
    <t xml:space="preserve">6-YEAR TOTAL / AVERAGE</t>
  </si>
  <si>
    <t xml:space="preserve">—</t>
  </si>
  <si>
    <t xml:space="preserve">EXPLANATION OF EACH PARAMETER</t>
  </si>
  <si>
    <t xml:space="preserve">Parameter</t>
  </si>
  <si>
    <t xml:space="preserve">Definition</t>
  </si>
  <si>
    <t xml:space="preserve">Worked Example</t>
  </si>
  <si>
    <t xml:space="preserve">N = Sanctioned Intake</t>
  </si>
  <si>
    <t xml:space="preserve">Approved intake capacity as per AICTE/competent authority for each year</t>
  </si>
  <si>
    <t xml:space="preserve">B.Tech (CSE): 120 seats sanctioned → N = 120</t>
  </si>
  <si>
    <t xml:space="preserve">N1 = 1st Year Admissions</t>
  </si>
  <si>
    <t xml:space="preserve">Actual Year-1 admissions, adjusted: subtract migrated-out, add migrated-in</t>
  </si>
  <si>
    <t xml:space="preserve">110 admitted, 2 out, 3 in → N1 = 111</t>
  </si>
  <si>
    <t xml:space="preserve">N2 = Lateral Entry Admissions</t>
  </si>
  <si>
    <t xml:space="preserve">2nd-year diploma lateral entry admissions; includes leftover-seat fills if permitted</t>
  </si>
  <si>
    <t xml:space="preserve">10 diploma students admitted in 2nd year → N2 = 10</t>
  </si>
  <si>
    <t xml:space="preserve">Parallel division admissions for the same program code (if applicable)</t>
  </si>
  <si>
    <t xml:space="preserve">AICTE-approved additional batch of 60 → N3 = 60</t>
  </si>
  <si>
    <t xml:space="preserve">N4 = Supernumerary Admissions</t>
  </si>
  <si>
    <t xml:space="preserve">Admissions over sanctioned intake under TFWS/EWS/PMSSS/Foreign Nationals quotas</t>
  </si>
  <si>
    <t xml:space="preserve">TFWS=4, EWS=3 → N4 = 7</t>
  </si>
  <si>
    <t xml:space="preserve">Total Admissions</t>
  </si>
  <si>
    <t xml:space="preserve">N1 + N2 + N3 + N4. Excludes MEES/Academic Bank of Credits students</t>
  </si>
  <si>
    <t xml:space="preserve">111+8+0+7 = 126 (CAY example)</t>
  </si>
  <si>
    <t xml:space="preserve">ENROLMENT RATIO (NBA 4.1) &amp; SEAT UTILISATION ANALYSIS</t>
  </si>
  <si>
    <t xml:space="preserve">Quick Checks — Seat Utilisation (Total ÷ N) and 3-Year Rolling Enrolment Ratio (N1 basis)</t>
  </si>
  <si>
    <t xml:space="preserve">N (Sanctioned)</t>
  </si>
  <si>
    <t xml:space="preserve">N1 (1st Yr)</t>
  </si>
  <si>
    <t xml:space="preserve">Seat Utilisation %
(Auto-Calc)</t>
  </si>
  <si>
    <t xml:space="preserve">Utilisation Status</t>
  </si>
  <si>
    <t xml:space="preserve">6-YEAR AVERAGE</t>
  </si>
  <si>
    <t xml:space="preserve">3-YEAR ROLLING ENROLMENT RATIO (NBA 4.1) — AUTO-CALCULATED</t>
  </si>
  <si>
    <t xml:space="preserve">Formula: (N1_Y1 + N1_Y2 + N1_Y3) ÷ (N_Y1 + N_Y2 + N_Y3) × 100</t>
  </si>
  <si>
    <t xml:space="preserve">3-Year Window</t>
  </si>
  <si>
    <t xml:space="preserve">Sum N1</t>
  </si>
  <si>
    <t xml:space="preserve">Sum N</t>
  </si>
  <si>
    <t xml:space="preserve">Enrolment Ratio % (Auto-Calc)</t>
  </si>
  <si>
    <t xml:space="preserve">CAY + CAYm1 + CAYm2</t>
  </si>
  <si>
    <t xml:space="preserve">CAYm1 + CAYm2 + CAYm3</t>
  </si>
  <si>
    <t xml:space="preserve">CAYm2 + CAYm3 + CAYm4</t>
  </si>
  <si>
    <t xml:space="preserve">CAYm3 + CAYm4 + CAYm5</t>
  </si>
  <si>
    <t xml:space="preserve">CAYm4 + CAYm5 + CAYm6</t>
  </si>
  <si>
    <t xml:space="preserve">EVIDENCE REQUIRED FOR NBA SUBMISSION</t>
  </si>
  <si>
    <t xml:space="preserve">Evidence Category</t>
  </si>
  <si>
    <t xml:space="preserve">Description / Source Document</t>
  </si>
  <si>
    <t xml:space="preserve">Status</t>
  </si>
  <si>
    <t xml:space="preserve">Sanctioned Intake Proof</t>
  </si>
  <si>
    <t xml:space="preserve">AICTE approval letters for each year</t>
  </si>
  <si>
    <t xml:space="preserve">To be attached</t>
  </si>
  <si>
    <t xml:space="preserve">Admission Data</t>
  </si>
  <si>
    <t xml:space="preserve">University / State admission authority records</t>
  </si>
  <si>
    <t xml:space="preserve">Migration Records</t>
  </si>
  <si>
    <t xml:space="preserve">Transfers in/out approved by affiliating body</t>
  </si>
  <si>
    <t xml:space="preserve">Lateral Entry Proof</t>
  </si>
  <si>
    <t xml:space="preserve">Diploma entry admission list</t>
  </si>
  <si>
    <t xml:space="preserve">Supernumerary Proof</t>
  </si>
  <si>
    <t xml:space="preserve">AICTE notification, admission committee records</t>
  </si>
  <si>
    <t xml:space="preserve">Exclusion Proof</t>
  </si>
  <si>
    <t xml:space="preserve">Documentation showing no MEES students were included in N1–N4</t>
  </si>
  <si>
    <t xml:space="preserve">KEY NOTES (USING THE EXAMPLE CORRECTLY)</t>
  </si>
  <si>
    <t xml:space="preserve">•  Exclude MEES/ABC entries from all N1–N4 figures and from the Total.</t>
  </si>
  <si>
    <t xml:space="preserve">•  Show supernumerary (N4) explicitly; this explains seat utilisation exceeding 100%.</t>
  </si>
  <si>
    <t xml:space="preserve">•  If a parallel division exists (N3), enter those admits separately and keep AICTE approval handy.</t>
  </si>
  <si>
    <t xml:space="preserve">•  If sanctioned intake varies year-wise, replace the constant N with the approved N per year and recompute checks.</t>
  </si>
  <si>
    <t xml:space="preserve">WHY THIS IS CRITICAL IN NBA ACCREDITATION</t>
  </si>
  <si>
    <t xml:space="preserve">•  Enrolment Ratio is directly calculated from N vs. actual admissions.</t>
  </si>
  <si>
    <t xml:space="preserve">•  Reflects program popularity and student trust.</t>
  </si>
  <si>
    <t xml:space="preserve">•  Ensures the institution does not inflate figures by including MEES or unapproved quotas.</t>
  </si>
  <si>
    <t xml:space="preserve">•  Provides base data for success rate, placement ratio, and performance indicators in later sub-criteria.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</si>
</sst>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.00%"/>
    <numFmt numFmtId="168" formatCode="0"/>
    <numFmt numFmtId="169" formatCode="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000000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F3864"/>
        <bgColor rgb="FF1A527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EF9E7"/>
      </patternFill>
    </fill>
    <fill>
      <patternFill patternType="solid">
        <fgColor rgb="FFD6E4F0"/>
        <bgColor rgb="FFD1F2EB"/>
      </patternFill>
    </fill>
    <fill>
      <patternFill patternType="solid">
        <fgColor rgb="FFD5F5E3"/>
        <bgColor rgb="FFD1F2EB"/>
      </patternFill>
    </fill>
    <fill>
      <patternFill patternType="solid">
        <fgColor rgb="FFFEF9E7"/>
        <bgColor rgb="FFFDFED7"/>
      </patternFill>
    </fill>
    <fill>
      <patternFill patternType="solid">
        <fgColor rgb="FFE8DAEF"/>
        <bgColor rgb="FFD5D8DC"/>
      </patternFill>
    </fill>
    <fill>
      <patternFill patternType="solid">
        <fgColor rgb="FFFDEBD0"/>
        <bgColor rgb="FFFADBD8"/>
      </patternFill>
    </fill>
    <fill>
      <patternFill patternType="solid">
        <fgColor rgb="FF145A32"/>
        <bgColor rgb="FF0E6655"/>
      </patternFill>
    </fill>
    <fill>
      <patternFill patternType="solid">
        <fgColor rgb="FF0E6655"/>
        <bgColor rgb="FF145A32"/>
      </patternFill>
    </fill>
    <fill>
      <patternFill patternType="solid">
        <fgColor rgb="FFFDFED7"/>
        <bgColor rgb="FFFEF9E7"/>
      </patternFill>
    </fill>
    <fill>
      <patternFill patternType="solid">
        <fgColor rgb="FF1A5276"/>
        <bgColor rgb="FF0E6655"/>
      </patternFill>
    </fill>
    <fill>
      <patternFill patternType="solid">
        <fgColor rgb="FF9A7D0A"/>
        <bgColor rgb="FF7D6608"/>
      </patternFill>
    </fill>
    <fill>
      <patternFill patternType="solid">
        <fgColor rgb="FF6C3483"/>
        <bgColor rgb="FF922B21"/>
      </patternFill>
    </fill>
    <fill>
      <patternFill patternType="solid">
        <fgColor rgb="FFA04000"/>
        <bgColor rgb="FF922B21"/>
      </patternFill>
    </fill>
    <fill>
      <patternFill patternType="solid">
        <fgColor rgb="FF922B21"/>
        <bgColor rgb="FFA04000"/>
      </patternFill>
    </fill>
    <fill>
      <patternFill patternType="solid">
        <fgColor rgb="FFD5D8DC"/>
        <bgColor rgb="FFD6E4F0"/>
      </patternFill>
    </fill>
    <fill>
      <patternFill patternType="solid">
        <fgColor rgb="FFFADBD8"/>
        <bgColor rgb="FFE8DAEF"/>
      </patternFill>
    </fill>
    <fill>
      <patternFill patternType="solid">
        <fgColor rgb="FF7D6608"/>
        <bgColor rgb="FF9A7D0A"/>
      </patternFill>
    </fill>
    <fill>
      <patternFill patternType="solid">
        <fgColor rgb="FF566573"/>
        <bgColor rgb="FF2E75B6"/>
      </patternFill>
    </fill>
    <fill>
      <patternFill patternType="solid">
        <fgColor rgb="FFD1F2EB"/>
        <bgColor rgb="FFD5F5E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00000"/>
      <rgbColor rgb="FF008000"/>
      <rgbColor rgb="FF000080"/>
      <rgbColor rgb="FF9A7D0A"/>
      <rgbColor rgb="FF800080"/>
      <rgbColor rgb="FF0E6655"/>
      <rgbColor rgb="FFBFBFBF"/>
      <rgbColor rgb="FF7D6608"/>
      <rgbColor rgb="FF9999FF"/>
      <rgbColor rgb="FF922B21"/>
      <rgbColor rgb="FFFDFED7"/>
      <rgbColor rgb="FFD1F2EB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5F5E3"/>
      <rgbColor rgb="FFFDEBD0"/>
      <rgbColor rgb="FFE8DAEF"/>
      <rgbColor rgb="FFF2F2F2"/>
      <rgbColor rgb="FFCC99FF"/>
      <rgbColor rgb="FFFADBD8"/>
      <rgbColor rgb="FF2E75B6"/>
      <rgbColor rgb="FF33CCCC"/>
      <rgbColor rgb="FF99CC00"/>
      <rgbColor rgb="FFFFCC00"/>
      <rgbColor rgb="FFFF9900"/>
      <rgbColor rgb="FFFF6600"/>
      <rgbColor rgb="FF566573"/>
      <rgbColor rgb="FF969696"/>
      <rgbColor rgb="FF1F3864"/>
      <rgbColor rgb="FF339966"/>
      <rgbColor rgb="FF003300"/>
      <rgbColor rgb="FF333300"/>
      <rgbColor rgb="FFA04000"/>
      <rgbColor rgb="FF6C3483"/>
      <rgbColor rgb="FF1A5276"/>
      <rgbColor rgb="FF145A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9" min="3" style="1" width="12"/>
  </cols>
  <sheetData>
    <row r="1" customFormat="false" ht="30" hidden="false" customHeight="true" outlineLevel="0" collapsed="false">
      <c r="B1" s="2" t="s">
        <v>0</v>
      </c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B2" s="2"/>
      <c r="C2" s="2"/>
      <c r="D2" s="2"/>
      <c r="E2" s="2"/>
      <c r="F2" s="2"/>
      <c r="G2" s="2"/>
      <c r="H2" s="2"/>
      <c r="I2" s="2"/>
    </row>
    <row r="3" customFormat="false" ht="19.5" hidden="false" customHeight="true" outlineLevel="0" collapsed="false">
      <c r="B3" s="2"/>
      <c r="C3" s="2"/>
      <c r="D3" s="2"/>
      <c r="E3" s="2"/>
      <c r="F3" s="2"/>
      <c r="G3" s="2"/>
      <c r="H3" s="2"/>
      <c r="I3" s="2"/>
    </row>
    <row r="4" customFormat="false" ht="15" hidden="false" customHeight="true" outlineLevel="0" collapsed="false">
      <c r="B4" s="3" t="s">
        <v>1</v>
      </c>
      <c r="C4" s="3"/>
      <c r="D4" s="3"/>
      <c r="E4" s="3"/>
      <c r="F4" s="3"/>
      <c r="G4" s="3"/>
      <c r="H4" s="3"/>
      <c r="I4" s="3"/>
    </row>
    <row r="6" customFormat="false" ht="19.5" hidden="false" customHeight="true" outlineLevel="0" collapsed="false">
      <c r="B6" s="4" t="s">
        <v>2</v>
      </c>
      <c r="C6" s="4"/>
      <c r="D6" s="4"/>
      <c r="E6" s="4"/>
      <c r="F6" s="4"/>
      <c r="G6" s="4"/>
      <c r="H6" s="4"/>
      <c r="I6" s="4"/>
    </row>
    <row r="7" customFormat="false" ht="60" hidden="false" customHeight="true" outlineLevel="0" collapsed="false">
      <c r="B7" s="5" t="s">
        <v>3</v>
      </c>
      <c r="C7" s="5"/>
      <c r="D7" s="5"/>
      <c r="E7" s="5"/>
      <c r="F7" s="5"/>
      <c r="G7" s="5"/>
      <c r="H7" s="5"/>
      <c r="I7" s="5"/>
    </row>
    <row r="9" customFormat="false" ht="19.5" hidden="false" customHeight="true" outlineLevel="0" collapsed="false">
      <c r="B9" s="4" t="s">
        <v>4</v>
      </c>
      <c r="C9" s="4"/>
      <c r="D9" s="4"/>
      <c r="E9" s="4"/>
      <c r="F9" s="4"/>
      <c r="G9" s="4"/>
      <c r="H9" s="4"/>
      <c r="I9" s="4"/>
    </row>
    <row r="10" customFormat="false" ht="43.5" hidden="false" customHeight="true" outlineLevel="0" collapsed="false">
      <c r="B10" s="6" t="s">
        <v>5</v>
      </c>
      <c r="C10" s="7" t="s">
        <v>6</v>
      </c>
      <c r="D10" s="7" t="s">
        <v>7</v>
      </c>
      <c r="E10" s="7" t="s">
        <v>8</v>
      </c>
      <c r="F10" s="7" t="s">
        <v>9</v>
      </c>
      <c r="G10" s="7" t="s">
        <v>10</v>
      </c>
      <c r="H10" s="7" t="s">
        <v>11</v>
      </c>
      <c r="I10" s="7" t="s">
        <v>12</v>
      </c>
    </row>
    <row r="11" customFormat="false" ht="24" hidden="false" customHeight="true" outlineLevel="0" collapsed="false">
      <c r="B11" s="8" t="s">
        <v>13</v>
      </c>
      <c r="C11" s="9" t="n">
        <v>120</v>
      </c>
      <c r="D11" s="9" t="n">
        <v>120</v>
      </c>
      <c r="E11" s="9" t="n">
        <v>120</v>
      </c>
      <c r="F11" s="9" t="n">
        <v>120</v>
      </c>
      <c r="G11" s="9" t="n">
        <v>120</v>
      </c>
      <c r="H11" s="9" t="n">
        <v>120</v>
      </c>
      <c r="I11" s="9" t="n">
        <v>120</v>
      </c>
    </row>
    <row r="12" customFormat="false" ht="24" hidden="false" customHeight="true" outlineLevel="0" collapsed="false">
      <c r="B12" s="10" t="s">
        <v>14</v>
      </c>
      <c r="C12" s="11" t="n">
        <v>111</v>
      </c>
      <c r="D12" s="11" t="n">
        <v>118</v>
      </c>
      <c r="E12" s="11" t="n">
        <v>109</v>
      </c>
      <c r="F12" s="11" t="n">
        <v>115</v>
      </c>
      <c r="G12" s="11" t="n">
        <v>102</v>
      </c>
      <c r="H12" s="11" t="n">
        <v>95</v>
      </c>
      <c r="I12" s="11" t="n">
        <v>101</v>
      </c>
    </row>
    <row r="13" customFormat="false" ht="24" hidden="false" customHeight="true" outlineLevel="0" collapsed="false">
      <c r="B13" s="8" t="s">
        <v>15</v>
      </c>
      <c r="C13" s="12" t="n">
        <v>8</v>
      </c>
      <c r="D13" s="12" t="n">
        <v>5</v>
      </c>
      <c r="E13" s="12" t="n">
        <v>10</v>
      </c>
      <c r="F13" s="12" t="n">
        <v>7</v>
      </c>
      <c r="G13" s="12" t="n">
        <v>12</v>
      </c>
      <c r="H13" s="12" t="n">
        <v>14</v>
      </c>
      <c r="I13" s="12" t="n">
        <v>9</v>
      </c>
    </row>
    <row r="14" customFormat="false" ht="24" hidden="false" customHeight="true" outlineLevel="0" collapsed="false">
      <c r="B14" s="10" t="s">
        <v>16</v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</row>
    <row r="15" customFormat="false" ht="24" hidden="false" customHeight="true" outlineLevel="0" collapsed="false">
      <c r="B15" s="8" t="s">
        <v>17</v>
      </c>
      <c r="C15" s="14" t="n">
        <v>7</v>
      </c>
      <c r="D15" s="14" t="n">
        <v>4</v>
      </c>
      <c r="E15" s="14" t="n">
        <v>6</v>
      </c>
      <c r="F15" s="14" t="n">
        <v>5</v>
      </c>
      <c r="G15" s="14" t="n">
        <v>4</v>
      </c>
      <c r="H15" s="14" t="n">
        <v>3</v>
      </c>
      <c r="I15" s="14" t="n">
        <v>2</v>
      </c>
    </row>
    <row r="16" customFormat="false" ht="24" hidden="false" customHeight="true" outlineLevel="0" collapsed="false">
      <c r="B16" s="15" t="s">
        <v>18</v>
      </c>
      <c r="C16" s="16" t="n">
        <f aca="false">SUM(C12:C15)</f>
        <v>126</v>
      </c>
      <c r="D16" s="16" t="n">
        <f aca="false">SUM(D12:D15)</f>
        <v>127</v>
      </c>
      <c r="E16" s="16" t="n">
        <f aca="false">SUM(E12:E15)</f>
        <v>125</v>
      </c>
      <c r="F16" s="16" t="n">
        <f aca="false">SUM(F12:F15)</f>
        <v>127</v>
      </c>
      <c r="G16" s="16" t="n">
        <f aca="false">SUM(G12:G15)</f>
        <v>118</v>
      </c>
      <c r="H16" s="16" t="n">
        <f aca="false">SUM(H12:H15)</f>
        <v>112</v>
      </c>
      <c r="I16" s="16" t="n">
        <f aca="false">SUM(I12:I15)</f>
        <v>112</v>
      </c>
    </row>
    <row r="17" customFormat="false" ht="24" hidden="false" customHeight="true" outlineLevel="0" collapsed="false">
      <c r="B17" s="17" t="s">
        <v>19</v>
      </c>
      <c r="C17" s="18" t="n">
        <f aca="false">C16/C11</f>
        <v>1.05</v>
      </c>
      <c r="D17" s="18" t="n">
        <f aca="false">D16/D11</f>
        <v>1.05833333333333</v>
      </c>
      <c r="E17" s="18" t="n">
        <f aca="false">E16/E11</f>
        <v>1.04166666666667</v>
      </c>
      <c r="F17" s="18" t="n">
        <f aca="false">F16/F11</f>
        <v>1.05833333333333</v>
      </c>
      <c r="G17" s="18" t="n">
        <f aca="false">G16/G11</f>
        <v>0.983333333333333</v>
      </c>
      <c r="H17" s="18" t="n">
        <f aca="false">H16/H11</f>
        <v>0.933333333333333</v>
      </c>
      <c r="I17" s="18" t="n">
        <f aca="false">I16/I11</f>
        <v>0.933333333333333</v>
      </c>
    </row>
    <row r="19" customFormat="false" ht="19.5" hidden="false" customHeight="true" outlineLevel="0" collapsed="false">
      <c r="B19" s="19" t="s">
        <v>20</v>
      </c>
      <c r="C19" s="19"/>
      <c r="D19" s="19"/>
      <c r="E19" s="19"/>
      <c r="F19" s="19"/>
      <c r="G19" s="19"/>
      <c r="H19" s="19"/>
      <c r="I19" s="19"/>
    </row>
    <row r="20" customFormat="false" ht="21.75" hidden="false" customHeight="true" outlineLevel="0" collapsed="false">
      <c r="B20" s="20" t="s">
        <v>21</v>
      </c>
      <c r="C20" s="20"/>
      <c r="D20" s="20"/>
      <c r="E20" s="20"/>
      <c r="F20" s="20"/>
      <c r="G20" s="20"/>
      <c r="H20" s="20"/>
      <c r="I20" s="20"/>
    </row>
    <row r="21" customFormat="false" ht="30" hidden="false" customHeight="true" outlineLevel="0" collapsed="false">
      <c r="B21" s="21" t="s">
        <v>22</v>
      </c>
      <c r="C21" s="21"/>
      <c r="D21" s="21"/>
      <c r="E21" s="21"/>
      <c r="F21" s="22" t="n">
        <f aca="false">(C12+D12+E12)/(C11+D11+E11)</f>
        <v>0.938888888888889</v>
      </c>
      <c r="G21" s="22"/>
      <c r="H21" s="22"/>
      <c r="I21" s="22"/>
    </row>
    <row r="23" customFormat="false" ht="19.5" hidden="false" customHeight="true" outlineLevel="0" collapsed="false">
      <c r="B23" s="4" t="s">
        <v>23</v>
      </c>
      <c r="C23" s="4"/>
      <c r="D23" s="4"/>
      <c r="E23" s="4"/>
      <c r="F23" s="4"/>
      <c r="G23" s="4"/>
      <c r="H23" s="4"/>
      <c r="I23" s="4"/>
    </row>
    <row r="24" customFormat="false" ht="37.5" hidden="false" customHeight="true" outlineLevel="0" collapsed="false">
      <c r="B24" s="23" t="s">
        <v>24</v>
      </c>
      <c r="C24" s="7" t="s">
        <v>25</v>
      </c>
      <c r="D24" s="24" t="s">
        <v>26</v>
      </c>
      <c r="E24" s="25" t="s">
        <v>27</v>
      </c>
      <c r="F24" s="26" t="s">
        <v>28</v>
      </c>
      <c r="G24" s="27" t="s">
        <v>29</v>
      </c>
      <c r="H24" s="28" t="s">
        <v>30</v>
      </c>
      <c r="I24" s="29" t="s">
        <v>31</v>
      </c>
    </row>
    <row r="25" customFormat="false" ht="27.75" hidden="false" customHeight="true" outlineLevel="0" collapsed="false">
      <c r="B25" s="30" t="n">
        <f aca="false">C11</f>
        <v>120</v>
      </c>
      <c r="C25" s="30" t="n">
        <f aca="false">C16</f>
        <v>126</v>
      </c>
      <c r="D25" s="31" t="n">
        <f aca="false">C17</f>
        <v>1.05</v>
      </c>
      <c r="E25" s="32" t="n">
        <f aca="false">F21</f>
        <v>0.938888888888889</v>
      </c>
      <c r="F25" s="31" t="n">
        <f aca="false">AVERAGE(C17:I17)</f>
        <v>1.00833333333333</v>
      </c>
      <c r="G25" s="33" t="n">
        <f aca="false">AVERAGE(C16:I16)</f>
        <v>121</v>
      </c>
      <c r="H25" s="30" t="n">
        <f aca="false">SUM(C15:I15)</f>
        <v>31</v>
      </c>
      <c r="I25" s="30" t="n">
        <f aca="false">SUM(C13:I13)</f>
        <v>65</v>
      </c>
    </row>
  </sheetData>
  <mergeCells count="10">
    <mergeCell ref="B1:I3"/>
    <mergeCell ref="B4:I4"/>
    <mergeCell ref="B6:I6"/>
    <mergeCell ref="B7:I7"/>
    <mergeCell ref="B9:I9"/>
    <mergeCell ref="B19:I19"/>
    <mergeCell ref="B20:I20"/>
    <mergeCell ref="B21:E21"/>
    <mergeCell ref="F21:I21"/>
    <mergeCell ref="B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6" min="3" style="1" width="10"/>
    <col collapsed="false" customWidth="true" hidden="false" outlineLevel="0" max="8" min="7" style="1" width="12"/>
    <col collapsed="false" customWidth="true" hidden="false" outlineLevel="0" max="9" min="9" style="1" width="16"/>
    <col collapsed="false" customWidth="true" hidden="false" outlineLevel="0" max="10" min="10" style="1" width="30"/>
  </cols>
  <sheetData>
    <row r="1" customFormat="false" ht="27.75" hidden="false" customHeight="true" outlineLevel="0" collapsed="false">
      <c r="B1" s="34" t="s">
        <v>32</v>
      </c>
      <c r="C1" s="34"/>
      <c r="D1" s="34"/>
      <c r="E1" s="34"/>
      <c r="F1" s="34"/>
      <c r="G1" s="34"/>
      <c r="H1" s="34"/>
      <c r="I1" s="34"/>
      <c r="J1" s="34"/>
    </row>
    <row r="2" customFormat="false" ht="18" hidden="false" customHeight="true" outlineLevel="0" collapsed="false">
      <c r="B2" s="34"/>
      <c r="C2" s="34"/>
      <c r="D2" s="34"/>
      <c r="E2" s="34"/>
      <c r="F2" s="34"/>
      <c r="G2" s="34"/>
      <c r="H2" s="34"/>
      <c r="I2" s="34"/>
      <c r="J2" s="34"/>
    </row>
    <row r="3" customFormat="false" ht="15" hidden="false" customHeight="true" outlineLevel="0" collapsed="false">
      <c r="B3" s="3" t="s">
        <v>33</v>
      </c>
      <c r="C3" s="3"/>
      <c r="D3" s="3"/>
      <c r="E3" s="3"/>
      <c r="F3" s="3"/>
      <c r="G3" s="3"/>
      <c r="H3" s="3"/>
      <c r="I3" s="3"/>
      <c r="J3" s="3"/>
    </row>
    <row r="4" customFormat="false" ht="39.75" hidden="false" customHeight="true" outlineLevel="0" collapsed="false">
      <c r="B4" s="7" t="s">
        <v>34</v>
      </c>
      <c r="C4" s="7" t="s">
        <v>35</v>
      </c>
      <c r="D4" s="7" t="s">
        <v>36</v>
      </c>
      <c r="E4" s="7" t="s">
        <v>37</v>
      </c>
      <c r="F4" s="7" t="s">
        <v>38</v>
      </c>
      <c r="G4" s="7" t="s">
        <v>39</v>
      </c>
      <c r="H4" s="7" t="s">
        <v>40</v>
      </c>
      <c r="I4" s="7" t="s">
        <v>41</v>
      </c>
      <c r="J4" s="7" t="s">
        <v>42</v>
      </c>
      <c r="K4" s="7" t="s">
        <v>43</v>
      </c>
    </row>
    <row r="5" customFormat="false" ht="30" hidden="false" customHeight="true" outlineLevel="0" collapsed="false">
      <c r="B5" s="35" t="s">
        <v>44</v>
      </c>
      <c r="C5" s="9" t="n">
        <v>120</v>
      </c>
      <c r="D5" s="11" t="n">
        <v>111</v>
      </c>
      <c r="E5" s="36" t="n">
        <v>8</v>
      </c>
      <c r="F5" s="37" t="n">
        <v>0</v>
      </c>
      <c r="G5" s="38" t="n">
        <v>7</v>
      </c>
      <c r="H5" s="16" t="n">
        <f aca="false">SUM(D5:G5)</f>
        <v>126</v>
      </c>
      <c r="I5" s="18" t="n">
        <f aca="false">H5/C5</f>
        <v>1.05</v>
      </c>
      <c r="J5" s="39" t="s">
        <v>45</v>
      </c>
      <c r="K5" s="40" t="s">
        <v>46</v>
      </c>
    </row>
    <row r="6" customFormat="false" ht="30" hidden="false" customHeight="true" outlineLevel="0" collapsed="false">
      <c r="B6" s="41" t="s">
        <v>47</v>
      </c>
      <c r="C6" s="9" t="n">
        <v>120</v>
      </c>
      <c r="D6" s="11" t="n">
        <v>118</v>
      </c>
      <c r="E6" s="36" t="n">
        <v>5</v>
      </c>
      <c r="F6" s="37" t="n">
        <v>0</v>
      </c>
      <c r="G6" s="38" t="n">
        <v>4</v>
      </c>
      <c r="H6" s="16" t="n">
        <f aca="false">SUM(D6:G6)</f>
        <v>127</v>
      </c>
      <c r="I6" s="18" t="n">
        <f aca="false">H6/C6</f>
        <v>1.05833333333333</v>
      </c>
      <c r="J6" s="39" t="s">
        <v>48</v>
      </c>
      <c r="K6" s="42" t="s">
        <v>49</v>
      </c>
    </row>
    <row r="7" customFormat="false" ht="30" hidden="false" customHeight="true" outlineLevel="0" collapsed="false">
      <c r="B7" s="43" t="s">
        <v>50</v>
      </c>
      <c r="C7" s="9" t="n">
        <v>120</v>
      </c>
      <c r="D7" s="11" t="n">
        <v>109</v>
      </c>
      <c r="E7" s="36" t="n">
        <v>10</v>
      </c>
      <c r="F7" s="37" t="n">
        <v>0</v>
      </c>
      <c r="G7" s="38" t="n">
        <v>6</v>
      </c>
      <c r="H7" s="16" t="n">
        <f aca="false">SUM(D7:G7)</f>
        <v>125</v>
      </c>
      <c r="I7" s="18" t="n">
        <f aca="false">H7/C7</f>
        <v>1.04166666666667</v>
      </c>
      <c r="J7" s="39" t="s">
        <v>51</v>
      </c>
      <c r="K7" s="40" t="s">
        <v>52</v>
      </c>
    </row>
    <row r="8" customFormat="false" ht="30" hidden="false" customHeight="true" outlineLevel="0" collapsed="false">
      <c r="B8" s="44" t="s">
        <v>53</v>
      </c>
      <c r="C8" s="9" t="n">
        <v>120</v>
      </c>
      <c r="D8" s="11" t="n">
        <v>115</v>
      </c>
      <c r="E8" s="36" t="n">
        <v>7</v>
      </c>
      <c r="F8" s="37" t="n">
        <v>0</v>
      </c>
      <c r="G8" s="38" t="n">
        <v>5</v>
      </c>
      <c r="H8" s="16" t="n">
        <f aca="false">SUM(D8:G8)</f>
        <v>127</v>
      </c>
      <c r="I8" s="18" t="n">
        <f aca="false">H8/C8</f>
        <v>1.05833333333333</v>
      </c>
      <c r="J8" s="45" t="s">
        <v>54</v>
      </c>
      <c r="K8" s="42" t="s">
        <v>55</v>
      </c>
    </row>
    <row r="9" customFormat="false" ht="30" hidden="false" customHeight="true" outlineLevel="0" collapsed="false">
      <c r="B9" s="46" t="s">
        <v>56</v>
      </c>
      <c r="C9" s="9" t="n">
        <v>120</v>
      </c>
      <c r="D9" s="11" t="n">
        <v>102</v>
      </c>
      <c r="E9" s="36" t="n">
        <v>12</v>
      </c>
      <c r="F9" s="37" t="n">
        <v>0</v>
      </c>
      <c r="G9" s="38" t="n">
        <v>4</v>
      </c>
      <c r="H9" s="16" t="n">
        <f aca="false">SUM(D9:G9)</f>
        <v>118</v>
      </c>
      <c r="I9" s="18" t="n">
        <f aca="false">H9/C9</f>
        <v>0.983333333333333</v>
      </c>
      <c r="J9" s="47" t="s">
        <v>54</v>
      </c>
      <c r="K9" s="40" t="s">
        <v>57</v>
      </c>
    </row>
    <row r="10" customFormat="false" ht="30" hidden="false" customHeight="true" outlineLevel="0" collapsed="false">
      <c r="B10" s="48" t="s">
        <v>58</v>
      </c>
      <c r="C10" s="9" t="n">
        <v>120</v>
      </c>
      <c r="D10" s="11" t="n">
        <v>95</v>
      </c>
      <c r="E10" s="36" t="n">
        <v>14</v>
      </c>
      <c r="F10" s="37" t="n">
        <v>0</v>
      </c>
      <c r="G10" s="38" t="n">
        <v>3</v>
      </c>
      <c r="H10" s="16" t="n">
        <f aca="false">SUM(D10:G10)</f>
        <v>112</v>
      </c>
      <c r="I10" s="18" t="n">
        <f aca="false">H10/C10</f>
        <v>0.933333333333333</v>
      </c>
      <c r="J10" s="45" t="s">
        <v>54</v>
      </c>
      <c r="K10" s="42" t="s">
        <v>59</v>
      </c>
    </row>
    <row r="11" customFormat="false" ht="30" hidden="false" customHeight="true" outlineLevel="0" collapsed="false">
      <c r="B11" s="49" t="s">
        <v>60</v>
      </c>
      <c r="C11" s="9" t="n">
        <v>120</v>
      </c>
      <c r="D11" s="11" t="n">
        <v>101</v>
      </c>
      <c r="E11" s="36" t="n">
        <v>9</v>
      </c>
      <c r="F11" s="37" t="n">
        <v>0</v>
      </c>
      <c r="G11" s="38" t="n">
        <v>2</v>
      </c>
      <c r="H11" s="16" t="n">
        <f aca="false">SUM(D11:G11)</f>
        <v>112</v>
      </c>
      <c r="I11" s="18" t="n">
        <f aca="false">H11/C11</f>
        <v>0.933333333333333</v>
      </c>
      <c r="J11" s="47" t="s">
        <v>54</v>
      </c>
      <c r="K11" s="40" t="s">
        <v>61</v>
      </c>
    </row>
    <row r="12" customFormat="false" ht="24" hidden="false" customHeight="true" outlineLevel="0" collapsed="false">
      <c r="B12" s="50" t="s">
        <v>62</v>
      </c>
      <c r="C12" s="51" t="n">
        <f aca="false">AVERAGE(C5:C11)</f>
        <v>120</v>
      </c>
      <c r="D12" s="50" t="n">
        <f aca="false">SUM(D5:D11)</f>
        <v>751</v>
      </c>
      <c r="E12" s="50" t="n">
        <f aca="false">SUM(E5:E11)</f>
        <v>65</v>
      </c>
      <c r="F12" s="50" t="n">
        <f aca="false">SUM(F5:F11)</f>
        <v>0</v>
      </c>
      <c r="G12" s="50" t="n">
        <f aca="false">SUM(G5:G11)</f>
        <v>31</v>
      </c>
      <c r="H12" s="50" t="n">
        <f aca="false">SUM(H5:H11)</f>
        <v>847</v>
      </c>
      <c r="I12" s="52" t="n">
        <f aca="false">AVERAGE(I5:I11)</f>
        <v>1.00833333333333</v>
      </c>
      <c r="J12" s="50" t="s">
        <v>63</v>
      </c>
      <c r="K12" s="50" t="s">
        <v>63</v>
      </c>
    </row>
    <row r="14" customFormat="false" ht="19.5" hidden="false" customHeight="true" outlineLevel="0" collapsed="false">
      <c r="B14" s="4" t="s">
        <v>64</v>
      </c>
      <c r="C14" s="4"/>
      <c r="D14" s="4"/>
      <c r="E14" s="4"/>
      <c r="F14" s="4"/>
      <c r="G14" s="4"/>
      <c r="H14" s="4"/>
      <c r="I14" s="4"/>
      <c r="J14" s="4"/>
      <c r="K14" s="4"/>
    </row>
    <row r="15" customFormat="false" ht="24" hidden="false" customHeight="true" outlineLevel="0" collapsed="false">
      <c r="B15" s="25" t="s">
        <v>65</v>
      </c>
      <c r="C15" s="25" t="s">
        <v>66</v>
      </c>
      <c r="D15" s="25" t="s">
        <v>67</v>
      </c>
    </row>
    <row r="16" customFormat="false" ht="30" hidden="false" customHeight="true" outlineLevel="0" collapsed="false">
      <c r="B16" s="53" t="s">
        <v>68</v>
      </c>
      <c r="C16" s="53"/>
      <c r="D16" s="54" t="s">
        <v>69</v>
      </c>
      <c r="E16" s="54"/>
      <c r="F16" s="54"/>
      <c r="G16" s="54"/>
      <c r="H16" s="55" t="s">
        <v>70</v>
      </c>
      <c r="I16" s="55"/>
      <c r="J16" s="55"/>
      <c r="K16" s="55"/>
    </row>
    <row r="17" customFormat="false" ht="30" hidden="false" customHeight="true" outlineLevel="0" collapsed="false">
      <c r="B17" s="53" t="s">
        <v>71</v>
      </c>
      <c r="C17" s="53"/>
      <c r="D17" s="56" t="s">
        <v>72</v>
      </c>
      <c r="E17" s="56"/>
      <c r="F17" s="56"/>
      <c r="G17" s="56"/>
      <c r="H17" s="55" t="s">
        <v>73</v>
      </c>
      <c r="I17" s="55"/>
      <c r="J17" s="55"/>
      <c r="K17" s="55"/>
    </row>
    <row r="18" customFormat="false" ht="30" hidden="false" customHeight="true" outlineLevel="0" collapsed="false">
      <c r="B18" s="53" t="s">
        <v>74</v>
      </c>
      <c r="C18" s="53"/>
      <c r="D18" s="54" t="s">
        <v>75</v>
      </c>
      <c r="E18" s="54"/>
      <c r="F18" s="54"/>
      <c r="G18" s="54"/>
      <c r="H18" s="55" t="s">
        <v>76</v>
      </c>
      <c r="I18" s="55"/>
      <c r="J18" s="55"/>
      <c r="K18" s="55"/>
    </row>
    <row r="19" customFormat="false" ht="30" hidden="false" customHeight="true" outlineLevel="0" collapsed="false">
      <c r="B19" s="53" t="s">
        <v>16</v>
      </c>
      <c r="C19" s="53"/>
      <c r="D19" s="56" t="s">
        <v>77</v>
      </c>
      <c r="E19" s="56"/>
      <c r="F19" s="56"/>
      <c r="G19" s="56"/>
      <c r="H19" s="55" t="s">
        <v>78</v>
      </c>
      <c r="I19" s="55"/>
      <c r="J19" s="55"/>
      <c r="K19" s="55"/>
    </row>
    <row r="20" customFormat="false" ht="30" hidden="false" customHeight="true" outlineLevel="0" collapsed="false">
      <c r="B20" s="53" t="s">
        <v>79</v>
      </c>
      <c r="C20" s="53"/>
      <c r="D20" s="54" t="s">
        <v>80</v>
      </c>
      <c r="E20" s="54"/>
      <c r="F20" s="54"/>
      <c r="G20" s="54"/>
      <c r="H20" s="55" t="s">
        <v>81</v>
      </c>
      <c r="I20" s="55"/>
      <c r="J20" s="55"/>
      <c r="K20" s="55"/>
    </row>
    <row r="21" customFormat="false" ht="30" hidden="false" customHeight="true" outlineLevel="0" collapsed="false">
      <c r="B21" s="53" t="s">
        <v>82</v>
      </c>
      <c r="C21" s="53"/>
      <c r="D21" s="56" t="s">
        <v>83</v>
      </c>
      <c r="E21" s="56"/>
      <c r="F21" s="56"/>
      <c r="G21" s="56"/>
      <c r="H21" s="55" t="s">
        <v>84</v>
      </c>
      <c r="I21" s="55"/>
      <c r="J21" s="55"/>
      <c r="K21" s="55"/>
    </row>
  </sheetData>
  <mergeCells count="21">
    <mergeCell ref="B1:J2"/>
    <mergeCell ref="B3:J3"/>
    <mergeCell ref="B14:K14"/>
    <mergeCell ref="B16:C16"/>
    <mergeCell ref="D16:G16"/>
    <mergeCell ref="H16:K16"/>
    <mergeCell ref="B17:C17"/>
    <mergeCell ref="D17:G17"/>
    <mergeCell ref="H17:K17"/>
    <mergeCell ref="B18:C18"/>
    <mergeCell ref="D18:G18"/>
    <mergeCell ref="H18:K18"/>
    <mergeCell ref="B19:C19"/>
    <mergeCell ref="D19:G19"/>
    <mergeCell ref="H19:K19"/>
    <mergeCell ref="B20:C20"/>
    <mergeCell ref="D20:G20"/>
    <mergeCell ref="H20:K20"/>
    <mergeCell ref="B21:C21"/>
    <mergeCell ref="D21:G21"/>
    <mergeCell ref="H21:K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5" min="3" style="1" width="14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20"/>
  </cols>
  <sheetData>
    <row r="1" customFormat="false" ht="27.75" hidden="false" customHeight="true" outlineLevel="0" collapsed="false">
      <c r="B1" s="57" t="s">
        <v>85</v>
      </c>
      <c r="C1" s="57"/>
      <c r="D1" s="57"/>
      <c r="E1" s="57"/>
      <c r="F1" s="57"/>
      <c r="G1" s="57"/>
      <c r="H1" s="57"/>
    </row>
    <row r="2" customFormat="false" ht="18" hidden="false" customHeight="true" outlineLevel="0" collapsed="false">
      <c r="B2" s="57"/>
      <c r="C2" s="57"/>
      <c r="D2" s="57"/>
      <c r="E2" s="57"/>
      <c r="F2" s="57"/>
      <c r="G2" s="57"/>
      <c r="H2" s="57"/>
    </row>
    <row r="3" customFormat="false" ht="15" hidden="false" customHeight="true" outlineLevel="0" collapsed="false">
      <c r="B3" s="58" t="s">
        <v>86</v>
      </c>
      <c r="C3" s="58"/>
      <c r="D3" s="58"/>
      <c r="E3" s="58"/>
      <c r="F3" s="58"/>
      <c r="G3" s="58"/>
      <c r="H3" s="58"/>
    </row>
    <row r="4" customFormat="false" ht="36" hidden="false" customHeight="true" outlineLevel="0" collapsed="false">
      <c r="B4" s="25" t="s">
        <v>34</v>
      </c>
      <c r="C4" s="25" t="s">
        <v>87</v>
      </c>
      <c r="D4" s="25" t="s">
        <v>88</v>
      </c>
      <c r="E4" s="25" t="s">
        <v>82</v>
      </c>
      <c r="F4" s="25" t="s">
        <v>89</v>
      </c>
      <c r="G4" s="25" t="s">
        <v>90</v>
      </c>
      <c r="H4" s="25" t="s">
        <v>43</v>
      </c>
    </row>
    <row r="5" customFormat="false" ht="30" hidden="false" customHeight="true" outlineLevel="0" collapsed="false">
      <c r="B5" s="35" t="s">
        <v>44</v>
      </c>
      <c r="C5" s="9" t="n">
        <v>120</v>
      </c>
      <c r="D5" s="11" t="n">
        <v>111</v>
      </c>
      <c r="E5" s="12" t="n">
        <f aca="false">111+8+0+7</f>
        <v>126</v>
      </c>
      <c r="F5" s="59" t="n">
        <f aca="false">E5/C5</f>
        <v>1.05</v>
      </c>
      <c r="G5" s="60" t="str">
        <f aca="false">IF(F5&gt;=1,"Above 100% (Supernumerary)",IF(F5&gt;=0.9,"Healthy (≥90%)",IF(F5&gt;=0.75,"Moderate (≥75%)","Low (&lt;75%)")))</f>
        <v>Above 100% (Supernumerary)</v>
      </c>
      <c r="H5" s="40" t="s">
        <v>46</v>
      </c>
    </row>
    <row r="6" customFormat="false" ht="30" hidden="false" customHeight="true" outlineLevel="0" collapsed="false">
      <c r="B6" s="41" t="s">
        <v>47</v>
      </c>
      <c r="C6" s="9" t="n">
        <v>120</v>
      </c>
      <c r="D6" s="11" t="n">
        <v>118</v>
      </c>
      <c r="E6" s="12" t="n">
        <f aca="false">118+5+0+4</f>
        <v>127</v>
      </c>
      <c r="F6" s="59" t="n">
        <f aca="false">E6/C6</f>
        <v>1.05833333333333</v>
      </c>
      <c r="G6" s="61" t="str">
        <f aca="false">IF(F6&gt;=1,"Above 100% (Supernumerary)",IF(F6&gt;=0.9,"Healthy (≥90%)",IF(F6&gt;=0.75,"Moderate (≥75%)","Low (&lt;75%)")))</f>
        <v>Above 100% (Supernumerary)</v>
      </c>
      <c r="H6" s="42" t="s">
        <v>49</v>
      </c>
    </row>
    <row r="7" customFormat="false" ht="30" hidden="false" customHeight="true" outlineLevel="0" collapsed="false">
      <c r="B7" s="43" t="s">
        <v>50</v>
      </c>
      <c r="C7" s="9" t="n">
        <v>120</v>
      </c>
      <c r="D7" s="11" t="n">
        <v>109</v>
      </c>
      <c r="E7" s="12" t="n">
        <f aca="false">109+10+0+6</f>
        <v>125</v>
      </c>
      <c r="F7" s="59" t="n">
        <f aca="false">E7/C7</f>
        <v>1.04166666666667</v>
      </c>
      <c r="G7" s="60" t="str">
        <f aca="false">IF(F7&gt;=1,"Above 100% (Supernumerary)",IF(F7&gt;=0.9,"Healthy (≥90%)",IF(F7&gt;=0.75,"Moderate (≥75%)","Low (&lt;75%)")))</f>
        <v>Above 100% (Supernumerary)</v>
      </c>
      <c r="H7" s="40" t="s">
        <v>52</v>
      </c>
    </row>
    <row r="8" customFormat="false" ht="30" hidden="false" customHeight="true" outlineLevel="0" collapsed="false">
      <c r="B8" s="44" t="s">
        <v>53</v>
      </c>
      <c r="C8" s="9" t="n">
        <v>120</v>
      </c>
      <c r="D8" s="11" t="n">
        <v>115</v>
      </c>
      <c r="E8" s="12" t="n">
        <f aca="false">115+7+0+5</f>
        <v>127</v>
      </c>
      <c r="F8" s="59" t="n">
        <f aca="false">E8/C8</f>
        <v>1.05833333333333</v>
      </c>
      <c r="G8" s="61" t="str">
        <f aca="false">IF(F8&gt;=1,"Above 100% (Supernumerary)",IF(F8&gt;=0.9,"Healthy (≥90%)",IF(F8&gt;=0.75,"Moderate (≥75%)","Low (&lt;75%)")))</f>
        <v>Above 100% (Supernumerary)</v>
      </c>
      <c r="H8" s="42" t="s">
        <v>55</v>
      </c>
    </row>
    <row r="9" customFormat="false" ht="30" hidden="false" customHeight="true" outlineLevel="0" collapsed="false">
      <c r="B9" s="46" t="s">
        <v>56</v>
      </c>
      <c r="C9" s="9" t="n">
        <v>120</v>
      </c>
      <c r="D9" s="11" t="n">
        <v>102</v>
      </c>
      <c r="E9" s="12" t="n">
        <f aca="false">102+12+0+4</f>
        <v>118</v>
      </c>
      <c r="F9" s="59" t="n">
        <f aca="false">E9/C9</f>
        <v>0.983333333333333</v>
      </c>
      <c r="G9" s="60" t="str">
        <f aca="false">IF(F9&gt;=1,"Above 100% (Supernumerary)",IF(F9&gt;=0.9,"Healthy (≥90%)",IF(F9&gt;=0.75,"Moderate (≥75%)","Low (&lt;75%)")))</f>
        <v>Healthy (≥90%)</v>
      </c>
      <c r="H9" s="40" t="s">
        <v>57</v>
      </c>
    </row>
    <row r="10" customFormat="false" ht="30" hidden="false" customHeight="true" outlineLevel="0" collapsed="false">
      <c r="B10" s="48" t="s">
        <v>58</v>
      </c>
      <c r="C10" s="9" t="n">
        <v>120</v>
      </c>
      <c r="D10" s="11" t="n">
        <v>95</v>
      </c>
      <c r="E10" s="12" t="n">
        <f aca="false">95+14+0+3</f>
        <v>112</v>
      </c>
      <c r="F10" s="59" t="n">
        <f aca="false">E10/C10</f>
        <v>0.933333333333333</v>
      </c>
      <c r="G10" s="61" t="str">
        <f aca="false">IF(F10&gt;=1,"Above 100% (Supernumerary)",IF(F10&gt;=0.9,"Healthy (≥90%)",IF(F10&gt;=0.75,"Moderate (≥75%)","Low (&lt;75%)")))</f>
        <v>Healthy (≥90%)</v>
      </c>
      <c r="H10" s="42" t="s">
        <v>59</v>
      </c>
    </row>
    <row r="11" customFormat="false" ht="30" hidden="false" customHeight="true" outlineLevel="0" collapsed="false">
      <c r="B11" s="49" t="s">
        <v>60</v>
      </c>
      <c r="C11" s="9" t="n">
        <v>120</v>
      </c>
      <c r="D11" s="11" t="n">
        <v>101</v>
      </c>
      <c r="E11" s="12" t="n">
        <f aca="false">101+9+0+2</f>
        <v>112</v>
      </c>
      <c r="F11" s="59" t="n">
        <f aca="false">E11/C11</f>
        <v>0.933333333333333</v>
      </c>
      <c r="G11" s="60" t="str">
        <f aca="false">IF(F11&gt;=1,"Above 100% (Supernumerary)",IF(F11&gt;=0.9,"Healthy (≥90%)",IF(F11&gt;=0.75,"Moderate (≥75%)","Low (&lt;75%)")))</f>
        <v>Healthy (≥90%)</v>
      </c>
      <c r="H11" s="40" t="s">
        <v>61</v>
      </c>
    </row>
    <row r="12" customFormat="false" ht="24" hidden="false" customHeight="true" outlineLevel="0" collapsed="false">
      <c r="B12" s="50" t="s">
        <v>91</v>
      </c>
      <c r="C12" s="51" t="n">
        <f aca="false">AVERAGE(C5:C11)</f>
        <v>120</v>
      </c>
      <c r="D12" s="62" t="n">
        <f aca="false">AVERAGE(D5:D11)</f>
        <v>107.285714285714</v>
      </c>
      <c r="E12" s="62" t="n">
        <f aca="false">AVERAGE(E5:E11)</f>
        <v>121</v>
      </c>
      <c r="F12" s="52" t="n">
        <f aca="false">AVERAGE(F5:F11)</f>
        <v>1.00833333333333</v>
      </c>
      <c r="G12" s="50" t="s">
        <v>63</v>
      </c>
      <c r="H12" s="50" t="s">
        <v>63</v>
      </c>
    </row>
    <row r="14" customFormat="false" ht="19.5" hidden="false" customHeight="true" outlineLevel="0" collapsed="false">
      <c r="B14" s="4" t="s">
        <v>92</v>
      </c>
      <c r="C14" s="4"/>
      <c r="D14" s="4"/>
      <c r="E14" s="4"/>
      <c r="F14" s="4"/>
      <c r="G14" s="4"/>
      <c r="H14" s="4"/>
    </row>
    <row r="15" customFormat="false" ht="21.75" hidden="false" customHeight="true" outlineLevel="0" collapsed="false">
      <c r="B15" s="20" t="s">
        <v>93</v>
      </c>
      <c r="C15" s="20"/>
      <c r="D15" s="20"/>
      <c r="E15" s="20"/>
      <c r="F15" s="20"/>
      <c r="G15" s="20"/>
      <c r="H15" s="20"/>
    </row>
    <row r="16" customFormat="false" ht="24" hidden="false" customHeight="true" outlineLevel="0" collapsed="false">
      <c r="B16" s="23" t="s">
        <v>94</v>
      </c>
      <c r="C16" s="23" t="s">
        <v>95</v>
      </c>
      <c r="D16" s="23" t="s">
        <v>96</v>
      </c>
      <c r="E16" s="23" t="s">
        <v>97</v>
      </c>
    </row>
    <row r="17" customFormat="false" ht="24" hidden="false" customHeight="true" outlineLevel="0" collapsed="false">
      <c r="B17" s="63" t="s">
        <v>98</v>
      </c>
      <c r="C17" s="11" t="n">
        <f aca="false">SUM(D5:D7)</f>
        <v>338</v>
      </c>
      <c r="D17" s="9" t="n">
        <f aca="false">SUM(C5:C7)</f>
        <v>360</v>
      </c>
      <c r="E17" s="64" t="n">
        <f aca="false">C17/D17</f>
        <v>0.938888888888889</v>
      </c>
    </row>
    <row r="18" customFormat="false" ht="24" hidden="false" customHeight="true" outlineLevel="0" collapsed="false">
      <c r="B18" s="65" t="s">
        <v>99</v>
      </c>
      <c r="C18" s="11" t="n">
        <f aca="false">SUM(D6:D8)</f>
        <v>342</v>
      </c>
      <c r="D18" s="9" t="n">
        <f aca="false">SUM(C6:C8)</f>
        <v>360</v>
      </c>
      <c r="E18" s="66" t="n">
        <f aca="false">C18/D18</f>
        <v>0.95</v>
      </c>
    </row>
    <row r="19" customFormat="false" ht="24" hidden="false" customHeight="true" outlineLevel="0" collapsed="false">
      <c r="B19" s="67" t="s">
        <v>100</v>
      </c>
      <c r="C19" s="11" t="n">
        <f aca="false">SUM(D7:D9)</f>
        <v>326</v>
      </c>
      <c r="D19" s="9" t="n">
        <f aca="false">SUM(C7:C9)</f>
        <v>360</v>
      </c>
      <c r="E19" s="66" t="n">
        <f aca="false">C19/D19</f>
        <v>0.905555555555556</v>
      </c>
    </row>
    <row r="20" customFormat="false" ht="24" hidden="false" customHeight="true" outlineLevel="0" collapsed="false">
      <c r="B20" s="65" t="s">
        <v>101</v>
      </c>
      <c r="C20" s="11" t="n">
        <f aca="false">SUM(D8:D10)</f>
        <v>312</v>
      </c>
      <c r="D20" s="9" t="n">
        <f aca="false">SUM(C8:C10)</f>
        <v>360</v>
      </c>
      <c r="E20" s="66" t="n">
        <f aca="false">C20/D20</f>
        <v>0.866666666666667</v>
      </c>
    </row>
    <row r="21" customFormat="false" ht="24" hidden="false" customHeight="true" outlineLevel="0" collapsed="false">
      <c r="B21" s="67" t="s">
        <v>102</v>
      </c>
      <c r="C21" s="11" t="n">
        <f aca="false">SUM(D9:D11)</f>
        <v>298</v>
      </c>
      <c r="D21" s="9" t="n">
        <f aca="false">SUM(C9:C11)</f>
        <v>360</v>
      </c>
      <c r="E21" s="66" t="n">
        <f aca="false">C21/D21</f>
        <v>0.827777777777778</v>
      </c>
    </row>
  </sheetData>
  <mergeCells count="4">
    <mergeCell ref="B1:H2"/>
    <mergeCell ref="B3:H3"/>
    <mergeCell ref="B14:H14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40"/>
    <col collapsed="false" customWidth="true" hidden="false" outlineLevel="0" max="4" min="4" style="1" width="20"/>
  </cols>
  <sheetData>
    <row r="1" customFormat="false" ht="27.75" hidden="false" customHeight="true" outlineLevel="0" collapsed="false">
      <c r="B1" s="68" t="s">
        <v>103</v>
      </c>
      <c r="C1" s="68"/>
      <c r="D1" s="68"/>
    </row>
    <row r="2" customFormat="false" ht="18" hidden="false" customHeight="true" outlineLevel="0" collapsed="false">
      <c r="B2" s="68"/>
      <c r="C2" s="68"/>
      <c r="D2" s="68"/>
    </row>
    <row r="3" customFormat="false" ht="24" hidden="false" customHeight="true" outlineLevel="0" collapsed="false">
      <c r="B3" s="29" t="s">
        <v>104</v>
      </c>
      <c r="C3" s="29" t="s">
        <v>105</v>
      </c>
      <c r="D3" s="29" t="s">
        <v>106</v>
      </c>
    </row>
    <row r="4" customFormat="false" ht="27.75" hidden="false" customHeight="true" outlineLevel="0" collapsed="false">
      <c r="B4" s="69" t="s">
        <v>107</v>
      </c>
      <c r="C4" s="70" t="s">
        <v>108</v>
      </c>
      <c r="D4" s="71" t="s">
        <v>109</v>
      </c>
    </row>
    <row r="5" customFormat="false" ht="27.75" hidden="false" customHeight="true" outlineLevel="0" collapsed="false">
      <c r="B5" s="69" t="s">
        <v>110</v>
      </c>
      <c r="C5" s="72" t="s">
        <v>111</v>
      </c>
      <c r="D5" s="71" t="s">
        <v>109</v>
      </c>
    </row>
    <row r="6" customFormat="false" ht="27.75" hidden="false" customHeight="true" outlineLevel="0" collapsed="false">
      <c r="B6" s="69" t="s">
        <v>112</v>
      </c>
      <c r="C6" s="70" t="s">
        <v>113</v>
      </c>
      <c r="D6" s="71" t="s">
        <v>109</v>
      </c>
    </row>
    <row r="7" customFormat="false" ht="27.75" hidden="false" customHeight="true" outlineLevel="0" collapsed="false">
      <c r="B7" s="69" t="s">
        <v>114</v>
      </c>
      <c r="C7" s="72" t="s">
        <v>115</v>
      </c>
      <c r="D7" s="71" t="s">
        <v>109</v>
      </c>
    </row>
    <row r="8" customFormat="false" ht="27.75" hidden="false" customHeight="true" outlineLevel="0" collapsed="false">
      <c r="B8" s="69" t="s">
        <v>116</v>
      </c>
      <c r="C8" s="70" t="s">
        <v>117</v>
      </c>
      <c r="D8" s="71" t="s">
        <v>109</v>
      </c>
    </row>
    <row r="9" customFormat="false" ht="27.75" hidden="false" customHeight="true" outlineLevel="0" collapsed="false">
      <c r="B9" s="69" t="s">
        <v>118</v>
      </c>
      <c r="C9" s="72" t="s">
        <v>119</v>
      </c>
      <c r="D9" s="71" t="s">
        <v>109</v>
      </c>
    </row>
    <row r="11" customFormat="false" ht="19.5" hidden="false" customHeight="true" outlineLevel="0" collapsed="false">
      <c r="B11" s="4" t="s">
        <v>120</v>
      </c>
      <c r="C11" s="4"/>
      <c r="D11" s="4"/>
    </row>
    <row r="12" customFormat="false" ht="27.75" hidden="false" customHeight="true" outlineLevel="0" collapsed="false">
      <c r="B12" s="73" t="s">
        <v>121</v>
      </c>
      <c r="C12" s="73"/>
      <c r="D12" s="73"/>
    </row>
    <row r="13" customFormat="false" ht="27.75" hidden="false" customHeight="true" outlineLevel="0" collapsed="false">
      <c r="B13" s="74" t="s">
        <v>122</v>
      </c>
      <c r="C13" s="74"/>
      <c r="D13" s="74"/>
    </row>
    <row r="14" customFormat="false" ht="27.75" hidden="false" customHeight="true" outlineLevel="0" collapsed="false">
      <c r="B14" s="73" t="s">
        <v>123</v>
      </c>
      <c r="C14" s="73"/>
      <c r="D14" s="73"/>
    </row>
    <row r="15" customFormat="false" ht="27.75" hidden="false" customHeight="true" outlineLevel="0" collapsed="false">
      <c r="B15" s="74" t="s">
        <v>124</v>
      </c>
      <c r="C15" s="74"/>
      <c r="D15" s="74"/>
    </row>
    <row r="17" customFormat="false" ht="19.5" hidden="false" customHeight="true" outlineLevel="0" collapsed="false">
      <c r="B17" s="19" t="s">
        <v>125</v>
      </c>
      <c r="C17" s="19"/>
      <c r="D17" s="19"/>
    </row>
    <row r="18" customFormat="false" ht="25.5" hidden="false" customHeight="true" outlineLevel="0" collapsed="false">
      <c r="B18" s="73" t="s">
        <v>126</v>
      </c>
      <c r="C18" s="73"/>
      <c r="D18" s="73"/>
    </row>
    <row r="19" customFormat="false" ht="25.5" hidden="false" customHeight="true" outlineLevel="0" collapsed="false">
      <c r="B19" s="75" t="s">
        <v>127</v>
      </c>
      <c r="C19" s="75"/>
      <c r="D19" s="75"/>
    </row>
    <row r="20" customFormat="false" ht="25.5" hidden="false" customHeight="true" outlineLevel="0" collapsed="false">
      <c r="B20" s="73" t="s">
        <v>128</v>
      </c>
      <c r="C20" s="73"/>
      <c r="D20" s="73"/>
    </row>
    <row r="21" customFormat="false" ht="25.5" hidden="false" customHeight="true" outlineLevel="0" collapsed="false">
      <c r="B21" s="75" t="s">
        <v>129</v>
      </c>
      <c r="C21" s="75"/>
      <c r="D21" s="75"/>
    </row>
  </sheetData>
  <mergeCells count="11">
    <mergeCell ref="B1:D2"/>
    <mergeCell ref="B11:D11"/>
    <mergeCell ref="B12:D12"/>
    <mergeCell ref="B13:D13"/>
    <mergeCell ref="B14:D14"/>
    <mergeCell ref="B15:D15"/>
    <mergeCell ref="B17:D17"/>
    <mergeCell ref="B18:D18"/>
    <mergeCell ref="B19:D19"/>
    <mergeCell ref="B20:D20"/>
    <mergeCell ref="B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2026-06-20T15:07:30Z</dcterms:created>
  <dc:creator>openpyxl</dc:creator>
  <dc:description/>
  <dc:language>en-US</dc:language>
  <cp:lastModifiedBy/>
  <dcterms:modified xsi:type="dcterms:W3CDTF">2026-06-20T15:07:49Z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